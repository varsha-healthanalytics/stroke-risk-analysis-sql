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058f571d1f6adecf/Documents/Data Analytics/week 9/Sql/"/>
    </mc:Choice>
  </mc:AlternateContent>
  <xr:revisionPtr revIDLastSave="15" documentId="8_{2EB2ADC6-5F8F-48F7-9214-5F10A0B7E7FB}" xr6:coauthVersionLast="47" xr6:coauthVersionMax="47" xr10:uidLastSave="{A5A6023E-B06C-44F8-8A85-62DBCF7FC1FE}"/>
  <bookViews>
    <workbookView xWindow="-108" yWindow="-108" windowWidth="23256" windowHeight="12456" activeTab="2" xr2:uid="{DAE9A406-2709-4784-98B9-5F3821805CC4}"/>
  </bookViews>
  <sheets>
    <sheet name="Dashboard" sheetId="3" r:id="rId1"/>
    <sheet name="Pivot" sheetId="2" r:id="rId2"/>
    <sheet name="healthcare-dataset-stroke-data" sheetId="1" r:id="rId3"/>
  </sheets>
  <definedNames>
    <definedName name="_xlnm._FilterDatabase" localSheetId="2" hidden="1">'healthcare-dataset-stroke-data'!$A$1:$N$5111</definedName>
    <definedName name="Slicer_Age_group">#N/A</definedName>
    <definedName name="Slicer_Gender">#N/A</definedName>
    <definedName name="Slicer_Smoking_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EH5" i="3" l="1"/>
  <c r="XEH4" i="3"/>
  <c r="XEH3" i="3"/>
  <c r="XEH2" i="3"/>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2" i="1"/>
</calcChain>
</file>

<file path=xl/sharedStrings.xml><?xml version="1.0" encoding="utf-8"?>
<sst xmlns="http://schemas.openxmlformats.org/spreadsheetml/2006/main" count="25854" uniqueCount="65">
  <si>
    <t>work_type</t>
  </si>
  <si>
    <t>Residence_type</t>
  </si>
  <si>
    <t>Male</t>
  </si>
  <si>
    <t>Yes</t>
  </si>
  <si>
    <t>Private</t>
  </si>
  <si>
    <t>Urban</t>
  </si>
  <si>
    <t>formerly smoked</t>
  </si>
  <si>
    <t>Female</t>
  </si>
  <si>
    <t>Self-employed</t>
  </si>
  <si>
    <t>Rural</t>
  </si>
  <si>
    <t>N/A</t>
  </si>
  <si>
    <t>never smoked</t>
  </si>
  <si>
    <t>smokes</t>
  </si>
  <si>
    <t>No</t>
  </si>
  <si>
    <t>Unknown</t>
  </si>
  <si>
    <t>Govt_job</t>
  </si>
  <si>
    <t>children</t>
  </si>
  <si>
    <t>Never_worked</t>
  </si>
  <si>
    <t>Other</t>
  </si>
  <si>
    <t>Risk_factor</t>
  </si>
  <si>
    <t>Gender</t>
  </si>
  <si>
    <t>Ever_married</t>
  </si>
  <si>
    <t>BMI</t>
  </si>
  <si>
    <t>Smoking_status</t>
  </si>
  <si>
    <t>Id</t>
  </si>
  <si>
    <t>High Risk</t>
  </si>
  <si>
    <t>Lower Risk</t>
  </si>
  <si>
    <t>Moderate Risk</t>
  </si>
  <si>
    <t>Grand Total</t>
  </si>
  <si>
    <t>Age_group</t>
  </si>
  <si>
    <t>40–59</t>
  </si>
  <si>
    <t>60+</t>
  </si>
  <si>
    <t>Under 40</t>
  </si>
  <si>
    <t>Agegroup</t>
  </si>
  <si>
    <t>StrokeCases</t>
  </si>
  <si>
    <t>Strokecases</t>
  </si>
  <si>
    <t>Residence type</t>
  </si>
  <si>
    <t>Stroke cases</t>
  </si>
  <si>
    <t>Smoking status</t>
  </si>
  <si>
    <t>work type</t>
  </si>
  <si>
    <t>Strokecase</t>
  </si>
  <si>
    <t>Average of Stroke</t>
  </si>
  <si>
    <t>Stroke Risk Analysis dashboard</t>
  </si>
  <si>
    <t>5,110 Patient Records|Exploratory Risk Analysis</t>
  </si>
  <si>
    <t>Total Patients</t>
  </si>
  <si>
    <t>Stroke Cases</t>
  </si>
  <si>
    <t>Stroke Rate</t>
  </si>
  <si>
    <t>Averaage age</t>
  </si>
  <si>
    <t>Row Labels</t>
  </si>
  <si>
    <t>Normal</t>
  </si>
  <si>
    <t>Obese</t>
  </si>
  <si>
    <t>Overweight</t>
  </si>
  <si>
    <t>Underweight</t>
  </si>
  <si>
    <t>gender</t>
  </si>
  <si>
    <t>age</t>
  </si>
  <si>
    <t>hypertension</t>
  </si>
  <si>
    <t>heart_disease</t>
  </si>
  <si>
    <t>risk_factor</t>
  </si>
  <si>
    <t>ever_married</t>
  </si>
  <si>
    <t>residence_type</t>
  </si>
  <si>
    <t>avg_glucose_level</t>
  </si>
  <si>
    <t>smoking_status</t>
  </si>
  <si>
    <t>stroke</t>
  </si>
  <si>
    <t>age_group</t>
  </si>
  <si>
    <t>BMI_category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</si>
</sst>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36"/>
      <color theme="1"/>
      <name val="Aptos Narrow"/>
      <family val="2"/>
      <scheme val="minor"/>
    </font>
    <font>
      <b/>
      <sz val="36"/>
      <color theme="1"/>
      <name val="Aptos Narrow"/>
      <family val="2"/>
      <scheme val="minor"/>
    </font>
    <font>
      <b/>
      <sz val="16"/>
      <color theme="1"/>
      <name val="Aptos Narrow"/>
      <family val="2"/>
      <scheme val="minor"/>
    </font>
    <font>
      <b/>
      <i/>
      <sz val="11"/>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2" fontId="0" fillId="0" borderId="0" xfId="0" applyNumberFormat="1"/>
    <xf numFmtId="0" fontId="21" fillId="0" borderId="0" xfId="0" applyFont="1"/>
    <xf numFmtId="164" fontId="0" fillId="0" borderId="0" xfId="0" applyNumberFormat="1"/>
    <xf numFmtId="0" fontId="18" fillId="33" borderId="0" xfId="0" applyFont="1" applyFill="1" applyAlignment="1">
      <alignment horizontal="centerContinuous"/>
    </xf>
    <xf numFmtId="0" fontId="19" fillId="33" borderId="0" xfId="0" applyFont="1" applyFill="1" applyAlignment="1">
      <alignment horizontal="centerContinuous"/>
    </xf>
    <xf numFmtId="0" fontId="0" fillId="33" borderId="0" xfId="0" applyFill="1"/>
    <xf numFmtId="0" fontId="20" fillId="33" borderId="0" xfId="0" applyFont="1" applyFill="1"/>
    <xf numFmtId="164" fontId="0" fillId="33" borderId="0" xfId="42" applyNumberFormat="1"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6">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ont>
        <b/>
        <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[Stroke_Data_sql.xlsx]Pivot!PivotTable4</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Stroke Risk  by Age</a:t>
            </a:r>
          </a:p>
        </c:rich>
      </c:tx>
      <c:layout>
        <c:manualLayout>
          <c:xMode val="edge"/>
          <c:yMode val="edge"/>
          <c:x val="0.26731233595800524"/>
          <c:y val="0.11934966462525518"/>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Pivot!$E$3</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Pivot!$D$4:$D$7</c:f>
              <c:strCache>
                <c:ptCount val="3"/>
                <c:pt idx="0">
                  <c:v>40–59</c:v>
                </c:pt>
                <c:pt idx="1">
                  <c:v>60+</c:v>
                </c:pt>
                <c:pt idx="2">
                  <c:v>Under 40</c:v>
                </c:pt>
              </c:strCache>
            </c:strRef>
          </c:cat>
          <c:val>
            <c:numRef>
              <c:f>Pivot!$E$4:$E$7</c:f>
              <c:numCache>
                <c:formatCode>0.0%</c:formatCode>
                <c:ptCount val="3"/>
                <c:pt idx="0">
                  <c:v>3.8363171355498722E-2</c:v>
                </c:pt>
                <c:pt idx="1">
                  <c:v>0.13154069767441862</c:v>
                </c:pt>
                <c:pt idx="2">
                  <c:v>3.6866359447004608E-3</c:v>
                </c:pt>
              </c:numCache>
            </c:numRef>
          </c:val>
          <c:extLst>
            <c:ext xmlns:c16="http://schemas.microsoft.com/office/drawing/2014/chart" uri="{C3380CC4-5D6E-409C-BE32-E72D297353CC}">
              <c16:uniqueId val="{00000000-5708-48CD-A2E1-A50AA95E851C}"/>
            </c:ext>
          </c:extLst>
        </c:ser>
        <c:dLbls>
          <c:showLegendKey val="0"/>
          <c:showVal val="0"/>
          <c:showCatName val="0"/>
          <c:showSerName val="0"/>
          <c:showPercent val="0"/>
          <c:showBubbleSize val="0"/>
        </c:dLbls>
        <c:gapWidth val="444"/>
        <c:overlap val="-90"/>
        <c:axId val="1210768175"/>
        <c:axId val="1296767743"/>
      </c:barChart>
      <c:catAx>
        <c:axId val="12107681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96767743"/>
        <c:crosses val="autoZero"/>
        <c:auto val="1"/>
        <c:lblAlgn val="ctr"/>
        <c:lblOffset val="100"/>
        <c:noMultiLvlLbl val="0"/>
      </c:catAx>
      <c:valAx>
        <c:axId val="1296767743"/>
        <c:scaling>
          <c:orientation val="minMax"/>
        </c:scaling>
        <c:delete val="1"/>
        <c:axPos val="l"/>
        <c:numFmt formatCode="0.0%" sourceLinked="1"/>
        <c:majorTickMark val="none"/>
        <c:minorTickMark val="none"/>
        <c:tickLblPos val="nextTo"/>
        <c:crossAx val="121076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[Stroke_Data_sql.xlsx]Pivot!risk_factor</c:name>
    <c:fmtId val="1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Stroke distribution by Risk factor</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8.6927415323084609E-2"/>
          <c:y val="0.25286456821889891"/>
          <c:w val="0.78883713754530682"/>
          <c:h val="0.57146878446091043"/>
        </c:manualLayout>
      </c:layout>
      <c:barChart>
        <c:barDir val="col"/>
        <c:grouping val="clustered"/>
        <c:varyColors val="0"/>
        <c:ser>
          <c:idx val="0"/>
          <c:order val="0"/>
          <c:tx>
            <c:strRef>
              <c:f>Pivot!$B$3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Pivot!$A$4:$A$7</c:f>
              <c:strCache>
                <c:ptCount val="3"/>
                <c:pt idx="0">
                  <c:v>High Risk</c:v>
                </c:pt>
                <c:pt idx="1">
                  <c:v>Lower Risk</c:v>
                </c:pt>
                <c:pt idx="2">
                  <c:v>Moderate Risk</c:v>
                </c:pt>
              </c:strCache>
            </c:strRef>
          </c:cat>
          <c:val>
            <c:numRef>
              <c:f>Pivot!$B$4:$B$7</c:f>
              <c:numCache>
                <c:formatCode>General</c:formatCode>
                <c:ptCount val="3"/>
                <c:pt idx="0">
                  <c:v>455</c:v>
                </c:pt>
                <c:pt idx="1">
                  <c:v>3734</c:v>
                </c:pt>
                <c:pt idx="2">
                  <c:v>921</c:v>
                </c:pt>
              </c:numCache>
            </c:numRef>
          </c:val>
          <c:extLst>
            <c:ext xmlns:c16="http://schemas.microsoft.com/office/drawing/2014/chart" uri="{C3380CC4-5D6E-409C-BE32-E72D297353CC}">
              <c16:uniqueId val="{00000000-72DB-4F3E-B1C9-0BBDD8A58501}"/>
            </c:ext>
          </c:extLst>
        </c:ser>
        <c:dLbls>
          <c:showLegendKey val="0"/>
          <c:showVal val="0"/>
          <c:showCatName val="0"/>
          <c:showSerName val="0"/>
          <c:showPercent val="0"/>
          <c:showBubbleSize val="0"/>
        </c:dLbls>
        <c:gapWidth val="355"/>
        <c:overlap val="-70"/>
        <c:axId val="1754616671"/>
        <c:axId val="1754618111"/>
      </c:barChart>
      <c:catAx>
        <c:axId val="1754616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618111"/>
        <c:crosses val="autoZero"/>
        <c:auto val="1"/>
        <c:lblAlgn val="ctr"/>
        <c:lblOffset val="100"/>
        <c:noMultiLvlLbl val="0"/>
      </c:catAx>
      <c:valAx>
        <c:axId val="1754618111"/>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61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[Stroke_Data_sql.xlsx]Pivot!PivotTable10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Stroke</a:t>
            </a:r>
            <a:r>
              <a:rPr lang="en-IN" b="1" baseline="0"/>
              <a:t> risk by BMI Category</a:t>
            </a:r>
            <a:endParaRPr lang="en-IN" b="1"/>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Pivot!$J$28</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errBars>
            <c:errBarType val="both"/>
            <c:errValType val="percentage"/>
            <c:noEndCap val="0"/>
            <c:val val="5"/>
            <c:spPr>
              <a:noFill/>
              <a:ln w="9525" cap="flat" cmpd="sng" algn="ctr">
                <a:solidFill>
                  <a:schemeClr val="tx1">
                    <a:lumMod val="65000"/>
                    <a:lumOff val="35000"/>
                  </a:schemeClr>
                </a:solidFill>
                <a:round/>
              </a:ln>
              <a:effectLst/>
            </c:spPr>
          </c:errBars>
          <c:cat>
            <c:strRef>
              <c:f>Pivot!$I$29:$I$33</c:f>
              <c:strCache>
                <c:ptCount val="4"/>
                <c:pt idx="0">
                  <c:v>Normal</c:v>
                </c:pt>
                <c:pt idx="1">
                  <c:v>Obese</c:v>
                </c:pt>
                <c:pt idx="2">
                  <c:v>Overweight</c:v>
                </c:pt>
                <c:pt idx="3">
                  <c:v>Underweight</c:v>
                </c:pt>
              </c:strCache>
            </c:strRef>
          </c:cat>
          <c:val>
            <c:numRef>
              <c:f>Pivot!$J$29:$J$33</c:f>
              <c:numCache>
                <c:formatCode>0.0%</c:formatCode>
                <c:ptCount val="4"/>
                <c:pt idx="0">
                  <c:v>2.8157683024939661E-2</c:v>
                </c:pt>
                <c:pt idx="1">
                  <c:v>5.1041666666666666E-2</c:v>
                </c:pt>
                <c:pt idx="2">
                  <c:v>5.3229240596167494E-2</c:v>
                </c:pt>
                <c:pt idx="3">
                  <c:v>2.967359050445104E-3</c:v>
                </c:pt>
              </c:numCache>
            </c:numRef>
          </c:val>
          <c:extLst>
            <c:ext xmlns:c16="http://schemas.microsoft.com/office/drawing/2014/chart" uri="{C3380CC4-5D6E-409C-BE32-E72D297353CC}">
              <c16:uniqueId val="{00000000-F56F-4ACD-B9FE-CEC1F56882EB}"/>
            </c:ext>
          </c:extLst>
        </c:ser>
        <c:dLbls>
          <c:showLegendKey val="0"/>
          <c:showVal val="0"/>
          <c:showCatName val="0"/>
          <c:showSerName val="0"/>
          <c:showPercent val="0"/>
          <c:showBubbleSize val="0"/>
        </c:dLbls>
        <c:gapWidth val="182"/>
        <c:axId val="1998926591"/>
        <c:axId val="1998927551"/>
      </c:barChart>
      <c:catAx>
        <c:axId val="1998926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927551"/>
        <c:crosses val="autoZero"/>
        <c:auto val="1"/>
        <c:lblAlgn val="ctr"/>
        <c:lblOffset val="100"/>
        <c:noMultiLvlLbl val="0"/>
      </c:catAx>
      <c:valAx>
        <c:axId val="199892755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926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[Stroke_Data_sql.xlsx]Pivot!PivotTable3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Stroke</a:t>
            </a:r>
            <a:r>
              <a:rPr lang="en-IN" baseline="0"/>
              <a:t> risk by Smoking status</a:t>
            </a:r>
            <a:endParaRPr lang="en-IN"/>
          </a:p>
        </c:rich>
      </c:tx>
      <c:layout>
        <c:manualLayout>
          <c:xMode val="edge"/>
          <c:yMode val="edge"/>
          <c:x val="0.23985411198600176"/>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402537182852138"/>
          <c:y val="0.26791447944006996"/>
          <c:w val="0.64127537182852146"/>
          <c:h val="0.42707239720034995"/>
        </c:manualLayout>
      </c:layout>
      <c:bar3DChart>
        <c:barDir val="col"/>
        <c:grouping val="clustered"/>
        <c:varyColors val="0"/>
        <c:ser>
          <c:idx val="0"/>
          <c:order val="0"/>
          <c:tx>
            <c:strRef>
              <c:f>Pivot!$E$10</c:f>
              <c:strCache>
                <c:ptCount val="1"/>
                <c:pt idx="0">
                  <c:v>Total</c:v>
                </c:pt>
              </c:strCache>
            </c:strRef>
          </c:tx>
          <c:spPr>
            <a:solidFill>
              <a:schemeClr val="accent1"/>
            </a:solidFill>
            <a:ln>
              <a:noFill/>
            </a:ln>
            <a:effectLst/>
            <a:sp3d/>
          </c:spPr>
          <c:invertIfNegative val="0"/>
          <c:cat>
            <c:strRef>
              <c:f>Pivot!$D$11:$D$15</c:f>
              <c:strCache>
                <c:ptCount val="4"/>
                <c:pt idx="0">
                  <c:v>formerly smoked</c:v>
                </c:pt>
                <c:pt idx="1">
                  <c:v>never smoked</c:v>
                </c:pt>
                <c:pt idx="2">
                  <c:v>smokes</c:v>
                </c:pt>
                <c:pt idx="3">
                  <c:v>Unknown</c:v>
                </c:pt>
              </c:strCache>
            </c:strRef>
          </c:cat>
          <c:val>
            <c:numRef>
              <c:f>Pivot!$E$11:$E$15</c:f>
              <c:numCache>
                <c:formatCode>0.0%</c:formatCode>
                <c:ptCount val="4"/>
                <c:pt idx="0">
                  <c:v>7.909604519774012E-2</c:v>
                </c:pt>
                <c:pt idx="1">
                  <c:v>4.7568710359408031E-2</c:v>
                </c:pt>
                <c:pt idx="2">
                  <c:v>5.3231939163498096E-2</c:v>
                </c:pt>
                <c:pt idx="3">
                  <c:v>3.0440414507772021E-2</c:v>
                </c:pt>
              </c:numCache>
            </c:numRef>
          </c:val>
          <c:extLst>
            <c:ext xmlns:c16="http://schemas.microsoft.com/office/drawing/2014/chart" uri="{C3380CC4-5D6E-409C-BE32-E72D297353CC}">
              <c16:uniqueId val="{00000000-A06E-4645-BD4B-1E15BF12CBDA}"/>
            </c:ext>
          </c:extLst>
        </c:ser>
        <c:dLbls>
          <c:showLegendKey val="0"/>
          <c:showVal val="0"/>
          <c:showCatName val="0"/>
          <c:showSerName val="0"/>
          <c:showPercent val="0"/>
          <c:showBubbleSize val="0"/>
        </c:dLbls>
        <c:gapWidth val="150"/>
        <c:shape val="box"/>
        <c:axId val="1810030783"/>
        <c:axId val="1810032223"/>
        <c:axId val="0"/>
      </c:bar3DChart>
      <c:catAx>
        <c:axId val="18100307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032223"/>
        <c:crosses val="autoZero"/>
        <c:auto val="1"/>
        <c:lblAlgn val="ctr"/>
        <c:lblOffset val="100"/>
        <c:noMultiLvlLbl val="0"/>
      </c:catAx>
      <c:valAx>
        <c:axId val="1810032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 Strokes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030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[Stroke_Data_sql.xlsx]Pivot!PivotTable12</c:name>
    <c:fmtId val="7"/>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Stroke Risk by Gender</a:t>
            </a:r>
          </a:p>
        </c:rich>
      </c:tx>
      <c:layout>
        <c:manualLayout>
          <c:xMode val="edge"/>
          <c:yMode val="edge"/>
          <c:x val="0.27915896794489137"/>
          <c:y val="0.1000481920033137"/>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6881520225134314"/>
          <c:y val="0.27248117126482102"/>
          <c:w val="0.67447080170935314"/>
          <c:h val="0.5105345329557629"/>
        </c:manualLayout>
      </c:layout>
      <c:barChart>
        <c:barDir val="col"/>
        <c:grouping val="clustered"/>
        <c:varyColors val="0"/>
        <c:ser>
          <c:idx val="0"/>
          <c:order val="0"/>
          <c:tx>
            <c:strRef>
              <c:f>Pivot!$B$33</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Pivot!$A$34:$A$36</c:f>
              <c:strCache>
                <c:ptCount val="2"/>
                <c:pt idx="0">
                  <c:v>Female</c:v>
                </c:pt>
                <c:pt idx="1">
                  <c:v>Male</c:v>
                </c:pt>
              </c:strCache>
            </c:strRef>
          </c:cat>
          <c:val>
            <c:numRef>
              <c:f>Pivot!$B$34:$B$36</c:f>
              <c:numCache>
                <c:formatCode>0.0%</c:formatCode>
                <c:ptCount val="2"/>
                <c:pt idx="0">
                  <c:v>4.7094188376753505E-2</c:v>
                </c:pt>
                <c:pt idx="1">
                  <c:v>5.106382978723404E-2</c:v>
                </c:pt>
              </c:numCache>
            </c:numRef>
          </c:val>
          <c:extLst>
            <c:ext xmlns:c16="http://schemas.microsoft.com/office/drawing/2014/chart" uri="{C3380CC4-5D6E-409C-BE32-E72D297353CC}">
              <c16:uniqueId val="{00000000-EB55-4C15-B288-DB87F0FE3DC0}"/>
            </c:ext>
          </c:extLst>
        </c:ser>
        <c:dLbls>
          <c:showLegendKey val="0"/>
          <c:showVal val="0"/>
          <c:showCatName val="0"/>
          <c:showSerName val="0"/>
          <c:showPercent val="0"/>
          <c:showBubbleSize val="0"/>
        </c:dLbls>
        <c:gapWidth val="267"/>
        <c:overlap val="-43"/>
        <c:axId val="1893033231"/>
        <c:axId val="1893031311"/>
      </c:barChart>
      <c:catAx>
        <c:axId val="189303323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893031311"/>
        <c:crosses val="autoZero"/>
        <c:auto val="1"/>
        <c:lblAlgn val="ctr"/>
        <c:lblOffset val="100"/>
        <c:noMultiLvlLbl val="0"/>
      </c:catAx>
      <c:valAx>
        <c:axId val="1893031311"/>
        <c:scaling>
          <c:orientation val="minMax"/>
        </c:scaling>
        <c:delete val="0"/>
        <c:axPos val="l"/>
        <c:majorGridlines>
          <c:spPr>
            <a:ln w="9525" cap="flat" cmpd="sng" algn="ctr">
              <a:solidFill>
                <a:schemeClr val="dk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93033231"/>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297180</xdr:colOff>
      <xdr:row>5</xdr:row>
      <xdr:rowOff>30480</xdr:rowOff>
    </xdr:from>
    <xdr:to>
      <xdr:col>4</xdr:col>
      <xdr:colOff>15240</xdr:colOff>
      <xdr:row>8</xdr:row>
      <xdr:rowOff>91440</xdr:rowOff>
    </xdr:to>
    <xdr:sp macro="" textlink="XEH2">
      <xdr:nvSpPr>
        <xdr:cNvPr id="2" name="Rectangle 1">
          <a:extLst>
            <a:ext uri="{FF2B5EF4-FFF2-40B4-BE49-F238E27FC236}">
              <a16:creationId xmlns:a16="http://schemas.microsoft.com/office/drawing/2014/main" id="{EF233CCE-FB8C-3020-28F6-184C326439B3}"/>
            </a:ext>
          </a:extLst>
        </xdr:cNvPr>
        <xdr:cNvSpPr/>
      </xdr:nvSpPr>
      <xdr:spPr>
        <a:xfrm>
          <a:off x="906780" y="1447800"/>
          <a:ext cx="1546860" cy="6096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200" b="1" i="0" u="none" strike="noStrike">
              <a:solidFill>
                <a:srgbClr val="000000"/>
              </a:solidFill>
              <a:latin typeface="Aptos Narrow"/>
            </a:rPr>
            <a:t>Total Patients=</a:t>
          </a:r>
          <a:endParaRPr lang="en-US" sz="1200" b="1" i="1" u="none" strike="noStrike">
            <a:solidFill>
              <a:srgbClr val="000000"/>
            </a:solidFill>
            <a:latin typeface="Aptos Narrow"/>
          </a:endParaRPr>
        </a:p>
        <a:p>
          <a:pPr algn="l"/>
          <a:fld id="{8B72048A-FC5C-41C5-B42A-2C2EDC292F7E}" type="TxLink">
            <a:rPr lang="en-US" sz="2000" b="1" i="1" u="none" strike="noStrike">
              <a:solidFill>
                <a:srgbClr val="000000"/>
              </a:solidFill>
              <a:latin typeface="Aptos Narrow"/>
            </a:rPr>
            <a:pPr algn="l"/>
            <a:t>5110</a:t>
          </a:fld>
          <a:endParaRPr lang="en-IN" sz="2000" b="1" i="1"/>
        </a:p>
      </xdr:txBody>
    </xdr:sp>
    <xdr:clientData/>
  </xdr:twoCellAnchor>
  <xdr:twoCellAnchor>
    <xdr:from>
      <xdr:col>6</xdr:col>
      <xdr:colOff>220980</xdr:colOff>
      <xdr:row>5</xdr:row>
      <xdr:rowOff>0</xdr:rowOff>
    </xdr:from>
    <xdr:to>
      <xdr:col>8</xdr:col>
      <xdr:colOff>541020</xdr:colOff>
      <xdr:row>8</xdr:row>
      <xdr:rowOff>129540</xdr:rowOff>
    </xdr:to>
    <xdr:sp macro="" textlink="XEH3">
      <xdr:nvSpPr>
        <xdr:cNvPr id="3" name="Rectangle 2">
          <a:extLst>
            <a:ext uri="{FF2B5EF4-FFF2-40B4-BE49-F238E27FC236}">
              <a16:creationId xmlns:a16="http://schemas.microsoft.com/office/drawing/2014/main" id="{A244F2AA-2DF2-8A88-E724-5C37B02878D6}"/>
            </a:ext>
          </a:extLst>
        </xdr:cNvPr>
        <xdr:cNvSpPr/>
      </xdr:nvSpPr>
      <xdr:spPr>
        <a:xfrm>
          <a:off x="3878580" y="1417320"/>
          <a:ext cx="1539240" cy="6781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200" b="1" i="0" u="none" strike="noStrike">
              <a:solidFill>
                <a:srgbClr val="000000"/>
              </a:solidFill>
              <a:latin typeface="Aptos Narrow"/>
            </a:rPr>
            <a:t>Total stroke cases=</a:t>
          </a:r>
        </a:p>
        <a:p>
          <a:pPr algn="l"/>
          <a:fld id="{986887DC-C5D2-4A84-80D5-305E000C0CCB}" type="TxLink">
            <a:rPr lang="en-US" sz="2000" b="1" i="1" u="none" strike="noStrike">
              <a:solidFill>
                <a:srgbClr val="000000"/>
              </a:solidFill>
              <a:latin typeface="Aptos Narrow"/>
            </a:rPr>
            <a:pPr algn="l"/>
            <a:t>249</a:t>
          </a:fld>
          <a:endParaRPr lang="en-IN" sz="2000" b="1" i="1"/>
        </a:p>
      </xdr:txBody>
    </xdr:sp>
    <xdr:clientData/>
  </xdr:twoCellAnchor>
  <xdr:twoCellAnchor>
    <xdr:from>
      <xdr:col>12</xdr:col>
      <xdr:colOff>45720</xdr:colOff>
      <xdr:row>4</xdr:row>
      <xdr:rowOff>167640</xdr:rowOff>
    </xdr:from>
    <xdr:to>
      <xdr:col>13</xdr:col>
      <xdr:colOff>670560</xdr:colOff>
      <xdr:row>8</xdr:row>
      <xdr:rowOff>60960</xdr:rowOff>
    </xdr:to>
    <xdr:sp macro="" textlink="XEH4">
      <xdr:nvSpPr>
        <xdr:cNvPr id="4" name="Rectangle 3">
          <a:extLst>
            <a:ext uri="{FF2B5EF4-FFF2-40B4-BE49-F238E27FC236}">
              <a16:creationId xmlns:a16="http://schemas.microsoft.com/office/drawing/2014/main" id="{DCD15A73-3115-12A8-75C2-BC2C170CB05F}"/>
            </a:ext>
          </a:extLst>
        </xdr:cNvPr>
        <xdr:cNvSpPr/>
      </xdr:nvSpPr>
      <xdr:spPr>
        <a:xfrm>
          <a:off x="7360920" y="1402080"/>
          <a:ext cx="1234440" cy="6248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200" b="1" i="0" u="none" strike="noStrike">
              <a:solidFill>
                <a:srgbClr val="000000"/>
              </a:solidFill>
              <a:latin typeface="Aptos Narrow"/>
            </a:rPr>
            <a:t>Stroke rate=</a:t>
          </a:r>
        </a:p>
        <a:p>
          <a:pPr algn="l"/>
          <a:fld id="{6D8B39EF-FA4E-44B8-B2CA-AF29E317B1A5}" type="TxLink">
            <a:rPr lang="en-US" sz="2000" b="1" i="1" u="none" strike="noStrike">
              <a:solidFill>
                <a:srgbClr val="000000"/>
              </a:solidFill>
              <a:latin typeface="Aptos Narrow"/>
            </a:rPr>
            <a:pPr algn="l"/>
            <a:t>4.9%</a:t>
          </a:fld>
          <a:endParaRPr lang="en-IN" sz="2000" b="1" i="1"/>
        </a:p>
      </xdr:txBody>
    </xdr:sp>
    <xdr:clientData/>
  </xdr:twoCellAnchor>
  <xdr:twoCellAnchor>
    <xdr:from>
      <xdr:col>17</xdr:col>
      <xdr:colOff>83820</xdr:colOff>
      <xdr:row>5</xdr:row>
      <xdr:rowOff>0</xdr:rowOff>
    </xdr:from>
    <xdr:to>
      <xdr:col>19</xdr:col>
      <xdr:colOff>198120</xdr:colOff>
      <xdr:row>8</xdr:row>
      <xdr:rowOff>30480</xdr:rowOff>
    </xdr:to>
    <xdr:sp macro="" textlink="XEH5">
      <xdr:nvSpPr>
        <xdr:cNvPr id="5" name="Rectangle 4">
          <a:extLst>
            <a:ext uri="{FF2B5EF4-FFF2-40B4-BE49-F238E27FC236}">
              <a16:creationId xmlns:a16="http://schemas.microsoft.com/office/drawing/2014/main" id="{95C38997-9F28-418B-F235-7474EEE80F3A}"/>
            </a:ext>
          </a:extLst>
        </xdr:cNvPr>
        <xdr:cNvSpPr/>
      </xdr:nvSpPr>
      <xdr:spPr>
        <a:xfrm>
          <a:off x="10515600" y="1417320"/>
          <a:ext cx="1333500" cy="5791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200" b="1" i="0" u="none" strike="noStrike">
              <a:solidFill>
                <a:srgbClr val="000000"/>
              </a:solidFill>
              <a:latin typeface="Aptos Narrow"/>
            </a:rPr>
            <a:t>Average</a:t>
          </a:r>
          <a:r>
            <a:rPr lang="en-US" sz="1200" b="1" i="0" u="none" strike="noStrike" baseline="0">
              <a:solidFill>
                <a:srgbClr val="000000"/>
              </a:solidFill>
              <a:latin typeface="Aptos Narrow"/>
            </a:rPr>
            <a:t> Age= </a:t>
          </a:r>
          <a:fld id="{3F8C365B-D914-4D94-AC53-0C1FCC04E921}" type="TxLink">
            <a:rPr lang="en-US" sz="1800" b="1" i="1" u="none" strike="noStrike">
              <a:solidFill>
                <a:srgbClr val="000000"/>
              </a:solidFill>
              <a:latin typeface="Aptos Narrow"/>
            </a:rPr>
            <a:pPr algn="l"/>
            <a:t>43.2</a:t>
          </a:fld>
          <a:endParaRPr lang="en-IN" sz="1800" b="1" i="1"/>
        </a:p>
      </xdr:txBody>
    </xdr:sp>
    <xdr:clientData/>
  </xdr:twoCellAnchor>
  <xdr:twoCellAnchor>
    <xdr:from>
      <xdr:col>0</xdr:col>
      <xdr:colOff>510540</xdr:colOff>
      <xdr:row>24</xdr:row>
      <xdr:rowOff>0</xdr:rowOff>
    </xdr:from>
    <xdr:to>
      <xdr:col>9</xdr:col>
      <xdr:colOff>198120</xdr:colOff>
      <xdr:row>41</xdr:row>
      <xdr:rowOff>0</xdr:rowOff>
    </xdr:to>
    <xdr:graphicFrame macro="">
      <xdr:nvGraphicFramePr>
        <xdr:cNvPr id="6" name="Chart 5">
          <a:extLst>
            <a:ext uri="{FF2B5EF4-FFF2-40B4-BE49-F238E27FC236}">
              <a16:creationId xmlns:a16="http://schemas.microsoft.com/office/drawing/2014/main" id="{DC97EE91-B48F-49CA-996A-9DD7FD85A1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434340</xdr:colOff>
      <xdr:row>23</xdr:row>
      <xdr:rowOff>129540</xdr:rowOff>
    </xdr:from>
    <xdr:to>
      <xdr:col>21</xdr:col>
      <xdr:colOff>0</xdr:colOff>
      <xdr:row>40</xdr:row>
      <xdr:rowOff>121920</xdr:rowOff>
    </xdr:to>
    <xdr:graphicFrame macro="">
      <xdr:nvGraphicFramePr>
        <xdr:cNvPr id="8" name="Chart 7">
          <a:extLst>
            <a:ext uri="{FF2B5EF4-FFF2-40B4-BE49-F238E27FC236}">
              <a16:creationId xmlns:a16="http://schemas.microsoft.com/office/drawing/2014/main" id="{DA128E61-84B3-4700-BA41-D4475B05D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22860</xdr:colOff>
      <xdr:row>46</xdr:row>
      <xdr:rowOff>160020</xdr:rowOff>
    </xdr:from>
    <xdr:to>
      <xdr:col>9</xdr:col>
      <xdr:colOff>327659</xdr:colOff>
      <xdr:row>67</xdr:row>
      <xdr:rowOff>0</xdr:rowOff>
    </xdr:to>
    <xdr:graphicFrame macro="">
      <xdr:nvGraphicFramePr>
        <xdr:cNvPr id="13" name="Chart 12">
          <a:extLst>
            <a:ext uri="{FF2B5EF4-FFF2-40B4-BE49-F238E27FC236}">
              <a16:creationId xmlns:a16="http://schemas.microsoft.com/office/drawing/2014/main" id="{7DB55F61-A4F5-458C-94C5-BD2E279BE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xdr:colOff>
      <xdr:row>47</xdr:row>
      <xdr:rowOff>0</xdr:rowOff>
    </xdr:from>
    <xdr:to>
      <xdr:col>22</xdr:col>
      <xdr:colOff>0</xdr:colOff>
      <xdr:row>67</xdr:row>
      <xdr:rowOff>0</xdr:rowOff>
    </xdr:to>
    <xdr:graphicFrame macro="">
      <xdr:nvGraphicFramePr>
        <xdr:cNvPr id="14" name="Chart 13">
          <a:extLst>
            <a:ext uri="{FF2B5EF4-FFF2-40B4-BE49-F238E27FC236}">
              <a16:creationId xmlns:a16="http://schemas.microsoft.com/office/drawing/2014/main" id="{54CCD273-B3CA-4BDA-8ECE-267084826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70</xdr:row>
      <xdr:rowOff>152400</xdr:rowOff>
    </xdr:from>
    <xdr:to>
      <xdr:col>9</xdr:col>
      <xdr:colOff>434340</xdr:colOff>
      <xdr:row>86</xdr:row>
      <xdr:rowOff>60960</xdr:rowOff>
    </xdr:to>
    <xdr:graphicFrame macro="">
      <xdr:nvGraphicFramePr>
        <xdr:cNvPr id="16" name="Chart 15">
          <a:extLst>
            <a:ext uri="{FF2B5EF4-FFF2-40B4-BE49-F238E27FC236}">
              <a16:creationId xmlns:a16="http://schemas.microsoft.com/office/drawing/2014/main" id="{84521A43-D4C8-4E1B-8163-C40DD3D103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480060</xdr:colOff>
      <xdr:row>11</xdr:row>
      <xdr:rowOff>7620</xdr:rowOff>
    </xdr:from>
    <xdr:to>
      <xdr:col>3</xdr:col>
      <xdr:colOff>411480</xdr:colOff>
      <xdr:row>18</xdr:row>
      <xdr:rowOff>0</xdr:rowOff>
    </xdr:to>
    <mc:AlternateContent xmlns:mc="http://schemas.openxmlformats.org/markup-compatibility/2006" xmlns:a14="http://schemas.microsoft.com/office/drawing/2010/main">
      <mc:Choice Requires="a14">
        <xdr:graphicFrame macro="">
          <xdr:nvGraphicFramePr>
            <xdr:cNvPr id="18" name="Gender">
              <a:extLst>
                <a:ext uri="{FF2B5EF4-FFF2-40B4-BE49-F238E27FC236}">
                  <a16:creationId xmlns:a16="http://schemas.microsoft.com/office/drawing/2014/main" id="{6674F375-E07B-417B-AE6E-BA8641348D4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89660" y="2522220"/>
              <a:ext cx="115062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601980</xdr:colOff>
      <xdr:row>11</xdr:row>
      <xdr:rowOff>15241</xdr:rowOff>
    </xdr:from>
    <xdr:to>
      <xdr:col>11</xdr:col>
      <xdr:colOff>144780</xdr:colOff>
      <xdr:row>19</xdr:row>
      <xdr:rowOff>91440</xdr:rowOff>
    </xdr:to>
    <mc:AlternateContent xmlns:mc="http://schemas.openxmlformats.org/markup-compatibility/2006" xmlns:a14="http://schemas.microsoft.com/office/drawing/2010/main">
      <mc:Choice Requires="a14">
        <xdr:graphicFrame macro="">
          <xdr:nvGraphicFramePr>
            <xdr:cNvPr id="20" name="Smoking_status">
              <a:extLst>
                <a:ext uri="{FF2B5EF4-FFF2-40B4-BE49-F238E27FC236}">
                  <a16:creationId xmlns:a16="http://schemas.microsoft.com/office/drawing/2014/main" id="{574A1806-F61A-49FD-98BC-71A4F8743C31}"/>
                </a:ext>
              </a:extLst>
            </xdr:cNvPr>
            <xdr:cNvGraphicFramePr/>
          </xdr:nvGraphicFramePr>
          <xdr:xfrm>
            <a:off x="0" y="0"/>
            <a:ext cx="0" cy="0"/>
          </xdr:xfrm>
          <a:graphic>
            <a:graphicData uri="http://schemas.microsoft.com/office/drawing/2010/slicer">
              <sle:slicer xmlns:sle="http://schemas.microsoft.com/office/drawing/2010/slicer" name="Smoking_status"/>
            </a:graphicData>
          </a:graphic>
        </xdr:graphicFrame>
      </mc:Choice>
      <mc:Fallback xmlns="">
        <xdr:sp macro="" textlink="">
          <xdr:nvSpPr>
            <xdr:cNvPr id="0" name=""/>
            <xdr:cNvSpPr>
              <a:spLocks noTextEdit="1"/>
            </xdr:cNvSpPr>
          </xdr:nvSpPr>
          <xdr:spPr>
            <a:xfrm>
              <a:off x="5478780" y="2529841"/>
              <a:ext cx="1371600" cy="1539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281940</xdr:colOff>
      <xdr:row>11</xdr:row>
      <xdr:rowOff>15240</xdr:rowOff>
    </xdr:from>
    <xdr:to>
      <xdr:col>19</xdr:col>
      <xdr:colOff>259080</xdr:colOff>
      <xdr:row>18</xdr:row>
      <xdr:rowOff>83819</xdr:rowOff>
    </xdr:to>
    <mc:AlternateContent xmlns:mc="http://schemas.openxmlformats.org/markup-compatibility/2006" xmlns:a14="http://schemas.microsoft.com/office/drawing/2010/main">
      <mc:Choice Requires="a14">
        <xdr:graphicFrame macro="">
          <xdr:nvGraphicFramePr>
            <xdr:cNvPr id="21" name="Age_group">
              <a:extLst>
                <a:ext uri="{FF2B5EF4-FFF2-40B4-BE49-F238E27FC236}">
                  <a16:creationId xmlns:a16="http://schemas.microsoft.com/office/drawing/2014/main" id="{12490B73-4954-4F23-8060-6A68F9D9EBE2}"/>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0713720" y="2529840"/>
              <a:ext cx="1196340" cy="1348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13</xdr:col>
      <xdr:colOff>0</xdr:colOff>
      <xdr:row>71</xdr:row>
      <xdr:rowOff>0</xdr:rowOff>
    </xdr:from>
    <xdr:ext cx="4945380" cy="2743201"/>
    <xdr:sp macro="" textlink="">
      <xdr:nvSpPr>
        <xdr:cNvPr id="22" name="TextBox 21">
          <a:extLst>
            <a:ext uri="{FF2B5EF4-FFF2-40B4-BE49-F238E27FC236}">
              <a16:creationId xmlns:a16="http://schemas.microsoft.com/office/drawing/2014/main" id="{62F6EEB4-6C07-47A1-41DF-A1D217DD43D8}"/>
            </a:ext>
          </a:extLst>
        </xdr:cNvPr>
        <xdr:cNvSpPr txBox="1"/>
      </xdr:nvSpPr>
      <xdr:spPr>
        <a:xfrm>
          <a:off x="7924800" y="13487400"/>
          <a:ext cx="4945380" cy="2743201"/>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noAutofit/>
        </a:bodyPr>
        <a:lstStyle/>
        <a:p>
          <a:r>
            <a:rPr lang="en-IN" sz="1400" b="1" i="1">
              <a:latin typeface="+mn-lt"/>
            </a:rPr>
            <a:t>- Age is the strongest risk indicator</a:t>
          </a:r>
          <a:br>
            <a:rPr lang="en-IN" sz="1400" i="1">
              <a:latin typeface="+mn-lt"/>
            </a:rPr>
          </a:br>
          <a:r>
            <a:rPr lang="en-IN" sz="1400" i="1">
              <a:latin typeface="+mn-lt"/>
            </a:rPr>
            <a:t>Stroke risk increases substantially with age. Patients aged </a:t>
          </a:r>
          <a:r>
            <a:rPr lang="en-IN" sz="1400" b="1" i="1">
              <a:latin typeface="+mn-lt"/>
            </a:rPr>
            <a:t>60+ demonstrate the highest stroke probability</a:t>
          </a:r>
          <a:r>
            <a:rPr lang="en-IN" sz="1400" i="1">
              <a:latin typeface="+mn-lt"/>
            </a:rPr>
            <a:t>, confirming age as one of the most significant predictors of stroke occurrence.</a:t>
          </a:r>
        </a:p>
        <a:p>
          <a:endParaRPr lang="en-IN" sz="1400" i="1">
            <a:latin typeface="+mn-lt"/>
          </a:endParaRPr>
        </a:p>
        <a:p>
          <a:r>
            <a:rPr lang="en-IN" sz="1400" b="1" i="1">
              <a:latin typeface="+mn-lt"/>
            </a:rPr>
            <a:t> - Smoking history is associated with higher stroke risk</a:t>
          </a:r>
          <a:br>
            <a:rPr lang="en-IN" sz="1400" i="1">
              <a:latin typeface="+mn-lt"/>
            </a:rPr>
          </a:br>
          <a:r>
            <a:rPr lang="en-IN" sz="1400" i="1">
              <a:latin typeface="+mn-lt"/>
            </a:rPr>
            <a:t>The analysis shows that </a:t>
          </a:r>
          <a:r>
            <a:rPr lang="en-IN" sz="1400" b="1" i="1">
              <a:latin typeface="+mn-lt"/>
            </a:rPr>
            <a:t>former smokers have the highest stroke probability (~8%)</a:t>
          </a:r>
          <a:r>
            <a:rPr lang="en-IN" sz="1400" i="1">
              <a:latin typeface="+mn-lt"/>
            </a:rPr>
            <a:t>, followed by current smokers (~5%). This pattern suggests the </a:t>
          </a:r>
          <a:r>
            <a:rPr lang="en-IN" sz="1400" b="1" i="1">
              <a:latin typeface="+mn-lt"/>
            </a:rPr>
            <a:t>long-term vascular effects of smoking may persist even after cessation</a:t>
          </a:r>
          <a:r>
            <a:rPr lang="en-IN" sz="1400" i="1">
              <a:latin typeface="+mn-lt"/>
            </a:rPr>
            <a:t>.</a:t>
          </a:r>
        </a:p>
        <a:p>
          <a:r>
            <a:rPr lang="en-IN" b="1"/>
            <a:t> </a:t>
          </a:r>
          <a:endParaRPr lang="en-IN" sz="1100"/>
        </a:p>
      </xdr:txBody>
    </xdr:sp>
    <xdr:clientData/>
  </xdr:oneCellAnchor>
  <xdr:twoCellAnchor>
    <xdr:from>
      <xdr:col>1</xdr:col>
      <xdr:colOff>0</xdr:colOff>
      <xdr:row>89</xdr:row>
      <xdr:rowOff>0</xdr:rowOff>
    </xdr:from>
    <xdr:to>
      <xdr:col>10</xdr:col>
      <xdr:colOff>0</xdr:colOff>
      <xdr:row>103</xdr:row>
      <xdr:rowOff>0</xdr:rowOff>
    </xdr:to>
    <xdr:sp macro="" textlink="">
      <xdr:nvSpPr>
        <xdr:cNvPr id="23" name="TextBox 22">
          <a:extLst>
            <a:ext uri="{FF2B5EF4-FFF2-40B4-BE49-F238E27FC236}">
              <a16:creationId xmlns:a16="http://schemas.microsoft.com/office/drawing/2014/main" id="{EF930770-EBF7-87D9-10AE-6509CD7406F8}"/>
            </a:ext>
          </a:extLst>
        </xdr:cNvPr>
        <xdr:cNvSpPr txBox="1"/>
      </xdr:nvSpPr>
      <xdr:spPr>
        <a:xfrm>
          <a:off x="609600" y="16779240"/>
          <a:ext cx="5486400" cy="256032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IN" sz="1400" b="1" i="1">
              <a:solidFill>
                <a:schemeClr val="dk1"/>
              </a:solidFill>
              <a:effectLst/>
              <a:latin typeface="+mn-lt"/>
              <a:ea typeface="+mn-ea"/>
              <a:cs typeface="+mn-cs"/>
            </a:rPr>
            <a:t>- Elevated BMI categories show higher stroke probability</a:t>
          </a:r>
          <a:br>
            <a:rPr lang="en-IN" sz="1400" i="1">
              <a:solidFill>
                <a:schemeClr val="dk1"/>
              </a:solidFill>
              <a:effectLst/>
              <a:latin typeface="+mn-lt"/>
              <a:ea typeface="+mn-ea"/>
              <a:cs typeface="+mn-cs"/>
            </a:rPr>
          </a:br>
          <a:r>
            <a:rPr lang="en-IN" sz="1400" i="1">
              <a:solidFill>
                <a:schemeClr val="dk1"/>
              </a:solidFill>
              <a:effectLst/>
              <a:latin typeface="+mn-lt"/>
              <a:ea typeface="+mn-ea"/>
              <a:cs typeface="+mn-cs"/>
            </a:rPr>
            <a:t>Patients classified as </a:t>
          </a:r>
          <a:r>
            <a:rPr lang="en-IN" sz="1400" b="1" i="1">
              <a:solidFill>
                <a:schemeClr val="dk1"/>
              </a:solidFill>
              <a:effectLst/>
              <a:latin typeface="+mn-lt"/>
              <a:ea typeface="+mn-ea"/>
              <a:cs typeface="+mn-cs"/>
            </a:rPr>
            <a:t>overweight and obese display higher stroke risk compared with individuals in the normal BMI range</a:t>
          </a:r>
          <a:r>
            <a:rPr lang="en-IN" sz="1400" i="1">
              <a:solidFill>
                <a:schemeClr val="dk1"/>
              </a:solidFill>
              <a:effectLst/>
              <a:latin typeface="+mn-lt"/>
              <a:ea typeface="+mn-ea"/>
              <a:cs typeface="+mn-cs"/>
            </a:rPr>
            <a:t>, indicating body weight as a potential contributing risk factor.</a:t>
          </a:r>
        </a:p>
        <a:p>
          <a:endParaRPr lang="en-IN" sz="1400" i="1">
            <a:effectLst/>
          </a:endParaRPr>
        </a:p>
        <a:p>
          <a:r>
            <a:rPr lang="en-IN" sz="1400" b="1" i="1">
              <a:solidFill>
                <a:schemeClr val="dk1"/>
              </a:solidFill>
              <a:effectLst/>
              <a:latin typeface="+mn-lt"/>
              <a:ea typeface="+mn-ea"/>
              <a:cs typeface="+mn-cs"/>
            </a:rPr>
            <a:t>- Overall stroke prevalence in the dataset is relatively low but meaningful</a:t>
          </a:r>
          <a:br>
            <a:rPr lang="en-IN" sz="1400" i="1">
              <a:solidFill>
                <a:schemeClr val="dk1"/>
              </a:solidFill>
              <a:effectLst/>
              <a:latin typeface="+mn-lt"/>
              <a:ea typeface="+mn-ea"/>
              <a:cs typeface="+mn-cs"/>
            </a:rPr>
          </a:br>
          <a:r>
            <a:rPr lang="en-IN" sz="1400" i="1">
              <a:solidFill>
                <a:schemeClr val="dk1"/>
              </a:solidFill>
              <a:effectLst/>
              <a:latin typeface="+mn-lt"/>
              <a:ea typeface="+mn-ea"/>
              <a:cs typeface="+mn-cs"/>
            </a:rPr>
            <a:t>Out of </a:t>
          </a:r>
          <a:r>
            <a:rPr lang="en-IN" sz="1400" b="1" i="1">
              <a:solidFill>
                <a:schemeClr val="dk1"/>
              </a:solidFill>
              <a:effectLst/>
              <a:latin typeface="+mn-lt"/>
              <a:ea typeface="+mn-ea"/>
              <a:cs typeface="+mn-cs"/>
            </a:rPr>
            <a:t>5,110 patient records</a:t>
          </a:r>
          <a:r>
            <a:rPr lang="en-IN" sz="1400" i="1">
              <a:solidFill>
                <a:schemeClr val="dk1"/>
              </a:solidFill>
              <a:effectLst/>
              <a:latin typeface="+mn-lt"/>
              <a:ea typeface="+mn-ea"/>
              <a:cs typeface="+mn-cs"/>
            </a:rPr>
            <a:t>, </a:t>
          </a:r>
          <a:r>
            <a:rPr lang="en-IN" sz="1400" b="1" i="1">
              <a:solidFill>
                <a:schemeClr val="dk1"/>
              </a:solidFill>
              <a:effectLst/>
              <a:latin typeface="+mn-lt"/>
              <a:ea typeface="+mn-ea"/>
              <a:cs typeface="+mn-cs"/>
            </a:rPr>
            <a:t>249 stroke cases were observed</a:t>
          </a:r>
          <a:r>
            <a:rPr lang="en-IN" sz="1400" i="1">
              <a:solidFill>
                <a:schemeClr val="dk1"/>
              </a:solidFill>
              <a:effectLst/>
              <a:latin typeface="+mn-lt"/>
              <a:ea typeface="+mn-ea"/>
              <a:cs typeface="+mn-cs"/>
            </a:rPr>
            <a:t>, corresponding to an overall </a:t>
          </a:r>
          <a:r>
            <a:rPr lang="en-IN" sz="1400" b="1" i="1">
              <a:solidFill>
                <a:schemeClr val="dk1"/>
              </a:solidFill>
              <a:effectLst/>
              <a:latin typeface="+mn-lt"/>
              <a:ea typeface="+mn-ea"/>
              <a:cs typeface="+mn-cs"/>
            </a:rPr>
            <a:t>stroke rate of approximately 4.9%</a:t>
          </a:r>
          <a:r>
            <a:rPr lang="en-IN" sz="1400" i="1">
              <a:solidFill>
                <a:schemeClr val="dk1"/>
              </a:solidFill>
              <a:effectLst/>
              <a:latin typeface="+mn-lt"/>
              <a:ea typeface="+mn-ea"/>
              <a:cs typeface="+mn-cs"/>
            </a:rPr>
            <a:t> in the population.</a:t>
          </a:r>
          <a:endParaRPr lang="en-IN" sz="1400" i="1">
            <a:effectLst/>
          </a:endParaRPr>
        </a:p>
        <a:p>
          <a:endParaRPr lang="en-IN" sz="1100"/>
        </a:p>
      </xdr:txBody>
    </xdr:sp>
    <xdr:clientData/>
  </xdr:twoCellAnchor>
  <xdr:twoCellAnchor>
    <xdr:from>
      <xdr:col>13</xdr:col>
      <xdr:colOff>0</xdr:colOff>
      <xdr:row>89</xdr:row>
      <xdr:rowOff>0</xdr:rowOff>
    </xdr:from>
    <xdr:to>
      <xdr:col>21</xdr:col>
      <xdr:colOff>0</xdr:colOff>
      <xdr:row>103</xdr:row>
      <xdr:rowOff>0</xdr:rowOff>
    </xdr:to>
    <xdr:sp macro="" textlink="">
      <xdr:nvSpPr>
        <xdr:cNvPr id="24" name="TextBox 23">
          <a:extLst>
            <a:ext uri="{FF2B5EF4-FFF2-40B4-BE49-F238E27FC236}">
              <a16:creationId xmlns:a16="http://schemas.microsoft.com/office/drawing/2014/main" id="{C4F30C02-1C09-7421-6B9C-237B65C732FC}"/>
            </a:ext>
          </a:extLst>
        </xdr:cNvPr>
        <xdr:cNvSpPr txBox="1"/>
      </xdr:nvSpPr>
      <xdr:spPr>
        <a:xfrm>
          <a:off x="7924800" y="16779240"/>
          <a:ext cx="4945380" cy="256032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IN" sz="1400" b="1" i="1">
              <a:solidFill>
                <a:schemeClr val="dk1"/>
              </a:solidFill>
              <a:effectLst/>
              <a:latin typeface="+mn-lt"/>
              <a:ea typeface="+mn-ea"/>
              <a:cs typeface="+mn-cs"/>
            </a:rPr>
            <a:t>- Gender differences in stroke risk are minimal</a:t>
          </a:r>
          <a:br>
            <a:rPr lang="en-IN" sz="1400" i="1">
              <a:solidFill>
                <a:schemeClr val="dk1"/>
              </a:solidFill>
              <a:effectLst/>
              <a:latin typeface="+mn-lt"/>
              <a:ea typeface="+mn-ea"/>
              <a:cs typeface="+mn-cs"/>
            </a:rPr>
          </a:br>
          <a:r>
            <a:rPr lang="en-IN" sz="1400" i="1">
              <a:solidFill>
                <a:schemeClr val="dk1"/>
              </a:solidFill>
              <a:effectLst/>
              <a:latin typeface="+mn-lt"/>
              <a:ea typeface="+mn-ea"/>
              <a:cs typeface="+mn-cs"/>
            </a:rPr>
            <a:t>Stroke probability is </a:t>
          </a:r>
          <a:r>
            <a:rPr lang="en-IN" sz="1400" b="1" i="1">
              <a:solidFill>
                <a:schemeClr val="dk1"/>
              </a:solidFill>
              <a:effectLst/>
              <a:latin typeface="+mn-lt"/>
              <a:ea typeface="+mn-ea"/>
              <a:cs typeface="+mn-cs"/>
            </a:rPr>
            <a:t>similar between male (~5.1%) and female (~4.7%) patients</a:t>
          </a:r>
          <a:r>
            <a:rPr lang="en-IN" sz="1400" i="1">
              <a:solidFill>
                <a:schemeClr val="dk1"/>
              </a:solidFill>
              <a:effectLst/>
              <a:latin typeface="+mn-lt"/>
              <a:ea typeface="+mn-ea"/>
              <a:cs typeface="+mn-cs"/>
            </a:rPr>
            <a:t>, suggesting that </a:t>
          </a:r>
          <a:r>
            <a:rPr lang="en-IN" sz="1400" b="1" i="1">
              <a:solidFill>
                <a:schemeClr val="dk1"/>
              </a:solidFill>
              <a:effectLst/>
              <a:latin typeface="+mn-lt"/>
              <a:ea typeface="+mn-ea"/>
              <a:cs typeface="+mn-cs"/>
            </a:rPr>
            <a:t>gender alone does not appear to be a dominant determinant of stroke risk within this dataset</a:t>
          </a:r>
          <a:r>
            <a:rPr lang="en-IN" sz="1400" i="1">
              <a:solidFill>
                <a:schemeClr val="dk1"/>
              </a:solidFill>
              <a:effectLst/>
              <a:latin typeface="+mn-lt"/>
              <a:ea typeface="+mn-ea"/>
              <a:cs typeface="+mn-cs"/>
            </a:rPr>
            <a:t>.</a:t>
          </a:r>
        </a:p>
        <a:p>
          <a:endParaRPr lang="en-IN" sz="1400" i="1">
            <a:effectLst/>
          </a:endParaRPr>
        </a:p>
        <a:p>
          <a:r>
            <a:rPr lang="en-IN" sz="1600" b="1" i="1">
              <a:solidFill>
                <a:schemeClr val="tx2">
                  <a:lumMod val="75000"/>
                  <a:lumOff val="25000"/>
                </a:schemeClr>
              </a:solidFill>
              <a:effectLst/>
              <a:latin typeface="+mn-lt"/>
              <a:ea typeface="+mn-ea"/>
              <a:cs typeface="+mn-cs"/>
            </a:rPr>
            <a:t>Conclusion:</a:t>
          </a:r>
          <a:r>
            <a:rPr lang="en-IN" sz="1600" i="1">
              <a:solidFill>
                <a:schemeClr val="tx2">
                  <a:lumMod val="75000"/>
                  <a:lumOff val="25000"/>
                </a:schemeClr>
              </a:solidFill>
              <a:effectLst/>
              <a:latin typeface="+mn-lt"/>
              <a:ea typeface="+mn-ea"/>
              <a:cs typeface="+mn-cs"/>
            </a:rPr>
            <a:t>The exploratory analysis suggests that </a:t>
          </a:r>
          <a:r>
            <a:rPr lang="en-IN" sz="1600" b="1" i="1">
              <a:solidFill>
                <a:schemeClr val="tx2">
                  <a:lumMod val="75000"/>
                  <a:lumOff val="25000"/>
                </a:schemeClr>
              </a:solidFill>
              <a:effectLst/>
              <a:latin typeface="+mn-lt"/>
              <a:ea typeface="+mn-ea"/>
              <a:cs typeface="+mn-cs"/>
            </a:rPr>
            <a:t>age, smoking history, and BMI are key contributors to stroke risk</a:t>
          </a:r>
          <a:r>
            <a:rPr lang="en-IN" sz="1600" i="1">
              <a:solidFill>
                <a:schemeClr val="tx2">
                  <a:lumMod val="75000"/>
                  <a:lumOff val="25000"/>
                </a:schemeClr>
              </a:solidFill>
              <a:effectLst/>
              <a:latin typeface="+mn-lt"/>
              <a:ea typeface="+mn-ea"/>
              <a:cs typeface="+mn-cs"/>
            </a:rPr>
            <a:t>, while gender appears to have limited influence in this dataset.</a:t>
          </a:r>
          <a:endParaRPr lang="en-IN" sz="1600" i="1">
            <a:solidFill>
              <a:schemeClr val="tx2">
                <a:lumMod val="75000"/>
                <a:lumOff val="25000"/>
              </a:schemeClr>
            </a:solidFill>
            <a:effectLst/>
          </a:endParaRP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sha ." refreshedDate="46056.943256828701" createdVersion="8" refreshedVersion="8" minRefreshableVersion="3" recordCount="5110" xr:uid="{2AD51D8C-69EA-4BE1-AEB7-8FA2607C1172}">
  <cacheSource type="worksheet">
    <worksheetSource name="strokedata"/>
  </cacheSource>
  <cacheFields count="15">
    <cacheField name="Id" numFmtId="0">
      <sharedItems containsSemiMixedTypes="0" containsString="0" containsNumber="1" containsInteger="1" minValue="67" maxValue="72940"/>
    </cacheField>
    <cacheField name="Gender" numFmtId="0">
      <sharedItems count="3">
        <s v="Male"/>
        <s v="Female"/>
        <s v="Other"/>
      </sharedItems>
    </cacheField>
    <cacheField name="Age" numFmtId="0">
      <sharedItems containsSemiMixedTypes="0" containsString="0" containsNumber="1" minValue="0.08" maxValue="82"/>
    </cacheField>
    <cacheField name="Hypertension" numFmtId="0">
      <sharedItems containsSemiMixedTypes="0" containsString="0" containsNumber="1" containsInteger="1" minValue="0" maxValue="1"/>
    </cacheField>
    <cacheField name="Heart_disease" numFmtId="0">
      <sharedItems containsSemiMixedTypes="0" containsString="0" containsNumber="1" containsInteger="1" minValue="0" maxValue="1"/>
    </cacheField>
    <cacheField name="Risk_factor" numFmtId="0">
      <sharedItems count="3">
        <s v="High Risk"/>
        <s v="Moderate Risk"/>
        <s v="Lower Risk"/>
      </sharedItems>
    </cacheField>
    <cacheField name="Ever_married" numFmtId="0">
      <sharedItems count="2">
        <s v="Yes"/>
        <s v="No"/>
      </sharedItems>
    </cacheField>
    <cacheField name="work_type" numFmtId="0">
      <sharedItems count="5">
        <s v="Private"/>
        <s v="Self-employed"/>
        <s v="Govt_job"/>
        <s v="children"/>
        <s v="Never_worked"/>
      </sharedItems>
    </cacheField>
    <cacheField name="Residence_type" numFmtId="0">
      <sharedItems count="2">
        <s v="Urban"/>
        <s v="Rural"/>
      </sharedItems>
    </cacheField>
    <cacheField name="Avg_glucose_level" numFmtId="0">
      <sharedItems containsSemiMixedTypes="0" containsString="0" containsNumber="1" minValue="55.12" maxValue="271.74"/>
    </cacheField>
    <cacheField name="BMI" numFmtId="0">
      <sharedItems containsMixedTypes="1" containsNumber="1" minValue="10.3" maxValue="97.6"/>
    </cacheField>
    <cacheField name="Smoking_status" numFmtId="0">
      <sharedItems count="4">
        <s v="formerly smoked"/>
        <s v="never smoked"/>
        <s v="smokes"/>
        <s v="Unknown"/>
      </sharedItems>
    </cacheField>
    <cacheField name="Stroke" numFmtId="0">
      <sharedItems containsSemiMixedTypes="0" containsString="0" containsNumber="1" containsInteger="1" minValue="0" maxValue="1"/>
    </cacheField>
    <cacheField name="Age_group" numFmtId="0">
      <sharedItems count="3">
        <s v="60+"/>
        <s v="40–59"/>
        <s v="Under 40"/>
      </sharedItems>
    </cacheField>
    <cacheField name="BMI_Category" numFmtId="0">
      <sharedItems count="5">
        <s v="Obese"/>
        <s v="Unknown"/>
        <s v="Normal"/>
        <s v="Overweight"/>
        <s v="Underweight"/>
      </sharedItems>
    </cacheField>
  </cacheFields>
  <extLst>
    <ext xmlns:x14="http://schemas.microsoft.com/office/spreadsheetml/2009/9/main" uri="{725AE2AE-9491-48be-B2B4-4EB974FC3084}">
      <x14:pivotCacheDefinition pivotCacheId="32151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10">
  <r>
    <n v="9046"/>
    <x v="0"/>
    <n v="67"/>
    <n v="0"/>
    <n v="1"/>
    <x v="0"/>
    <x v="0"/>
    <x v="0"/>
    <x v="0"/>
    <n v="228.69"/>
    <n v="36.6"/>
    <x v="0"/>
    <n v="1"/>
    <x v="0"/>
    <x v="0"/>
  </r>
  <r>
    <n v="51676"/>
    <x v="1"/>
    <n v="61"/>
    <n v="0"/>
    <n v="0"/>
    <x v="1"/>
    <x v="0"/>
    <x v="1"/>
    <x v="1"/>
    <n v="202.21"/>
    <s v="N/A"/>
    <x v="1"/>
    <n v="1"/>
    <x v="0"/>
    <x v="1"/>
  </r>
  <r>
    <n v="31112"/>
    <x v="0"/>
    <n v="80"/>
    <n v="0"/>
    <n v="1"/>
    <x v="0"/>
    <x v="0"/>
    <x v="0"/>
    <x v="1"/>
    <n v="105.92"/>
    <n v="32.5"/>
    <x v="1"/>
    <n v="1"/>
    <x v="0"/>
    <x v="0"/>
  </r>
  <r>
    <n v="60182"/>
    <x v="1"/>
    <n v="49"/>
    <n v="0"/>
    <n v="0"/>
    <x v="2"/>
    <x v="0"/>
    <x v="0"/>
    <x v="0"/>
    <n v="171.23"/>
    <n v="34.4"/>
    <x v="2"/>
    <n v="1"/>
    <x v="1"/>
    <x v="0"/>
  </r>
  <r>
    <n v="1665"/>
    <x v="1"/>
    <n v="79"/>
    <n v="1"/>
    <n v="0"/>
    <x v="0"/>
    <x v="0"/>
    <x v="1"/>
    <x v="1"/>
    <n v="174.12"/>
    <n v="24"/>
    <x v="1"/>
    <n v="1"/>
    <x v="0"/>
    <x v="2"/>
  </r>
  <r>
    <n v="56669"/>
    <x v="0"/>
    <n v="81"/>
    <n v="0"/>
    <n v="0"/>
    <x v="1"/>
    <x v="0"/>
    <x v="0"/>
    <x v="0"/>
    <n v="186.21"/>
    <n v="29"/>
    <x v="0"/>
    <n v="1"/>
    <x v="0"/>
    <x v="3"/>
  </r>
  <r>
    <n v="53882"/>
    <x v="0"/>
    <n v="74"/>
    <n v="1"/>
    <n v="1"/>
    <x v="0"/>
    <x v="0"/>
    <x v="0"/>
    <x v="1"/>
    <n v="70.09"/>
    <n v="27.4"/>
    <x v="1"/>
    <n v="1"/>
    <x v="0"/>
    <x v="3"/>
  </r>
  <r>
    <n v="10434"/>
    <x v="1"/>
    <n v="69"/>
    <n v="0"/>
    <n v="0"/>
    <x v="1"/>
    <x v="1"/>
    <x v="0"/>
    <x v="0"/>
    <n v="94.39"/>
    <n v="22.8"/>
    <x v="1"/>
    <n v="1"/>
    <x v="0"/>
    <x v="2"/>
  </r>
  <r>
    <n v="27419"/>
    <x v="1"/>
    <n v="59"/>
    <n v="0"/>
    <n v="0"/>
    <x v="2"/>
    <x v="0"/>
    <x v="0"/>
    <x v="1"/>
    <n v="76.150000000000006"/>
    <s v="N/A"/>
    <x v="3"/>
    <n v="1"/>
    <x v="1"/>
    <x v="1"/>
  </r>
  <r>
    <n v="60491"/>
    <x v="1"/>
    <n v="78"/>
    <n v="0"/>
    <n v="0"/>
    <x v="1"/>
    <x v="0"/>
    <x v="0"/>
    <x v="0"/>
    <n v="58.57"/>
    <n v="24.2"/>
    <x v="3"/>
    <n v="1"/>
    <x v="0"/>
    <x v="2"/>
  </r>
  <r>
    <n v="12109"/>
    <x v="1"/>
    <n v="81"/>
    <n v="1"/>
    <n v="0"/>
    <x v="0"/>
    <x v="0"/>
    <x v="0"/>
    <x v="1"/>
    <n v="80.430000000000007"/>
    <n v="29.7"/>
    <x v="1"/>
    <n v="1"/>
    <x v="0"/>
    <x v="3"/>
  </r>
  <r>
    <n v="12095"/>
    <x v="1"/>
    <n v="61"/>
    <n v="0"/>
    <n v="1"/>
    <x v="0"/>
    <x v="0"/>
    <x v="2"/>
    <x v="1"/>
    <n v="120.46"/>
    <n v="36.799999999999997"/>
    <x v="2"/>
    <n v="1"/>
    <x v="0"/>
    <x v="0"/>
  </r>
  <r>
    <n v="12175"/>
    <x v="1"/>
    <n v="54"/>
    <n v="0"/>
    <n v="0"/>
    <x v="2"/>
    <x v="0"/>
    <x v="0"/>
    <x v="0"/>
    <n v="104.51"/>
    <n v="27.3"/>
    <x v="2"/>
    <n v="1"/>
    <x v="1"/>
    <x v="3"/>
  </r>
  <r>
    <n v="8213"/>
    <x v="0"/>
    <n v="78"/>
    <n v="0"/>
    <n v="1"/>
    <x v="0"/>
    <x v="0"/>
    <x v="0"/>
    <x v="0"/>
    <n v="219.84"/>
    <s v="N/A"/>
    <x v="3"/>
    <n v="1"/>
    <x v="0"/>
    <x v="1"/>
  </r>
  <r>
    <n v="5317"/>
    <x v="1"/>
    <n v="79"/>
    <n v="0"/>
    <n v="1"/>
    <x v="0"/>
    <x v="0"/>
    <x v="0"/>
    <x v="0"/>
    <n v="214.09"/>
    <n v="28.2"/>
    <x v="1"/>
    <n v="1"/>
    <x v="0"/>
    <x v="3"/>
  </r>
  <r>
    <n v="58202"/>
    <x v="1"/>
    <n v="50"/>
    <n v="1"/>
    <n v="0"/>
    <x v="2"/>
    <x v="0"/>
    <x v="1"/>
    <x v="1"/>
    <n v="167.41"/>
    <n v="30.9"/>
    <x v="1"/>
    <n v="1"/>
    <x v="1"/>
    <x v="0"/>
  </r>
  <r>
    <n v="56112"/>
    <x v="0"/>
    <n v="64"/>
    <n v="0"/>
    <n v="1"/>
    <x v="0"/>
    <x v="0"/>
    <x v="0"/>
    <x v="0"/>
    <n v="191.61"/>
    <n v="37.5"/>
    <x v="2"/>
    <n v="1"/>
    <x v="0"/>
    <x v="0"/>
  </r>
  <r>
    <n v="34120"/>
    <x v="0"/>
    <n v="75"/>
    <n v="1"/>
    <n v="0"/>
    <x v="0"/>
    <x v="0"/>
    <x v="0"/>
    <x v="0"/>
    <n v="221.29"/>
    <n v="25.8"/>
    <x v="2"/>
    <n v="1"/>
    <x v="0"/>
    <x v="3"/>
  </r>
  <r>
    <n v="27458"/>
    <x v="1"/>
    <n v="60"/>
    <n v="0"/>
    <n v="0"/>
    <x v="1"/>
    <x v="1"/>
    <x v="0"/>
    <x v="0"/>
    <n v="89.22"/>
    <n v="37.799999999999997"/>
    <x v="1"/>
    <n v="1"/>
    <x v="0"/>
    <x v="0"/>
  </r>
  <r>
    <n v="25226"/>
    <x v="0"/>
    <n v="57"/>
    <n v="0"/>
    <n v="1"/>
    <x v="2"/>
    <x v="1"/>
    <x v="2"/>
    <x v="0"/>
    <n v="217.08"/>
    <s v="N/A"/>
    <x v="3"/>
    <n v="1"/>
    <x v="1"/>
    <x v="1"/>
  </r>
  <r>
    <n v="70630"/>
    <x v="1"/>
    <n v="71"/>
    <n v="0"/>
    <n v="0"/>
    <x v="1"/>
    <x v="0"/>
    <x v="2"/>
    <x v="1"/>
    <n v="193.94"/>
    <n v="22.4"/>
    <x v="2"/>
    <n v="1"/>
    <x v="0"/>
    <x v="2"/>
  </r>
  <r>
    <n v="13861"/>
    <x v="1"/>
    <n v="52"/>
    <n v="1"/>
    <n v="0"/>
    <x v="2"/>
    <x v="0"/>
    <x v="1"/>
    <x v="0"/>
    <n v="233.29"/>
    <n v="48.9"/>
    <x v="1"/>
    <n v="1"/>
    <x v="1"/>
    <x v="0"/>
  </r>
  <r>
    <n v="68794"/>
    <x v="1"/>
    <n v="79"/>
    <n v="0"/>
    <n v="0"/>
    <x v="1"/>
    <x v="0"/>
    <x v="1"/>
    <x v="0"/>
    <n v="228.7"/>
    <n v="26.6"/>
    <x v="1"/>
    <n v="1"/>
    <x v="0"/>
    <x v="3"/>
  </r>
  <r>
    <n v="64778"/>
    <x v="0"/>
    <n v="82"/>
    <n v="0"/>
    <n v="1"/>
    <x v="0"/>
    <x v="0"/>
    <x v="0"/>
    <x v="1"/>
    <n v="208.3"/>
    <n v="32.5"/>
    <x v="3"/>
    <n v="1"/>
    <x v="0"/>
    <x v="0"/>
  </r>
  <r>
    <n v="4219"/>
    <x v="0"/>
    <n v="71"/>
    <n v="0"/>
    <n v="0"/>
    <x v="1"/>
    <x v="0"/>
    <x v="0"/>
    <x v="0"/>
    <n v="102.87"/>
    <n v="27.2"/>
    <x v="0"/>
    <n v="1"/>
    <x v="0"/>
    <x v="3"/>
  </r>
  <r>
    <n v="70822"/>
    <x v="0"/>
    <n v="80"/>
    <n v="0"/>
    <n v="0"/>
    <x v="1"/>
    <x v="0"/>
    <x v="1"/>
    <x v="1"/>
    <n v="104.12"/>
    <n v="23.5"/>
    <x v="1"/>
    <n v="1"/>
    <x v="0"/>
    <x v="2"/>
  </r>
  <r>
    <n v="38047"/>
    <x v="1"/>
    <n v="65"/>
    <n v="0"/>
    <n v="0"/>
    <x v="1"/>
    <x v="0"/>
    <x v="0"/>
    <x v="1"/>
    <n v="100.98"/>
    <n v="28.2"/>
    <x v="0"/>
    <n v="1"/>
    <x v="0"/>
    <x v="3"/>
  </r>
  <r>
    <n v="61843"/>
    <x v="0"/>
    <n v="58"/>
    <n v="0"/>
    <n v="0"/>
    <x v="2"/>
    <x v="0"/>
    <x v="0"/>
    <x v="1"/>
    <n v="189.84"/>
    <s v="N/A"/>
    <x v="3"/>
    <n v="1"/>
    <x v="1"/>
    <x v="1"/>
  </r>
  <r>
    <n v="54827"/>
    <x v="0"/>
    <n v="69"/>
    <n v="0"/>
    <n v="1"/>
    <x v="0"/>
    <x v="0"/>
    <x v="1"/>
    <x v="0"/>
    <n v="195.23"/>
    <n v="28.3"/>
    <x v="2"/>
    <n v="1"/>
    <x v="0"/>
    <x v="3"/>
  </r>
  <r>
    <n v="69160"/>
    <x v="0"/>
    <n v="59"/>
    <n v="0"/>
    <n v="0"/>
    <x v="2"/>
    <x v="0"/>
    <x v="0"/>
    <x v="1"/>
    <n v="211.78"/>
    <s v="N/A"/>
    <x v="0"/>
    <n v="1"/>
    <x v="1"/>
    <x v="1"/>
  </r>
  <r>
    <n v="43717"/>
    <x v="0"/>
    <n v="57"/>
    <n v="1"/>
    <n v="0"/>
    <x v="2"/>
    <x v="0"/>
    <x v="0"/>
    <x v="0"/>
    <n v="212.08"/>
    <n v="44.2"/>
    <x v="2"/>
    <n v="1"/>
    <x v="1"/>
    <x v="0"/>
  </r>
  <r>
    <n v="33879"/>
    <x v="0"/>
    <n v="42"/>
    <n v="0"/>
    <n v="0"/>
    <x v="2"/>
    <x v="0"/>
    <x v="0"/>
    <x v="1"/>
    <n v="83.41"/>
    <n v="25.4"/>
    <x v="3"/>
    <n v="1"/>
    <x v="1"/>
    <x v="3"/>
  </r>
  <r>
    <n v="39373"/>
    <x v="1"/>
    <n v="82"/>
    <n v="1"/>
    <n v="0"/>
    <x v="0"/>
    <x v="0"/>
    <x v="1"/>
    <x v="0"/>
    <n v="196.92"/>
    <n v="22.2"/>
    <x v="1"/>
    <n v="1"/>
    <x v="0"/>
    <x v="2"/>
  </r>
  <r>
    <n v="54401"/>
    <x v="0"/>
    <n v="80"/>
    <n v="0"/>
    <n v="1"/>
    <x v="0"/>
    <x v="0"/>
    <x v="1"/>
    <x v="0"/>
    <n v="252.72"/>
    <n v="30.5"/>
    <x v="0"/>
    <n v="1"/>
    <x v="0"/>
    <x v="0"/>
  </r>
  <r>
    <n v="14248"/>
    <x v="0"/>
    <n v="48"/>
    <n v="0"/>
    <n v="0"/>
    <x v="2"/>
    <x v="1"/>
    <x v="2"/>
    <x v="0"/>
    <n v="84.2"/>
    <n v="29.7"/>
    <x v="1"/>
    <n v="1"/>
    <x v="1"/>
    <x v="3"/>
  </r>
  <r>
    <n v="712"/>
    <x v="1"/>
    <n v="82"/>
    <n v="1"/>
    <n v="1"/>
    <x v="0"/>
    <x v="1"/>
    <x v="0"/>
    <x v="1"/>
    <n v="84.03"/>
    <n v="26.5"/>
    <x v="0"/>
    <n v="1"/>
    <x v="0"/>
    <x v="3"/>
  </r>
  <r>
    <n v="47269"/>
    <x v="0"/>
    <n v="74"/>
    <n v="0"/>
    <n v="0"/>
    <x v="1"/>
    <x v="0"/>
    <x v="0"/>
    <x v="1"/>
    <n v="219.72"/>
    <n v="33.700000000000003"/>
    <x v="0"/>
    <n v="1"/>
    <x v="0"/>
    <x v="0"/>
  </r>
  <r>
    <n v="24977"/>
    <x v="1"/>
    <n v="72"/>
    <n v="1"/>
    <n v="0"/>
    <x v="0"/>
    <x v="0"/>
    <x v="0"/>
    <x v="1"/>
    <n v="74.63"/>
    <n v="23.1"/>
    <x v="0"/>
    <n v="1"/>
    <x v="0"/>
    <x v="2"/>
  </r>
  <r>
    <n v="47306"/>
    <x v="0"/>
    <n v="58"/>
    <n v="0"/>
    <n v="0"/>
    <x v="2"/>
    <x v="1"/>
    <x v="0"/>
    <x v="1"/>
    <n v="92.62"/>
    <n v="32"/>
    <x v="3"/>
    <n v="1"/>
    <x v="1"/>
    <x v="0"/>
  </r>
  <r>
    <n v="62602"/>
    <x v="1"/>
    <n v="49"/>
    <n v="0"/>
    <n v="0"/>
    <x v="2"/>
    <x v="0"/>
    <x v="0"/>
    <x v="0"/>
    <n v="60.91"/>
    <n v="29.9"/>
    <x v="1"/>
    <n v="1"/>
    <x v="1"/>
    <x v="3"/>
  </r>
  <r>
    <n v="4651"/>
    <x v="0"/>
    <n v="78"/>
    <n v="0"/>
    <n v="0"/>
    <x v="1"/>
    <x v="0"/>
    <x v="0"/>
    <x v="1"/>
    <n v="78.03"/>
    <n v="23.9"/>
    <x v="0"/>
    <n v="1"/>
    <x v="0"/>
    <x v="2"/>
  </r>
  <r>
    <n v="1261"/>
    <x v="0"/>
    <n v="54"/>
    <n v="0"/>
    <n v="0"/>
    <x v="2"/>
    <x v="0"/>
    <x v="0"/>
    <x v="0"/>
    <n v="71.22"/>
    <n v="28.5"/>
    <x v="1"/>
    <n v="1"/>
    <x v="1"/>
    <x v="3"/>
  </r>
  <r>
    <n v="61960"/>
    <x v="0"/>
    <n v="82"/>
    <n v="0"/>
    <n v="1"/>
    <x v="0"/>
    <x v="0"/>
    <x v="0"/>
    <x v="0"/>
    <n v="144.9"/>
    <n v="26.4"/>
    <x v="2"/>
    <n v="1"/>
    <x v="0"/>
    <x v="3"/>
  </r>
  <r>
    <n v="1845"/>
    <x v="1"/>
    <n v="63"/>
    <n v="0"/>
    <n v="0"/>
    <x v="1"/>
    <x v="0"/>
    <x v="0"/>
    <x v="0"/>
    <n v="90.9"/>
    <s v="N/A"/>
    <x v="0"/>
    <n v="1"/>
    <x v="0"/>
    <x v="1"/>
  </r>
  <r>
    <n v="7937"/>
    <x v="0"/>
    <n v="60"/>
    <n v="1"/>
    <n v="0"/>
    <x v="0"/>
    <x v="0"/>
    <x v="2"/>
    <x v="0"/>
    <n v="213.03"/>
    <n v="20.2"/>
    <x v="2"/>
    <n v="1"/>
    <x v="0"/>
    <x v="2"/>
  </r>
  <r>
    <n v="19824"/>
    <x v="0"/>
    <n v="76"/>
    <n v="1"/>
    <n v="0"/>
    <x v="0"/>
    <x v="0"/>
    <x v="0"/>
    <x v="1"/>
    <n v="243.58"/>
    <n v="33.6"/>
    <x v="1"/>
    <n v="1"/>
    <x v="0"/>
    <x v="0"/>
  </r>
  <r>
    <n v="37937"/>
    <x v="1"/>
    <n v="75"/>
    <n v="0"/>
    <n v="1"/>
    <x v="0"/>
    <x v="1"/>
    <x v="1"/>
    <x v="0"/>
    <n v="109.78"/>
    <s v="N/A"/>
    <x v="3"/>
    <n v="1"/>
    <x v="0"/>
    <x v="1"/>
  </r>
  <r>
    <n v="47472"/>
    <x v="1"/>
    <n v="58"/>
    <n v="0"/>
    <n v="0"/>
    <x v="2"/>
    <x v="0"/>
    <x v="0"/>
    <x v="0"/>
    <n v="107.26"/>
    <n v="38.6"/>
    <x v="0"/>
    <n v="1"/>
    <x v="1"/>
    <x v="0"/>
  </r>
  <r>
    <n v="35626"/>
    <x v="0"/>
    <n v="81"/>
    <n v="0"/>
    <n v="0"/>
    <x v="1"/>
    <x v="0"/>
    <x v="1"/>
    <x v="0"/>
    <n v="99.33"/>
    <n v="33.700000000000003"/>
    <x v="1"/>
    <n v="1"/>
    <x v="0"/>
    <x v="0"/>
  </r>
  <r>
    <n v="36338"/>
    <x v="1"/>
    <n v="39"/>
    <n v="1"/>
    <n v="0"/>
    <x v="2"/>
    <x v="0"/>
    <x v="0"/>
    <x v="1"/>
    <n v="58.09"/>
    <n v="39.200000000000003"/>
    <x v="2"/>
    <n v="1"/>
    <x v="2"/>
    <x v="0"/>
  </r>
  <r>
    <n v="18587"/>
    <x v="1"/>
    <n v="76"/>
    <n v="0"/>
    <n v="0"/>
    <x v="1"/>
    <x v="1"/>
    <x v="0"/>
    <x v="0"/>
    <n v="89.96"/>
    <s v="N/A"/>
    <x v="3"/>
    <n v="1"/>
    <x v="0"/>
    <x v="1"/>
  </r>
  <r>
    <n v="15102"/>
    <x v="0"/>
    <n v="78"/>
    <n v="1"/>
    <n v="0"/>
    <x v="0"/>
    <x v="0"/>
    <x v="0"/>
    <x v="0"/>
    <n v="75.319999999999993"/>
    <s v="N/A"/>
    <x v="0"/>
    <n v="1"/>
    <x v="0"/>
    <x v="1"/>
  </r>
  <r>
    <n v="59190"/>
    <x v="1"/>
    <n v="79"/>
    <n v="0"/>
    <n v="1"/>
    <x v="0"/>
    <x v="0"/>
    <x v="0"/>
    <x v="1"/>
    <n v="127.29"/>
    <n v="27.7"/>
    <x v="1"/>
    <n v="1"/>
    <x v="0"/>
    <x v="3"/>
  </r>
  <r>
    <n v="47167"/>
    <x v="1"/>
    <n v="77"/>
    <n v="1"/>
    <n v="0"/>
    <x v="0"/>
    <x v="0"/>
    <x v="1"/>
    <x v="0"/>
    <n v="124.13"/>
    <n v="31.4"/>
    <x v="1"/>
    <n v="1"/>
    <x v="0"/>
    <x v="0"/>
  </r>
  <r>
    <n v="8752"/>
    <x v="1"/>
    <n v="63"/>
    <n v="0"/>
    <n v="0"/>
    <x v="1"/>
    <x v="0"/>
    <x v="2"/>
    <x v="0"/>
    <n v="197.54"/>
    <s v="N/A"/>
    <x v="1"/>
    <n v="1"/>
    <x v="0"/>
    <x v="1"/>
  </r>
  <r>
    <n v="25831"/>
    <x v="0"/>
    <n v="63"/>
    <n v="0"/>
    <n v="1"/>
    <x v="0"/>
    <x v="0"/>
    <x v="0"/>
    <x v="1"/>
    <n v="196.71"/>
    <n v="36.5"/>
    <x v="0"/>
    <n v="1"/>
    <x v="0"/>
    <x v="0"/>
  </r>
  <r>
    <n v="38829"/>
    <x v="1"/>
    <n v="82"/>
    <n v="0"/>
    <n v="0"/>
    <x v="1"/>
    <x v="0"/>
    <x v="0"/>
    <x v="1"/>
    <n v="59.32"/>
    <n v="33.200000000000003"/>
    <x v="1"/>
    <n v="1"/>
    <x v="0"/>
    <x v="0"/>
  </r>
  <r>
    <n v="66400"/>
    <x v="0"/>
    <n v="78"/>
    <n v="0"/>
    <n v="0"/>
    <x v="1"/>
    <x v="0"/>
    <x v="0"/>
    <x v="0"/>
    <n v="237.75"/>
    <s v="N/A"/>
    <x v="0"/>
    <n v="1"/>
    <x v="0"/>
    <x v="1"/>
  </r>
  <r>
    <n v="58631"/>
    <x v="0"/>
    <n v="73"/>
    <n v="1"/>
    <n v="0"/>
    <x v="0"/>
    <x v="0"/>
    <x v="1"/>
    <x v="0"/>
    <n v="194.99"/>
    <n v="32.799999999999997"/>
    <x v="1"/>
    <n v="1"/>
    <x v="0"/>
    <x v="0"/>
  </r>
  <r>
    <n v="5111"/>
    <x v="1"/>
    <n v="54"/>
    <n v="1"/>
    <n v="0"/>
    <x v="2"/>
    <x v="0"/>
    <x v="2"/>
    <x v="0"/>
    <n v="180.93"/>
    <n v="27.7"/>
    <x v="1"/>
    <n v="1"/>
    <x v="1"/>
    <x v="3"/>
  </r>
  <r>
    <n v="10710"/>
    <x v="1"/>
    <n v="56"/>
    <n v="0"/>
    <n v="0"/>
    <x v="2"/>
    <x v="0"/>
    <x v="0"/>
    <x v="0"/>
    <n v="185.17"/>
    <n v="40.4"/>
    <x v="0"/>
    <n v="1"/>
    <x v="1"/>
    <x v="0"/>
  </r>
  <r>
    <n v="55927"/>
    <x v="1"/>
    <n v="80"/>
    <n v="1"/>
    <n v="0"/>
    <x v="0"/>
    <x v="0"/>
    <x v="0"/>
    <x v="1"/>
    <n v="74.900000000000006"/>
    <n v="22.2"/>
    <x v="1"/>
    <n v="1"/>
    <x v="0"/>
    <x v="2"/>
  </r>
  <r>
    <n v="65842"/>
    <x v="1"/>
    <n v="67"/>
    <n v="1"/>
    <n v="0"/>
    <x v="0"/>
    <x v="0"/>
    <x v="1"/>
    <x v="1"/>
    <n v="61.94"/>
    <n v="25.3"/>
    <x v="2"/>
    <n v="1"/>
    <x v="0"/>
    <x v="3"/>
  </r>
  <r>
    <n v="19557"/>
    <x v="1"/>
    <n v="45"/>
    <n v="0"/>
    <n v="0"/>
    <x v="2"/>
    <x v="0"/>
    <x v="0"/>
    <x v="1"/>
    <n v="93.72"/>
    <n v="30.2"/>
    <x v="0"/>
    <n v="1"/>
    <x v="1"/>
    <x v="0"/>
  </r>
  <r>
    <n v="7356"/>
    <x v="0"/>
    <n v="75"/>
    <n v="0"/>
    <n v="0"/>
    <x v="1"/>
    <x v="0"/>
    <x v="0"/>
    <x v="0"/>
    <n v="104.72"/>
    <s v="N/A"/>
    <x v="3"/>
    <n v="1"/>
    <x v="0"/>
    <x v="1"/>
  </r>
  <r>
    <n v="17013"/>
    <x v="0"/>
    <n v="78"/>
    <n v="1"/>
    <n v="0"/>
    <x v="0"/>
    <x v="1"/>
    <x v="0"/>
    <x v="0"/>
    <n v="113.01"/>
    <n v="24"/>
    <x v="1"/>
    <n v="1"/>
    <x v="0"/>
    <x v="2"/>
  </r>
  <r>
    <n v="17004"/>
    <x v="1"/>
    <n v="70"/>
    <n v="0"/>
    <n v="0"/>
    <x v="1"/>
    <x v="0"/>
    <x v="0"/>
    <x v="0"/>
    <n v="221.58"/>
    <n v="47.5"/>
    <x v="1"/>
    <n v="1"/>
    <x v="0"/>
    <x v="0"/>
  </r>
  <r>
    <n v="72366"/>
    <x v="0"/>
    <n v="76"/>
    <n v="0"/>
    <n v="0"/>
    <x v="1"/>
    <x v="0"/>
    <x v="0"/>
    <x v="0"/>
    <n v="104.47"/>
    <n v="20.3"/>
    <x v="3"/>
    <n v="1"/>
    <x v="0"/>
    <x v="2"/>
  </r>
  <r>
    <n v="6118"/>
    <x v="0"/>
    <n v="59"/>
    <n v="0"/>
    <n v="0"/>
    <x v="2"/>
    <x v="0"/>
    <x v="0"/>
    <x v="0"/>
    <n v="86.23"/>
    <n v="30"/>
    <x v="0"/>
    <n v="1"/>
    <x v="1"/>
    <x v="0"/>
  </r>
  <r>
    <n v="7371"/>
    <x v="1"/>
    <n v="80"/>
    <n v="1"/>
    <n v="0"/>
    <x v="0"/>
    <x v="0"/>
    <x v="1"/>
    <x v="1"/>
    <n v="72.67"/>
    <n v="28.9"/>
    <x v="1"/>
    <n v="1"/>
    <x v="0"/>
    <x v="3"/>
  </r>
  <r>
    <n v="70676"/>
    <x v="1"/>
    <n v="76"/>
    <n v="0"/>
    <n v="0"/>
    <x v="1"/>
    <x v="0"/>
    <x v="2"/>
    <x v="1"/>
    <n v="62.57"/>
    <s v="N/A"/>
    <x v="0"/>
    <n v="1"/>
    <x v="0"/>
    <x v="1"/>
  </r>
  <r>
    <n v="2326"/>
    <x v="1"/>
    <n v="67"/>
    <n v="1"/>
    <n v="0"/>
    <x v="0"/>
    <x v="0"/>
    <x v="0"/>
    <x v="1"/>
    <n v="179.12"/>
    <n v="28.1"/>
    <x v="0"/>
    <n v="1"/>
    <x v="0"/>
    <x v="3"/>
  </r>
  <r>
    <n v="27169"/>
    <x v="1"/>
    <n v="66"/>
    <n v="1"/>
    <n v="0"/>
    <x v="0"/>
    <x v="0"/>
    <x v="2"/>
    <x v="1"/>
    <n v="116.55"/>
    <n v="31.1"/>
    <x v="0"/>
    <n v="1"/>
    <x v="0"/>
    <x v="0"/>
  </r>
  <r>
    <n v="50784"/>
    <x v="0"/>
    <n v="63"/>
    <n v="0"/>
    <n v="0"/>
    <x v="1"/>
    <x v="0"/>
    <x v="0"/>
    <x v="1"/>
    <n v="228.56"/>
    <n v="27.4"/>
    <x v="1"/>
    <n v="1"/>
    <x v="0"/>
    <x v="3"/>
  </r>
  <r>
    <n v="19773"/>
    <x v="1"/>
    <n v="52"/>
    <n v="0"/>
    <n v="0"/>
    <x v="2"/>
    <x v="0"/>
    <x v="0"/>
    <x v="1"/>
    <n v="96.59"/>
    <n v="26.4"/>
    <x v="1"/>
    <n v="1"/>
    <x v="1"/>
    <x v="3"/>
  </r>
  <r>
    <n v="66159"/>
    <x v="1"/>
    <n v="80"/>
    <n v="0"/>
    <n v="1"/>
    <x v="0"/>
    <x v="0"/>
    <x v="1"/>
    <x v="1"/>
    <n v="66.72"/>
    <n v="21.7"/>
    <x v="0"/>
    <n v="1"/>
    <x v="0"/>
    <x v="2"/>
  </r>
  <r>
    <n v="36236"/>
    <x v="0"/>
    <n v="80"/>
    <n v="1"/>
    <n v="0"/>
    <x v="0"/>
    <x v="0"/>
    <x v="0"/>
    <x v="0"/>
    <n v="240.09"/>
    <n v="27"/>
    <x v="1"/>
    <n v="1"/>
    <x v="0"/>
    <x v="3"/>
  </r>
  <r>
    <n v="71673"/>
    <x v="1"/>
    <n v="79"/>
    <n v="0"/>
    <n v="0"/>
    <x v="1"/>
    <x v="0"/>
    <x v="0"/>
    <x v="0"/>
    <n v="110.85"/>
    <n v="24.1"/>
    <x v="0"/>
    <n v="1"/>
    <x v="0"/>
    <x v="2"/>
  </r>
  <r>
    <n v="45805"/>
    <x v="1"/>
    <n v="51"/>
    <n v="0"/>
    <n v="0"/>
    <x v="2"/>
    <x v="0"/>
    <x v="0"/>
    <x v="0"/>
    <n v="165.31"/>
    <s v="N/A"/>
    <x v="1"/>
    <n v="1"/>
    <x v="1"/>
    <x v="1"/>
  </r>
  <r>
    <n v="42117"/>
    <x v="0"/>
    <n v="43"/>
    <n v="0"/>
    <n v="0"/>
    <x v="2"/>
    <x v="0"/>
    <x v="1"/>
    <x v="0"/>
    <n v="143.43"/>
    <n v="45.9"/>
    <x v="3"/>
    <n v="1"/>
    <x v="1"/>
    <x v="0"/>
  </r>
  <r>
    <n v="57419"/>
    <x v="0"/>
    <n v="59"/>
    <n v="0"/>
    <n v="0"/>
    <x v="2"/>
    <x v="0"/>
    <x v="0"/>
    <x v="1"/>
    <n v="96.16"/>
    <n v="44.1"/>
    <x v="3"/>
    <n v="1"/>
    <x v="1"/>
    <x v="0"/>
  </r>
  <r>
    <n v="26015"/>
    <x v="1"/>
    <n v="66"/>
    <n v="0"/>
    <n v="0"/>
    <x v="1"/>
    <x v="0"/>
    <x v="1"/>
    <x v="0"/>
    <n v="101.45"/>
    <s v="N/A"/>
    <x v="3"/>
    <n v="1"/>
    <x v="0"/>
    <x v="1"/>
  </r>
  <r>
    <n v="26727"/>
    <x v="1"/>
    <n v="79"/>
    <n v="0"/>
    <n v="0"/>
    <x v="1"/>
    <x v="1"/>
    <x v="0"/>
    <x v="1"/>
    <n v="88.92"/>
    <n v="22.9"/>
    <x v="1"/>
    <n v="1"/>
    <x v="0"/>
    <x v="2"/>
  </r>
  <r>
    <n v="66638"/>
    <x v="1"/>
    <n v="68"/>
    <n v="1"/>
    <n v="0"/>
    <x v="0"/>
    <x v="1"/>
    <x v="1"/>
    <x v="0"/>
    <n v="79.790000000000006"/>
    <n v="29.7"/>
    <x v="1"/>
    <n v="1"/>
    <x v="0"/>
    <x v="3"/>
  </r>
  <r>
    <n v="70042"/>
    <x v="0"/>
    <n v="58"/>
    <n v="0"/>
    <n v="0"/>
    <x v="2"/>
    <x v="0"/>
    <x v="0"/>
    <x v="0"/>
    <n v="71.2"/>
    <s v="N/A"/>
    <x v="3"/>
    <n v="1"/>
    <x v="1"/>
    <x v="1"/>
  </r>
  <r>
    <n v="32399"/>
    <x v="0"/>
    <n v="54"/>
    <n v="0"/>
    <n v="0"/>
    <x v="2"/>
    <x v="0"/>
    <x v="0"/>
    <x v="1"/>
    <n v="96.97"/>
    <n v="29.1"/>
    <x v="2"/>
    <n v="1"/>
    <x v="1"/>
    <x v="3"/>
  </r>
  <r>
    <n v="3253"/>
    <x v="0"/>
    <n v="61"/>
    <n v="0"/>
    <n v="1"/>
    <x v="0"/>
    <x v="0"/>
    <x v="0"/>
    <x v="1"/>
    <n v="111.81"/>
    <n v="27.3"/>
    <x v="2"/>
    <n v="1"/>
    <x v="0"/>
    <x v="3"/>
  </r>
  <r>
    <n v="71796"/>
    <x v="1"/>
    <n v="70"/>
    <n v="0"/>
    <n v="1"/>
    <x v="0"/>
    <x v="0"/>
    <x v="0"/>
    <x v="1"/>
    <n v="59.35"/>
    <n v="32.299999999999997"/>
    <x v="0"/>
    <n v="1"/>
    <x v="0"/>
    <x v="0"/>
  </r>
  <r>
    <n v="14499"/>
    <x v="0"/>
    <n v="47"/>
    <n v="0"/>
    <n v="0"/>
    <x v="2"/>
    <x v="0"/>
    <x v="0"/>
    <x v="0"/>
    <n v="86.94"/>
    <n v="41.1"/>
    <x v="0"/>
    <n v="1"/>
    <x v="1"/>
    <x v="0"/>
  </r>
  <r>
    <n v="49130"/>
    <x v="0"/>
    <n v="74"/>
    <n v="0"/>
    <n v="0"/>
    <x v="1"/>
    <x v="0"/>
    <x v="0"/>
    <x v="0"/>
    <n v="98.55"/>
    <n v="25.6"/>
    <x v="3"/>
    <n v="1"/>
    <x v="0"/>
    <x v="3"/>
  </r>
  <r>
    <n v="28291"/>
    <x v="1"/>
    <n v="79"/>
    <n v="0"/>
    <n v="1"/>
    <x v="0"/>
    <x v="0"/>
    <x v="0"/>
    <x v="0"/>
    <n v="226.98"/>
    <n v="29.8"/>
    <x v="1"/>
    <n v="1"/>
    <x v="0"/>
    <x v="3"/>
  </r>
  <r>
    <n v="51169"/>
    <x v="0"/>
    <n v="81"/>
    <n v="0"/>
    <n v="0"/>
    <x v="1"/>
    <x v="0"/>
    <x v="0"/>
    <x v="0"/>
    <n v="72.81"/>
    <n v="26.3"/>
    <x v="1"/>
    <n v="1"/>
    <x v="0"/>
    <x v="3"/>
  </r>
  <r>
    <n v="66315"/>
    <x v="1"/>
    <n v="57"/>
    <n v="0"/>
    <n v="0"/>
    <x v="2"/>
    <x v="1"/>
    <x v="1"/>
    <x v="0"/>
    <n v="68.02"/>
    <n v="37.5"/>
    <x v="1"/>
    <n v="1"/>
    <x v="1"/>
    <x v="0"/>
  </r>
  <r>
    <n v="37726"/>
    <x v="1"/>
    <n v="80"/>
    <n v="1"/>
    <n v="0"/>
    <x v="0"/>
    <x v="0"/>
    <x v="1"/>
    <x v="0"/>
    <n v="68.56"/>
    <n v="26.2"/>
    <x v="3"/>
    <n v="1"/>
    <x v="0"/>
    <x v="3"/>
  </r>
  <r>
    <n v="54385"/>
    <x v="0"/>
    <n v="45"/>
    <n v="0"/>
    <n v="0"/>
    <x v="2"/>
    <x v="0"/>
    <x v="0"/>
    <x v="1"/>
    <n v="64.14"/>
    <n v="29.4"/>
    <x v="1"/>
    <n v="1"/>
    <x v="1"/>
    <x v="3"/>
  </r>
  <r>
    <n v="2458"/>
    <x v="1"/>
    <n v="78"/>
    <n v="0"/>
    <n v="0"/>
    <x v="1"/>
    <x v="0"/>
    <x v="0"/>
    <x v="1"/>
    <n v="235.63"/>
    <n v="32.299999999999997"/>
    <x v="1"/>
    <n v="1"/>
    <x v="0"/>
    <x v="0"/>
  </r>
  <r>
    <n v="35512"/>
    <x v="1"/>
    <n v="70"/>
    <n v="0"/>
    <n v="0"/>
    <x v="1"/>
    <x v="0"/>
    <x v="1"/>
    <x v="1"/>
    <n v="76.34"/>
    <n v="24.4"/>
    <x v="0"/>
    <n v="1"/>
    <x v="0"/>
    <x v="2"/>
  </r>
  <r>
    <n v="56841"/>
    <x v="0"/>
    <n v="58"/>
    <n v="0"/>
    <n v="1"/>
    <x v="2"/>
    <x v="0"/>
    <x v="0"/>
    <x v="1"/>
    <n v="240.59"/>
    <n v="31.4"/>
    <x v="2"/>
    <n v="1"/>
    <x v="1"/>
    <x v="0"/>
  </r>
  <r>
    <n v="8154"/>
    <x v="0"/>
    <n v="57"/>
    <n v="1"/>
    <n v="0"/>
    <x v="2"/>
    <x v="0"/>
    <x v="2"/>
    <x v="0"/>
    <n v="78.92"/>
    <n v="27.7"/>
    <x v="0"/>
    <n v="1"/>
    <x v="1"/>
    <x v="3"/>
  </r>
  <r>
    <n v="4639"/>
    <x v="1"/>
    <n v="69"/>
    <n v="0"/>
    <n v="0"/>
    <x v="1"/>
    <x v="0"/>
    <x v="2"/>
    <x v="0"/>
    <n v="82.81"/>
    <n v="28"/>
    <x v="1"/>
    <n v="1"/>
    <x v="0"/>
    <x v="3"/>
  </r>
  <r>
    <n v="12363"/>
    <x v="0"/>
    <n v="64"/>
    <n v="0"/>
    <n v="1"/>
    <x v="0"/>
    <x v="0"/>
    <x v="2"/>
    <x v="0"/>
    <n v="74.099999999999994"/>
    <n v="28.8"/>
    <x v="3"/>
    <n v="1"/>
    <x v="0"/>
    <x v="3"/>
  </r>
  <r>
    <n v="63973"/>
    <x v="1"/>
    <n v="77"/>
    <n v="0"/>
    <n v="0"/>
    <x v="1"/>
    <x v="0"/>
    <x v="2"/>
    <x v="1"/>
    <n v="190.32"/>
    <n v="31.4"/>
    <x v="1"/>
    <n v="1"/>
    <x v="0"/>
    <x v="0"/>
  </r>
  <r>
    <n v="45277"/>
    <x v="1"/>
    <n v="74"/>
    <n v="0"/>
    <n v="0"/>
    <x v="1"/>
    <x v="0"/>
    <x v="0"/>
    <x v="1"/>
    <n v="231.61"/>
    <n v="34.6"/>
    <x v="0"/>
    <n v="1"/>
    <x v="0"/>
    <x v="0"/>
  </r>
  <r>
    <n v="4712"/>
    <x v="1"/>
    <n v="81"/>
    <n v="0"/>
    <n v="1"/>
    <x v="0"/>
    <x v="0"/>
    <x v="1"/>
    <x v="1"/>
    <n v="78.7"/>
    <n v="19.399999999999999"/>
    <x v="3"/>
    <n v="1"/>
    <x v="0"/>
    <x v="2"/>
  </r>
  <r>
    <n v="33175"/>
    <x v="1"/>
    <n v="57"/>
    <n v="0"/>
    <n v="0"/>
    <x v="2"/>
    <x v="0"/>
    <x v="2"/>
    <x v="0"/>
    <n v="110.52"/>
    <n v="28.5"/>
    <x v="3"/>
    <n v="1"/>
    <x v="1"/>
    <x v="3"/>
  </r>
  <r>
    <n v="2346"/>
    <x v="0"/>
    <n v="58"/>
    <n v="0"/>
    <n v="0"/>
    <x v="2"/>
    <x v="0"/>
    <x v="0"/>
    <x v="0"/>
    <n v="82.3"/>
    <s v="N/A"/>
    <x v="2"/>
    <n v="1"/>
    <x v="1"/>
    <x v="1"/>
  </r>
  <r>
    <n v="42072"/>
    <x v="1"/>
    <n v="50"/>
    <n v="1"/>
    <n v="0"/>
    <x v="2"/>
    <x v="0"/>
    <x v="0"/>
    <x v="1"/>
    <n v="73.180000000000007"/>
    <n v="30.3"/>
    <x v="0"/>
    <n v="1"/>
    <x v="1"/>
    <x v="0"/>
  </r>
  <r>
    <n v="12062"/>
    <x v="1"/>
    <n v="54"/>
    <n v="0"/>
    <n v="0"/>
    <x v="2"/>
    <x v="0"/>
    <x v="1"/>
    <x v="1"/>
    <n v="191.82"/>
    <n v="40.4"/>
    <x v="2"/>
    <n v="1"/>
    <x v="1"/>
    <x v="0"/>
  </r>
  <r>
    <n v="30456"/>
    <x v="1"/>
    <n v="79"/>
    <n v="0"/>
    <n v="0"/>
    <x v="1"/>
    <x v="0"/>
    <x v="0"/>
    <x v="1"/>
    <n v="93.05"/>
    <n v="24.2"/>
    <x v="1"/>
    <n v="1"/>
    <x v="0"/>
    <x v="2"/>
  </r>
  <r>
    <n v="59125"/>
    <x v="1"/>
    <n v="53"/>
    <n v="0"/>
    <n v="0"/>
    <x v="2"/>
    <x v="0"/>
    <x v="2"/>
    <x v="0"/>
    <n v="64.17"/>
    <n v="41.5"/>
    <x v="1"/>
    <n v="1"/>
    <x v="1"/>
    <x v="0"/>
  </r>
  <r>
    <n v="56546"/>
    <x v="0"/>
    <n v="79"/>
    <n v="0"/>
    <n v="1"/>
    <x v="0"/>
    <x v="0"/>
    <x v="0"/>
    <x v="1"/>
    <n v="129.97999999999999"/>
    <n v="22.6"/>
    <x v="0"/>
    <n v="1"/>
    <x v="0"/>
    <x v="2"/>
  </r>
  <r>
    <n v="48405"/>
    <x v="0"/>
    <n v="80"/>
    <n v="0"/>
    <n v="1"/>
    <x v="0"/>
    <x v="0"/>
    <x v="0"/>
    <x v="0"/>
    <n v="68.53"/>
    <n v="24.2"/>
    <x v="2"/>
    <n v="1"/>
    <x v="0"/>
    <x v="2"/>
  </r>
  <r>
    <n v="36706"/>
    <x v="1"/>
    <n v="76"/>
    <n v="0"/>
    <n v="0"/>
    <x v="1"/>
    <x v="0"/>
    <x v="1"/>
    <x v="0"/>
    <n v="106.41"/>
    <s v="N/A"/>
    <x v="0"/>
    <n v="1"/>
    <x v="0"/>
    <x v="1"/>
  </r>
  <r>
    <n v="41069"/>
    <x v="1"/>
    <n v="45"/>
    <n v="0"/>
    <n v="0"/>
    <x v="2"/>
    <x v="0"/>
    <x v="0"/>
    <x v="1"/>
    <n v="224.1"/>
    <n v="56.6"/>
    <x v="1"/>
    <n v="1"/>
    <x v="1"/>
    <x v="0"/>
  </r>
  <r>
    <n v="71639"/>
    <x v="1"/>
    <n v="68"/>
    <n v="0"/>
    <n v="0"/>
    <x v="1"/>
    <x v="1"/>
    <x v="2"/>
    <x v="0"/>
    <n v="82.1"/>
    <n v="27.1"/>
    <x v="3"/>
    <n v="1"/>
    <x v="0"/>
    <x v="3"/>
  </r>
  <r>
    <n v="53401"/>
    <x v="0"/>
    <n v="71"/>
    <n v="1"/>
    <n v="1"/>
    <x v="0"/>
    <x v="1"/>
    <x v="2"/>
    <x v="1"/>
    <n v="216.94"/>
    <n v="30.9"/>
    <x v="1"/>
    <n v="1"/>
    <x v="0"/>
    <x v="0"/>
  </r>
  <r>
    <n v="60744"/>
    <x v="0"/>
    <n v="61"/>
    <n v="1"/>
    <n v="0"/>
    <x v="0"/>
    <x v="0"/>
    <x v="1"/>
    <x v="1"/>
    <n v="76.11"/>
    <n v="27.3"/>
    <x v="2"/>
    <n v="1"/>
    <x v="0"/>
    <x v="3"/>
  </r>
  <r>
    <n v="7547"/>
    <x v="0"/>
    <n v="74"/>
    <n v="0"/>
    <n v="0"/>
    <x v="1"/>
    <x v="0"/>
    <x v="0"/>
    <x v="0"/>
    <n v="72.959999999999994"/>
    <n v="31.3"/>
    <x v="2"/>
    <n v="1"/>
    <x v="0"/>
    <x v="0"/>
  </r>
  <r>
    <n v="31720"/>
    <x v="1"/>
    <n v="38"/>
    <n v="0"/>
    <n v="0"/>
    <x v="2"/>
    <x v="1"/>
    <x v="1"/>
    <x v="0"/>
    <n v="82.28"/>
    <n v="24"/>
    <x v="0"/>
    <n v="1"/>
    <x v="2"/>
    <x v="2"/>
  </r>
  <r>
    <n v="5563"/>
    <x v="1"/>
    <n v="77"/>
    <n v="0"/>
    <n v="0"/>
    <x v="1"/>
    <x v="0"/>
    <x v="0"/>
    <x v="0"/>
    <n v="105.22"/>
    <n v="31"/>
    <x v="1"/>
    <n v="1"/>
    <x v="0"/>
    <x v="0"/>
  </r>
  <r>
    <n v="68798"/>
    <x v="1"/>
    <n v="58"/>
    <n v="0"/>
    <n v="0"/>
    <x v="2"/>
    <x v="0"/>
    <x v="0"/>
    <x v="1"/>
    <n v="59.86"/>
    <n v="28"/>
    <x v="0"/>
    <n v="1"/>
    <x v="1"/>
    <x v="3"/>
  </r>
  <r>
    <n v="72918"/>
    <x v="1"/>
    <n v="53"/>
    <n v="1"/>
    <n v="0"/>
    <x v="2"/>
    <x v="0"/>
    <x v="0"/>
    <x v="0"/>
    <n v="62.55"/>
    <n v="30.3"/>
    <x v="3"/>
    <n v="1"/>
    <x v="1"/>
    <x v="0"/>
  </r>
  <r>
    <n v="13491"/>
    <x v="0"/>
    <n v="80"/>
    <n v="0"/>
    <n v="0"/>
    <x v="1"/>
    <x v="0"/>
    <x v="0"/>
    <x v="1"/>
    <n v="259.63"/>
    <n v="31.7"/>
    <x v="2"/>
    <n v="1"/>
    <x v="0"/>
    <x v="0"/>
  </r>
  <r>
    <n v="44033"/>
    <x v="0"/>
    <n v="56"/>
    <n v="1"/>
    <n v="0"/>
    <x v="2"/>
    <x v="0"/>
    <x v="0"/>
    <x v="1"/>
    <n v="249.31"/>
    <n v="35.799999999999997"/>
    <x v="1"/>
    <n v="1"/>
    <x v="1"/>
    <x v="0"/>
  </r>
  <r>
    <n v="14164"/>
    <x v="1"/>
    <n v="72"/>
    <n v="0"/>
    <n v="0"/>
    <x v="1"/>
    <x v="0"/>
    <x v="0"/>
    <x v="0"/>
    <n v="219.91"/>
    <s v="N/A"/>
    <x v="3"/>
    <n v="1"/>
    <x v="0"/>
    <x v="1"/>
  </r>
  <r>
    <n v="50522"/>
    <x v="1"/>
    <n v="72"/>
    <n v="0"/>
    <n v="0"/>
    <x v="1"/>
    <x v="0"/>
    <x v="2"/>
    <x v="0"/>
    <n v="131.41"/>
    <n v="28.4"/>
    <x v="1"/>
    <n v="1"/>
    <x v="0"/>
    <x v="3"/>
  </r>
  <r>
    <n v="3352"/>
    <x v="0"/>
    <n v="78"/>
    <n v="1"/>
    <n v="0"/>
    <x v="0"/>
    <x v="0"/>
    <x v="1"/>
    <x v="0"/>
    <n v="93.13"/>
    <s v="N/A"/>
    <x v="0"/>
    <n v="1"/>
    <x v="0"/>
    <x v="1"/>
  </r>
  <r>
    <n v="70943"/>
    <x v="1"/>
    <n v="80"/>
    <n v="0"/>
    <n v="0"/>
    <x v="1"/>
    <x v="0"/>
    <x v="0"/>
    <x v="0"/>
    <n v="73.540000000000006"/>
    <n v="24"/>
    <x v="3"/>
    <n v="1"/>
    <x v="0"/>
    <x v="2"/>
  </r>
  <r>
    <n v="37132"/>
    <x v="0"/>
    <n v="82"/>
    <n v="0"/>
    <n v="0"/>
    <x v="1"/>
    <x v="0"/>
    <x v="2"/>
    <x v="0"/>
    <n v="200.59"/>
    <n v="29"/>
    <x v="0"/>
    <n v="1"/>
    <x v="0"/>
    <x v="3"/>
  </r>
  <r>
    <n v="48796"/>
    <x v="1"/>
    <n v="75"/>
    <n v="0"/>
    <n v="0"/>
    <x v="1"/>
    <x v="0"/>
    <x v="2"/>
    <x v="0"/>
    <n v="62.48"/>
    <s v="N/A"/>
    <x v="3"/>
    <n v="1"/>
    <x v="0"/>
    <x v="1"/>
  </r>
  <r>
    <n v="53440"/>
    <x v="1"/>
    <n v="73"/>
    <n v="1"/>
    <n v="0"/>
    <x v="0"/>
    <x v="0"/>
    <x v="0"/>
    <x v="1"/>
    <n v="190.14"/>
    <n v="36.5"/>
    <x v="1"/>
    <n v="1"/>
    <x v="0"/>
    <x v="0"/>
  </r>
  <r>
    <n v="16817"/>
    <x v="1"/>
    <n v="78"/>
    <n v="1"/>
    <n v="0"/>
    <x v="0"/>
    <x v="1"/>
    <x v="0"/>
    <x v="0"/>
    <n v="130.54"/>
    <n v="20.100000000000001"/>
    <x v="1"/>
    <n v="1"/>
    <x v="0"/>
    <x v="2"/>
  </r>
  <r>
    <n v="69551"/>
    <x v="0"/>
    <n v="69"/>
    <n v="1"/>
    <n v="0"/>
    <x v="0"/>
    <x v="1"/>
    <x v="0"/>
    <x v="1"/>
    <n v="182.99"/>
    <n v="36.5"/>
    <x v="1"/>
    <n v="1"/>
    <x v="0"/>
    <x v="0"/>
  </r>
  <r>
    <n v="31563"/>
    <x v="1"/>
    <n v="38"/>
    <n v="0"/>
    <n v="0"/>
    <x v="2"/>
    <x v="0"/>
    <x v="0"/>
    <x v="1"/>
    <n v="101.45"/>
    <s v="N/A"/>
    <x v="0"/>
    <n v="1"/>
    <x v="2"/>
    <x v="1"/>
  </r>
  <r>
    <n v="20387"/>
    <x v="1"/>
    <n v="68"/>
    <n v="1"/>
    <n v="0"/>
    <x v="0"/>
    <x v="0"/>
    <x v="1"/>
    <x v="1"/>
    <n v="206.09"/>
    <n v="26.7"/>
    <x v="1"/>
    <n v="1"/>
    <x v="0"/>
    <x v="3"/>
  </r>
  <r>
    <n v="71279"/>
    <x v="1"/>
    <n v="71"/>
    <n v="0"/>
    <n v="0"/>
    <x v="1"/>
    <x v="0"/>
    <x v="2"/>
    <x v="0"/>
    <n v="263.32"/>
    <n v="38.700000000000003"/>
    <x v="1"/>
    <n v="1"/>
    <x v="0"/>
    <x v="0"/>
  </r>
  <r>
    <n v="55824"/>
    <x v="0"/>
    <n v="76"/>
    <n v="0"/>
    <n v="0"/>
    <x v="1"/>
    <x v="0"/>
    <x v="0"/>
    <x v="0"/>
    <n v="140.1"/>
    <n v="29.9"/>
    <x v="0"/>
    <n v="1"/>
    <x v="0"/>
    <x v="3"/>
  </r>
  <r>
    <n v="11762"/>
    <x v="1"/>
    <n v="76"/>
    <n v="0"/>
    <n v="0"/>
    <x v="1"/>
    <x v="0"/>
    <x v="0"/>
    <x v="0"/>
    <n v="207.28"/>
    <n v="34.9"/>
    <x v="3"/>
    <n v="1"/>
    <x v="0"/>
    <x v="0"/>
  </r>
  <r>
    <n v="29281"/>
    <x v="0"/>
    <n v="76"/>
    <n v="1"/>
    <n v="0"/>
    <x v="0"/>
    <x v="0"/>
    <x v="1"/>
    <x v="1"/>
    <n v="194.37"/>
    <n v="27"/>
    <x v="0"/>
    <n v="1"/>
    <x v="0"/>
    <x v="3"/>
  </r>
  <r>
    <n v="30683"/>
    <x v="1"/>
    <n v="75"/>
    <n v="0"/>
    <n v="0"/>
    <x v="1"/>
    <x v="0"/>
    <x v="0"/>
    <x v="1"/>
    <n v="199.2"/>
    <n v="26.6"/>
    <x v="3"/>
    <n v="1"/>
    <x v="0"/>
    <x v="3"/>
  </r>
  <r>
    <n v="20439"/>
    <x v="0"/>
    <n v="82"/>
    <n v="0"/>
    <n v="1"/>
    <x v="0"/>
    <x v="0"/>
    <x v="2"/>
    <x v="1"/>
    <n v="103.68"/>
    <n v="25"/>
    <x v="1"/>
    <n v="1"/>
    <x v="0"/>
    <x v="3"/>
  </r>
  <r>
    <n v="45965"/>
    <x v="1"/>
    <n v="59"/>
    <n v="0"/>
    <n v="0"/>
    <x v="2"/>
    <x v="0"/>
    <x v="0"/>
    <x v="1"/>
    <n v="116.44"/>
    <n v="23.8"/>
    <x v="2"/>
    <n v="1"/>
    <x v="1"/>
    <x v="2"/>
  </r>
  <r>
    <n v="8045"/>
    <x v="1"/>
    <n v="74"/>
    <n v="1"/>
    <n v="0"/>
    <x v="0"/>
    <x v="0"/>
    <x v="0"/>
    <x v="0"/>
    <n v="70.28"/>
    <n v="21.8"/>
    <x v="1"/>
    <n v="1"/>
    <x v="0"/>
    <x v="2"/>
  </r>
  <r>
    <n v="37651"/>
    <x v="1"/>
    <n v="69"/>
    <n v="1"/>
    <n v="1"/>
    <x v="0"/>
    <x v="1"/>
    <x v="1"/>
    <x v="0"/>
    <n v="72.17"/>
    <n v="36.799999999999997"/>
    <x v="1"/>
    <n v="1"/>
    <x v="0"/>
    <x v="0"/>
  </r>
  <r>
    <n v="17308"/>
    <x v="1"/>
    <n v="72"/>
    <n v="1"/>
    <n v="0"/>
    <x v="0"/>
    <x v="0"/>
    <x v="0"/>
    <x v="0"/>
    <n v="221.79"/>
    <n v="30"/>
    <x v="1"/>
    <n v="1"/>
    <x v="0"/>
    <x v="0"/>
  </r>
  <r>
    <n v="67981"/>
    <x v="0"/>
    <n v="66"/>
    <n v="0"/>
    <n v="0"/>
    <x v="1"/>
    <x v="0"/>
    <x v="0"/>
    <x v="0"/>
    <n v="151.16"/>
    <n v="27.5"/>
    <x v="0"/>
    <n v="1"/>
    <x v="0"/>
    <x v="3"/>
  </r>
  <r>
    <n v="41241"/>
    <x v="0"/>
    <n v="65"/>
    <n v="0"/>
    <n v="0"/>
    <x v="1"/>
    <x v="0"/>
    <x v="1"/>
    <x v="0"/>
    <n v="68.430000000000007"/>
    <s v="N/A"/>
    <x v="0"/>
    <n v="1"/>
    <x v="0"/>
    <x v="1"/>
  </r>
  <r>
    <n v="62861"/>
    <x v="1"/>
    <n v="78"/>
    <n v="0"/>
    <n v="0"/>
    <x v="1"/>
    <x v="0"/>
    <x v="0"/>
    <x v="0"/>
    <n v="67.290000000000006"/>
    <n v="24.6"/>
    <x v="1"/>
    <n v="1"/>
    <x v="0"/>
    <x v="2"/>
  </r>
  <r>
    <n v="72081"/>
    <x v="1"/>
    <n v="57"/>
    <n v="1"/>
    <n v="0"/>
    <x v="2"/>
    <x v="0"/>
    <x v="2"/>
    <x v="1"/>
    <n v="67.41"/>
    <n v="32.9"/>
    <x v="1"/>
    <n v="1"/>
    <x v="1"/>
    <x v="0"/>
  </r>
  <r>
    <n v="58978"/>
    <x v="1"/>
    <n v="70"/>
    <n v="0"/>
    <n v="1"/>
    <x v="0"/>
    <x v="0"/>
    <x v="0"/>
    <x v="1"/>
    <n v="239.07"/>
    <n v="26.1"/>
    <x v="1"/>
    <n v="1"/>
    <x v="0"/>
    <x v="3"/>
  </r>
  <r>
    <n v="11933"/>
    <x v="1"/>
    <n v="79"/>
    <n v="0"/>
    <n v="0"/>
    <x v="1"/>
    <x v="0"/>
    <x v="0"/>
    <x v="1"/>
    <n v="169.67"/>
    <s v="N/A"/>
    <x v="3"/>
    <n v="1"/>
    <x v="0"/>
    <x v="1"/>
  </r>
  <r>
    <n v="46703"/>
    <x v="0"/>
    <n v="68"/>
    <n v="0"/>
    <n v="1"/>
    <x v="0"/>
    <x v="0"/>
    <x v="0"/>
    <x v="0"/>
    <n v="223.83"/>
    <n v="31.9"/>
    <x v="0"/>
    <n v="1"/>
    <x v="0"/>
    <x v="0"/>
  </r>
  <r>
    <n v="32503"/>
    <x v="1"/>
    <n v="80"/>
    <n v="0"/>
    <n v="0"/>
    <x v="1"/>
    <x v="0"/>
    <x v="1"/>
    <x v="0"/>
    <n v="76.569999999999993"/>
    <n v="34.1"/>
    <x v="1"/>
    <n v="1"/>
    <x v="0"/>
    <x v="0"/>
  </r>
  <r>
    <n v="12482"/>
    <x v="0"/>
    <n v="68"/>
    <n v="0"/>
    <n v="0"/>
    <x v="1"/>
    <x v="0"/>
    <x v="1"/>
    <x v="0"/>
    <n v="77.819999999999993"/>
    <n v="27.5"/>
    <x v="2"/>
    <n v="1"/>
    <x v="0"/>
    <x v="3"/>
  </r>
  <r>
    <n v="56939"/>
    <x v="1"/>
    <n v="55"/>
    <n v="0"/>
    <n v="0"/>
    <x v="2"/>
    <x v="0"/>
    <x v="1"/>
    <x v="1"/>
    <n v="92.98"/>
    <n v="25.6"/>
    <x v="1"/>
    <n v="1"/>
    <x v="1"/>
    <x v="3"/>
  </r>
  <r>
    <n v="24669"/>
    <x v="1"/>
    <n v="77"/>
    <n v="0"/>
    <n v="1"/>
    <x v="0"/>
    <x v="0"/>
    <x v="0"/>
    <x v="1"/>
    <n v="231.56"/>
    <n v="36.9"/>
    <x v="1"/>
    <n v="1"/>
    <x v="0"/>
    <x v="0"/>
  </r>
  <r>
    <n v="43054"/>
    <x v="1"/>
    <n v="50"/>
    <n v="0"/>
    <n v="0"/>
    <x v="2"/>
    <x v="0"/>
    <x v="0"/>
    <x v="1"/>
    <n v="102.16"/>
    <n v="31.4"/>
    <x v="2"/>
    <n v="1"/>
    <x v="1"/>
    <x v="0"/>
  </r>
  <r>
    <n v="59437"/>
    <x v="1"/>
    <n v="57"/>
    <n v="0"/>
    <n v="0"/>
    <x v="2"/>
    <x v="0"/>
    <x v="0"/>
    <x v="0"/>
    <n v="221.89"/>
    <n v="37.299999999999997"/>
    <x v="2"/>
    <n v="1"/>
    <x v="1"/>
    <x v="0"/>
  </r>
  <r>
    <n v="66258"/>
    <x v="1"/>
    <n v="71"/>
    <n v="0"/>
    <n v="0"/>
    <x v="1"/>
    <x v="0"/>
    <x v="1"/>
    <x v="0"/>
    <n v="195.71"/>
    <n v="34.1"/>
    <x v="0"/>
    <n v="1"/>
    <x v="0"/>
    <x v="0"/>
  </r>
  <r>
    <n v="34567"/>
    <x v="1"/>
    <n v="81"/>
    <n v="1"/>
    <n v="0"/>
    <x v="0"/>
    <x v="0"/>
    <x v="1"/>
    <x v="1"/>
    <n v="74.02"/>
    <n v="25"/>
    <x v="1"/>
    <n v="1"/>
    <x v="0"/>
    <x v="3"/>
  </r>
  <r>
    <n v="50931"/>
    <x v="1"/>
    <n v="76"/>
    <n v="0"/>
    <n v="0"/>
    <x v="1"/>
    <x v="0"/>
    <x v="0"/>
    <x v="0"/>
    <n v="57.92"/>
    <s v="N/A"/>
    <x v="0"/>
    <n v="1"/>
    <x v="0"/>
    <x v="1"/>
  </r>
  <r>
    <n v="16590"/>
    <x v="0"/>
    <n v="71"/>
    <n v="0"/>
    <n v="1"/>
    <x v="0"/>
    <x v="0"/>
    <x v="0"/>
    <x v="0"/>
    <n v="81.760000000000005"/>
    <s v="N/A"/>
    <x v="2"/>
    <n v="1"/>
    <x v="0"/>
    <x v="1"/>
  </r>
  <r>
    <n v="69768"/>
    <x v="1"/>
    <n v="1.32"/>
    <n v="0"/>
    <n v="0"/>
    <x v="2"/>
    <x v="1"/>
    <x v="3"/>
    <x v="0"/>
    <n v="70.37"/>
    <s v="N/A"/>
    <x v="3"/>
    <n v="1"/>
    <x v="2"/>
    <x v="1"/>
  </r>
  <r>
    <n v="20426"/>
    <x v="1"/>
    <n v="78"/>
    <n v="1"/>
    <n v="0"/>
    <x v="0"/>
    <x v="1"/>
    <x v="0"/>
    <x v="0"/>
    <n v="203.87"/>
    <n v="45.7"/>
    <x v="1"/>
    <n v="1"/>
    <x v="0"/>
    <x v="0"/>
  </r>
  <r>
    <n v="3512"/>
    <x v="1"/>
    <n v="70"/>
    <n v="1"/>
    <n v="0"/>
    <x v="0"/>
    <x v="0"/>
    <x v="1"/>
    <x v="0"/>
    <n v="89.13"/>
    <n v="34.200000000000003"/>
    <x v="0"/>
    <n v="1"/>
    <x v="0"/>
    <x v="0"/>
  </r>
  <r>
    <n v="42899"/>
    <x v="0"/>
    <n v="78"/>
    <n v="0"/>
    <n v="0"/>
    <x v="1"/>
    <x v="0"/>
    <x v="1"/>
    <x v="0"/>
    <n v="133.19"/>
    <n v="23.6"/>
    <x v="0"/>
    <n v="1"/>
    <x v="0"/>
    <x v="2"/>
  </r>
  <r>
    <n v="63453"/>
    <x v="1"/>
    <n v="56"/>
    <n v="0"/>
    <n v="0"/>
    <x v="2"/>
    <x v="0"/>
    <x v="2"/>
    <x v="1"/>
    <n v="162.22999999999999"/>
    <n v="27.3"/>
    <x v="3"/>
    <n v="1"/>
    <x v="1"/>
    <x v="3"/>
  </r>
  <r>
    <n v="43364"/>
    <x v="0"/>
    <n v="79"/>
    <n v="1"/>
    <n v="0"/>
    <x v="0"/>
    <x v="0"/>
    <x v="0"/>
    <x v="1"/>
    <n v="75.02"/>
    <s v="N/A"/>
    <x v="1"/>
    <n v="1"/>
    <x v="0"/>
    <x v="1"/>
  </r>
  <r>
    <n v="44993"/>
    <x v="1"/>
    <n v="79"/>
    <n v="1"/>
    <n v="0"/>
    <x v="0"/>
    <x v="1"/>
    <x v="2"/>
    <x v="0"/>
    <n v="98.02"/>
    <n v="22.3"/>
    <x v="0"/>
    <n v="1"/>
    <x v="0"/>
    <x v="2"/>
  </r>
  <r>
    <n v="210"/>
    <x v="0"/>
    <n v="81"/>
    <n v="0"/>
    <n v="0"/>
    <x v="1"/>
    <x v="0"/>
    <x v="1"/>
    <x v="1"/>
    <n v="91.54"/>
    <n v="31.4"/>
    <x v="1"/>
    <n v="1"/>
    <x v="0"/>
    <x v="0"/>
  </r>
  <r>
    <n v="28939"/>
    <x v="0"/>
    <n v="64"/>
    <n v="0"/>
    <n v="0"/>
    <x v="1"/>
    <x v="0"/>
    <x v="1"/>
    <x v="1"/>
    <n v="111.98"/>
    <s v="N/A"/>
    <x v="0"/>
    <n v="1"/>
    <x v="0"/>
    <x v="1"/>
  </r>
  <r>
    <n v="60739"/>
    <x v="1"/>
    <n v="79"/>
    <n v="1"/>
    <n v="1"/>
    <x v="0"/>
    <x v="1"/>
    <x v="1"/>
    <x v="1"/>
    <n v="60.94"/>
    <s v="N/A"/>
    <x v="1"/>
    <n v="1"/>
    <x v="0"/>
    <x v="1"/>
  </r>
  <r>
    <n v="67432"/>
    <x v="1"/>
    <n v="60"/>
    <n v="0"/>
    <n v="0"/>
    <x v="1"/>
    <x v="0"/>
    <x v="0"/>
    <x v="0"/>
    <n v="97.43"/>
    <n v="26.4"/>
    <x v="2"/>
    <n v="1"/>
    <x v="0"/>
    <x v="3"/>
  </r>
  <r>
    <n v="2182"/>
    <x v="1"/>
    <n v="80"/>
    <n v="1"/>
    <n v="0"/>
    <x v="0"/>
    <x v="0"/>
    <x v="1"/>
    <x v="1"/>
    <n v="91.02"/>
    <n v="32.9"/>
    <x v="0"/>
    <n v="1"/>
    <x v="0"/>
    <x v="0"/>
  </r>
  <r>
    <n v="40899"/>
    <x v="1"/>
    <n v="78"/>
    <n v="0"/>
    <n v="0"/>
    <x v="1"/>
    <x v="0"/>
    <x v="1"/>
    <x v="1"/>
    <n v="60.67"/>
    <s v="N/A"/>
    <x v="0"/>
    <n v="1"/>
    <x v="0"/>
    <x v="1"/>
  </r>
  <r>
    <n v="14431"/>
    <x v="0"/>
    <n v="72"/>
    <n v="1"/>
    <n v="0"/>
    <x v="0"/>
    <x v="0"/>
    <x v="1"/>
    <x v="1"/>
    <n v="185.49"/>
    <n v="37.1"/>
    <x v="1"/>
    <n v="1"/>
    <x v="0"/>
    <x v="0"/>
  </r>
  <r>
    <n v="62466"/>
    <x v="1"/>
    <n v="80"/>
    <n v="0"/>
    <n v="0"/>
    <x v="1"/>
    <x v="0"/>
    <x v="0"/>
    <x v="0"/>
    <n v="64.44"/>
    <n v="45"/>
    <x v="1"/>
    <n v="1"/>
    <x v="0"/>
    <x v="0"/>
  </r>
  <r>
    <n v="36841"/>
    <x v="0"/>
    <n v="78"/>
    <n v="1"/>
    <n v="0"/>
    <x v="0"/>
    <x v="0"/>
    <x v="1"/>
    <x v="1"/>
    <n v="56.11"/>
    <n v="25.5"/>
    <x v="0"/>
    <n v="1"/>
    <x v="0"/>
    <x v="3"/>
  </r>
  <r>
    <n v="33486"/>
    <x v="1"/>
    <n v="80"/>
    <n v="0"/>
    <n v="0"/>
    <x v="1"/>
    <x v="0"/>
    <x v="2"/>
    <x v="0"/>
    <n v="110.66"/>
    <s v="N/A"/>
    <x v="3"/>
    <n v="1"/>
    <x v="0"/>
    <x v="1"/>
  </r>
  <r>
    <n v="65105"/>
    <x v="0"/>
    <n v="81"/>
    <n v="0"/>
    <n v="0"/>
    <x v="1"/>
    <x v="0"/>
    <x v="0"/>
    <x v="0"/>
    <n v="213.22"/>
    <n v="26.1"/>
    <x v="3"/>
    <n v="1"/>
    <x v="0"/>
    <x v="3"/>
  </r>
  <r>
    <n v="54567"/>
    <x v="1"/>
    <n v="46"/>
    <n v="0"/>
    <n v="0"/>
    <x v="2"/>
    <x v="0"/>
    <x v="0"/>
    <x v="0"/>
    <n v="78.180000000000007"/>
    <n v="30.8"/>
    <x v="1"/>
    <n v="1"/>
    <x v="1"/>
    <x v="0"/>
  </r>
  <r>
    <n v="66204"/>
    <x v="0"/>
    <n v="59"/>
    <n v="0"/>
    <n v="0"/>
    <x v="2"/>
    <x v="0"/>
    <x v="0"/>
    <x v="0"/>
    <n v="111.04"/>
    <n v="32"/>
    <x v="0"/>
    <n v="1"/>
    <x v="1"/>
    <x v="0"/>
  </r>
  <r>
    <n v="39912"/>
    <x v="1"/>
    <n v="32"/>
    <n v="0"/>
    <n v="0"/>
    <x v="2"/>
    <x v="0"/>
    <x v="0"/>
    <x v="1"/>
    <n v="76.13"/>
    <n v="29.9"/>
    <x v="2"/>
    <n v="1"/>
    <x v="2"/>
    <x v="3"/>
  </r>
  <r>
    <n v="8003"/>
    <x v="1"/>
    <n v="77"/>
    <n v="0"/>
    <n v="0"/>
    <x v="1"/>
    <x v="1"/>
    <x v="0"/>
    <x v="0"/>
    <n v="81.319999999999993"/>
    <s v="N/A"/>
    <x v="3"/>
    <n v="1"/>
    <x v="0"/>
    <x v="1"/>
  </r>
  <r>
    <n v="28378"/>
    <x v="0"/>
    <n v="61"/>
    <n v="1"/>
    <n v="1"/>
    <x v="0"/>
    <x v="0"/>
    <x v="0"/>
    <x v="0"/>
    <n v="112.24"/>
    <n v="37.4"/>
    <x v="2"/>
    <n v="1"/>
    <x v="0"/>
    <x v="0"/>
  </r>
  <r>
    <n v="41081"/>
    <x v="0"/>
    <n v="63"/>
    <n v="0"/>
    <n v="0"/>
    <x v="1"/>
    <x v="0"/>
    <x v="0"/>
    <x v="1"/>
    <n v="137.30000000000001"/>
    <n v="31.7"/>
    <x v="0"/>
    <n v="1"/>
    <x v="0"/>
    <x v="0"/>
  </r>
  <r>
    <n v="16077"/>
    <x v="0"/>
    <n v="63"/>
    <n v="0"/>
    <n v="1"/>
    <x v="0"/>
    <x v="0"/>
    <x v="1"/>
    <x v="0"/>
    <n v="116.69"/>
    <n v="34.5"/>
    <x v="0"/>
    <n v="1"/>
    <x v="0"/>
    <x v="0"/>
  </r>
  <r>
    <n v="67895"/>
    <x v="1"/>
    <n v="82"/>
    <n v="1"/>
    <n v="1"/>
    <x v="0"/>
    <x v="0"/>
    <x v="2"/>
    <x v="0"/>
    <n v="215.94"/>
    <n v="27.9"/>
    <x v="0"/>
    <n v="1"/>
    <x v="0"/>
    <x v="3"/>
  </r>
  <r>
    <n v="30184"/>
    <x v="0"/>
    <n v="82"/>
    <n v="0"/>
    <n v="0"/>
    <x v="1"/>
    <x v="0"/>
    <x v="0"/>
    <x v="1"/>
    <n v="86.62"/>
    <n v="29.5"/>
    <x v="0"/>
    <n v="1"/>
    <x v="0"/>
    <x v="3"/>
  </r>
  <r>
    <n v="66955"/>
    <x v="0"/>
    <n v="61"/>
    <n v="0"/>
    <n v="1"/>
    <x v="0"/>
    <x v="0"/>
    <x v="0"/>
    <x v="0"/>
    <n v="209.86"/>
    <s v="N/A"/>
    <x v="3"/>
    <n v="1"/>
    <x v="0"/>
    <x v="1"/>
  </r>
  <r>
    <n v="24905"/>
    <x v="1"/>
    <n v="65"/>
    <n v="0"/>
    <n v="0"/>
    <x v="1"/>
    <x v="0"/>
    <x v="0"/>
    <x v="0"/>
    <n v="205.77"/>
    <n v="46"/>
    <x v="0"/>
    <n v="1"/>
    <x v="0"/>
    <x v="0"/>
  </r>
  <r>
    <n v="66071"/>
    <x v="0"/>
    <n v="51"/>
    <n v="1"/>
    <n v="0"/>
    <x v="2"/>
    <x v="0"/>
    <x v="0"/>
    <x v="0"/>
    <n v="112.16"/>
    <n v="42.5"/>
    <x v="0"/>
    <n v="1"/>
    <x v="1"/>
    <x v="0"/>
  </r>
  <r>
    <n v="36255"/>
    <x v="0"/>
    <n v="59"/>
    <n v="0"/>
    <n v="0"/>
    <x v="2"/>
    <x v="0"/>
    <x v="1"/>
    <x v="1"/>
    <n v="118.03"/>
    <n v="35.5"/>
    <x v="2"/>
    <n v="1"/>
    <x v="1"/>
    <x v="0"/>
  </r>
  <r>
    <n v="69112"/>
    <x v="0"/>
    <n v="68"/>
    <n v="1"/>
    <n v="1"/>
    <x v="0"/>
    <x v="0"/>
    <x v="0"/>
    <x v="1"/>
    <n v="271.74"/>
    <n v="31.1"/>
    <x v="2"/>
    <n v="1"/>
    <x v="0"/>
    <x v="0"/>
  </r>
  <r>
    <n v="23410"/>
    <x v="1"/>
    <n v="72"/>
    <n v="0"/>
    <n v="0"/>
    <x v="1"/>
    <x v="0"/>
    <x v="0"/>
    <x v="1"/>
    <n v="97.92"/>
    <n v="26.9"/>
    <x v="2"/>
    <n v="1"/>
    <x v="0"/>
    <x v="3"/>
  </r>
  <r>
    <n v="64373"/>
    <x v="0"/>
    <n v="59"/>
    <n v="0"/>
    <n v="0"/>
    <x v="2"/>
    <x v="0"/>
    <x v="0"/>
    <x v="0"/>
    <n v="200.62"/>
    <n v="35.799999999999997"/>
    <x v="0"/>
    <n v="1"/>
    <x v="1"/>
    <x v="0"/>
  </r>
  <r>
    <n v="58267"/>
    <x v="0"/>
    <n v="70"/>
    <n v="1"/>
    <n v="0"/>
    <x v="0"/>
    <x v="0"/>
    <x v="0"/>
    <x v="1"/>
    <n v="242.52"/>
    <n v="45.5"/>
    <x v="0"/>
    <n v="1"/>
    <x v="0"/>
    <x v="0"/>
  </r>
  <r>
    <n v="35684"/>
    <x v="0"/>
    <n v="69"/>
    <n v="0"/>
    <n v="0"/>
    <x v="1"/>
    <x v="0"/>
    <x v="0"/>
    <x v="1"/>
    <n v="93.81"/>
    <n v="28.5"/>
    <x v="3"/>
    <n v="1"/>
    <x v="0"/>
    <x v="3"/>
  </r>
  <r>
    <n v="18937"/>
    <x v="0"/>
    <n v="79"/>
    <n v="0"/>
    <n v="0"/>
    <x v="1"/>
    <x v="0"/>
    <x v="0"/>
    <x v="1"/>
    <n v="114.77"/>
    <s v="N/A"/>
    <x v="0"/>
    <n v="1"/>
    <x v="0"/>
    <x v="1"/>
  </r>
  <r>
    <n v="491"/>
    <x v="1"/>
    <n v="74"/>
    <n v="0"/>
    <n v="0"/>
    <x v="1"/>
    <x v="0"/>
    <x v="1"/>
    <x v="0"/>
    <n v="74.959999999999994"/>
    <n v="26.6"/>
    <x v="1"/>
    <n v="1"/>
    <x v="0"/>
    <x v="3"/>
  </r>
  <r>
    <n v="54695"/>
    <x v="0"/>
    <n v="74"/>
    <n v="0"/>
    <n v="0"/>
    <x v="1"/>
    <x v="0"/>
    <x v="0"/>
    <x v="0"/>
    <n v="167.13"/>
    <s v="N/A"/>
    <x v="3"/>
    <n v="1"/>
    <x v="0"/>
    <x v="1"/>
  </r>
  <r>
    <n v="68627"/>
    <x v="0"/>
    <n v="80"/>
    <n v="1"/>
    <n v="1"/>
    <x v="0"/>
    <x v="0"/>
    <x v="0"/>
    <x v="0"/>
    <n v="175.29"/>
    <n v="31.5"/>
    <x v="0"/>
    <n v="1"/>
    <x v="0"/>
    <x v="0"/>
  </r>
  <r>
    <n v="8580"/>
    <x v="1"/>
    <n v="77"/>
    <n v="0"/>
    <n v="0"/>
    <x v="1"/>
    <x v="0"/>
    <x v="1"/>
    <x v="1"/>
    <n v="90"/>
    <n v="32"/>
    <x v="1"/>
    <n v="1"/>
    <x v="0"/>
    <x v="0"/>
  </r>
  <r>
    <n v="28484"/>
    <x v="1"/>
    <n v="78"/>
    <n v="0"/>
    <n v="0"/>
    <x v="1"/>
    <x v="0"/>
    <x v="1"/>
    <x v="1"/>
    <n v="109.47"/>
    <n v="30.8"/>
    <x v="1"/>
    <n v="1"/>
    <x v="0"/>
    <x v="0"/>
  </r>
  <r>
    <n v="62019"/>
    <x v="0"/>
    <n v="54"/>
    <n v="0"/>
    <n v="0"/>
    <x v="2"/>
    <x v="0"/>
    <x v="2"/>
    <x v="1"/>
    <n v="87.85"/>
    <n v="31.1"/>
    <x v="2"/>
    <n v="1"/>
    <x v="1"/>
    <x v="0"/>
  </r>
  <r>
    <n v="51314"/>
    <x v="1"/>
    <n v="78"/>
    <n v="0"/>
    <n v="0"/>
    <x v="1"/>
    <x v="0"/>
    <x v="0"/>
    <x v="0"/>
    <n v="106.74"/>
    <n v="33"/>
    <x v="0"/>
    <n v="1"/>
    <x v="0"/>
    <x v="0"/>
  </r>
  <r>
    <n v="37060"/>
    <x v="1"/>
    <n v="81"/>
    <n v="0"/>
    <n v="0"/>
    <x v="1"/>
    <x v="0"/>
    <x v="0"/>
    <x v="1"/>
    <n v="80.13"/>
    <n v="23.4"/>
    <x v="1"/>
    <n v="1"/>
    <x v="0"/>
    <x v="2"/>
  </r>
  <r>
    <n v="35578"/>
    <x v="0"/>
    <n v="78"/>
    <n v="0"/>
    <n v="0"/>
    <x v="1"/>
    <x v="1"/>
    <x v="1"/>
    <x v="0"/>
    <n v="90.19"/>
    <n v="26.9"/>
    <x v="1"/>
    <n v="1"/>
    <x v="0"/>
    <x v="3"/>
  </r>
  <r>
    <n v="54921"/>
    <x v="0"/>
    <n v="78"/>
    <n v="1"/>
    <n v="0"/>
    <x v="0"/>
    <x v="0"/>
    <x v="1"/>
    <x v="1"/>
    <n v="134.80000000000001"/>
    <n v="33.6"/>
    <x v="3"/>
    <n v="1"/>
    <x v="0"/>
    <x v="0"/>
  </r>
  <r>
    <n v="33454"/>
    <x v="1"/>
    <n v="63"/>
    <n v="0"/>
    <n v="0"/>
    <x v="1"/>
    <x v="0"/>
    <x v="2"/>
    <x v="1"/>
    <n v="106.58"/>
    <n v="23.9"/>
    <x v="3"/>
    <n v="1"/>
    <x v="0"/>
    <x v="2"/>
  </r>
  <r>
    <n v="33943"/>
    <x v="1"/>
    <n v="39"/>
    <n v="0"/>
    <n v="0"/>
    <x v="2"/>
    <x v="0"/>
    <x v="0"/>
    <x v="0"/>
    <n v="83.24"/>
    <n v="26.3"/>
    <x v="1"/>
    <n v="1"/>
    <x v="2"/>
    <x v="3"/>
  </r>
  <r>
    <n v="62439"/>
    <x v="1"/>
    <n v="51"/>
    <n v="0"/>
    <n v="0"/>
    <x v="2"/>
    <x v="0"/>
    <x v="2"/>
    <x v="1"/>
    <n v="103.43"/>
    <n v="27.3"/>
    <x v="0"/>
    <n v="1"/>
    <x v="1"/>
    <x v="3"/>
  </r>
  <r>
    <n v="31179"/>
    <x v="0"/>
    <n v="63"/>
    <n v="0"/>
    <n v="0"/>
    <x v="1"/>
    <x v="0"/>
    <x v="0"/>
    <x v="0"/>
    <n v="208.65"/>
    <n v="30.7"/>
    <x v="1"/>
    <n v="1"/>
    <x v="0"/>
    <x v="0"/>
  </r>
  <r>
    <n v="66866"/>
    <x v="1"/>
    <n v="48"/>
    <n v="0"/>
    <n v="0"/>
    <x v="2"/>
    <x v="0"/>
    <x v="0"/>
    <x v="0"/>
    <n v="74.11"/>
    <n v="20.5"/>
    <x v="1"/>
    <n v="1"/>
    <x v="1"/>
    <x v="2"/>
  </r>
  <r>
    <n v="2548"/>
    <x v="1"/>
    <n v="81"/>
    <n v="0"/>
    <n v="0"/>
    <x v="1"/>
    <x v="0"/>
    <x v="1"/>
    <x v="0"/>
    <n v="95.84"/>
    <n v="21.5"/>
    <x v="1"/>
    <n v="1"/>
    <x v="0"/>
    <x v="2"/>
  </r>
  <r>
    <n v="68025"/>
    <x v="1"/>
    <n v="79"/>
    <n v="0"/>
    <n v="1"/>
    <x v="0"/>
    <x v="1"/>
    <x v="0"/>
    <x v="0"/>
    <n v="205.33"/>
    <n v="31"/>
    <x v="2"/>
    <n v="1"/>
    <x v="0"/>
    <x v="0"/>
  </r>
  <r>
    <n v="2390"/>
    <x v="0"/>
    <n v="78"/>
    <n v="0"/>
    <n v="0"/>
    <x v="1"/>
    <x v="0"/>
    <x v="1"/>
    <x v="0"/>
    <n v="116.1"/>
    <n v="27.1"/>
    <x v="1"/>
    <n v="1"/>
    <x v="0"/>
    <x v="3"/>
  </r>
  <r>
    <n v="29552"/>
    <x v="1"/>
    <n v="55"/>
    <n v="1"/>
    <n v="1"/>
    <x v="2"/>
    <x v="0"/>
    <x v="0"/>
    <x v="0"/>
    <n v="210.4"/>
    <n v="40"/>
    <x v="2"/>
    <n v="1"/>
    <x v="1"/>
    <x v="0"/>
  </r>
  <r>
    <n v="25904"/>
    <x v="1"/>
    <n v="76"/>
    <n v="1"/>
    <n v="1"/>
    <x v="0"/>
    <x v="0"/>
    <x v="1"/>
    <x v="0"/>
    <n v="199.86"/>
    <s v="N/A"/>
    <x v="2"/>
    <n v="1"/>
    <x v="0"/>
    <x v="1"/>
  </r>
  <r>
    <n v="31421"/>
    <x v="0"/>
    <n v="73"/>
    <n v="0"/>
    <n v="1"/>
    <x v="0"/>
    <x v="0"/>
    <x v="2"/>
    <x v="1"/>
    <n v="219.73"/>
    <n v="28.6"/>
    <x v="1"/>
    <n v="1"/>
    <x v="0"/>
    <x v="3"/>
  </r>
  <r>
    <n v="20463"/>
    <x v="0"/>
    <n v="81"/>
    <n v="1"/>
    <n v="1"/>
    <x v="0"/>
    <x v="0"/>
    <x v="0"/>
    <x v="0"/>
    <n v="250.89"/>
    <n v="28.1"/>
    <x v="2"/>
    <n v="1"/>
    <x v="0"/>
    <x v="3"/>
  </r>
  <r>
    <n v="68023"/>
    <x v="0"/>
    <n v="79"/>
    <n v="0"/>
    <n v="0"/>
    <x v="1"/>
    <x v="0"/>
    <x v="0"/>
    <x v="1"/>
    <n v="72.73"/>
    <n v="28.4"/>
    <x v="1"/>
    <n v="1"/>
    <x v="0"/>
    <x v="3"/>
  </r>
  <r>
    <n v="12689"/>
    <x v="1"/>
    <n v="63"/>
    <n v="0"/>
    <n v="0"/>
    <x v="1"/>
    <x v="0"/>
    <x v="2"/>
    <x v="1"/>
    <n v="205.35"/>
    <n v="42.2"/>
    <x v="0"/>
    <n v="1"/>
    <x v="0"/>
    <x v="0"/>
  </r>
  <r>
    <n v="54724"/>
    <x v="1"/>
    <n v="81"/>
    <n v="0"/>
    <n v="0"/>
    <x v="1"/>
    <x v="1"/>
    <x v="2"/>
    <x v="0"/>
    <n v="70.3"/>
    <n v="25.8"/>
    <x v="2"/>
    <n v="1"/>
    <x v="0"/>
    <x v="3"/>
  </r>
  <r>
    <n v="8899"/>
    <x v="0"/>
    <n v="49"/>
    <n v="0"/>
    <n v="0"/>
    <x v="2"/>
    <x v="1"/>
    <x v="0"/>
    <x v="1"/>
    <n v="104.86"/>
    <n v="31.9"/>
    <x v="2"/>
    <n v="1"/>
    <x v="1"/>
    <x v="0"/>
  </r>
  <r>
    <n v="39186"/>
    <x v="1"/>
    <n v="57"/>
    <n v="0"/>
    <n v="1"/>
    <x v="2"/>
    <x v="0"/>
    <x v="0"/>
    <x v="0"/>
    <n v="216.58"/>
    <n v="31"/>
    <x v="3"/>
    <n v="1"/>
    <x v="1"/>
    <x v="0"/>
  </r>
  <r>
    <n v="32729"/>
    <x v="1"/>
    <n v="81"/>
    <n v="0"/>
    <n v="0"/>
    <x v="1"/>
    <x v="0"/>
    <x v="0"/>
    <x v="1"/>
    <n v="184.4"/>
    <n v="27.5"/>
    <x v="1"/>
    <n v="1"/>
    <x v="0"/>
    <x v="3"/>
  </r>
  <r>
    <n v="39105"/>
    <x v="0"/>
    <n v="74"/>
    <n v="0"/>
    <n v="0"/>
    <x v="1"/>
    <x v="0"/>
    <x v="1"/>
    <x v="1"/>
    <n v="60.98"/>
    <s v="N/A"/>
    <x v="1"/>
    <n v="1"/>
    <x v="0"/>
    <x v="1"/>
  </r>
  <r>
    <n v="31154"/>
    <x v="1"/>
    <n v="39"/>
    <n v="0"/>
    <n v="0"/>
    <x v="2"/>
    <x v="0"/>
    <x v="1"/>
    <x v="0"/>
    <n v="97.76"/>
    <n v="29.6"/>
    <x v="2"/>
    <n v="1"/>
    <x v="2"/>
    <x v="3"/>
  </r>
  <r>
    <n v="69959"/>
    <x v="1"/>
    <n v="80"/>
    <n v="1"/>
    <n v="0"/>
    <x v="0"/>
    <x v="1"/>
    <x v="0"/>
    <x v="0"/>
    <n v="66.03"/>
    <n v="35.4"/>
    <x v="1"/>
    <n v="1"/>
    <x v="0"/>
    <x v="0"/>
  </r>
  <r>
    <n v="10552"/>
    <x v="1"/>
    <n v="81"/>
    <n v="0"/>
    <n v="0"/>
    <x v="1"/>
    <x v="0"/>
    <x v="1"/>
    <x v="1"/>
    <n v="81.95"/>
    <n v="16.899999999999999"/>
    <x v="1"/>
    <n v="1"/>
    <x v="0"/>
    <x v="4"/>
  </r>
  <r>
    <n v="12917"/>
    <x v="1"/>
    <n v="79"/>
    <n v="0"/>
    <n v="0"/>
    <x v="1"/>
    <x v="0"/>
    <x v="0"/>
    <x v="0"/>
    <n v="97.73"/>
    <n v="21.5"/>
    <x v="2"/>
    <n v="1"/>
    <x v="0"/>
    <x v="2"/>
  </r>
  <r>
    <n v="68356"/>
    <x v="1"/>
    <n v="73"/>
    <n v="0"/>
    <n v="0"/>
    <x v="1"/>
    <x v="0"/>
    <x v="1"/>
    <x v="0"/>
    <n v="70.94"/>
    <n v="34.4"/>
    <x v="1"/>
    <n v="1"/>
    <x v="0"/>
    <x v="0"/>
  </r>
  <r>
    <n v="23368"/>
    <x v="1"/>
    <n v="77"/>
    <n v="1"/>
    <n v="0"/>
    <x v="0"/>
    <x v="0"/>
    <x v="1"/>
    <x v="0"/>
    <n v="199.84"/>
    <n v="28"/>
    <x v="0"/>
    <n v="1"/>
    <x v="0"/>
    <x v="3"/>
  </r>
  <r>
    <n v="25974"/>
    <x v="0"/>
    <n v="78"/>
    <n v="0"/>
    <n v="0"/>
    <x v="1"/>
    <x v="0"/>
    <x v="1"/>
    <x v="0"/>
    <n v="218.46"/>
    <n v="26.8"/>
    <x v="3"/>
    <n v="1"/>
    <x v="0"/>
    <x v="3"/>
  </r>
  <r>
    <n v="1210"/>
    <x v="1"/>
    <n v="68"/>
    <n v="0"/>
    <n v="0"/>
    <x v="1"/>
    <x v="0"/>
    <x v="0"/>
    <x v="1"/>
    <n v="211.06"/>
    <n v="39.299999999999997"/>
    <x v="3"/>
    <n v="1"/>
    <x v="0"/>
    <x v="0"/>
  </r>
  <r>
    <n v="28493"/>
    <x v="0"/>
    <n v="57"/>
    <n v="0"/>
    <n v="0"/>
    <x v="2"/>
    <x v="0"/>
    <x v="0"/>
    <x v="0"/>
    <n v="86.3"/>
    <n v="31.7"/>
    <x v="3"/>
    <n v="1"/>
    <x v="1"/>
    <x v="0"/>
  </r>
  <r>
    <n v="36857"/>
    <x v="0"/>
    <n v="77"/>
    <n v="0"/>
    <n v="0"/>
    <x v="1"/>
    <x v="0"/>
    <x v="1"/>
    <x v="1"/>
    <n v="162.13999999999999"/>
    <n v="32.6"/>
    <x v="0"/>
    <n v="1"/>
    <x v="0"/>
    <x v="0"/>
  </r>
  <r>
    <n v="1836"/>
    <x v="1"/>
    <n v="51"/>
    <n v="1"/>
    <n v="0"/>
    <x v="2"/>
    <x v="0"/>
    <x v="0"/>
    <x v="0"/>
    <n v="88.2"/>
    <n v="28.4"/>
    <x v="1"/>
    <n v="1"/>
    <x v="1"/>
    <x v="3"/>
  </r>
  <r>
    <n v="32221"/>
    <x v="0"/>
    <n v="60"/>
    <n v="0"/>
    <n v="1"/>
    <x v="0"/>
    <x v="0"/>
    <x v="0"/>
    <x v="0"/>
    <n v="91.92"/>
    <n v="35.9"/>
    <x v="2"/>
    <n v="1"/>
    <x v="0"/>
    <x v="0"/>
  </r>
  <r>
    <n v="10548"/>
    <x v="0"/>
    <n v="66"/>
    <n v="0"/>
    <n v="0"/>
    <x v="1"/>
    <x v="0"/>
    <x v="0"/>
    <x v="1"/>
    <n v="76.459999999999994"/>
    <n v="21.2"/>
    <x v="0"/>
    <n v="1"/>
    <x v="0"/>
    <x v="2"/>
  </r>
  <r>
    <n v="52282"/>
    <x v="0"/>
    <n v="57"/>
    <n v="0"/>
    <n v="0"/>
    <x v="2"/>
    <x v="0"/>
    <x v="0"/>
    <x v="1"/>
    <n v="197.28"/>
    <n v="34.5"/>
    <x v="0"/>
    <n v="1"/>
    <x v="1"/>
    <x v="0"/>
  </r>
  <r>
    <n v="45535"/>
    <x v="0"/>
    <n v="68"/>
    <n v="0"/>
    <n v="0"/>
    <x v="1"/>
    <x v="0"/>
    <x v="0"/>
    <x v="1"/>
    <n v="233.94"/>
    <n v="42.4"/>
    <x v="1"/>
    <n v="1"/>
    <x v="0"/>
    <x v="0"/>
  </r>
  <r>
    <n v="40460"/>
    <x v="1"/>
    <n v="68"/>
    <n v="1"/>
    <n v="1"/>
    <x v="0"/>
    <x v="0"/>
    <x v="0"/>
    <x v="0"/>
    <n v="247.51"/>
    <n v="40.5"/>
    <x v="0"/>
    <n v="1"/>
    <x v="0"/>
    <x v="0"/>
  </r>
  <r>
    <n v="17739"/>
    <x v="0"/>
    <n v="57"/>
    <n v="0"/>
    <n v="0"/>
    <x v="2"/>
    <x v="0"/>
    <x v="0"/>
    <x v="1"/>
    <n v="84.96"/>
    <n v="36.700000000000003"/>
    <x v="3"/>
    <n v="1"/>
    <x v="1"/>
    <x v="0"/>
  </r>
  <r>
    <n v="49669"/>
    <x v="1"/>
    <n v="14"/>
    <n v="0"/>
    <n v="0"/>
    <x v="2"/>
    <x v="1"/>
    <x v="3"/>
    <x v="1"/>
    <n v="57.93"/>
    <n v="30.9"/>
    <x v="3"/>
    <n v="1"/>
    <x v="2"/>
    <x v="0"/>
  </r>
  <r>
    <n v="27153"/>
    <x v="1"/>
    <n v="75"/>
    <n v="0"/>
    <n v="0"/>
    <x v="1"/>
    <x v="0"/>
    <x v="1"/>
    <x v="1"/>
    <n v="78.8"/>
    <n v="29.3"/>
    <x v="0"/>
    <n v="1"/>
    <x v="0"/>
    <x v="3"/>
  </r>
  <r>
    <n v="34060"/>
    <x v="0"/>
    <n v="71"/>
    <n v="1"/>
    <n v="0"/>
    <x v="0"/>
    <x v="0"/>
    <x v="1"/>
    <x v="1"/>
    <n v="87.8"/>
    <s v="N/A"/>
    <x v="3"/>
    <n v="1"/>
    <x v="0"/>
    <x v="1"/>
  </r>
  <r>
    <n v="43424"/>
    <x v="1"/>
    <n v="78"/>
    <n v="0"/>
    <n v="0"/>
    <x v="1"/>
    <x v="0"/>
    <x v="0"/>
    <x v="1"/>
    <n v="78.81"/>
    <n v="19.600000000000001"/>
    <x v="3"/>
    <n v="1"/>
    <x v="0"/>
    <x v="2"/>
  </r>
  <r>
    <n v="30669"/>
    <x v="0"/>
    <n v="3"/>
    <n v="0"/>
    <n v="0"/>
    <x v="2"/>
    <x v="1"/>
    <x v="3"/>
    <x v="1"/>
    <n v="95.12"/>
    <n v="18"/>
    <x v="3"/>
    <n v="0"/>
    <x v="2"/>
    <x v="4"/>
  </r>
  <r>
    <n v="30468"/>
    <x v="0"/>
    <n v="58"/>
    <n v="1"/>
    <n v="0"/>
    <x v="2"/>
    <x v="0"/>
    <x v="0"/>
    <x v="0"/>
    <n v="87.96"/>
    <n v="39.200000000000003"/>
    <x v="1"/>
    <n v="0"/>
    <x v="1"/>
    <x v="0"/>
  </r>
  <r>
    <n v="16523"/>
    <x v="1"/>
    <n v="8"/>
    <n v="0"/>
    <n v="0"/>
    <x v="2"/>
    <x v="1"/>
    <x v="0"/>
    <x v="0"/>
    <n v="110.89"/>
    <n v="17.600000000000001"/>
    <x v="3"/>
    <n v="0"/>
    <x v="2"/>
    <x v="4"/>
  </r>
  <r>
    <n v="56543"/>
    <x v="1"/>
    <n v="70"/>
    <n v="0"/>
    <n v="0"/>
    <x v="1"/>
    <x v="0"/>
    <x v="0"/>
    <x v="1"/>
    <n v="69.040000000000006"/>
    <n v="35.9"/>
    <x v="0"/>
    <n v="0"/>
    <x v="0"/>
    <x v="0"/>
  </r>
  <r>
    <n v="46136"/>
    <x v="0"/>
    <n v="14"/>
    <n v="0"/>
    <n v="0"/>
    <x v="2"/>
    <x v="1"/>
    <x v="4"/>
    <x v="1"/>
    <n v="161.28"/>
    <n v="19.100000000000001"/>
    <x v="3"/>
    <n v="0"/>
    <x v="2"/>
    <x v="2"/>
  </r>
  <r>
    <n v="32257"/>
    <x v="1"/>
    <n v="47"/>
    <n v="0"/>
    <n v="0"/>
    <x v="2"/>
    <x v="0"/>
    <x v="0"/>
    <x v="0"/>
    <n v="210.95"/>
    <n v="50.1"/>
    <x v="3"/>
    <n v="0"/>
    <x v="1"/>
    <x v="0"/>
  </r>
  <r>
    <n v="52800"/>
    <x v="1"/>
    <n v="52"/>
    <n v="0"/>
    <n v="0"/>
    <x v="2"/>
    <x v="0"/>
    <x v="0"/>
    <x v="0"/>
    <n v="77.59"/>
    <n v="17.7"/>
    <x v="0"/>
    <n v="0"/>
    <x v="1"/>
    <x v="4"/>
  </r>
  <r>
    <n v="41413"/>
    <x v="1"/>
    <n v="75"/>
    <n v="0"/>
    <n v="1"/>
    <x v="0"/>
    <x v="0"/>
    <x v="1"/>
    <x v="1"/>
    <n v="243.53"/>
    <n v="27"/>
    <x v="1"/>
    <n v="0"/>
    <x v="0"/>
    <x v="3"/>
  </r>
  <r>
    <n v="15266"/>
    <x v="1"/>
    <n v="32"/>
    <n v="0"/>
    <n v="0"/>
    <x v="2"/>
    <x v="0"/>
    <x v="0"/>
    <x v="1"/>
    <n v="77.67"/>
    <n v="32.299999999999997"/>
    <x v="2"/>
    <n v="0"/>
    <x v="2"/>
    <x v="0"/>
  </r>
  <r>
    <n v="28674"/>
    <x v="1"/>
    <n v="74"/>
    <n v="1"/>
    <n v="0"/>
    <x v="0"/>
    <x v="0"/>
    <x v="1"/>
    <x v="0"/>
    <n v="205.84"/>
    <n v="54.6"/>
    <x v="1"/>
    <n v="0"/>
    <x v="0"/>
    <x v="0"/>
  </r>
  <r>
    <n v="10460"/>
    <x v="1"/>
    <n v="79"/>
    <n v="0"/>
    <n v="0"/>
    <x v="1"/>
    <x v="0"/>
    <x v="2"/>
    <x v="0"/>
    <n v="77.08"/>
    <n v="35"/>
    <x v="3"/>
    <n v="0"/>
    <x v="0"/>
    <x v="0"/>
  </r>
  <r>
    <n v="64908"/>
    <x v="0"/>
    <n v="79"/>
    <n v="0"/>
    <n v="1"/>
    <x v="0"/>
    <x v="0"/>
    <x v="0"/>
    <x v="0"/>
    <n v="57.08"/>
    <n v="22"/>
    <x v="0"/>
    <n v="0"/>
    <x v="0"/>
    <x v="2"/>
  </r>
  <r>
    <n v="63884"/>
    <x v="1"/>
    <n v="37"/>
    <n v="0"/>
    <n v="0"/>
    <x v="2"/>
    <x v="0"/>
    <x v="0"/>
    <x v="1"/>
    <n v="162.96"/>
    <n v="39.4"/>
    <x v="1"/>
    <n v="0"/>
    <x v="2"/>
    <x v="0"/>
  </r>
  <r>
    <n v="37893"/>
    <x v="1"/>
    <n v="37"/>
    <n v="0"/>
    <n v="0"/>
    <x v="2"/>
    <x v="0"/>
    <x v="0"/>
    <x v="1"/>
    <n v="73.5"/>
    <n v="26.1"/>
    <x v="0"/>
    <n v="0"/>
    <x v="2"/>
    <x v="3"/>
  </r>
  <r>
    <n v="67855"/>
    <x v="1"/>
    <n v="40"/>
    <n v="0"/>
    <n v="0"/>
    <x v="2"/>
    <x v="0"/>
    <x v="0"/>
    <x v="1"/>
    <n v="95.04"/>
    <n v="42.4"/>
    <x v="1"/>
    <n v="0"/>
    <x v="1"/>
    <x v="0"/>
  </r>
  <r>
    <n v="25774"/>
    <x v="0"/>
    <n v="35"/>
    <n v="0"/>
    <n v="0"/>
    <x v="2"/>
    <x v="1"/>
    <x v="0"/>
    <x v="1"/>
    <n v="85.37"/>
    <n v="33"/>
    <x v="1"/>
    <n v="0"/>
    <x v="2"/>
    <x v="0"/>
  </r>
  <r>
    <n v="19584"/>
    <x v="1"/>
    <n v="20"/>
    <n v="0"/>
    <n v="0"/>
    <x v="2"/>
    <x v="1"/>
    <x v="0"/>
    <x v="0"/>
    <n v="84.62"/>
    <n v="19.7"/>
    <x v="2"/>
    <n v="0"/>
    <x v="2"/>
    <x v="2"/>
  </r>
  <r>
    <n v="24447"/>
    <x v="1"/>
    <n v="42"/>
    <n v="0"/>
    <n v="0"/>
    <x v="2"/>
    <x v="0"/>
    <x v="0"/>
    <x v="1"/>
    <n v="82.67"/>
    <n v="22.5"/>
    <x v="1"/>
    <n v="0"/>
    <x v="1"/>
    <x v="2"/>
  </r>
  <r>
    <n v="49589"/>
    <x v="1"/>
    <n v="44"/>
    <n v="0"/>
    <n v="0"/>
    <x v="2"/>
    <x v="0"/>
    <x v="2"/>
    <x v="0"/>
    <n v="57.33"/>
    <n v="24.6"/>
    <x v="2"/>
    <n v="0"/>
    <x v="1"/>
    <x v="2"/>
  </r>
  <r>
    <n v="17986"/>
    <x v="1"/>
    <n v="79"/>
    <n v="0"/>
    <n v="1"/>
    <x v="0"/>
    <x v="0"/>
    <x v="1"/>
    <x v="0"/>
    <n v="67.84"/>
    <n v="25.2"/>
    <x v="2"/>
    <n v="0"/>
    <x v="0"/>
    <x v="3"/>
  </r>
  <r>
    <n v="29217"/>
    <x v="1"/>
    <n v="65"/>
    <n v="1"/>
    <n v="0"/>
    <x v="0"/>
    <x v="0"/>
    <x v="0"/>
    <x v="1"/>
    <n v="75.7"/>
    <n v="41.8"/>
    <x v="3"/>
    <n v="0"/>
    <x v="0"/>
    <x v="0"/>
  </r>
  <r>
    <n v="72911"/>
    <x v="1"/>
    <n v="57"/>
    <n v="1"/>
    <n v="0"/>
    <x v="2"/>
    <x v="0"/>
    <x v="0"/>
    <x v="1"/>
    <n v="129.54"/>
    <n v="60.9"/>
    <x v="2"/>
    <n v="0"/>
    <x v="1"/>
    <x v="0"/>
  </r>
  <r>
    <n v="47175"/>
    <x v="1"/>
    <n v="49"/>
    <n v="0"/>
    <n v="0"/>
    <x v="2"/>
    <x v="0"/>
    <x v="0"/>
    <x v="1"/>
    <n v="60.22"/>
    <n v="31.5"/>
    <x v="2"/>
    <n v="0"/>
    <x v="1"/>
    <x v="0"/>
  </r>
  <r>
    <n v="4057"/>
    <x v="0"/>
    <n v="71"/>
    <n v="0"/>
    <n v="0"/>
    <x v="1"/>
    <x v="0"/>
    <x v="0"/>
    <x v="0"/>
    <n v="198.21"/>
    <n v="27.3"/>
    <x v="0"/>
    <n v="0"/>
    <x v="0"/>
    <x v="3"/>
  </r>
  <r>
    <n v="48588"/>
    <x v="1"/>
    <n v="59"/>
    <n v="0"/>
    <n v="0"/>
    <x v="2"/>
    <x v="0"/>
    <x v="0"/>
    <x v="0"/>
    <n v="109.82"/>
    <n v="23.7"/>
    <x v="1"/>
    <n v="0"/>
    <x v="1"/>
    <x v="2"/>
  </r>
  <r>
    <n v="70336"/>
    <x v="1"/>
    <n v="25"/>
    <n v="0"/>
    <n v="0"/>
    <x v="2"/>
    <x v="0"/>
    <x v="0"/>
    <x v="0"/>
    <n v="60.84"/>
    <n v="24.5"/>
    <x v="1"/>
    <n v="0"/>
    <x v="2"/>
    <x v="2"/>
  </r>
  <r>
    <n v="66767"/>
    <x v="1"/>
    <n v="67"/>
    <n v="0"/>
    <n v="0"/>
    <x v="1"/>
    <x v="0"/>
    <x v="2"/>
    <x v="1"/>
    <n v="94.61"/>
    <n v="28.4"/>
    <x v="2"/>
    <n v="0"/>
    <x v="0"/>
    <x v="3"/>
  </r>
  <r>
    <n v="45801"/>
    <x v="1"/>
    <n v="38"/>
    <n v="0"/>
    <n v="0"/>
    <x v="2"/>
    <x v="1"/>
    <x v="0"/>
    <x v="1"/>
    <n v="97.49"/>
    <n v="26.9"/>
    <x v="1"/>
    <n v="0"/>
    <x v="2"/>
    <x v="3"/>
  </r>
  <r>
    <n v="36275"/>
    <x v="1"/>
    <n v="54"/>
    <n v="0"/>
    <n v="0"/>
    <x v="2"/>
    <x v="0"/>
    <x v="0"/>
    <x v="1"/>
    <n v="206.72"/>
    <n v="26.7"/>
    <x v="1"/>
    <n v="0"/>
    <x v="1"/>
    <x v="3"/>
  </r>
  <r>
    <n v="11577"/>
    <x v="1"/>
    <n v="70"/>
    <n v="0"/>
    <n v="0"/>
    <x v="1"/>
    <x v="0"/>
    <x v="1"/>
    <x v="1"/>
    <n v="214.45"/>
    <n v="31.2"/>
    <x v="1"/>
    <n v="0"/>
    <x v="0"/>
    <x v="0"/>
  </r>
  <r>
    <n v="67210"/>
    <x v="0"/>
    <n v="27"/>
    <n v="0"/>
    <n v="0"/>
    <x v="2"/>
    <x v="0"/>
    <x v="1"/>
    <x v="0"/>
    <n v="82.9"/>
    <n v="25"/>
    <x v="3"/>
    <n v="0"/>
    <x v="2"/>
    <x v="3"/>
  </r>
  <r>
    <n v="29908"/>
    <x v="1"/>
    <n v="47"/>
    <n v="0"/>
    <n v="0"/>
    <x v="2"/>
    <x v="0"/>
    <x v="0"/>
    <x v="0"/>
    <n v="103.26"/>
    <n v="25.4"/>
    <x v="3"/>
    <n v="0"/>
    <x v="1"/>
    <x v="3"/>
  </r>
  <r>
    <n v="45222"/>
    <x v="0"/>
    <n v="58"/>
    <n v="1"/>
    <n v="0"/>
    <x v="2"/>
    <x v="1"/>
    <x v="0"/>
    <x v="0"/>
    <n v="55.78"/>
    <n v="27.5"/>
    <x v="2"/>
    <n v="0"/>
    <x v="1"/>
    <x v="3"/>
  </r>
  <r>
    <n v="33759"/>
    <x v="1"/>
    <n v="3"/>
    <n v="0"/>
    <n v="0"/>
    <x v="2"/>
    <x v="1"/>
    <x v="3"/>
    <x v="0"/>
    <n v="73.739999999999995"/>
    <n v="16"/>
    <x v="3"/>
    <n v="0"/>
    <x v="2"/>
    <x v="4"/>
  </r>
  <r>
    <n v="40311"/>
    <x v="1"/>
    <n v="58"/>
    <n v="0"/>
    <n v="0"/>
    <x v="2"/>
    <x v="0"/>
    <x v="0"/>
    <x v="0"/>
    <n v="149.75"/>
    <n v="27"/>
    <x v="3"/>
    <n v="0"/>
    <x v="1"/>
    <x v="3"/>
  </r>
  <r>
    <n v="26325"/>
    <x v="0"/>
    <n v="14"/>
    <n v="0"/>
    <n v="0"/>
    <x v="2"/>
    <x v="1"/>
    <x v="2"/>
    <x v="0"/>
    <n v="82.34"/>
    <n v="31.6"/>
    <x v="3"/>
    <n v="0"/>
    <x v="2"/>
    <x v="0"/>
  </r>
  <r>
    <n v="65460"/>
    <x v="1"/>
    <n v="32"/>
    <n v="0"/>
    <n v="0"/>
    <x v="2"/>
    <x v="0"/>
    <x v="0"/>
    <x v="1"/>
    <n v="62.6"/>
    <n v="25.1"/>
    <x v="0"/>
    <n v="0"/>
    <x v="2"/>
    <x v="3"/>
  </r>
  <r>
    <n v="36811"/>
    <x v="1"/>
    <n v="23"/>
    <n v="0"/>
    <n v="0"/>
    <x v="2"/>
    <x v="1"/>
    <x v="0"/>
    <x v="0"/>
    <n v="94.09"/>
    <n v="30.9"/>
    <x v="1"/>
    <n v="0"/>
    <x v="2"/>
    <x v="0"/>
  </r>
  <r>
    <n v="71750"/>
    <x v="1"/>
    <n v="55"/>
    <n v="0"/>
    <n v="0"/>
    <x v="2"/>
    <x v="0"/>
    <x v="0"/>
    <x v="0"/>
    <n v="55.42"/>
    <n v="24.8"/>
    <x v="3"/>
    <n v="0"/>
    <x v="1"/>
    <x v="2"/>
  </r>
  <r>
    <n v="70970"/>
    <x v="1"/>
    <n v="17"/>
    <n v="0"/>
    <n v="0"/>
    <x v="2"/>
    <x v="1"/>
    <x v="1"/>
    <x v="0"/>
    <n v="82.18"/>
    <n v="23.4"/>
    <x v="3"/>
    <n v="0"/>
    <x v="2"/>
    <x v="2"/>
  </r>
  <r>
    <n v="42203"/>
    <x v="0"/>
    <n v="59"/>
    <n v="0"/>
    <n v="0"/>
    <x v="2"/>
    <x v="0"/>
    <x v="0"/>
    <x v="0"/>
    <n v="117.92"/>
    <n v="29.4"/>
    <x v="2"/>
    <n v="0"/>
    <x v="1"/>
    <x v="3"/>
  </r>
  <r>
    <n v="55680"/>
    <x v="0"/>
    <n v="13"/>
    <n v="0"/>
    <n v="0"/>
    <x v="2"/>
    <x v="1"/>
    <x v="3"/>
    <x v="0"/>
    <n v="114.84"/>
    <n v="18.3"/>
    <x v="3"/>
    <n v="0"/>
    <x v="2"/>
    <x v="4"/>
  </r>
  <r>
    <n v="11014"/>
    <x v="0"/>
    <n v="4"/>
    <n v="0"/>
    <n v="0"/>
    <x v="2"/>
    <x v="1"/>
    <x v="3"/>
    <x v="1"/>
    <n v="79.17"/>
    <n v="20"/>
    <x v="3"/>
    <n v="0"/>
    <x v="2"/>
    <x v="2"/>
  </r>
  <r>
    <n v="44338"/>
    <x v="1"/>
    <n v="16"/>
    <n v="0"/>
    <n v="0"/>
    <x v="2"/>
    <x v="1"/>
    <x v="3"/>
    <x v="1"/>
    <n v="110.63"/>
    <n v="19.5"/>
    <x v="3"/>
    <n v="0"/>
    <x v="2"/>
    <x v="2"/>
  </r>
  <r>
    <n v="20980"/>
    <x v="0"/>
    <n v="67"/>
    <n v="0"/>
    <n v="0"/>
    <x v="1"/>
    <x v="0"/>
    <x v="0"/>
    <x v="0"/>
    <n v="190.7"/>
    <n v="36"/>
    <x v="0"/>
    <n v="0"/>
    <x v="0"/>
    <x v="0"/>
  </r>
  <r>
    <n v="34974"/>
    <x v="1"/>
    <n v="22"/>
    <n v="0"/>
    <n v="0"/>
    <x v="2"/>
    <x v="1"/>
    <x v="0"/>
    <x v="1"/>
    <n v="79.81"/>
    <n v="27.7"/>
    <x v="3"/>
    <n v="0"/>
    <x v="2"/>
    <x v="3"/>
  </r>
  <r>
    <n v="71379"/>
    <x v="1"/>
    <n v="45"/>
    <n v="0"/>
    <n v="0"/>
    <x v="2"/>
    <x v="0"/>
    <x v="2"/>
    <x v="0"/>
    <n v="113.63"/>
    <n v="27.5"/>
    <x v="2"/>
    <n v="0"/>
    <x v="1"/>
    <x v="3"/>
  </r>
  <r>
    <n v="58261"/>
    <x v="1"/>
    <n v="66"/>
    <n v="0"/>
    <n v="0"/>
    <x v="1"/>
    <x v="0"/>
    <x v="0"/>
    <x v="1"/>
    <n v="141.24"/>
    <n v="28.5"/>
    <x v="1"/>
    <n v="0"/>
    <x v="0"/>
    <x v="3"/>
  </r>
  <r>
    <n v="67318"/>
    <x v="0"/>
    <n v="58"/>
    <n v="1"/>
    <n v="0"/>
    <x v="2"/>
    <x v="0"/>
    <x v="2"/>
    <x v="1"/>
    <n v="56.96"/>
    <n v="26.8"/>
    <x v="2"/>
    <n v="0"/>
    <x v="1"/>
    <x v="3"/>
  </r>
  <r>
    <n v="28526"/>
    <x v="0"/>
    <n v="69"/>
    <n v="0"/>
    <n v="0"/>
    <x v="1"/>
    <x v="0"/>
    <x v="1"/>
    <x v="1"/>
    <n v="203.04"/>
    <n v="33.6"/>
    <x v="1"/>
    <n v="0"/>
    <x v="0"/>
    <x v="0"/>
  </r>
  <r>
    <n v="8831"/>
    <x v="1"/>
    <n v="58"/>
    <n v="0"/>
    <n v="0"/>
    <x v="2"/>
    <x v="0"/>
    <x v="0"/>
    <x v="1"/>
    <n v="94.3"/>
    <n v="29.1"/>
    <x v="3"/>
    <n v="0"/>
    <x v="1"/>
    <x v="3"/>
  </r>
  <r>
    <n v="65199"/>
    <x v="1"/>
    <n v="53"/>
    <n v="0"/>
    <n v="0"/>
    <x v="2"/>
    <x v="0"/>
    <x v="1"/>
    <x v="0"/>
    <n v="81.510000000000005"/>
    <n v="28.5"/>
    <x v="3"/>
    <n v="0"/>
    <x v="1"/>
    <x v="3"/>
  </r>
  <r>
    <n v="43454"/>
    <x v="1"/>
    <n v="78"/>
    <n v="0"/>
    <n v="0"/>
    <x v="1"/>
    <x v="1"/>
    <x v="1"/>
    <x v="0"/>
    <n v="137.74"/>
    <n v="34.9"/>
    <x v="0"/>
    <n v="0"/>
    <x v="0"/>
    <x v="0"/>
  </r>
  <r>
    <n v="7282"/>
    <x v="0"/>
    <n v="44"/>
    <n v="0"/>
    <n v="0"/>
    <x v="2"/>
    <x v="0"/>
    <x v="0"/>
    <x v="1"/>
    <n v="81.84"/>
    <n v="25.1"/>
    <x v="1"/>
    <n v="0"/>
    <x v="1"/>
    <x v="3"/>
  </r>
  <r>
    <n v="18518"/>
    <x v="0"/>
    <n v="66"/>
    <n v="0"/>
    <n v="0"/>
    <x v="1"/>
    <x v="0"/>
    <x v="0"/>
    <x v="1"/>
    <n v="242.3"/>
    <n v="35.299999999999997"/>
    <x v="2"/>
    <n v="0"/>
    <x v="0"/>
    <x v="0"/>
  </r>
  <r>
    <n v="41648"/>
    <x v="0"/>
    <n v="27"/>
    <n v="0"/>
    <n v="0"/>
    <x v="2"/>
    <x v="0"/>
    <x v="0"/>
    <x v="1"/>
    <n v="102.64"/>
    <n v="26.4"/>
    <x v="2"/>
    <n v="0"/>
    <x v="2"/>
    <x v="3"/>
  </r>
  <r>
    <n v="49003"/>
    <x v="0"/>
    <n v="43"/>
    <n v="0"/>
    <n v="0"/>
    <x v="2"/>
    <x v="0"/>
    <x v="0"/>
    <x v="0"/>
    <n v="146.01"/>
    <n v="31.5"/>
    <x v="2"/>
    <n v="0"/>
    <x v="1"/>
    <x v="0"/>
  </r>
  <r>
    <n v="16371"/>
    <x v="1"/>
    <n v="13"/>
    <n v="0"/>
    <n v="0"/>
    <x v="2"/>
    <x v="1"/>
    <x v="3"/>
    <x v="0"/>
    <n v="75.42"/>
    <n v="40.1"/>
    <x v="3"/>
    <n v="0"/>
    <x v="2"/>
    <x v="0"/>
  </r>
  <r>
    <n v="42807"/>
    <x v="0"/>
    <n v="51"/>
    <n v="0"/>
    <n v="0"/>
    <x v="2"/>
    <x v="0"/>
    <x v="2"/>
    <x v="0"/>
    <n v="220.49"/>
    <n v="43.1"/>
    <x v="3"/>
    <n v="0"/>
    <x v="1"/>
    <x v="0"/>
  </r>
  <r>
    <n v="40181"/>
    <x v="1"/>
    <n v="30"/>
    <n v="0"/>
    <n v="0"/>
    <x v="2"/>
    <x v="0"/>
    <x v="0"/>
    <x v="0"/>
    <n v="61.45"/>
    <n v="36.700000000000003"/>
    <x v="2"/>
    <n v="0"/>
    <x v="2"/>
    <x v="0"/>
  </r>
  <r>
    <n v="66174"/>
    <x v="0"/>
    <n v="46"/>
    <n v="0"/>
    <n v="0"/>
    <x v="2"/>
    <x v="0"/>
    <x v="1"/>
    <x v="1"/>
    <n v="88.19"/>
    <n v="29.3"/>
    <x v="0"/>
    <n v="0"/>
    <x v="1"/>
    <x v="3"/>
  </r>
  <r>
    <n v="45538"/>
    <x v="1"/>
    <n v="43"/>
    <n v="0"/>
    <n v="0"/>
    <x v="2"/>
    <x v="0"/>
    <x v="1"/>
    <x v="1"/>
    <n v="115.22"/>
    <n v="21.2"/>
    <x v="3"/>
    <n v="0"/>
    <x v="1"/>
    <x v="2"/>
  </r>
  <r>
    <n v="6319"/>
    <x v="1"/>
    <n v="79"/>
    <n v="0"/>
    <n v="0"/>
    <x v="1"/>
    <x v="0"/>
    <x v="0"/>
    <x v="0"/>
    <n v="97.93"/>
    <n v="31.2"/>
    <x v="3"/>
    <n v="0"/>
    <x v="0"/>
    <x v="0"/>
  </r>
  <r>
    <n v="68249"/>
    <x v="1"/>
    <n v="27"/>
    <n v="0"/>
    <n v="0"/>
    <x v="2"/>
    <x v="0"/>
    <x v="0"/>
    <x v="1"/>
    <n v="85.6"/>
    <n v="21.4"/>
    <x v="3"/>
    <n v="0"/>
    <x v="2"/>
    <x v="2"/>
  </r>
  <r>
    <n v="55232"/>
    <x v="1"/>
    <n v="38"/>
    <n v="0"/>
    <n v="0"/>
    <x v="2"/>
    <x v="0"/>
    <x v="0"/>
    <x v="1"/>
    <n v="79.83"/>
    <n v="27.9"/>
    <x v="2"/>
    <n v="0"/>
    <x v="2"/>
    <x v="3"/>
  </r>
  <r>
    <n v="11120"/>
    <x v="1"/>
    <n v="78"/>
    <n v="1"/>
    <n v="0"/>
    <x v="0"/>
    <x v="0"/>
    <x v="0"/>
    <x v="0"/>
    <n v="218.46"/>
    <n v="34.299999999999997"/>
    <x v="1"/>
    <n v="0"/>
    <x v="0"/>
    <x v="0"/>
  </r>
  <r>
    <n v="41940"/>
    <x v="0"/>
    <n v="57"/>
    <n v="0"/>
    <n v="1"/>
    <x v="2"/>
    <x v="0"/>
    <x v="0"/>
    <x v="1"/>
    <n v="62.2"/>
    <n v="31"/>
    <x v="0"/>
    <n v="0"/>
    <x v="1"/>
    <x v="0"/>
  </r>
  <r>
    <n v="72214"/>
    <x v="0"/>
    <n v="61"/>
    <n v="0"/>
    <n v="0"/>
    <x v="1"/>
    <x v="0"/>
    <x v="1"/>
    <x v="0"/>
    <n v="69.150000000000006"/>
    <n v="27.7"/>
    <x v="0"/>
    <n v="0"/>
    <x v="0"/>
    <x v="3"/>
  </r>
  <r>
    <n v="37089"/>
    <x v="1"/>
    <n v="37"/>
    <n v="1"/>
    <n v="0"/>
    <x v="2"/>
    <x v="0"/>
    <x v="1"/>
    <x v="1"/>
    <n v="127.71"/>
    <n v="36"/>
    <x v="1"/>
    <n v="0"/>
    <x v="2"/>
    <x v="0"/>
  </r>
  <r>
    <n v="68614"/>
    <x v="1"/>
    <n v="48"/>
    <n v="0"/>
    <n v="0"/>
    <x v="2"/>
    <x v="0"/>
    <x v="0"/>
    <x v="1"/>
    <n v="216.7"/>
    <n v="38.700000000000003"/>
    <x v="0"/>
    <n v="0"/>
    <x v="1"/>
    <x v="0"/>
  </r>
  <r>
    <n v="1686"/>
    <x v="1"/>
    <n v="29"/>
    <n v="0"/>
    <n v="0"/>
    <x v="2"/>
    <x v="1"/>
    <x v="0"/>
    <x v="0"/>
    <n v="71.89"/>
    <n v="27.6"/>
    <x v="1"/>
    <n v="0"/>
    <x v="2"/>
    <x v="3"/>
  </r>
  <r>
    <n v="22284"/>
    <x v="0"/>
    <n v="22"/>
    <n v="0"/>
    <n v="0"/>
    <x v="2"/>
    <x v="1"/>
    <x v="0"/>
    <x v="1"/>
    <n v="103.56"/>
    <n v="25.1"/>
    <x v="3"/>
    <n v="0"/>
    <x v="2"/>
    <x v="3"/>
  </r>
  <r>
    <n v="39038"/>
    <x v="0"/>
    <n v="11"/>
    <n v="0"/>
    <n v="0"/>
    <x v="2"/>
    <x v="1"/>
    <x v="3"/>
    <x v="1"/>
    <n v="79.03"/>
    <n v="16.5"/>
    <x v="3"/>
    <n v="0"/>
    <x v="2"/>
    <x v="4"/>
  </r>
  <r>
    <n v="21956"/>
    <x v="1"/>
    <n v="22"/>
    <n v="0"/>
    <n v="0"/>
    <x v="2"/>
    <x v="1"/>
    <x v="0"/>
    <x v="0"/>
    <n v="69.94"/>
    <n v="22.8"/>
    <x v="3"/>
    <n v="0"/>
    <x v="2"/>
    <x v="2"/>
  </r>
  <r>
    <n v="52134"/>
    <x v="0"/>
    <n v="53"/>
    <n v="0"/>
    <n v="0"/>
    <x v="2"/>
    <x v="0"/>
    <x v="0"/>
    <x v="1"/>
    <n v="90.12"/>
    <n v="35.4"/>
    <x v="3"/>
    <n v="0"/>
    <x v="1"/>
    <x v="0"/>
  </r>
  <r>
    <n v="30171"/>
    <x v="0"/>
    <n v="27"/>
    <n v="0"/>
    <n v="0"/>
    <x v="2"/>
    <x v="1"/>
    <x v="2"/>
    <x v="0"/>
    <n v="95.1"/>
    <n v="24.3"/>
    <x v="0"/>
    <n v="0"/>
    <x v="2"/>
    <x v="2"/>
  </r>
  <r>
    <n v="4480"/>
    <x v="0"/>
    <n v="76"/>
    <n v="0"/>
    <n v="0"/>
    <x v="1"/>
    <x v="0"/>
    <x v="0"/>
    <x v="1"/>
    <n v="234.58"/>
    <n v="34.299999999999997"/>
    <x v="0"/>
    <n v="0"/>
    <x v="0"/>
    <x v="0"/>
  </r>
  <r>
    <n v="2982"/>
    <x v="1"/>
    <n v="57"/>
    <n v="1"/>
    <n v="0"/>
    <x v="2"/>
    <x v="0"/>
    <x v="0"/>
    <x v="1"/>
    <n v="235.85"/>
    <n v="40.1"/>
    <x v="1"/>
    <n v="0"/>
    <x v="1"/>
    <x v="0"/>
  </r>
  <r>
    <n v="65535"/>
    <x v="0"/>
    <n v="8"/>
    <n v="0"/>
    <n v="0"/>
    <x v="2"/>
    <x v="1"/>
    <x v="3"/>
    <x v="1"/>
    <n v="78.05"/>
    <n v="25.7"/>
    <x v="3"/>
    <n v="0"/>
    <x v="2"/>
    <x v="3"/>
  </r>
  <r>
    <n v="29865"/>
    <x v="1"/>
    <n v="21"/>
    <n v="0"/>
    <n v="0"/>
    <x v="2"/>
    <x v="1"/>
    <x v="0"/>
    <x v="1"/>
    <n v="89.44"/>
    <n v="21.9"/>
    <x v="2"/>
    <n v="0"/>
    <x v="2"/>
    <x v="2"/>
  </r>
  <r>
    <n v="54918"/>
    <x v="1"/>
    <n v="18"/>
    <n v="0"/>
    <n v="0"/>
    <x v="2"/>
    <x v="1"/>
    <x v="0"/>
    <x v="1"/>
    <n v="111.38"/>
    <n v="38.4"/>
    <x v="2"/>
    <n v="0"/>
    <x v="2"/>
    <x v="0"/>
  </r>
  <r>
    <n v="59368"/>
    <x v="1"/>
    <n v="78"/>
    <n v="0"/>
    <n v="0"/>
    <x v="1"/>
    <x v="0"/>
    <x v="0"/>
    <x v="0"/>
    <n v="243.5"/>
    <n v="26.1"/>
    <x v="1"/>
    <n v="0"/>
    <x v="0"/>
    <x v="3"/>
  </r>
  <r>
    <n v="65836"/>
    <x v="1"/>
    <n v="78"/>
    <n v="1"/>
    <n v="0"/>
    <x v="0"/>
    <x v="0"/>
    <x v="0"/>
    <x v="0"/>
    <n v="182.2"/>
    <n v="30.5"/>
    <x v="0"/>
    <n v="0"/>
    <x v="0"/>
    <x v="0"/>
  </r>
  <r>
    <n v="21130"/>
    <x v="0"/>
    <n v="33"/>
    <n v="0"/>
    <n v="0"/>
    <x v="2"/>
    <x v="0"/>
    <x v="1"/>
    <x v="0"/>
    <n v="229.92"/>
    <n v="25.9"/>
    <x v="2"/>
    <n v="0"/>
    <x v="2"/>
    <x v="3"/>
  </r>
  <r>
    <n v="1703"/>
    <x v="1"/>
    <n v="52"/>
    <n v="0"/>
    <n v="0"/>
    <x v="2"/>
    <x v="0"/>
    <x v="0"/>
    <x v="0"/>
    <n v="82.24"/>
    <n v="54.7"/>
    <x v="0"/>
    <n v="0"/>
    <x v="1"/>
    <x v="0"/>
  </r>
  <r>
    <n v="16934"/>
    <x v="1"/>
    <n v="51"/>
    <n v="0"/>
    <n v="0"/>
    <x v="2"/>
    <x v="0"/>
    <x v="1"/>
    <x v="1"/>
    <n v="89.84"/>
    <n v="29.9"/>
    <x v="3"/>
    <n v="0"/>
    <x v="1"/>
    <x v="3"/>
  </r>
  <r>
    <n v="28799"/>
    <x v="0"/>
    <n v="11"/>
    <n v="0"/>
    <n v="0"/>
    <x v="2"/>
    <x v="1"/>
    <x v="3"/>
    <x v="1"/>
    <n v="90.69"/>
    <n v="18.600000000000001"/>
    <x v="3"/>
    <n v="0"/>
    <x v="2"/>
    <x v="2"/>
  </r>
  <r>
    <n v="32689"/>
    <x v="1"/>
    <n v="48"/>
    <n v="0"/>
    <n v="0"/>
    <x v="2"/>
    <x v="0"/>
    <x v="0"/>
    <x v="0"/>
    <n v="84.38"/>
    <n v="27.1"/>
    <x v="3"/>
    <n v="0"/>
    <x v="1"/>
    <x v="3"/>
  </r>
  <r>
    <n v="56357"/>
    <x v="1"/>
    <n v="82"/>
    <n v="0"/>
    <n v="1"/>
    <x v="0"/>
    <x v="1"/>
    <x v="0"/>
    <x v="0"/>
    <n v="215.6"/>
    <n v="24.9"/>
    <x v="1"/>
    <n v="0"/>
    <x v="0"/>
    <x v="2"/>
  </r>
  <r>
    <n v="18051"/>
    <x v="1"/>
    <n v="54"/>
    <n v="0"/>
    <n v="0"/>
    <x v="2"/>
    <x v="0"/>
    <x v="2"/>
    <x v="1"/>
    <n v="91.61"/>
    <n v="25.2"/>
    <x v="1"/>
    <n v="0"/>
    <x v="1"/>
    <x v="3"/>
  </r>
  <r>
    <n v="40840"/>
    <x v="1"/>
    <n v="49"/>
    <n v="0"/>
    <n v="0"/>
    <x v="2"/>
    <x v="0"/>
    <x v="0"/>
    <x v="1"/>
    <n v="138.16"/>
    <n v="19.399999999999999"/>
    <x v="1"/>
    <n v="0"/>
    <x v="1"/>
    <x v="2"/>
  </r>
  <r>
    <n v="10449"/>
    <x v="1"/>
    <n v="24"/>
    <n v="0"/>
    <n v="0"/>
    <x v="2"/>
    <x v="0"/>
    <x v="0"/>
    <x v="0"/>
    <n v="75.23"/>
    <n v="29"/>
    <x v="1"/>
    <n v="0"/>
    <x v="2"/>
    <x v="3"/>
  </r>
  <r>
    <n v="38805"/>
    <x v="1"/>
    <n v="37"/>
    <n v="0"/>
    <n v="0"/>
    <x v="2"/>
    <x v="0"/>
    <x v="0"/>
    <x v="1"/>
    <n v="75.180000000000007"/>
    <n v="48.2"/>
    <x v="0"/>
    <n v="0"/>
    <x v="2"/>
    <x v="0"/>
  </r>
  <r>
    <n v="31091"/>
    <x v="0"/>
    <n v="34"/>
    <n v="0"/>
    <n v="1"/>
    <x v="2"/>
    <x v="0"/>
    <x v="0"/>
    <x v="0"/>
    <n v="106.23"/>
    <s v="N/A"/>
    <x v="0"/>
    <n v="0"/>
    <x v="2"/>
    <x v="1"/>
  </r>
  <r>
    <n v="45053"/>
    <x v="0"/>
    <n v="64"/>
    <n v="0"/>
    <n v="0"/>
    <x v="1"/>
    <x v="0"/>
    <x v="2"/>
    <x v="0"/>
    <n v="239.64"/>
    <n v="34.6"/>
    <x v="0"/>
    <n v="0"/>
    <x v="0"/>
    <x v="0"/>
  </r>
  <r>
    <n v="61837"/>
    <x v="1"/>
    <n v="66"/>
    <n v="0"/>
    <n v="0"/>
    <x v="1"/>
    <x v="0"/>
    <x v="1"/>
    <x v="0"/>
    <n v="58.95"/>
    <n v="24.6"/>
    <x v="1"/>
    <n v="0"/>
    <x v="0"/>
    <x v="2"/>
  </r>
  <r>
    <n v="9487"/>
    <x v="1"/>
    <n v="23"/>
    <n v="0"/>
    <n v="0"/>
    <x v="2"/>
    <x v="1"/>
    <x v="0"/>
    <x v="0"/>
    <n v="99.92"/>
    <n v="25.8"/>
    <x v="1"/>
    <n v="0"/>
    <x v="2"/>
    <x v="3"/>
  </r>
  <r>
    <n v="49713"/>
    <x v="0"/>
    <n v="68"/>
    <n v="0"/>
    <n v="0"/>
    <x v="1"/>
    <x v="0"/>
    <x v="0"/>
    <x v="1"/>
    <n v="116.23"/>
    <n v="26.1"/>
    <x v="1"/>
    <n v="0"/>
    <x v="0"/>
    <x v="3"/>
  </r>
  <r>
    <n v="17608"/>
    <x v="1"/>
    <n v="55"/>
    <n v="0"/>
    <n v="0"/>
    <x v="2"/>
    <x v="0"/>
    <x v="2"/>
    <x v="0"/>
    <n v="118.82"/>
    <n v="29"/>
    <x v="0"/>
    <n v="0"/>
    <x v="1"/>
    <x v="3"/>
  </r>
  <r>
    <n v="28102"/>
    <x v="1"/>
    <n v="25"/>
    <n v="0"/>
    <n v="0"/>
    <x v="2"/>
    <x v="1"/>
    <x v="0"/>
    <x v="1"/>
    <n v="66.3"/>
    <n v="27.2"/>
    <x v="1"/>
    <n v="0"/>
    <x v="2"/>
    <x v="3"/>
  </r>
  <r>
    <n v="1506"/>
    <x v="1"/>
    <n v="48"/>
    <n v="0"/>
    <n v="0"/>
    <x v="2"/>
    <x v="1"/>
    <x v="2"/>
    <x v="0"/>
    <n v="101.41"/>
    <n v="20.7"/>
    <x v="2"/>
    <n v="0"/>
    <x v="1"/>
    <x v="2"/>
  </r>
  <r>
    <n v="28333"/>
    <x v="1"/>
    <n v="79"/>
    <n v="1"/>
    <n v="1"/>
    <x v="0"/>
    <x v="0"/>
    <x v="1"/>
    <x v="0"/>
    <n v="200.28"/>
    <n v="30"/>
    <x v="0"/>
    <n v="0"/>
    <x v="0"/>
    <x v="0"/>
  </r>
  <r>
    <n v="62608"/>
    <x v="1"/>
    <n v="47"/>
    <n v="0"/>
    <n v="0"/>
    <x v="2"/>
    <x v="0"/>
    <x v="0"/>
    <x v="0"/>
    <n v="136.80000000000001"/>
    <n v="37.299999999999997"/>
    <x v="1"/>
    <n v="0"/>
    <x v="1"/>
    <x v="0"/>
  </r>
  <r>
    <n v="40670"/>
    <x v="1"/>
    <n v="20"/>
    <n v="0"/>
    <n v="0"/>
    <x v="2"/>
    <x v="1"/>
    <x v="0"/>
    <x v="1"/>
    <n v="96.57"/>
    <n v="34.1"/>
    <x v="1"/>
    <n v="0"/>
    <x v="2"/>
    <x v="0"/>
  </r>
  <r>
    <n v="4630"/>
    <x v="1"/>
    <n v="60"/>
    <n v="0"/>
    <n v="0"/>
    <x v="1"/>
    <x v="0"/>
    <x v="0"/>
    <x v="1"/>
    <n v="66.42"/>
    <n v="23.6"/>
    <x v="1"/>
    <n v="0"/>
    <x v="0"/>
    <x v="2"/>
  </r>
  <r>
    <n v="21284"/>
    <x v="1"/>
    <n v="32"/>
    <n v="0"/>
    <n v="0"/>
    <x v="2"/>
    <x v="0"/>
    <x v="0"/>
    <x v="0"/>
    <n v="98.09"/>
    <n v="25.2"/>
    <x v="2"/>
    <n v="0"/>
    <x v="2"/>
    <x v="3"/>
  </r>
  <r>
    <n v="49421"/>
    <x v="1"/>
    <n v="66"/>
    <n v="1"/>
    <n v="0"/>
    <x v="0"/>
    <x v="0"/>
    <x v="0"/>
    <x v="1"/>
    <n v="205.23"/>
    <n v="39.5"/>
    <x v="1"/>
    <n v="0"/>
    <x v="0"/>
    <x v="0"/>
  </r>
  <r>
    <n v="5973"/>
    <x v="0"/>
    <n v="43"/>
    <n v="0"/>
    <n v="0"/>
    <x v="2"/>
    <x v="0"/>
    <x v="0"/>
    <x v="0"/>
    <n v="86.78"/>
    <n v="23.5"/>
    <x v="2"/>
    <n v="0"/>
    <x v="1"/>
    <x v="2"/>
  </r>
  <r>
    <n v="42996"/>
    <x v="1"/>
    <n v="36"/>
    <n v="0"/>
    <n v="0"/>
    <x v="2"/>
    <x v="1"/>
    <x v="2"/>
    <x v="1"/>
    <n v="126.82"/>
    <n v="23.3"/>
    <x v="1"/>
    <n v="0"/>
    <x v="2"/>
    <x v="2"/>
  </r>
  <r>
    <n v="66333"/>
    <x v="0"/>
    <n v="52"/>
    <n v="0"/>
    <n v="0"/>
    <x v="2"/>
    <x v="0"/>
    <x v="1"/>
    <x v="0"/>
    <n v="78.400000000000006"/>
    <n v="64.8"/>
    <x v="1"/>
    <n v="0"/>
    <x v="1"/>
    <x v="0"/>
  </r>
  <r>
    <n v="46785"/>
    <x v="1"/>
    <n v="29"/>
    <n v="0"/>
    <n v="0"/>
    <x v="2"/>
    <x v="0"/>
    <x v="0"/>
    <x v="0"/>
    <n v="63.69"/>
    <n v="28.1"/>
    <x v="2"/>
    <n v="0"/>
    <x v="2"/>
    <x v="3"/>
  </r>
  <r>
    <n v="54312"/>
    <x v="1"/>
    <n v="76"/>
    <n v="1"/>
    <n v="0"/>
    <x v="0"/>
    <x v="0"/>
    <x v="1"/>
    <x v="0"/>
    <n v="209.58"/>
    <s v="N/A"/>
    <x v="1"/>
    <n v="0"/>
    <x v="0"/>
    <x v="1"/>
  </r>
  <r>
    <n v="21408"/>
    <x v="1"/>
    <n v="39"/>
    <n v="0"/>
    <n v="0"/>
    <x v="2"/>
    <x v="0"/>
    <x v="1"/>
    <x v="1"/>
    <n v="89.86"/>
    <n v="24.4"/>
    <x v="1"/>
    <n v="0"/>
    <x v="2"/>
    <x v="2"/>
  </r>
  <r>
    <n v="49916"/>
    <x v="0"/>
    <n v="76"/>
    <n v="0"/>
    <n v="0"/>
    <x v="1"/>
    <x v="0"/>
    <x v="0"/>
    <x v="1"/>
    <n v="110.99"/>
    <n v="29.8"/>
    <x v="0"/>
    <n v="0"/>
    <x v="0"/>
    <x v="3"/>
  </r>
  <r>
    <n v="7559"/>
    <x v="1"/>
    <n v="0.64"/>
    <n v="0"/>
    <n v="0"/>
    <x v="2"/>
    <x v="1"/>
    <x v="3"/>
    <x v="0"/>
    <n v="83.82"/>
    <n v="24.9"/>
    <x v="3"/>
    <n v="0"/>
    <x v="2"/>
    <x v="2"/>
  </r>
  <r>
    <n v="71038"/>
    <x v="0"/>
    <n v="34"/>
    <n v="0"/>
    <n v="0"/>
    <x v="2"/>
    <x v="0"/>
    <x v="0"/>
    <x v="0"/>
    <n v="137.96"/>
    <n v="35.1"/>
    <x v="3"/>
    <n v="0"/>
    <x v="2"/>
    <x v="0"/>
  </r>
  <r>
    <n v="69037"/>
    <x v="1"/>
    <n v="72"/>
    <n v="0"/>
    <n v="0"/>
    <x v="1"/>
    <x v="0"/>
    <x v="0"/>
    <x v="1"/>
    <n v="210.78"/>
    <n v="32.299999999999997"/>
    <x v="0"/>
    <n v="0"/>
    <x v="0"/>
    <x v="0"/>
  </r>
  <r>
    <n v="58617"/>
    <x v="1"/>
    <n v="43"/>
    <n v="0"/>
    <n v="0"/>
    <x v="2"/>
    <x v="0"/>
    <x v="1"/>
    <x v="1"/>
    <n v="118.89"/>
    <n v="43.6"/>
    <x v="1"/>
    <n v="0"/>
    <x v="1"/>
    <x v="0"/>
  </r>
  <r>
    <n v="69064"/>
    <x v="1"/>
    <n v="57"/>
    <n v="0"/>
    <n v="0"/>
    <x v="2"/>
    <x v="1"/>
    <x v="1"/>
    <x v="1"/>
    <n v="72.55"/>
    <n v="21"/>
    <x v="1"/>
    <n v="0"/>
    <x v="1"/>
    <x v="2"/>
  </r>
  <r>
    <n v="9404"/>
    <x v="1"/>
    <n v="44"/>
    <n v="0"/>
    <n v="0"/>
    <x v="2"/>
    <x v="0"/>
    <x v="0"/>
    <x v="1"/>
    <n v="107.41"/>
    <n v="47.3"/>
    <x v="1"/>
    <n v="0"/>
    <x v="1"/>
    <x v="0"/>
  </r>
  <r>
    <n v="8171"/>
    <x v="1"/>
    <n v="4"/>
    <n v="0"/>
    <n v="0"/>
    <x v="2"/>
    <x v="1"/>
    <x v="3"/>
    <x v="1"/>
    <n v="93.25"/>
    <n v="16.600000000000001"/>
    <x v="3"/>
    <n v="0"/>
    <x v="2"/>
    <x v="4"/>
  </r>
  <r>
    <n v="28286"/>
    <x v="0"/>
    <n v="44"/>
    <n v="0"/>
    <n v="0"/>
    <x v="2"/>
    <x v="0"/>
    <x v="0"/>
    <x v="1"/>
    <n v="74.91"/>
    <n v="37.5"/>
    <x v="1"/>
    <n v="0"/>
    <x v="1"/>
    <x v="0"/>
  </r>
  <r>
    <n v="43232"/>
    <x v="1"/>
    <n v="18"/>
    <n v="0"/>
    <n v="0"/>
    <x v="2"/>
    <x v="1"/>
    <x v="0"/>
    <x v="0"/>
    <n v="80.05"/>
    <n v="24.2"/>
    <x v="1"/>
    <n v="0"/>
    <x v="2"/>
    <x v="2"/>
  </r>
  <r>
    <n v="10159"/>
    <x v="0"/>
    <n v="41"/>
    <n v="0"/>
    <n v="0"/>
    <x v="2"/>
    <x v="0"/>
    <x v="0"/>
    <x v="0"/>
    <n v="99.8"/>
    <n v="31.6"/>
    <x v="1"/>
    <n v="0"/>
    <x v="1"/>
    <x v="0"/>
  </r>
  <r>
    <n v="34402"/>
    <x v="1"/>
    <n v="23"/>
    <n v="0"/>
    <n v="0"/>
    <x v="2"/>
    <x v="0"/>
    <x v="0"/>
    <x v="1"/>
    <n v="91.97"/>
    <n v="21.6"/>
    <x v="0"/>
    <n v="0"/>
    <x v="2"/>
    <x v="2"/>
  </r>
  <r>
    <n v="58282"/>
    <x v="1"/>
    <n v="53"/>
    <n v="0"/>
    <n v="0"/>
    <x v="2"/>
    <x v="0"/>
    <x v="2"/>
    <x v="1"/>
    <n v="64.400000000000006"/>
    <n v="31"/>
    <x v="2"/>
    <n v="0"/>
    <x v="1"/>
    <x v="0"/>
  </r>
  <r>
    <n v="64489"/>
    <x v="0"/>
    <n v="56"/>
    <n v="0"/>
    <n v="0"/>
    <x v="2"/>
    <x v="0"/>
    <x v="2"/>
    <x v="1"/>
    <n v="73.02"/>
    <n v="31.1"/>
    <x v="1"/>
    <n v="0"/>
    <x v="1"/>
    <x v="0"/>
  </r>
  <r>
    <n v="22706"/>
    <x v="1"/>
    <n v="0.88"/>
    <n v="0"/>
    <n v="0"/>
    <x v="2"/>
    <x v="1"/>
    <x v="3"/>
    <x v="1"/>
    <n v="88.11"/>
    <n v="15.5"/>
    <x v="3"/>
    <n v="0"/>
    <x v="2"/>
    <x v="4"/>
  </r>
  <r>
    <n v="71539"/>
    <x v="0"/>
    <n v="25"/>
    <n v="0"/>
    <n v="0"/>
    <x v="2"/>
    <x v="1"/>
    <x v="0"/>
    <x v="0"/>
    <n v="138.29"/>
    <n v="27.3"/>
    <x v="3"/>
    <n v="0"/>
    <x v="2"/>
    <x v="3"/>
  </r>
  <r>
    <n v="28637"/>
    <x v="1"/>
    <n v="14"/>
    <n v="0"/>
    <n v="0"/>
    <x v="2"/>
    <x v="1"/>
    <x v="3"/>
    <x v="1"/>
    <n v="72.36"/>
    <n v="20.5"/>
    <x v="3"/>
    <n v="0"/>
    <x v="2"/>
    <x v="2"/>
  </r>
  <r>
    <n v="64553"/>
    <x v="1"/>
    <n v="53"/>
    <n v="0"/>
    <n v="0"/>
    <x v="2"/>
    <x v="0"/>
    <x v="0"/>
    <x v="1"/>
    <n v="68.760000000000005"/>
    <n v="35.6"/>
    <x v="0"/>
    <n v="0"/>
    <x v="1"/>
    <x v="0"/>
  </r>
  <r>
    <n v="31741"/>
    <x v="0"/>
    <n v="4"/>
    <n v="0"/>
    <n v="0"/>
    <x v="2"/>
    <x v="1"/>
    <x v="3"/>
    <x v="1"/>
    <n v="106.22"/>
    <n v="16.7"/>
    <x v="3"/>
    <n v="0"/>
    <x v="2"/>
    <x v="4"/>
  </r>
  <r>
    <n v="69936"/>
    <x v="1"/>
    <n v="39"/>
    <n v="0"/>
    <n v="0"/>
    <x v="2"/>
    <x v="0"/>
    <x v="0"/>
    <x v="0"/>
    <n v="101.52"/>
    <n v="41.8"/>
    <x v="1"/>
    <n v="0"/>
    <x v="2"/>
    <x v="0"/>
  </r>
  <r>
    <n v="46527"/>
    <x v="0"/>
    <n v="53"/>
    <n v="1"/>
    <n v="1"/>
    <x v="2"/>
    <x v="0"/>
    <x v="2"/>
    <x v="1"/>
    <n v="109.51"/>
    <n v="41.9"/>
    <x v="1"/>
    <n v="0"/>
    <x v="1"/>
    <x v="0"/>
  </r>
  <r>
    <n v="22537"/>
    <x v="0"/>
    <n v="5"/>
    <n v="0"/>
    <n v="0"/>
    <x v="2"/>
    <x v="1"/>
    <x v="3"/>
    <x v="1"/>
    <n v="85.84"/>
    <n v="16.399999999999999"/>
    <x v="3"/>
    <n v="0"/>
    <x v="2"/>
    <x v="4"/>
  </r>
  <r>
    <n v="50611"/>
    <x v="0"/>
    <n v="4"/>
    <n v="0"/>
    <n v="0"/>
    <x v="2"/>
    <x v="1"/>
    <x v="3"/>
    <x v="1"/>
    <n v="110.15"/>
    <n v="17.100000000000001"/>
    <x v="3"/>
    <n v="0"/>
    <x v="2"/>
    <x v="4"/>
  </r>
  <r>
    <n v="13547"/>
    <x v="1"/>
    <n v="37"/>
    <n v="0"/>
    <n v="0"/>
    <x v="2"/>
    <x v="0"/>
    <x v="0"/>
    <x v="0"/>
    <n v="91.72"/>
    <n v="29.2"/>
    <x v="1"/>
    <n v="0"/>
    <x v="2"/>
    <x v="3"/>
  </r>
  <r>
    <n v="63732"/>
    <x v="0"/>
    <n v="70"/>
    <n v="1"/>
    <n v="0"/>
    <x v="0"/>
    <x v="0"/>
    <x v="1"/>
    <x v="0"/>
    <n v="251.6"/>
    <n v="27.1"/>
    <x v="1"/>
    <n v="0"/>
    <x v="0"/>
    <x v="3"/>
  </r>
  <r>
    <n v="9608"/>
    <x v="0"/>
    <n v="24"/>
    <n v="0"/>
    <n v="0"/>
    <x v="2"/>
    <x v="1"/>
    <x v="0"/>
    <x v="0"/>
    <n v="123.1"/>
    <n v="37.9"/>
    <x v="1"/>
    <n v="0"/>
    <x v="2"/>
    <x v="0"/>
  </r>
  <r>
    <n v="10504"/>
    <x v="0"/>
    <n v="55"/>
    <n v="0"/>
    <n v="0"/>
    <x v="2"/>
    <x v="0"/>
    <x v="2"/>
    <x v="1"/>
    <n v="97.4"/>
    <n v="44.6"/>
    <x v="0"/>
    <n v="0"/>
    <x v="1"/>
    <x v="0"/>
  </r>
  <r>
    <n v="37090"/>
    <x v="1"/>
    <n v="70"/>
    <n v="0"/>
    <n v="0"/>
    <x v="1"/>
    <x v="0"/>
    <x v="0"/>
    <x v="1"/>
    <n v="68.34"/>
    <n v="22.8"/>
    <x v="0"/>
    <n v="0"/>
    <x v="0"/>
    <x v="2"/>
  </r>
  <r>
    <n v="60148"/>
    <x v="0"/>
    <n v="34"/>
    <n v="0"/>
    <n v="0"/>
    <x v="2"/>
    <x v="0"/>
    <x v="0"/>
    <x v="0"/>
    <n v="80.81"/>
    <n v="33.200000000000003"/>
    <x v="1"/>
    <n v="0"/>
    <x v="2"/>
    <x v="0"/>
  </r>
  <r>
    <n v="9637"/>
    <x v="0"/>
    <n v="26"/>
    <n v="0"/>
    <n v="0"/>
    <x v="2"/>
    <x v="0"/>
    <x v="0"/>
    <x v="1"/>
    <n v="120.31"/>
    <n v="22.3"/>
    <x v="2"/>
    <n v="0"/>
    <x v="2"/>
    <x v="2"/>
  </r>
  <r>
    <n v="44862"/>
    <x v="1"/>
    <n v="39"/>
    <n v="0"/>
    <n v="0"/>
    <x v="2"/>
    <x v="0"/>
    <x v="0"/>
    <x v="1"/>
    <n v="83.51"/>
    <n v="26.4"/>
    <x v="1"/>
    <n v="0"/>
    <x v="2"/>
    <x v="3"/>
  </r>
  <r>
    <n v="52173"/>
    <x v="0"/>
    <n v="38"/>
    <n v="0"/>
    <n v="0"/>
    <x v="2"/>
    <x v="1"/>
    <x v="1"/>
    <x v="0"/>
    <n v="74.09"/>
    <n v="39.6"/>
    <x v="1"/>
    <n v="0"/>
    <x v="2"/>
    <x v="0"/>
  </r>
  <r>
    <n v="5708"/>
    <x v="1"/>
    <n v="20"/>
    <n v="0"/>
    <n v="0"/>
    <x v="2"/>
    <x v="1"/>
    <x v="0"/>
    <x v="0"/>
    <n v="91.6"/>
    <n v="28.1"/>
    <x v="1"/>
    <n v="0"/>
    <x v="2"/>
    <x v="3"/>
  </r>
  <r>
    <n v="23462"/>
    <x v="1"/>
    <n v="17"/>
    <n v="0"/>
    <n v="0"/>
    <x v="2"/>
    <x v="1"/>
    <x v="0"/>
    <x v="0"/>
    <n v="87.52"/>
    <n v="39.200000000000003"/>
    <x v="1"/>
    <n v="0"/>
    <x v="2"/>
    <x v="0"/>
  </r>
  <r>
    <n v="2374"/>
    <x v="0"/>
    <n v="60"/>
    <n v="1"/>
    <n v="0"/>
    <x v="0"/>
    <x v="0"/>
    <x v="0"/>
    <x v="1"/>
    <n v="213.37"/>
    <n v="36"/>
    <x v="1"/>
    <n v="0"/>
    <x v="0"/>
    <x v="0"/>
  </r>
  <r>
    <n v="11091"/>
    <x v="1"/>
    <n v="75"/>
    <n v="0"/>
    <n v="0"/>
    <x v="1"/>
    <x v="0"/>
    <x v="1"/>
    <x v="1"/>
    <n v="75.39"/>
    <n v="37.799999999999997"/>
    <x v="1"/>
    <n v="0"/>
    <x v="0"/>
    <x v="0"/>
  </r>
  <r>
    <n v="70374"/>
    <x v="1"/>
    <n v="31"/>
    <n v="0"/>
    <n v="0"/>
    <x v="2"/>
    <x v="0"/>
    <x v="0"/>
    <x v="1"/>
    <n v="122.41"/>
    <n v="40.299999999999997"/>
    <x v="2"/>
    <n v="0"/>
    <x v="2"/>
    <x v="0"/>
  </r>
  <r>
    <n v="15528"/>
    <x v="0"/>
    <n v="58"/>
    <n v="1"/>
    <n v="0"/>
    <x v="2"/>
    <x v="0"/>
    <x v="0"/>
    <x v="1"/>
    <n v="223.36"/>
    <n v="41.5"/>
    <x v="0"/>
    <n v="0"/>
    <x v="1"/>
    <x v="0"/>
  </r>
  <r>
    <n v="65357"/>
    <x v="1"/>
    <n v="5"/>
    <n v="0"/>
    <n v="0"/>
    <x v="2"/>
    <x v="1"/>
    <x v="3"/>
    <x v="1"/>
    <n v="84.59"/>
    <n v="17.7"/>
    <x v="3"/>
    <n v="0"/>
    <x v="2"/>
    <x v="4"/>
  </r>
  <r>
    <n v="49465"/>
    <x v="1"/>
    <n v="13"/>
    <n v="0"/>
    <n v="0"/>
    <x v="2"/>
    <x v="1"/>
    <x v="3"/>
    <x v="0"/>
    <n v="70.16"/>
    <n v="21.2"/>
    <x v="1"/>
    <n v="0"/>
    <x v="2"/>
    <x v="2"/>
  </r>
  <r>
    <n v="31143"/>
    <x v="1"/>
    <n v="22"/>
    <n v="0"/>
    <n v="0"/>
    <x v="2"/>
    <x v="1"/>
    <x v="0"/>
    <x v="1"/>
    <n v="107.52"/>
    <n v="41.6"/>
    <x v="3"/>
    <n v="0"/>
    <x v="2"/>
    <x v="0"/>
  </r>
  <r>
    <n v="66972"/>
    <x v="1"/>
    <n v="52"/>
    <n v="0"/>
    <n v="0"/>
    <x v="2"/>
    <x v="0"/>
    <x v="2"/>
    <x v="0"/>
    <n v="80.88"/>
    <n v="23.8"/>
    <x v="2"/>
    <n v="0"/>
    <x v="1"/>
    <x v="2"/>
  </r>
  <r>
    <n v="55810"/>
    <x v="1"/>
    <n v="61"/>
    <n v="0"/>
    <n v="0"/>
    <x v="1"/>
    <x v="0"/>
    <x v="1"/>
    <x v="1"/>
    <n v="93.48"/>
    <n v="23.7"/>
    <x v="3"/>
    <n v="0"/>
    <x v="0"/>
    <x v="2"/>
  </r>
  <r>
    <n v="37031"/>
    <x v="1"/>
    <n v="78"/>
    <n v="0"/>
    <n v="1"/>
    <x v="0"/>
    <x v="0"/>
    <x v="2"/>
    <x v="0"/>
    <n v="70.209999999999994"/>
    <n v="24.8"/>
    <x v="1"/>
    <n v="0"/>
    <x v="0"/>
    <x v="2"/>
  </r>
  <r>
    <n v="34608"/>
    <x v="0"/>
    <n v="57"/>
    <n v="0"/>
    <n v="0"/>
    <x v="2"/>
    <x v="0"/>
    <x v="0"/>
    <x v="1"/>
    <n v="86.67"/>
    <n v="39"/>
    <x v="3"/>
    <n v="0"/>
    <x v="1"/>
    <x v="0"/>
  </r>
  <r>
    <n v="36007"/>
    <x v="1"/>
    <n v="21"/>
    <n v="0"/>
    <n v="0"/>
    <x v="2"/>
    <x v="0"/>
    <x v="0"/>
    <x v="1"/>
    <n v="101.37"/>
    <n v="37.9"/>
    <x v="1"/>
    <n v="0"/>
    <x v="2"/>
    <x v="0"/>
  </r>
  <r>
    <n v="14123"/>
    <x v="1"/>
    <n v="22"/>
    <n v="0"/>
    <n v="0"/>
    <x v="2"/>
    <x v="0"/>
    <x v="0"/>
    <x v="1"/>
    <n v="105.22"/>
    <n v="31.1"/>
    <x v="1"/>
    <n v="0"/>
    <x v="2"/>
    <x v="0"/>
  </r>
  <r>
    <n v="48298"/>
    <x v="1"/>
    <n v="80"/>
    <n v="0"/>
    <n v="0"/>
    <x v="1"/>
    <x v="0"/>
    <x v="0"/>
    <x v="1"/>
    <n v="70.31"/>
    <n v="23.2"/>
    <x v="3"/>
    <n v="0"/>
    <x v="0"/>
    <x v="2"/>
  </r>
  <r>
    <n v="54975"/>
    <x v="0"/>
    <n v="7"/>
    <n v="0"/>
    <n v="0"/>
    <x v="2"/>
    <x v="1"/>
    <x v="1"/>
    <x v="1"/>
    <n v="64.06"/>
    <n v="18.899999999999999"/>
    <x v="3"/>
    <n v="0"/>
    <x v="2"/>
    <x v="2"/>
  </r>
  <r>
    <n v="27213"/>
    <x v="0"/>
    <n v="64"/>
    <n v="1"/>
    <n v="0"/>
    <x v="0"/>
    <x v="0"/>
    <x v="1"/>
    <x v="1"/>
    <n v="178.29"/>
    <n v="36.1"/>
    <x v="1"/>
    <n v="0"/>
    <x v="0"/>
    <x v="0"/>
  </r>
  <r>
    <n v="44749"/>
    <x v="1"/>
    <n v="64"/>
    <n v="0"/>
    <n v="0"/>
    <x v="1"/>
    <x v="1"/>
    <x v="2"/>
    <x v="1"/>
    <n v="81.599999999999994"/>
    <n v="36.299999999999997"/>
    <x v="2"/>
    <n v="0"/>
    <x v="0"/>
    <x v="0"/>
  </r>
  <r>
    <n v="46468"/>
    <x v="1"/>
    <n v="38"/>
    <n v="0"/>
    <n v="0"/>
    <x v="2"/>
    <x v="0"/>
    <x v="1"/>
    <x v="0"/>
    <n v="147.47999999999999"/>
    <n v="40.5"/>
    <x v="3"/>
    <n v="0"/>
    <x v="2"/>
    <x v="0"/>
  </r>
  <r>
    <n v="10913"/>
    <x v="0"/>
    <n v="12"/>
    <n v="0"/>
    <n v="0"/>
    <x v="2"/>
    <x v="1"/>
    <x v="3"/>
    <x v="0"/>
    <n v="86.86"/>
    <n v="25.4"/>
    <x v="1"/>
    <n v="0"/>
    <x v="2"/>
    <x v="3"/>
  </r>
  <r>
    <n v="51983"/>
    <x v="1"/>
    <n v="33"/>
    <n v="0"/>
    <n v="0"/>
    <x v="2"/>
    <x v="0"/>
    <x v="0"/>
    <x v="1"/>
    <n v="71.16"/>
    <n v="46.5"/>
    <x v="2"/>
    <n v="0"/>
    <x v="2"/>
    <x v="0"/>
  </r>
  <r>
    <n v="27029"/>
    <x v="1"/>
    <n v="3"/>
    <n v="0"/>
    <n v="0"/>
    <x v="2"/>
    <x v="1"/>
    <x v="3"/>
    <x v="0"/>
    <n v="73.2"/>
    <n v="16.8"/>
    <x v="3"/>
    <n v="0"/>
    <x v="2"/>
    <x v="4"/>
  </r>
  <r>
    <n v="22320"/>
    <x v="1"/>
    <n v="37"/>
    <n v="0"/>
    <n v="0"/>
    <x v="2"/>
    <x v="0"/>
    <x v="0"/>
    <x v="0"/>
    <n v="203.81"/>
    <n v="46.6"/>
    <x v="1"/>
    <n v="0"/>
    <x v="2"/>
    <x v="0"/>
  </r>
  <r>
    <n v="45719"/>
    <x v="1"/>
    <n v="22"/>
    <n v="0"/>
    <n v="0"/>
    <x v="2"/>
    <x v="1"/>
    <x v="0"/>
    <x v="1"/>
    <n v="82"/>
    <n v="26.4"/>
    <x v="1"/>
    <n v="0"/>
    <x v="2"/>
    <x v="3"/>
  </r>
  <r>
    <n v="129"/>
    <x v="1"/>
    <n v="24"/>
    <n v="0"/>
    <n v="0"/>
    <x v="2"/>
    <x v="1"/>
    <x v="0"/>
    <x v="0"/>
    <n v="97.55"/>
    <n v="26.2"/>
    <x v="1"/>
    <n v="0"/>
    <x v="2"/>
    <x v="3"/>
  </r>
  <r>
    <n v="20351"/>
    <x v="0"/>
    <n v="75"/>
    <n v="0"/>
    <n v="0"/>
    <x v="1"/>
    <x v="0"/>
    <x v="2"/>
    <x v="0"/>
    <n v="94.29"/>
    <n v="35.200000000000003"/>
    <x v="3"/>
    <n v="0"/>
    <x v="0"/>
    <x v="0"/>
  </r>
  <r>
    <n v="530"/>
    <x v="1"/>
    <n v="12"/>
    <n v="0"/>
    <n v="0"/>
    <x v="2"/>
    <x v="1"/>
    <x v="3"/>
    <x v="1"/>
    <n v="75.22"/>
    <n v="20.9"/>
    <x v="3"/>
    <n v="0"/>
    <x v="2"/>
    <x v="2"/>
  </r>
  <r>
    <n v="55351"/>
    <x v="0"/>
    <n v="63"/>
    <n v="0"/>
    <n v="0"/>
    <x v="1"/>
    <x v="0"/>
    <x v="0"/>
    <x v="0"/>
    <n v="90.07"/>
    <n v="36.799999999999997"/>
    <x v="3"/>
    <n v="0"/>
    <x v="0"/>
    <x v="0"/>
  </r>
  <r>
    <n v="67431"/>
    <x v="1"/>
    <n v="52"/>
    <n v="0"/>
    <n v="0"/>
    <x v="2"/>
    <x v="0"/>
    <x v="0"/>
    <x v="0"/>
    <n v="73.73"/>
    <n v="34.4"/>
    <x v="0"/>
    <n v="0"/>
    <x v="1"/>
    <x v="0"/>
  </r>
  <r>
    <n v="20546"/>
    <x v="1"/>
    <n v="68"/>
    <n v="0"/>
    <n v="0"/>
    <x v="1"/>
    <x v="0"/>
    <x v="0"/>
    <x v="0"/>
    <n v="79.58"/>
    <n v="22.2"/>
    <x v="1"/>
    <n v="0"/>
    <x v="0"/>
    <x v="2"/>
  </r>
  <r>
    <n v="6107"/>
    <x v="1"/>
    <n v="5"/>
    <n v="0"/>
    <n v="0"/>
    <x v="2"/>
    <x v="1"/>
    <x v="3"/>
    <x v="0"/>
    <n v="77.88"/>
    <n v="13.8"/>
    <x v="3"/>
    <n v="0"/>
    <x v="2"/>
    <x v="4"/>
  </r>
  <r>
    <n v="50305"/>
    <x v="1"/>
    <n v="56"/>
    <n v="1"/>
    <n v="0"/>
    <x v="2"/>
    <x v="0"/>
    <x v="0"/>
    <x v="1"/>
    <n v="205.26"/>
    <n v="40.299999999999997"/>
    <x v="1"/>
    <n v="0"/>
    <x v="1"/>
    <x v="0"/>
  </r>
  <r>
    <n v="52342"/>
    <x v="1"/>
    <n v="43"/>
    <n v="0"/>
    <n v="0"/>
    <x v="2"/>
    <x v="0"/>
    <x v="0"/>
    <x v="1"/>
    <n v="58.63"/>
    <n v="28.4"/>
    <x v="2"/>
    <n v="0"/>
    <x v="1"/>
    <x v="3"/>
  </r>
  <r>
    <n v="59906"/>
    <x v="1"/>
    <n v="40"/>
    <n v="0"/>
    <n v="0"/>
    <x v="2"/>
    <x v="0"/>
    <x v="0"/>
    <x v="1"/>
    <n v="139.9"/>
    <n v="31.7"/>
    <x v="2"/>
    <n v="0"/>
    <x v="1"/>
    <x v="0"/>
  </r>
  <r>
    <n v="59729"/>
    <x v="0"/>
    <n v="53"/>
    <n v="0"/>
    <n v="0"/>
    <x v="2"/>
    <x v="0"/>
    <x v="0"/>
    <x v="0"/>
    <n v="211.03"/>
    <n v="34.200000000000003"/>
    <x v="0"/>
    <n v="0"/>
    <x v="1"/>
    <x v="0"/>
  </r>
  <r>
    <n v="53144"/>
    <x v="1"/>
    <n v="52"/>
    <n v="0"/>
    <n v="1"/>
    <x v="2"/>
    <x v="0"/>
    <x v="0"/>
    <x v="0"/>
    <n v="72.790000000000006"/>
    <n v="54.7"/>
    <x v="1"/>
    <n v="0"/>
    <x v="1"/>
    <x v="0"/>
  </r>
  <r>
    <n v="3655"/>
    <x v="0"/>
    <n v="31"/>
    <n v="0"/>
    <n v="0"/>
    <x v="2"/>
    <x v="0"/>
    <x v="2"/>
    <x v="1"/>
    <n v="91.65"/>
    <n v="24.6"/>
    <x v="0"/>
    <n v="0"/>
    <x v="2"/>
    <x v="2"/>
  </r>
  <r>
    <n v="11999"/>
    <x v="1"/>
    <n v="63"/>
    <n v="0"/>
    <n v="0"/>
    <x v="1"/>
    <x v="0"/>
    <x v="2"/>
    <x v="1"/>
    <n v="79.92"/>
    <s v="N/A"/>
    <x v="2"/>
    <n v="0"/>
    <x v="0"/>
    <x v="1"/>
  </r>
  <r>
    <n v="12985"/>
    <x v="1"/>
    <n v="69"/>
    <n v="0"/>
    <n v="0"/>
    <x v="1"/>
    <x v="0"/>
    <x v="1"/>
    <x v="1"/>
    <n v="225.47"/>
    <n v="36.9"/>
    <x v="1"/>
    <n v="0"/>
    <x v="0"/>
    <x v="0"/>
  </r>
  <r>
    <n v="38119"/>
    <x v="0"/>
    <n v="64"/>
    <n v="0"/>
    <n v="0"/>
    <x v="1"/>
    <x v="0"/>
    <x v="2"/>
    <x v="0"/>
    <n v="94.48"/>
    <n v="31.1"/>
    <x v="1"/>
    <n v="0"/>
    <x v="0"/>
    <x v="0"/>
  </r>
  <r>
    <n v="3355"/>
    <x v="1"/>
    <n v="64"/>
    <n v="0"/>
    <n v="0"/>
    <x v="1"/>
    <x v="0"/>
    <x v="0"/>
    <x v="0"/>
    <n v="82.34"/>
    <n v="31.9"/>
    <x v="1"/>
    <n v="0"/>
    <x v="0"/>
    <x v="0"/>
  </r>
  <r>
    <n v="22091"/>
    <x v="1"/>
    <n v="62"/>
    <n v="0"/>
    <n v="0"/>
    <x v="1"/>
    <x v="0"/>
    <x v="1"/>
    <x v="0"/>
    <n v="180.63"/>
    <n v="31.8"/>
    <x v="0"/>
    <n v="0"/>
    <x v="0"/>
    <x v="0"/>
  </r>
  <r>
    <n v="5010"/>
    <x v="1"/>
    <n v="2"/>
    <n v="0"/>
    <n v="0"/>
    <x v="2"/>
    <x v="1"/>
    <x v="3"/>
    <x v="1"/>
    <n v="92.48"/>
    <n v="18"/>
    <x v="3"/>
    <n v="0"/>
    <x v="2"/>
    <x v="4"/>
  </r>
  <r>
    <n v="67177"/>
    <x v="0"/>
    <n v="53"/>
    <n v="0"/>
    <n v="0"/>
    <x v="2"/>
    <x v="0"/>
    <x v="0"/>
    <x v="1"/>
    <n v="116.66"/>
    <n v="28.5"/>
    <x v="0"/>
    <n v="0"/>
    <x v="1"/>
    <x v="3"/>
  </r>
  <r>
    <n v="58600"/>
    <x v="0"/>
    <n v="65"/>
    <n v="1"/>
    <n v="0"/>
    <x v="0"/>
    <x v="0"/>
    <x v="0"/>
    <x v="0"/>
    <n v="112.09"/>
    <n v="29.5"/>
    <x v="1"/>
    <n v="0"/>
    <x v="0"/>
    <x v="3"/>
  </r>
  <r>
    <n v="56681"/>
    <x v="1"/>
    <n v="22"/>
    <n v="0"/>
    <n v="0"/>
    <x v="2"/>
    <x v="1"/>
    <x v="0"/>
    <x v="0"/>
    <n v="130.34"/>
    <n v="22"/>
    <x v="1"/>
    <n v="0"/>
    <x v="2"/>
    <x v="2"/>
  </r>
  <r>
    <n v="56716"/>
    <x v="1"/>
    <n v="26"/>
    <n v="0"/>
    <n v="0"/>
    <x v="2"/>
    <x v="1"/>
    <x v="0"/>
    <x v="0"/>
    <n v="82.59"/>
    <n v="29.4"/>
    <x v="1"/>
    <n v="0"/>
    <x v="2"/>
    <x v="3"/>
  </r>
  <r>
    <n v="65946"/>
    <x v="0"/>
    <n v="53"/>
    <n v="0"/>
    <n v="0"/>
    <x v="2"/>
    <x v="0"/>
    <x v="0"/>
    <x v="1"/>
    <n v="123.87"/>
    <n v="28.8"/>
    <x v="3"/>
    <n v="0"/>
    <x v="1"/>
    <x v="3"/>
  </r>
  <r>
    <n v="61350"/>
    <x v="0"/>
    <n v="20"/>
    <n v="0"/>
    <n v="0"/>
    <x v="2"/>
    <x v="1"/>
    <x v="2"/>
    <x v="1"/>
    <n v="98.7"/>
    <n v="26.2"/>
    <x v="3"/>
    <n v="0"/>
    <x v="2"/>
    <x v="3"/>
  </r>
  <r>
    <n v="17291"/>
    <x v="1"/>
    <n v="63"/>
    <n v="1"/>
    <n v="0"/>
    <x v="0"/>
    <x v="0"/>
    <x v="1"/>
    <x v="1"/>
    <n v="227.1"/>
    <n v="26.9"/>
    <x v="3"/>
    <n v="0"/>
    <x v="0"/>
    <x v="3"/>
  </r>
  <r>
    <n v="61465"/>
    <x v="0"/>
    <n v="13"/>
    <n v="0"/>
    <n v="0"/>
    <x v="2"/>
    <x v="1"/>
    <x v="3"/>
    <x v="1"/>
    <n v="55.39"/>
    <n v="23.2"/>
    <x v="3"/>
    <n v="0"/>
    <x v="2"/>
    <x v="2"/>
  </r>
  <r>
    <n v="18108"/>
    <x v="0"/>
    <n v="21"/>
    <n v="0"/>
    <n v="0"/>
    <x v="2"/>
    <x v="1"/>
    <x v="2"/>
    <x v="0"/>
    <n v="66.069999999999993"/>
    <n v="27.9"/>
    <x v="3"/>
    <n v="0"/>
    <x v="2"/>
    <x v="3"/>
  </r>
  <r>
    <n v="48368"/>
    <x v="1"/>
    <n v="65"/>
    <n v="0"/>
    <n v="0"/>
    <x v="1"/>
    <x v="0"/>
    <x v="1"/>
    <x v="1"/>
    <n v="104.21"/>
    <n v="36.799999999999997"/>
    <x v="1"/>
    <n v="0"/>
    <x v="0"/>
    <x v="0"/>
  </r>
  <r>
    <n v="36471"/>
    <x v="0"/>
    <n v="65"/>
    <n v="0"/>
    <n v="0"/>
    <x v="1"/>
    <x v="0"/>
    <x v="0"/>
    <x v="0"/>
    <n v="145.15"/>
    <n v="28.9"/>
    <x v="3"/>
    <n v="0"/>
    <x v="0"/>
    <x v="3"/>
  </r>
  <r>
    <n v="15689"/>
    <x v="0"/>
    <n v="42"/>
    <n v="0"/>
    <n v="0"/>
    <x v="2"/>
    <x v="0"/>
    <x v="2"/>
    <x v="0"/>
    <n v="68.19"/>
    <n v="31"/>
    <x v="1"/>
    <n v="0"/>
    <x v="1"/>
    <x v="0"/>
  </r>
  <r>
    <n v="8233"/>
    <x v="0"/>
    <n v="72"/>
    <n v="0"/>
    <n v="1"/>
    <x v="0"/>
    <x v="0"/>
    <x v="1"/>
    <x v="1"/>
    <n v="97.53"/>
    <n v="29.4"/>
    <x v="2"/>
    <n v="0"/>
    <x v="0"/>
    <x v="3"/>
  </r>
  <r>
    <n v="46436"/>
    <x v="0"/>
    <n v="13"/>
    <n v="0"/>
    <n v="0"/>
    <x v="2"/>
    <x v="1"/>
    <x v="3"/>
    <x v="0"/>
    <n v="122.31"/>
    <n v="15.3"/>
    <x v="1"/>
    <n v="0"/>
    <x v="2"/>
    <x v="4"/>
  </r>
  <r>
    <n v="23221"/>
    <x v="0"/>
    <n v="29"/>
    <n v="0"/>
    <n v="0"/>
    <x v="2"/>
    <x v="1"/>
    <x v="0"/>
    <x v="0"/>
    <n v="83.51"/>
    <n v="37.1"/>
    <x v="1"/>
    <n v="0"/>
    <x v="2"/>
    <x v="0"/>
  </r>
  <r>
    <n v="31830"/>
    <x v="0"/>
    <n v="59"/>
    <n v="0"/>
    <n v="0"/>
    <x v="2"/>
    <x v="0"/>
    <x v="1"/>
    <x v="0"/>
    <n v="86.46"/>
    <n v="30.5"/>
    <x v="3"/>
    <n v="0"/>
    <x v="1"/>
    <x v="0"/>
  </r>
  <r>
    <n v="15296"/>
    <x v="1"/>
    <n v="42"/>
    <n v="0"/>
    <n v="0"/>
    <x v="2"/>
    <x v="0"/>
    <x v="0"/>
    <x v="1"/>
    <n v="112.06"/>
    <n v="38.200000000000003"/>
    <x v="1"/>
    <n v="0"/>
    <x v="1"/>
    <x v="0"/>
  </r>
  <r>
    <n v="7351"/>
    <x v="0"/>
    <n v="13"/>
    <n v="0"/>
    <n v="0"/>
    <x v="2"/>
    <x v="1"/>
    <x v="0"/>
    <x v="0"/>
    <n v="92.14"/>
    <n v="23.2"/>
    <x v="1"/>
    <n v="0"/>
    <x v="2"/>
    <x v="2"/>
  </r>
  <r>
    <n v="66196"/>
    <x v="0"/>
    <n v="75"/>
    <n v="0"/>
    <n v="1"/>
    <x v="0"/>
    <x v="1"/>
    <x v="0"/>
    <x v="1"/>
    <n v="201.76"/>
    <n v="30.2"/>
    <x v="0"/>
    <n v="0"/>
    <x v="0"/>
    <x v="0"/>
  </r>
  <r>
    <n v="17718"/>
    <x v="1"/>
    <n v="33"/>
    <n v="1"/>
    <n v="0"/>
    <x v="2"/>
    <x v="0"/>
    <x v="0"/>
    <x v="0"/>
    <n v="74.44"/>
    <n v="45.2"/>
    <x v="2"/>
    <n v="0"/>
    <x v="2"/>
    <x v="0"/>
  </r>
  <r>
    <n v="31164"/>
    <x v="1"/>
    <n v="43"/>
    <n v="0"/>
    <n v="0"/>
    <x v="2"/>
    <x v="0"/>
    <x v="0"/>
    <x v="1"/>
    <n v="95.93"/>
    <n v="21.8"/>
    <x v="3"/>
    <n v="0"/>
    <x v="1"/>
    <x v="2"/>
  </r>
  <r>
    <n v="48272"/>
    <x v="1"/>
    <n v="11"/>
    <n v="0"/>
    <n v="0"/>
    <x v="2"/>
    <x v="1"/>
    <x v="3"/>
    <x v="1"/>
    <n v="87.51"/>
    <n v="24.4"/>
    <x v="3"/>
    <n v="0"/>
    <x v="2"/>
    <x v="2"/>
  </r>
  <r>
    <n v="2893"/>
    <x v="1"/>
    <n v="7"/>
    <n v="0"/>
    <n v="0"/>
    <x v="2"/>
    <x v="1"/>
    <x v="3"/>
    <x v="1"/>
    <n v="72.349999999999994"/>
    <n v="17"/>
    <x v="3"/>
    <n v="0"/>
    <x v="2"/>
    <x v="4"/>
  </r>
  <r>
    <n v="34376"/>
    <x v="1"/>
    <n v="16"/>
    <n v="0"/>
    <n v="0"/>
    <x v="2"/>
    <x v="1"/>
    <x v="3"/>
    <x v="1"/>
    <n v="113.47"/>
    <n v="19.5"/>
    <x v="3"/>
    <n v="0"/>
    <x v="2"/>
    <x v="2"/>
  </r>
  <r>
    <n v="18498"/>
    <x v="1"/>
    <n v="44"/>
    <n v="0"/>
    <n v="0"/>
    <x v="2"/>
    <x v="1"/>
    <x v="0"/>
    <x v="1"/>
    <n v="103.78"/>
    <n v="49.8"/>
    <x v="0"/>
    <n v="0"/>
    <x v="1"/>
    <x v="0"/>
  </r>
  <r>
    <n v="56735"/>
    <x v="1"/>
    <n v="78"/>
    <n v="0"/>
    <n v="0"/>
    <x v="1"/>
    <x v="0"/>
    <x v="1"/>
    <x v="1"/>
    <n v="115.43"/>
    <n v="27.8"/>
    <x v="1"/>
    <n v="0"/>
    <x v="0"/>
    <x v="3"/>
  </r>
  <r>
    <n v="8595"/>
    <x v="0"/>
    <n v="25"/>
    <n v="0"/>
    <n v="0"/>
    <x v="2"/>
    <x v="0"/>
    <x v="0"/>
    <x v="1"/>
    <n v="95.59"/>
    <n v="25.1"/>
    <x v="1"/>
    <n v="0"/>
    <x v="2"/>
    <x v="3"/>
  </r>
  <r>
    <n v="621"/>
    <x v="0"/>
    <n v="69"/>
    <n v="0"/>
    <n v="0"/>
    <x v="1"/>
    <x v="0"/>
    <x v="0"/>
    <x v="1"/>
    <n v="101.52"/>
    <n v="26.8"/>
    <x v="2"/>
    <n v="0"/>
    <x v="0"/>
    <x v="3"/>
  </r>
  <r>
    <n v="1307"/>
    <x v="1"/>
    <n v="61"/>
    <n v="1"/>
    <n v="0"/>
    <x v="0"/>
    <x v="0"/>
    <x v="0"/>
    <x v="1"/>
    <n v="170.05"/>
    <n v="60.2"/>
    <x v="2"/>
    <n v="0"/>
    <x v="0"/>
    <x v="0"/>
  </r>
  <r>
    <n v="35846"/>
    <x v="1"/>
    <n v="43"/>
    <n v="1"/>
    <n v="0"/>
    <x v="2"/>
    <x v="1"/>
    <x v="1"/>
    <x v="1"/>
    <n v="217.3"/>
    <n v="27.5"/>
    <x v="1"/>
    <n v="0"/>
    <x v="1"/>
    <x v="3"/>
  </r>
  <r>
    <n v="28645"/>
    <x v="1"/>
    <n v="38"/>
    <n v="1"/>
    <n v="0"/>
    <x v="2"/>
    <x v="0"/>
    <x v="0"/>
    <x v="0"/>
    <n v="196.01"/>
    <n v="28.1"/>
    <x v="1"/>
    <n v="0"/>
    <x v="2"/>
    <x v="3"/>
  </r>
  <r>
    <n v="5835"/>
    <x v="0"/>
    <n v="68"/>
    <n v="0"/>
    <n v="0"/>
    <x v="1"/>
    <x v="0"/>
    <x v="0"/>
    <x v="0"/>
    <n v="92.21"/>
    <n v="27.3"/>
    <x v="3"/>
    <n v="0"/>
    <x v="0"/>
    <x v="3"/>
  </r>
  <r>
    <n v="46474"/>
    <x v="0"/>
    <n v="26"/>
    <n v="0"/>
    <n v="0"/>
    <x v="2"/>
    <x v="0"/>
    <x v="0"/>
    <x v="1"/>
    <n v="100.09"/>
    <n v="27.4"/>
    <x v="1"/>
    <n v="0"/>
    <x v="2"/>
    <x v="3"/>
  </r>
  <r>
    <n v="69687"/>
    <x v="1"/>
    <n v="18"/>
    <n v="0"/>
    <n v="0"/>
    <x v="2"/>
    <x v="1"/>
    <x v="1"/>
    <x v="1"/>
    <n v="93.88"/>
    <n v="22.2"/>
    <x v="1"/>
    <n v="0"/>
    <x v="2"/>
    <x v="2"/>
  </r>
  <r>
    <n v="2953"/>
    <x v="1"/>
    <n v="43"/>
    <n v="0"/>
    <n v="0"/>
    <x v="2"/>
    <x v="0"/>
    <x v="0"/>
    <x v="1"/>
    <n v="75.05"/>
    <n v="22.9"/>
    <x v="2"/>
    <n v="0"/>
    <x v="1"/>
    <x v="2"/>
  </r>
  <r>
    <n v="11838"/>
    <x v="1"/>
    <n v="43"/>
    <n v="0"/>
    <n v="0"/>
    <x v="2"/>
    <x v="0"/>
    <x v="2"/>
    <x v="1"/>
    <n v="70.08"/>
    <n v="26.6"/>
    <x v="1"/>
    <n v="0"/>
    <x v="1"/>
    <x v="3"/>
  </r>
  <r>
    <n v="9179"/>
    <x v="1"/>
    <n v="32"/>
    <n v="0"/>
    <n v="0"/>
    <x v="2"/>
    <x v="1"/>
    <x v="0"/>
    <x v="0"/>
    <n v="74.2"/>
    <n v="23"/>
    <x v="2"/>
    <n v="0"/>
    <x v="2"/>
    <x v="2"/>
  </r>
  <r>
    <n v="38165"/>
    <x v="1"/>
    <n v="81"/>
    <n v="0"/>
    <n v="0"/>
    <x v="1"/>
    <x v="1"/>
    <x v="0"/>
    <x v="1"/>
    <n v="69.010000000000005"/>
    <n v="32.6"/>
    <x v="1"/>
    <n v="0"/>
    <x v="0"/>
    <x v="0"/>
  </r>
  <r>
    <n v="63050"/>
    <x v="0"/>
    <n v="25"/>
    <n v="0"/>
    <n v="0"/>
    <x v="2"/>
    <x v="1"/>
    <x v="0"/>
    <x v="1"/>
    <n v="96.17"/>
    <n v="22.1"/>
    <x v="3"/>
    <n v="0"/>
    <x v="2"/>
    <x v="2"/>
  </r>
  <r>
    <n v="22470"/>
    <x v="0"/>
    <n v="61"/>
    <n v="0"/>
    <n v="0"/>
    <x v="1"/>
    <x v="0"/>
    <x v="2"/>
    <x v="0"/>
    <n v="184.15"/>
    <s v="N/A"/>
    <x v="3"/>
    <n v="0"/>
    <x v="0"/>
    <x v="1"/>
  </r>
  <r>
    <n v="71585"/>
    <x v="1"/>
    <n v="66"/>
    <n v="0"/>
    <n v="0"/>
    <x v="1"/>
    <x v="0"/>
    <x v="2"/>
    <x v="0"/>
    <n v="87.24"/>
    <n v="22.5"/>
    <x v="0"/>
    <n v="0"/>
    <x v="0"/>
    <x v="2"/>
  </r>
  <r>
    <n v="15649"/>
    <x v="0"/>
    <n v="54"/>
    <n v="1"/>
    <n v="0"/>
    <x v="2"/>
    <x v="0"/>
    <x v="0"/>
    <x v="1"/>
    <n v="198.69"/>
    <s v="N/A"/>
    <x v="2"/>
    <n v="0"/>
    <x v="1"/>
    <x v="1"/>
  </r>
  <r>
    <n v="11974"/>
    <x v="0"/>
    <n v="11"/>
    <n v="0"/>
    <n v="0"/>
    <x v="2"/>
    <x v="1"/>
    <x v="3"/>
    <x v="0"/>
    <n v="82.58"/>
    <n v="25.5"/>
    <x v="3"/>
    <n v="0"/>
    <x v="2"/>
    <x v="3"/>
  </r>
  <r>
    <n v="3009"/>
    <x v="1"/>
    <n v="53"/>
    <n v="0"/>
    <n v="0"/>
    <x v="2"/>
    <x v="0"/>
    <x v="1"/>
    <x v="1"/>
    <n v="96.88"/>
    <n v="31.4"/>
    <x v="3"/>
    <n v="0"/>
    <x v="1"/>
    <x v="0"/>
  </r>
  <r>
    <n v="32361"/>
    <x v="1"/>
    <n v="78"/>
    <n v="0"/>
    <n v="1"/>
    <x v="0"/>
    <x v="0"/>
    <x v="1"/>
    <x v="0"/>
    <n v="73.319999999999993"/>
    <n v="26"/>
    <x v="3"/>
    <n v="0"/>
    <x v="0"/>
    <x v="3"/>
  </r>
  <r>
    <n v="41523"/>
    <x v="0"/>
    <n v="9"/>
    <n v="0"/>
    <n v="0"/>
    <x v="2"/>
    <x v="1"/>
    <x v="3"/>
    <x v="1"/>
    <n v="94.59"/>
    <n v="20"/>
    <x v="3"/>
    <n v="0"/>
    <x v="2"/>
    <x v="2"/>
  </r>
  <r>
    <n v="53910"/>
    <x v="1"/>
    <n v="48"/>
    <n v="0"/>
    <n v="0"/>
    <x v="2"/>
    <x v="0"/>
    <x v="1"/>
    <x v="1"/>
    <n v="132.08000000000001"/>
    <n v="31.6"/>
    <x v="2"/>
    <n v="0"/>
    <x v="1"/>
    <x v="0"/>
  </r>
  <r>
    <n v="67548"/>
    <x v="1"/>
    <n v="31"/>
    <n v="0"/>
    <n v="0"/>
    <x v="2"/>
    <x v="0"/>
    <x v="0"/>
    <x v="0"/>
    <n v="98.99"/>
    <n v="31.2"/>
    <x v="1"/>
    <n v="0"/>
    <x v="2"/>
    <x v="0"/>
  </r>
  <r>
    <n v="50441"/>
    <x v="0"/>
    <n v="20"/>
    <n v="0"/>
    <n v="0"/>
    <x v="2"/>
    <x v="1"/>
    <x v="0"/>
    <x v="1"/>
    <n v="104.48"/>
    <n v="21.7"/>
    <x v="1"/>
    <n v="0"/>
    <x v="2"/>
    <x v="2"/>
  </r>
  <r>
    <n v="16927"/>
    <x v="0"/>
    <n v="21"/>
    <n v="0"/>
    <n v="0"/>
    <x v="2"/>
    <x v="0"/>
    <x v="0"/>
    <x v="1"/>
    <n v="98.01"/>
    <n v="24.2"/>
    <x v="3"/>
    <n v="0"/>
    <x v="2"/>
    <x v="2"/>
  </r>
  <r>
    <n v="28265"/>
    <x v="1"/>
    <n v="42"/>
    <n v="0"/>
    <n v="0"/>
    <x v="2"/>
    <x v="0"/>
    <x v="1"/>
    <x v="1"/>
    <n v="79.14"/>
    <n v="25"/>
    <x v="0"/>
    <n v="0"/>
    <x v="1"/>
    <x v="3"/>
  </r>
  <r>
    <n v="33404"/>
    <x v="0"/>
    <n v="35"/>
    <n v="0"/>
    <n v="0"/>
    <x v="2"/>
    <x v="0"/>
    <x v="0"/>
    <x v="0"/>
    <n v="89.32"/>
    <n v="36.700000000000003"/>
    <x v="3"/>
    <n v="0"/>
    <x v="2"/>
    <x v="0"/>
  </r>
  <r>
    <n v="50965"/>
    <x v="0"/>
    <n v="53"/>
    <n v="0"/>
    <n v="0"/>
    <x v="2"/>
    <x v="1"/>
    <x v="0"/>
    <x v="1"/>
    <n v="65.239999999999995"/>
    <n v="28.9"/>
    <x v="3"/>
    <n v="0"/>
    <x v="1"/>
    <x v="3"/>
  </r>
  <r>
    <n v="21077"/>
    <x v="0"/>
    <n v="60"/>
    <n v="0"/>
    <n v="0"/>
    <x v="1"/>
    <x v="0"/>
    <x v="0"/>
    <x v="1"/>
    <n v="80.98"/>
    <n v="29.7"/>
    <x v="0"/>
    <n v="0"/>
    <x v="0"/>
    <x v="3"/>
  </r>
  <r>
    <n v="12982"/>
    <x v="0"/>
    <n v="74"/>
    <n v="0"/>
    <n v="0"/>
    <x v="1"/>
    <x v="0"/>
    <x v="1"/>
    <x v="0"/>
    <n v="186.17"/>
    <n v="44.3"/>
    <x v="3"/>
    <n v="0"/>
    <x v="0"/>
    <x v="0"/>
  </r>
  <r>
    <n v="66570"/>
    <x v="1"/>
    <n v="23"/>
    <n v="0"/>
    <n v="0"/>
    <x v="2"/>
    <x v="1"/>
    <x v="0"/>
    <x v="1"/>
    <n v="69.239999999999995"/>
    <n v="51"/>
    <x v="1"/>
    <n v="0"/>
    <x v="2"/>
    <x v="0"/>
  </r>
  <r>
    <n v="29158"/>
    <x v="1"/>
    <n v="55"/>
    <n v="0"/>
    <n v="0"/>
    <x v="2"/>
    <x v="0"/>
    <x v="0"/>
    <x v="1"/>
    <n v="111.19"/>
    <n v="39.700000000000003"/>
    <x v="0"/>
    <n v="0"/>
    <x v="1"/>
    <x v="0"/>
  </r>
  <r>
    <n v="34299"/>
    <x v="1"/>
    <n v="71"/>
    <n v="0"/>
    <n v="0"/>
    <x v="1"/>
    <x v="0"/>
    <x v="0"/>
    <x v="0"/>
    <n v="93.28"/>
    <n v="34.700000000000003"/>
    <x v="1"/>
    <n v="0"/>
    <x v="0"/>
    <x v="0"/>
  </r>
  <r>
    <n v="54375"/>
    <x v="0"/>
    <n v="5"/>
    <n v="0"/>
    <n v="0"/>
    <x v="2"/>
    <x v="1"/>
    <x v="3"/>
    <x v="1"/>
    <n v="122.19"/>
    <n v="35"/>
    <x v="3"/>
    <n v="0"/>
    <x v="2"/>
    <x v="0"/>
  </r>
  <r>
    <n v="37832"/>
    <x v="1"/>
    <n v="14"/>
    <n v="0"/>
    <n v="0"/>
    <x v="2"/>
    <x v="1"/>
    <x v="3"/>
    <x v="1"/>
    <n v="129.53"/>
    <n v="21.3"/>
    <x v="1"/>
    <n v="0"/>
    <x v="2"/>
    <x v="2"/>
  </r>
  <r>
    <n v="21058"/>
    <x v="1"/>
    <n v="15"/>
    <n v="0"/>
    <n v="0"/>
    <x v="2"/>
    <x v="1"/>
    <x v="3"/>
    <x v="1"/>
    <n v="114.53"/>
    <n v="29.1"/>
    <x v="3"/>
    <n v="0"/>
    <x v="2"/>
    <x v="3"/>
  </r>
  <r>
    <n v="7696"/>
    <x v="1"/>
    <n v="66"/>
    <n v="0"/>
    <n v="0"/>
    <x v="1"/>
    <x v="1"/>
    <x v="0"/>
    <x v="0"/>
    <n v="93.73"/>
    <n v="23.9"/>
    <x v="2"/>
    <n v="0"/>
    <x v="0"/>
    <x v="2"/>
  </r>
  <r>
    <n v="34668"/>
    <x v="1"/>
    <n v="56"/>
    <n v="0"/>
    <n v="0"/>
    <x v="2"/>
    <x v="0"/>
    <x v="0"/>
    <x v="0"/>
    <n v="77.489999999999995"/>
    <n v="36"/>
    <x v="0"/>
    <n v="0"/>
    <x v="1"/>
    <x v="0"/>
  </r>
  <r>
    <n v="68483"/>
    <x v="1"/>
    <n v="60"/>
    <n v="0"/>
    <n v="0"/>
    <x v="1"/>
    <x v="0"/>
    <x v="0"/>
    <x v="0"/>
    <n v="65.38"/>
    <n v="41.2"/>
    <x v="0"/>
    <n v="0"/>
    <x v="0"/>
    <x v="0"/>
  </r>
  <r>
    <n v="6072"/>
    <x v="1"/>
    <n v="57"/>
    <n v="0"/>
    <n v="0"/>
    <x v="2"/>
    <x v="0"/>
    <x v="0"/>
    <x v="0"/>
    <n v="94.18"/>
    <n v="27.1"/>
    <x v="1"/>
    <n v="0"/>
    <x v="1"/>
    <x v="3"/>
  </r>
  <r>
    <n v="51112"/>
    <x v="0"/>
    <n v="29"/>
    <n v="0"/>
    <n v="0"/>
    <x v="2"/>
    <x v="0"/>
    <x v="1"/>
    <x v="0"/>
    <n v="118.7"/>
    <n v="33.200000000000003"/>
    <x v="3"/>
    <n v="0"/>
    <x v="2"/>
    <x v="0"/>
  </r>
  <r>
    <n v="69673"/>
    <x v="1"/>
    <n v="76"/>
    <n v="0"/>
    <n v="0"/>
    <x v="1"/>
    <x v="0"/>
    <x v="2"/>
    <x v="0"/>
    <n v="96.29"/>
    <n v="25.4"/>
    <x v="2"/>
    <n v="0"/>
    <x v="0"/>
    <x v="3"/>
  </r>
  <r>
    <n v="71238"/>
    <x v="0"/>
    <n v="52"/>
    <n v="1"/>
    <n v="0"/>
    <x v="2"/>
    <x v="0"/>
    <x v="0"/>
    <x v="1"/>
    <n v="74.64"/>
    <n v="30.7"/>
    <x v="2"/>
    <n v="0"/>
    <x v="1"/>
    <x v="0"/>
  </r>
  <r>
    <n v="63958"/>
    <x v="1"/>
    <n v="42"/>
    <n v="0"/>
    <n v="0"/>
    <x v="2"/>
    <x v="0"/>
    <x v="0"/>
    <x v="0"/>
    <n v="96.99"/>
    <n v="34.799999999999997"/>
    <x v="0"/>
    <n v="0"/>
    <x v="1"/>
    <x v="0"/>
  </r>
  <r>
    <n v="34511"/>
    <x v="1"/>
    <n v="71"/>
    <n v="0"/>
    <n v="0"/>
    <x v="1"/>
    <x v="0"/>
    <x v="0"/>
    <x v="1"/>
    <n v="100.61"/>
    <n v="19.2"/>
    <x v="3"/>
    <n v="0"/>
    <x v="0"/>
    <x v="2"/>
  </r>
  <r>
    <n v="24892"/>
    <x v="0"/>
    <n v="64"/>
    <n v="0"/>
    <n v="0"/>
    <x v="1"/>
    <x v="0"/>
    <x v="0"/>
    <x v="1"/>
    <n v="97.08"/>
    <n v="31.7"/>
    <x v="3"/>
    <n v="0"/>
    <x v="0"/>
    <x v="0"/>
  </r>
  <r>
    <n v="29496"/>
    <x v="1"/>
    <n v="39"/>
    <n v="0"/>
    <n v="0"/>
    <x v="2"/>
    <x v="0"/>
    <x v="0"/>
    <x v="1"/>
    <n v="84.79"/>
    <n v="35.700000000000003"/>
    <x v="1"/>
    <n v="0"/>
    <x v="2"/>
    <x v="0"/>
  </r>
  <r>
    <n v="19939"/>
    <x v="1"/>
    <n v="46"/>
    <n v="0"/>
    <n v="0"/>
    <x v="2"/>
    <x v="0"/>
    <x v="0"/>
    <x v="1"/>
    <n v="78.75"/>
    <n v="37.799999999999997"/>
    <x v="0"/>
    <n v="0"/>
    <x v="1"/>
    <x v="0"/>
  </r>
  <r>
    <n v="27832"/>
    <x v="1"/>
    <n v="51"/>
    <n v="0"/>
    <n v="0"/>
    <x v="2"/>
    <x v="0"/>
    <x v="0"/>
    <x v="1"/>
    <n v="82.93"/>
    <n v="29.7"/>
    <x v="2"/>
    <n v="0"/>
    <x v="1"/>
    <x v="3"/>
  </r>
  <r>
    <n v="27757"/>
    <x v="0"/>
    <n v="31"/>
    <n v="0"/>
    <n v="0"/>
    <x v="2"/>
    <x v="0"/>
    <x v="0"/>
    <x v="0"/>
    <n v="88.78"/>
    <n v="35.799999999999997"/>
    <x v="2"/>
    <n v="0"/>
    <x v="2"/>
    <x v="0"/>
  </r>
  <r>
    <n v="31279"/>
    <x v="0"/>
    <n v="22"/>
    <n v="0"/>
    <n v="0"/>
    <x v="2"/>
    <x v="1"/>
    <x v="0"/>
    <x v="0"/>
    <n v="122.1"/>
    <n v="23.6"/>
    <x v="2"/>
    <n v="0"/>
    <x v="2"/>
    <x v="2"/>
  </r>
  <r>
    <n v="25099"/>
    <x v="0"/>
    <n v="41"/>
    <n v="0"/>
    <n v="0"/>
    <x v="2"/>
    <x v="1"/>
    <x v="2"/>
    <x v="1"/>
    <n v="74.81"/>
    <n v="39.700000000000003"/>
    <x v="2"/>
    <n v="0"/>
    <x v="1"/>
    <x v="0"/>
  </r>
  <r>
    <n v="67733"/>
    <x v="1"/>
    <n v="28"/>
    <n v="0"/>
    <n v="0"/>
    <x v="2"/>
    <x v="0"/>
    <x v="0"/>
    <x v="0"/>
    <n v="183.45"/>
    <n v="40.5"/>
    <x v="2"/>
    <n v="0"/>
    <x v="2"/>
    <x v="0"/>
  </r>
  <r>
    <n v="9201"/>
    <x v="1"/>
    <n v="44"/>
    <n v="0"/>
    <n v="0"/>
    <x v="2"/>
    <x v="0"/>
    <x v="1"/>
    <x v="0"/>
    <n v="114.94"/>
    <n v="21.4"/>
    <x v="1"/>
    <n v="0"/>
    <x v="1"/>
    <x v="2"/>
  </r>
  <r>
    <n v="33123"/>
    <x v="1"/>
    <n v="68"/>
    <n v="0"/>
    <n v="0"/>
    <x v="1"/>
    <x v="0"/>
    <x v="1"/>
    <x v="1"/>
    <n v="104.38"/>
    <n v="40.799999999999997"/>
    <x v="0"/>
    <n v="0"/>
    <x v="0"/>
    <x v="0"/>
  </r>
  <r>
    <n v="21713"/>
    <x v="0"/>
    <n v="49"/>
    <n v="0"/>
    <n v="0"/>
    <x v="2"/>
    <x v="0"/>
    <x v="0"/>
    <x v="0"/>
    <n v="102.91"/>
    <n v="24.7"/>
    <x v="3"/>
    <n v="0"/>
    <x v="1"/>
    <x v="2"/>
  </r>
  <r>
    <n v="22622"/>
    <x v="0"/>
    <n v="10"/>
    <n v="0"/>
    <n v="0"/>
    <x v="2"/>
    <x v="1"/>
    <x v="3"/>
    <x v="1"/>
    <n v="108.79"/>
    <n v="21"/>
    <x v="3"/>
    <n v="0"/>
    <x v="2"/>
    <x v="2"/>
  </r>
  <r>
    <n v="6726"/>
    <x v="1"/>
    <n v="31"/>
    <n v="0"/>
    <n v="0"/>
    <x v="2"/>
    <x v="0"/>
    <x v="0"/>
    <x v="0"/>
    <n v="73.31"/>
    <n v="45"/>
    <x v="1"/>
    <n v="0"/>
    <x v="2"/>
    <x v="0"/>
  </r>
  <r>
    <n v="17242"/>
    <x v="0"/>
    <n v="67"/>
    <n v="0"/>
    <n v="0"/>
    <x v="1"/>
    <x v="0"/>
    <x v="1"/>
    <x v="0"/>
    <n v="68.52"/>
    <n v="26.2"/>
    <x v="1"/>
    <n v="0"/>
    <x v="0"/>
    <x v="3"/>
  </r>
  <r>
    <n v="16380"/>
    <x v="0"/>
    <n v="40"/>
    <n v="0"/>
    <n v="0"/>
    <x v="2"/>
    <x v="0"/>
    <x v="0"/>
    <x v="1"/>
    <n v="89.77"/>
    <s v="N/A"/>
    <x v="2"/>
    <n v="0"/>
    <x v="1"/>
    <x v="1"/>
  </r>
  <r>
    <n v="9729"/>
    <x v="0"/>
    <n v="70"/>
    <n v="0"/>
    <n v="0"/>
    <x v="1"/>
    <x v="0"/>
    <x v="0"/>
    <x v="0"/>
    <n v="102.64"/>
    <n v="28.3"/>
    <x v="1"/>
    <n v="0"/>
    <x v="0"/>
    <x v="3"/>
  </r>
  <r>
    <n v="56974"/>
    <x v="1"/>
    <n v="38"/>
    <n v="0"/>
    <n v="0"/>
    <x v="2"/>
    <x v="0"/>
    <x v="2"/>
    <x v="0"/>
    <n v="70.92"/>
    <n v="41.6"/>
    <x v="1"/>
    <n v="0"/>
    <x v="2"/>
    <x v="0"/>
  </r>
  <r>
    <n v="29933"/>
    <x v="1"/>
    <n v="5"/>
    <n v="0"/>
    <n v="0"/>
    <x v="2"/>
    <x v="1"/>
    <x v="3"/>
    <x v="1"/>
    <n v="86.11"/>
    <n v="19"/>
    <x v="3"/>
    <n v="0"/>
    <x v="2"/>
    <x v="2"/>
  </r>
  <r>
    <n v="65574"/>
    <x v="1"/>
    <n v="54"/>
    <n v="0"/>
    <n v="0"/>
    <x v="2"/>
    <x v="0"/>
    <x v="0"/>
    <x v="0"/>
    <n v="129.16"/>
    <n v="32.4"/>
    <x v="1"/>
    <n v="0"/>
    <x v="1"/>
    <x v="0"/>
  </r>
  <r>
    <n v="17019"/>
    <x v="1"/>
    <n v="30"/>
    <n v="0"/>
    <n v="0"/>
    <x v="2"/>
    <x v="0"/>
    <x v="2"/>
    <x v="0"/>
    <n v="113.85"/>
    <n v="34"/>
    <x v="1"/>
    <n v="0"/>
    <x v="2"/>
    <x v="0"/>
  </r>
  <r>
    <n v="41800"/>
    <x v="1"/>
    <n v="23"/>
    <n v="0"/>
    <n v="0"/>
    <x v="2"/>
    <x v="0"/>
    <x v="0"/>
    <x v="1"/>
    <n v="79.349999999999994"/>
    <n v="39.4"/>
    <x v="0"/>
    <n v="0"/>
    <x v="2"/>
    <x v="0"/>
  </r>
  <r>
    <n v="7621"/>
    <x v="1"/>
    <n v="31"/>
    <n v="0"/>
    <n v="0"/>
    <x v="2"/>
    <x v="0"/>
    <x v="0"/>
    <x v="1"/>
    <n v="80.790000000000006"/>
    <n v="28.7"/>
    <x v="3"/>
    <n v="0"/>
    <x v="2"/>
    <x v="3"/>
  </r>
  <r>
    <n v="6855"/>
    <x v="0"/>
    <n v="72"/>
    <n v="1"/>
    <n v="0"/>
    <x v="0"/>
    <x v="0"/>
    <x v="1"/>
    <x v="0"/>
    <n v="114.01"/>
    <n v="31.8"/>
    <x v="0"/>
    <n v="0"/>
    <x v="0"/>
    <x v="0"/>
  </r>
  <r>
    <n v="5374"/>
    <x v="0"/>
    <n v="23"/>
    <n v="0"/>
    <n v="0"/>
    <x v="2"/>
    <x v="1"/>
    <x v="0"/>
    <x v="1"/>
    <n v="93.74"/>
    <n v="31.2"/>
    <x v="1"/>
    <n v="0"/>
    <x v="2"/>
    <x v="0"/>
  </r>
  <r>
    <n v="31564"/>
    <x v="1"/>
    <n v="25"/>
    <n v="0"/>
    <n v="0"/>
    <x v="2"/>
    <x v="0"/>
    <x v="0"/>
    <x v="1"/>
    <n v="90.65"/>
    <n v="20.9"/>
    <x v="3"/>
    <n v="0"/>
    <x v="2"/>
    <x v="2"/>
  </r>
  <r>
    <n v="26028"/>
    <x v="0"/>
    <n v="51"/>
    <n v="0"/>
    <n v="0"/>
    <x v="2"/>
    <x v="0"/>
    <x v="0"/>
    <x v="0"/>
    <n v="98.41"/>
    <n v="32.1"/>
    <x v="1"/>
    <n v="0"/>
    <x v="1"/>
    <x v="0"/>
  </r>
  <r>
    <n v="71808"/>
    <x v="1"/>
    <n v="20"/>
    <n v="0"/>
    <n v="0"/>
    <x v="2"/>
    <x v="1"/>
    <x v="0"/>
    <x v="0"/>
    <n v="127.18"/>
    <n v="31"/>
    <x v="3"/>
    <n v="0"/>
    <x v="2"/>
    <x v="0"/>
  </r>
  <r>
    <n v="56998"/>
    <x v="1"/>
    <n v="12"/>
    <n v="0"/>
    <n v="0"/>
    <x v="2"/>
    <x v="1"/>
    <x v="3"/>
    <x v="0"/>
    <n v="138.06"/>
    <n v="23.1"/>
    <x v="3"/>
    <n v="0"/>
    <x v="2"/>
    <x v="2"/>
  </r>
  <r>
    <n v="14712"/>
    <x v="0"/>
    <n v="57"/>
    <n v="0"/>
    <n v="0"/>
    <x v="2"/>
    <x v="0"/>
    <x v="0"/>
    <x v="0"/>
    <n v="89.44"/>
    <n v="26.7"/>
    <x v="1"/>
    <n v="0"/>
    <x v="1"/>
    <x v="3"/>
  </r>
  <r>
    <n v="23094"/>
    <x v="0"/>
    <n v="65"/>
    <n v="0"/>
    <n v="0"/>
    <x v="1"/>
    <x v="0"/>
    <x v="1"/>
    <x v="0"/>
    <n v="105.61"/>
    <n v="27.9"/>
    <x v="3"/>
    <n v="0"/>
    <x v="0"/>
    <x v="3"/>
  </r>
  <r>
    <n v="43134"/>
    <x v="1"/>
    <n v="16"/>
    <n v="0"/>
    <n v="0"/>
    <x v="2"/>
    <x v="1"/>
    <x v="0"/>
    <x v="1"/>
    <n v="155.43"/>
    <n v="27.3"/>
    <x v="1"/>
    <n v="0"/>
    <x v="2"/>
    <x v="3"/>
  </r>
  <r>
    <n v="40622"/>
    <x v="1"/>
    <n v="43"/>
    <n v="0"/>
    <n v="0"/>
    <x v="2"/>
    <x v="0"/>
    <x v="0"/>
    <x v="1"/>
    <n v="80.83"/>
    <n v="51.5"/>
    <x v="3"/>
    <n v="0"/>
    <x v="1"/>
    <x v="0"/>
  </r>
  <r>
    <n v="39383"/>
    <x v="1"/>
    <n v="30"/>
    <n v="0"/>
    <n v="0"/>
    <x v="2"/>
    <x v="0"/>
    <x v="0"/>
    <x v="0"/>
    <n v="80.19"/>
    <n v="20.399999999999999"/>
    <x v="1"/>
    <n v="0"/>
    <x v="2"/>
    <x v="2"/>
  </r>
  <r>
    <n v="63606"/>
    <x v="0"/>
    <n v="29"/>
    <n v="0"/>
    <n v="0"/>
    <x v="2"/>
    <x v="0"/>
    <x v="2"/>
    <x v="0"/>
    <n v="60.34"/>
    <n v="29.6"/>
    <x v="0"/>
    <n v="0"/>
    <x v="2"/>
    <x v="3"/>
  </r>
  <r>
    <n v="46438"/>
    <x v="1"/>
    <n v="54"/>
    <n v="0"/>
    <n v="0"/>
    <x v="2"/>
    <x v="0"/>
    <x v="1"/>
    <x v="0"/>
    <n v="79.3"/>
    <n v="30.6"/>
    <x v="0"/>
    <n v="0"/>
    <x v="1"/>
    <x v="0"/>
  </r>
  <r>
    <n v="65144"/>
    <x v="1"/>
    <n v="57"/>
    <n v="0"/>
    <n v="0"/>
    <x v="2"/>
    <x v="0"/>
    <x v="1"/>
    <x v="0"/>
    <n v="98.44"/>
    <n v="33.6"/>
    <x v="3"/>
    <n v="0"/>
    <x v="1"/>
    <x v="0"/>
  </r>
  <r>
    <n v="545"/>
    <x v="0"/>
    <n v="42"/>
    <n v="0"/>
    <n v="0"/>
    <x v="2"/>
    <x v="0"/>
    <x v="0"/>
    <x v="1"/>
    <n v="210.48"/>
    <n v="71.900000000000006"/>
    <x v="1"/>
    <n v="0"/>
    <x v="1"/>
    <x v="0"/>
  </r>
  <r>
    <n v="36331"/>
    <x v="0"/>
    <n v="18"/>
    <n v="0"/>
    <n v="0"/>
    <x v="2"/>
    <x v="1"/>
    <x v="0"/>
    <x v="1"/>
    <n v="70.34"/>
    <n v="24.2"/>
    <x v="3"/>
    <n v="0"/>
    <x v="2"/>
    <x v="2"/>
  </r>
  <r>
    <n v="42359"/>
    <x v="0"/>
    <n v="9"/>
    <n v="0"/>
    <n v="0"/>
    <x v="2"/>
    <x v="1"/>
    <x v="3"/>
    <x v="0"/>
    <n v="122.22"/>
    <n v="17.7"/>
    <x v="3"/>
    <n v="0"/>
    <x v="2"/>
    <x v="4"/>
  </r>
  <r>
    <n v="20751"/>
    <x v="1"/>
    <n v="26"/>
    <n v="0"/>
    <n v="0"/>
    <x v="2"/>
    <x v="0"/>
    <x v="0"/>
    <x v="1"/>
    <n v="75.290000000000006"/>
    <n v="22.6"/>
    <x v="2"/>
    <n v="0"/>
    <x v="2"/>
    <x v="2"/>
  </r>
  <r>
    <n v="34641"/>
    <x v="0"/>
    <n v="40"/>
    <n v="0"/>
    <n v="0"/>
    <x v="2"/>
    <x v="1"/>
    <x v="0"/>
    <x v="1"/>
    <n v="100.35"/>
    <n v="28.1"/>
    <x v="1"/>
    <n v="0"/>
    <x v="1"/>
    <x v="3"/>
  </r>
  <r>
    <n v="15791"/>
    <x v="0"/>
    <n v="77"/>
    <n v="0"/>
    <n v="0"/>
    <x v="1"/>
    <x v="0"/>
    <x v="0"/>
    <x v="0"/>
    <n v="193.83"/>
    <n v="26.5"/>
    <x v="1"/>
    <n v="0"/>
    <x v="0"/>
    <x v="3"/>
  </r>
  <r>
    <n v="68241"/>
    <x v="1"/>
    <n v="15"/>
    <n v="0"/>
    <n v="0"/>
    <x v="2"/>
    <x v="1"/>
    <x v="3"/>
    <x v="0"/>
    <n v="126.96"/>
    <n v="28.7"/>
    <x v="3"/>
    <n v="0"/>
    <x v="2"/>
    <x v="3"/>
  </r>
  <r>
    <n v="67780"/>
    <x v="1"/>
    <n v="76"/>
    <n v="0"/>
    <n v="0"/>
    <x v="1"/>
    <x v="0"/>
    <x v="0"/>
    <x v="0"/>
    <n v="183.34"/>
    <n v="39.5"/>
    <x v="0"/>
    <n v="0"/>
    <x v="0"/>
    <x v="0"/>
  </r>
  <r>
    <n v="68275"/>
    <x v="0"/>
    <n v="52"/>
    <n v="0"/>
    <n v="0"/>
    <x v="2"/>
    <x v="0"/>
    <x v="0"/>
    <x v="0"/>
    <n v="247.69"/>
    <n v="35.1"/>
    <x v="3"/>
    <n v="0"/>
    <x v="1"/>
    <x v="0"/>
  </r>
  <r>
    <n v="13129"/>
    <x v="1"/>
    <n v="55"/>
    <n v="0"/>
    <n v="0"/>
    <x v="2"/>
    <x v="0"/>
    <x v="1"/>
    <x v="1"/>
    <n v="76.2"/>
    <n v="27.9"/>
    <x v="1"/>
    <n v="0"/>
    <x v="1"/>
    <x v="3"/>
  </r>
  <r>
    <n v="60902"/>
    <x v="0"/>
    <n v="5"/>
    <n v="0"/>
    <n v="0"/>
    <x v="2"/>
    <x v="1"/>
    <x v="3"/>
    <x v="1"/>
    <n v="71.430000000000007"/>
    <n v="19.3"/>
    <x v="3"/>
    <n v="0"/>
    <x v="2"/>
    <x v="2"/>
  </r>
  <r>
    <n v="37629"/>
    <x v="1"/>
    <n v="55"/>
    <n v="0"/>
    <n v="0"/>
    <x v="2"/>
    <x v="1"/>
    <x v="0"/>
    <x v="1"/>
    <n v="93.36"/>
    <n v="28.4"/>
    <x v="1"/>
    <n v="0"/>
    <x v="1"/>
    <x v="3"/>
  </r>
  <r>
    <n v="58439"/>
    <x v="0"/>
    <n v="36"/>
    <n v="0"/>
    <n v="0"/>
    <x v="2"/>
    <x v="1"/>
    <x v="0"/>
    <x v="0"/>
    <n v="61.29"/>
    <n v="26.7"/>
    <x v="1"/>
    <n v="0"/>
    <x v="2"/>
    <x v="3"/>
  </r>
  <r>
    <n v="62936"/>
    <x v="0"/>
    <n v="46"/>
    <n v="0"/>
    <n v="0"/>
    <x v="2"/>
    <x v="0"/>
    <x v="0"/>
    <x v="0"/>
    <n v="103.62"/>
    <n v="40.9"/>
    <x v="3"/>
    <n v="0"/>
    <x v="1"/>
    <x v="0"/>
  </r>
  <r>
    <n v="29010"/>
    <x v="0"/>
    <n v="5"/>
    <n v="0"/>
    <n v="0"/>
    <x v="2"/>
    <x v="1"/>
    <x v="3"/>
    <x v="1"/>
    <n v="100.52"/>
    <n v="17.2"/>
    <x v="3"/>
    <n v="0"/>
    <x v="2"/>
    <x v="4"/>
  </r>
  <r>
    <n v="36561"/>
    <x v="1"/>
    <n v="39"/>
    <n v="0"/>
    <n v="0"/>
    <x v="2"/>
    <x v="0"/>
    <x v="2"/>
    <x v="1"/>
    <n v="191.47"/>
    <n v="28.3"/>
    <x v="1"/>
    <n v="0"/>
    <x v="2"/>
    <x v="3"/>
  </r>
  <r>
    <n v="44912"/>
    <x v="0"/>
    <n v="12"/>
    <n v="0"/>
    <n v="0"/>
    <x v="2"/>
    <x v="1"/>
    <x v="3"/>
    <x v="0"/>
    <n v="67.06"/>
    <n v="16.100000000000001"/>
    <x v="3"/>
    <n v="0"/>
    <x v="2"/>
    <x v="4"/>
  </r>
  <r>
    <n v="59829"/>
    <x v="0"/>
    <n v="67"/>
    <n v="0"/>
    <n v="1"/>
    <x v="0"/>
    <x v="0"/>
    <x v="0"/>
    <x v="0"/>
    <n v="144.1"/>
    <n v="27.6"/>
    <x v="1"/>
    <n v="0"/>
    <x v="0"/>
    <x v="3"/>
  </r>
  <r>
    <n v="45238"/>
    <x v="1"/>
    <n v="1.8"/>
    <n v="0"/>
    <n v="0"/>
    <x v="2"/>
    <x v="1"/>
    <x v="3"/>
    <x v="0"/>
    <n v="58.26"/>
    <n v="16.5"/>
    <x v="3"/>
    <n v="0"/>
    <x v="2"/>
    <x v="4"/>
  </r>
  <r>
    <n v="47811"/>
    <x v="1"/>
    <n v="72"/>
    <n v="0"/>
    <n v="0"/>
    <x v="1"/>
    <x v="0"/>
    <x v="1"/>
    <x v="0"/>
    <n v="239.82"/>
    <n v="35.799999999999997"/>
    <x v="1"/>
    <n v="0"/>
    <x v="0"/>
    <x v="0"/>
  </r>
  <r>
    <n v="61511"/>
    <x v="1"/>
    <n v="0.32"/>
    <n v="0"/>
    <n v="0"/>
    <x v="2"/>
    <x v="1"/>
    <x v="3"/>
    <x v="1"/>
    <n v="73.709999999999994"/>
    <n v="16.2"/>
    <x v="3"/>
    <n v="0"/>
    <x v="2"/>
    <x v="4"/>
  </r>
  <r>
    <n v="55424"/>
    <x v="1"/>
    <n v="64"/>
    <n v="1"/>
    <n v="0"/>
    <x v="0"/>
    <x v="0"/>
    <x v="0"/>
    <x v="1"/>
    <n v="88.53"/>
    <n v="24.6"/>
    <x v="1"/>
    <n v="0"/>
    <x v="0"/>
    <x v="2"/>
  </r>
  <r>
    <n v="36942"/>
    <x v="0"/>
    <n v="27"/>
    <n v="0"/>
    <n v="0"/>
    <x v="2"/>
    <x v="1"/>
    <x v="0"/>
    <x v="0"/>
    <n v="114.79"/>
    <n v="32"/>
    <x v="3"/>
    <n v="0"/>
    <x v="2"/>
    <x v="0"/>
  </r>
  <r>
    <n v="61697"/>
    <x v="0"/>
    <n v="25"/>
    <n v="0"/>
    <n v="0"/>
    <x v="2"/>
    <x v="1"/>
    <x v="0"/>
    <x v="1"/>
    <n v="113.8"/>
    <n v="35.299999999999997"/>
    <x v="0"/>
    <n v="0"/>
    <x v="2"/>
    <x v="0"/>
  </r>
  <r>
    <n v="55138"/>
    <x v="1"/>
    <n v="81"/>
    <n v="0"/>
    <n v="0"/>
    <x v="1"/>
    <x v="1"/>
    <x v="1"/>
    <x v="0"/>
    <n v="71.91"/>
    <n v="19.2"/>
    <x v="3"/>
    <n v="0"/>
    <x v="0"/>
    <x v="2"/>
  </r>
  <r>
    <n v="39399"/>
    <x v="1"/>
    <n v="32"/>
    <n v="0"/>
    <n v="0"/>
    <x v="2"/>
    <x v="1"/>
    <x v="1"/>
    <x v="0"/>
    <n v="65.3"/>
    <n v="40.4"/>
    <x v="1"/>
    <n v="0"/>
    <x v="2"/>
    <x v="0"/>
  </r>
  <r>
    <n v="17148"/>
    <x v="0"/>
    <n v="57"/>
    <n v="0"/>
    <n v="0"/>
    <x v="2"/>
    <x v="0"/>
    <x v="0"/>
    <x v="0"/>
    <n v="189.57"/>
    <n v="30.7"/>
    <x v="1"/>
    <n v="0"/>
    <x v="1"/>
    <x v="0"/>
  </r>
  <r>
    <n v="721"/>
    <x v="1"/>
    <n v="52"/>
    <n v="1"/>
    <n v="0"/>
    <x v="2"/>
    <x v="0"/>
    <x v="1"/>
    <x v="0"/>
    <n v="114.25"/>
    <n v="24.3"/>
    <x v="0"/>
    <n v="0"/>
    <x v="1"/>
    <x v="2"/>
  </r>
  <r>
    <n v="40448"/>
    <x v="0"/>
    <n v="54"/>
    <n v="0"/>
    <n v="0"/>
    <x v="2"/>
    <x v="0"/>
    <x v="0"/>
    <x v="0"/>
    <n v="81.260000000000005"/>
    <n v="26.4"/>
    <x v="0"/>
    <n v="0"/>
    <x v="1"/>
    <x v="3"/>
  </r>
  <r>
    <n v="58007"/>
    <x v="1"/>
    <n v="36"/>
    <n v="0"/>
    <n v="0"/>
    <x v="2"/>
    <x v="0"/>
    <x v="0"/>
    <x v="0"/>
    <n v="87.88"/>
    <n v="34.700000000000003"/>
    <x v="2"/>
    <n v="0"/>
    <x v="2"/>
    <x v="0"/>
  </r>
  <r>
    <n v="15095"/>
    <x v="0"/>
    <n v="18"/>
    <n v="0"/>
    <n v="0"/>
    <x v="2"/>
    <x v="1"/>
    <x v="0"/>
    <x v="0"/>
    <n v="112.17"/>
    <n v="31.7"/>
    <x v="3"/>
    <n v="0"/>
    <x v="2"/>
    <x v="0"/>
  </r>
  <r>
    <n v="11960"/>
    <x v="0"/>
    <n v="45"/>
    <n v="0"/>
    <n v="0"/>
    <x v="2"/>
    <x v="0"/>
    <x v="0"/>
    <x v="1"/>
    <n v="99.97"/>
    <n v="35.6"/>
    <x v="1"/>
    <n v="0"/>
    <x v="1"/>
    <x v="0"/>
  </r>
  <r>
    <n v="56179"/>
    <x v="0"/>
    <n v="29"/>
    <n v="0"/>
    <n v="0"/>
    <x v="2"/>
    <x v="1"/>
    <x v="0"/>
    <x v="0"/>
    <n v="207.58"/>
    <n v="22.8"/>
    <x v="2"/>
    <n v="0"/>
    <x v="2"/>
    <x v="2"/>
  </r>
  <r>
    <n v="24592"/>
    <x v="1"/>
    <n v="51"/>
    <n v="1"/>
    <n v="0"/>
    <x v="2"/>
    <x v="0"/>
    <x v="0"/>
    <x v="0"/>
    <n v="109.16"/>
    <n v="28"/>
    <x v="2"/>
    <n v="0"/>
    <x v="1"/>
    <x v="3"/>
  </r>
  <r>
    <n v="67744"/>
    <x v="1"/>
    <n v="23"/>
    <n v="0"/>
    <n v="0"/>
    <x v="2"/>
    <x v="1"/>
    <x v="0"/>
    <x v="0"/>
    <n v="74.459999999999994"/>
    <n v="35.6"/>
    <x v="0"/>
    <n v="0"/>
    <x v="2"/>
    <x v="0"/>
  </r>
  <r>
    <n v="8328"/>
    <x v="1"/>
    <n v="54"/>
    <n v="0"/>
    <n v="0"/>
    <x v="2"/>
    <x v="0"/>
    <x v="0"/>
    <x v="1"/>
    <n v="118.51"/>
    <n v="40.6"/>
    <x v="1"/>
    <n v="0"/>
    <x v="1"/>
    <x v="0"/>
  </r>
  <r>
    <n v="32437"/>
    <x v="1"/>
    <n v="54"/>
    <n v="0"/>
    <n v="0"/>
    <x v="2"/>
    <x v="0"/>
    <x v="1"/>
    <x v="0"/>
    <n v="107.47"/>
    <n v="29.3"/>
    <x v="0"/>
    <n v="0"/>
    <x v="1"/>
    <x v="3"/>
  </r>
  <r>
    <n v="44315"/>
    <x v="0"/>
    <n v="18"/>
    <n v="0"/>
    <n v="0"/>
    <x v="2"/>
    <x v="1"/>
    <x v="1"/>
    <x v="1"/>
    <n v="182.86"/>
    <n v="21"/>
    <x v="3"/>
    <n v="0"/>
    <x v="2"/>
    <x v="2"/>
  </r>
  <r>
    <n v="68245"/>
    <x v="1"/>
    <n v="26"/>
    <n v="0"/>
    <n v="0"/>
    <x v="2"/>
    <x v="0"/>
    <x v="0"/>
    <x v="1"/>
    <n v="59.17"/>
    <n v="20"/>
    <x v="3"/>
    <n v="0"/>
    <x v="2"/>
    <x v="2"/>
  </r>
  <r>
    <n v="25483"/>
    <x v="0"/>
    <n v="72"/>
    <n v="0"/>
    <n v="0"/>
    <x v="1"/>
    <x v="0"/>
    <x v="0"/>
    <x v="1"/>
    <n v="215.64"/>
    <n v="26.7"/>
    <x v="0"/>
    <n v="0"/>
    <x v="0"/>
    <x v="3"/>
  </r>
  <r>
    <n v="47732"/>
    <x v="0"/>
    <n v="5"/>
    <n v="0"/>
    <n v="0"/>
    <x v="2"/>
    <x v="1"/>
    <x v="3"/>
    <x v="1"/>
    <n v="163.69999999999999"/>
    <n v="18.399999999999999"/>
    <x v="3"/>
    <n v="0"/>
    <x v="2"/>
    <x v="4"/>
  </r>
  <r>
    <n v="50118"/>
    <x v="1"/>
    <n v="65"/>
    <n v="0"/>
    <n v="1"/>
    <x v="0"/>
    <x v="0"/>
    <x v="0"/>
    <x v="1"/>
    <n v="196.36"/>
    <n v="34.5"/>
    <x v="0"/>
    <n v="0"/>
    <x v="0"/>
    <x v="0"/>
  </r>
  <r>
    <n v="55420"/>
    <x v="1"/>
    <n v="42"/>
    <n v="0"/>
    <n v="0"/>
    <x v="2"/>
    <x v="1"/>
    <x v="0"/>
    <x v="1"/>
    <n v="139.77000000000001"/>
    <n v="27.7"/>
    <x v="3"/>
    <n v="0"/>
    <x v="1"/>
    <x v="3"/>
  </r>
  <r>
    <n v="55709"/>
    <x v="1"/>
    <n v="47"/>
    <n v="0"/>
    <n v="0"/>
    <x v="2"/>
    <x v="0"/>
    <x v="1"/>
    <x v="0"/>
    <n v="141.22999999999999"/>
    <n v="21.1"/>
    <x v="1"/>
    <n v="0"/>
    <x v="1"/>
    <x v="2"/>
  </r>
  <r>
    <n v="15311"/>
    <x v="1"/>
    <n v="24"/>
    <n v="0"/>
    <n v="0"/>
    <x v="2"/>
    <x v="0"/>
    <x v="0"/>
    <x v="0"/>
    <n v="89.99"/>
    <n v="24.4"/>
    <x v="0"/>
    <n v="0"/>
    <x v="2"/>
    <x v="2"/>
  </r>
  <r>
    <n v="53660"/>
    <x v="0"/>
    <n v="57"/>
    <n v="0"/>
    <n v="0"/>
    <x v="2"/>
    <x v="0"/>
    <x v="0"/>
    <x v="0"/>
    <n v="108.53"/>
    <n v="19.399999999999999"/>
    <x v="2"/>
    <n v="0"/>
    <x v="1"/>
    <x v="2"/>
  </r>
  <r>
    <n v="56553"/>
    <x v="0"/>
    <n v="51"/>
    <n v="0"/>
    <n v="0"/>
    <x v="2"/>
    <x v="0"/>
    <x v="0"/>
    <x v="0"/>
    <n v="63.61"/>
    <n v="42.3"/>
    <x v="3"/>
    <n v="0"/>
    <x v="1"/>
    <x v="0"/>
  </r>
  <r>
    <n v="30480"/>
    <x v="0"/>
    <n v="48"/>
    <n v="0"/>
    <n v="0"/>
    <x v="2"/>
    <x v="0"/>
    <x v="0"/>
    <x v="0"/>
    <n v="85.54"/>
    <n v="32.200000000000003"/>
    <x v="2"/>
    <n v="0"/>
    <x v="1"/>
    <x v="0"/>
  </r>
  <r>
    <n v="31988"/>
    <x v="1"/>
    <n v="56"/>
    <n v="0"/>
    <n v="0"/>
    <x v="2"/>
    <x v="0"/>
    <x v="0"/>
    <x v="0"/>
    <n v="100.83"/>
    <n v="26.8"/>
    <x v="1"/>
    <n v="0"/>
    <x v="1"/>
    <x v="3"/>
  </r>
  <r>
    <n v="59807"/>
    <x v="1"/>
    <n v="30"/>
    <n v="0"/>
    <n v="0"/>
    <x v="2"/>
    <x v="0"/>
    <x v="0"/>
    <x v="0"/>
    <n v="59.82"/>
    <n v="25.4"/>
    <x v="1"/>
    <n v="0"/>
    <x v="2"/>
    <x v="3"/>
  </r>
  <r>
    <n v="45585"/>
    <x v="1"/>
    <n v="63"/>
    <n v="1"/>
    <n v="0"/>
    <x v="0"/>
    <x v="0"/>
    <x v="0"/>
    <x v="0"/>
    <n v="105.95"/>
    <n v="23.5"/>
    <x v="2"/>
    <n v="0"/>
    <x v="0"/>
    <x v="2"/>
  </r>
  <r>
    <n v="39639"/>
    <x v="1"/>
    <n v="46"/>
    <n v="0"/>
    <n v="0"/>
    <x v="2"/>
    <x v="0"/>
    <x v="0"/>
    <x v="1"/>
    <n v="188.11"/>
    <n v="50.2"/>
    <x v="2"/>
    <n v="0"/>
    <x v="1"/>
    <x v="0"/>
  </r>
  <r>
    <n v="52063"/>
    <x v="1"/>
    <n v="53"/>
    <n v="0"/>
    <n v="0"/>
    <x v="2"/>
    <x v="0"/>
    <x v="1"/>
    <x v="0"/>
    <n v="71.150000000000006"/>
    <n v="26.1"/>
    <x v="0"/>
    <n v="0"/>
    <x v="1"/>
    <x v="3"/>
  </r>
  <r>
    <n v="40639"/>
    <x v="1"/>
    <n v="1.08"/>
    <n v="0"/>
    <n v="0"/>
    <x v="2"/>
    <x v="1"/>
    <x v="3"/>
    <x v="1"/>
    <n v="60.53"/>
    <n v="17.5"/>
    <x v="3"/>
    <n v="0"/>
    <x v="2"/>
    <x v="4"/>
  </r>
  <r>
    <n v="31090"/>
    <x v="0"/>
    <n v="15"/>
    <n v="0"/>
    <n v="0"/>
    <x v="2"/>
    <x v="1"/>
    <x v="3"/>
    <x v="1"/>
    <n v="205.5"/>
    <n v="24.2"/>
    <x v="1"/>
    <n v="0"/>
    <x v="2"/>
    <x v="2"/>
  </r>
  <r>
    <n v="64174"/>
    <x v="1"/>
    <n v="59"/>
    <n v="1"/>
    <n v="0"/>
    <x v="2"/>
    <x v="0"/>
    <x v="0"/>
    <x v="0"/>
    <n v="204.86"/>
    <n v="30.8"/>
    <x v="1"/>
    <n v="0"/>
    <x v="1"/>
    <x v="0"/>
  </r>
  <r>
    <n v="8544"/>
    <x v="1"/>
    <n v="24"/>
    <n v="0"/>
    <n v="0"/>
    <x v="2"/>
    <x v="1"/>
    <x v="1"/>
    <x v="1"/>
    <n v="115.03"/>
    <n v="23.4"/>
    <x v="1"/>
    <n v="0"/>
    <x v="2"/>
    <x v="2"/>
  </r>
  <r>
    <n v="27377"/>
    <x v="0"/>
    <n v="53"/>
    <n v="0"/>
    <n v="0"/>
    <x v="2"/>
    <x v="0"/>
    <x v="0"/>
    <x v="1"/>
    <n v="79.87"/>
    <n v="30.9"/>
    <x v="1"/>
    <n v="0"/>
    <x v="1"/>
    <x v="0"/>
  </r>
  <r>
    <n v="3361"/>
    <x v="1"/>
    <n v="39"/>
    <n v="0"/>
    <n v="0"/>
    <x v="2"/>
    <x v="0"/>
    <x v="2"/>
    <x v="1"/>
    <n v="97.89"/>
    <n v="23.6"/>
    <x v="1"/>
    <n v="0"/>
    <x v="2"/>
    <x v="2"/>
  </r>
  <r>
    <n v="61408"/>
    <x v="0"/>
    <n v="23"/>
    <n v="0"/>
    <n v="0"/>
    <x v="2"/>
    <x v="1"/>
    <x v="4"/>
    <x v="0"/>
    <n v="125.26"/>
    <n v="18.7"/>
    <x v="1"/>
    <n v="0"/>
    <x v="2"/>
    <x v="2"/>
  </r>
  <r>
    <n v="33552"/>
    <x v="0"/>
    <n v="31"/>
    <n v="0"/>
    <n v="0"/>
    <x v="2"/>
    <x v="0"/>
    <x v="0"/>
    <x v="1"/>
    <n v="114.32"/>
    <n v="27.7"/>
    <x v="2"/>
    <n v="0"/>
    <x v="2"/>
    <x v="3"/>
  </r>
  <r>
    <n v="31364"/>
    <x v="0"/>
    <n v="5"/>
    <n v="0"/>
    <n v="0"/>
    <x v="2"/>
    <x v="1"/>
    <x v="3"/>
    <x v="0"/>
    <n v="92.23"/>
    <n v="16.7"/>
    <x v="3"/>
    <n v="0"/>
    <x v="2"/>
    <x v="4"/>
  </r>
  <r>
    <n v="7446"/>
    <x v="0"/>
    <n v="44"/>
    <n v="0"/>
    <n v="0"/>
    <x v="2"/>
    <x v="0"/>
    <x v="0"/>
    <x v="0"/>
    <n v="83.51"/>
    <n v="31.2"/>
    <x v="1"/>
    <n v="0"/>
    <x v="1"/>
    <x v="0"/>
  </r>
  <r>
    <n v="9906"/>
    <x v="1"/>
    <n v="1.8"/>
    <n v="0"/>
    <n v="0"/>
    <x v="2"/>
    <x v="1"/>
    <x v="3"/>
    <x v="0"/>
    <n v="102.34"/>
    <n v="17"/>
    <x v="3"/>
    <n v="0"/>
    <x v="2"/>
    <x v="4"/>
  </r>
  <r>
    <n v="65130"/>
    <x v="0"/>
    <n v="40"/>
    <n v="0"/>
    <n v="0"/>
    <x v="2"/>
    <x v="0"/>
    <x v="0"/>
    <x v="1"/>
    <n v="144.47999999999999"/>
    <n v="29.8"/>
    <x v="2"/>
    <n v="0"/>
    <x v="1"/>
    <x v="3"/>
  </r>
  <r>
    <n v="27794"/>
    <x v="0"/>
    <n v="7"/>
    <n v="0"/>
    <n v="0"/>
    <x v="2"/>
    <x v="1"/>
    <x v="3"/>
    <x v="1"/>
    <n v="88.39"/>
    <n v="19.7"/>
    <x v="3"/>
    <n v="0"/>
    <x v="2"/>
    <x v="2"/>
  </r>
  <r>
    <n v="48993"/>
    <x v="1"/>
    <n v="56"/>
    <n v="0"/>
    <n v="0"/>
    <x v="2"/>
    <x v="0"/>
    <x v="0"/>
    <x v="1"/>
    <n v="228.08"/>
    <n v="29.1"/>
    <x v="3"/>
    <n v="0"/>
    <x v="1"/>
    <x v="3"/>
  </r>
  <r>
    <n v="30753"/>
    <x v="0"/>
    <n v="42"/>
    <n v="0"/>
    <n v="0"/>
    <x v="2"/>
    <x v="0"/>
    <x v="2"/>
    <x v="0"/>
    <n v="93.79"/>
    <n v="27.2"/>
    <x v="1"/>
    <n v="0"/>
    <x v="1"/>
    <x v="3"/>
  </r>
  <r>
    <n v="46809"/>
    <x v="0"/>
    <n v="48"/>
    <n v="0"/>
    <n v="0"/>
    <x v="2"/>
    <x v="0"/>
    <x v="0"/>
    <x v="1"/>
    <n v="147.13999999999999"/>
    <n v="22.3"/>
    <x v="3"/>
    <n v="0"/>
    <x v="1"/>
    <x v="2"/>
  </r>
  <r>
    <n v="22853"/>
    <x v="0"/>
    <n v="82"/>
    <n v="0"/>
    <n v="0"/>
    <x v="1"/>
    <x v="1"/>
    <x v="1"/>
    <x v="1"/>
    <n v="106.43"/>
    <n v="27"/>
    <x v="2"/>
    <n v="0"/>
    <x v="0"/>
    <x v="3"/>
  </r>
  <r>
    <n v="12465"/>
    <x v="1"/>
    <n v="52"/>
    <n v="0"/>
    <n v="0"/>
    <x v="2"/>
    <x v="1"/>
    <x v="0"/>
    <x v="1"/>
    <n v="88.04"/>
    <n v="42.1"/>
    <x v="1"/>
    <n v="0"/>
    <x v="1"/>
    <x v="0"/>
  </r>
  <r>
    <n v="64849"/>
    <x v="1"/>
    <n v="42"/>
    <n v="0"/>
    <n v="0"/>
    <x v="2"/>
    <x v="0"/>
    <x v="0"/>
    <x v="0"/>
    <n v="92.2"/>
    <n v="34.200000000000003"/>
    <x v="3"/>
    <n v="0"/>
    <x v="1"/>
    <x v="0"/>
  </r>
  <r>
    <n v="39659"/>
    <x v="1"/>
    <n v="73"/>
    <n v="0"/>
    <n v="0"/>
    <x v="1"/>
    <x v="0"/>
    <x v="2"/>
    <x v="0"/>
    <n v="219.53"/>
    <n v="40.9"/>
    <x v="1"/>
    <n v="0"/>
    <x v="0"/>
    <x v="0"/>
  </r>
  <r>
    <n v="24183"/>
    <x v="1"/>
    <n v="55"/>
    <n v="0"/>
    <n v="0"/>
    <x v="2"/>
    <x v="0"/>
    <x v="2"/>
    <x v="1"/>
    <n v="75.56"/>
    <n v="29.4"/>
    <x v="2"/>
    <n v="0"/>
    <x v="1"/>
    <x v="3"/>
  </r>
  <r>
    <n v="71533"/>
    <x v="0"/>
    <n v="50"/>
    <n v="0"/>
    <n v="0"/>
    <x v="2"/>
    <x v="0"/>
    <x v="0"/>
    <x v="0"/>
    <n v="158.31"/>
    <n v="32.799999999999997"/>
    <x v="0"/>
    <n v="0"/>
    <x v="1"/>
    <x v="0"/>
  </r>
  <r>
    <n v="35565"/>
    <x v="0"/>
    <n v="43"/>
    <n v="0"/>
    <n v="0"/>
    <x v="2"/>
    <x v="0"/>
    <x v="0"/>
    <x v="0"/>
    <n v="111.43"/>
    <n v="21.9"/>
    <x v="2"/>
    <n v="0"/>
    <x v="1"/>
    <x v="2"/>
  </r>
  <r>
    <n v="34558"/>
    <x v="0"/>
    <n v="33"/>
    <n v="0"/>
    <n v="0"/>
    <x v="2"/>
    <x v="0"/>
    <x v="0"/>
    <x v="1"/>
    <n v="219.97"/>
    <n v="39.6"/>
    <x v="1"/>
    <n v="0"/>
    <x v="2"/>
    <x v="0"/>
  </r>
  <r>
    <n v="42553"/>
    <x v="1"/>
    <n v="80"/>
    <n v="0"/>
    <n v="0"/>
    <x v="1"/>
    <x v="0"/>
    <x v="0"/>
    <x v="1"/>
    <n v="148.91"/>
    <n v="28.3"/>
    <x v="1"/>
    <n v="0"/>
    <x v="0"/>
    <x v="3"/>
  </r>
  <r>
    <n v="39601"/>
    <x v="1"/>
    <n v="33"/>
    <n v="0"/>
    <n v="0"/>
    <x v="2"/>
    <x v="0"/>
    <x v="0"/>
    <x v="0"/>
    <n v="69.400000000000006"/>
    <n v="47.8"/>
    <x v="1"/>
    <n v="0"/>
    <x v="2"/>
    <x v="0"/>
  </r>
  <r>
    <n v="46891"/>
    <x v="1"/>
    <n v="74"/>
    <n v="0"/>
    <n v="0"/>
    <x v="1"/>
    <x v="0"/>
    <x v="0"/>
    <x v="1"/>
    <n v="68.34"/>
    <n v="39.299999999999997"/>
    <x v="3"/>
    <n v="0"/>
    <x v="0"/>
    <x v="0"/>
  </r>
  <r>
    <n v="38987"/>
    <x v="0"/>
    <n v="65"/>
    <n v="0"/>
    <n v="1"/>
    <x v="0"/>
    <x v="0"/>
    <x v="1"/>
    <x v="0"/>
    <n v="58.37"/>
    <n v="28"/>
    <x v="2"/>
    <n v="0"/>
    <x v="0"/>
    <x v="3"/>
  </r>
  <r>
    <n v="21886"/>
    <x v="1"/>
    <n v="40"/>
    <n v="0"/>
    <n v="0"/>
    <x v="2"/>
    <x v="0"/>
    <x v="0"/>
    <x v="0"/>
    <n v="71.2"/>
    <n v="27.1"/>
    <x v="1"/>
    <n v="0"/>
    <x v="1"/>
    <x v="3"/>
  </r>
  <r>
    <n v="5353"/>
    <x v="0"/>
    <n v="52"/>
    <n v="0"/>
    <n v="1"/>
    <x v="2"/>
    <x v="1"/>
    <x v="0"/>
    <x v="1"/>
    <n v="101.5"/>
    <n v="31.2"/>
    <x v="2"/>
    <n v="0"/>
    <x v="1"/>
    <x v="0"/>
  </r>
  <r>
    <n v="44300"/>
    <x v="1"/>
    <n v="66"/>
    <n v="0"/>
    <n v="0"/>
    <x v="1"/>
    <x v="0"/>
    <x v="2"/>
    <x v="0"/>
    <n v="92.04"/>
    <n v="23.1"/>
    <x v="1"/>
    <n v="0"/>
    <x v="0"/>
    <x v="2"/>
  </r>
  <r>
    <n v="48144"/>
    <x v="1"/>
    <n v="20"/>
    <n v="0"/>
    <n v="0"/>
    <x v="2"/>
    <x v="1"/>
    <x v="2"/>
    <x v="1"/>
    <n v="73"/>
    <n v="20.8"/>
    <x v="1"/>
    <n v="0"/>
    <x v="2"/>
    <x v="2"/>
  </r>
  <r>
    <n v="46218"/>
    <x v="1"/>
    <n v="51"/>
    <n v="0"/>
    <n v="0"/>
    <x v="2"/>
    <x v="0"/>
    <x v="1"/>
    <x v="0"/>
    <n v="111.15"/>
    <n v="34.1"/>
    <x v="2"/>
    <n v="0"/>
    <x v="1"/>
    <x v="0"/>
  </r>
  <r>
    <n v="39745"/>
    <x v="1"/>
    <n v="60"/>
    <n v="0"/>
    <n v="0"/>
    <x v="1"/>
    <x v="0"/>
    <x v="1"/>
    <x v="1"/>
    <n v="58.65"/>
    <n v="30.1"/>
    <x v="1"/>
    <n v="0"/>
    <x v="0"/>
    <x v="0"/>
  </r>
  <r>
    <n v="13517"/>
    <x v="0"/>
    <n v="59"/>
    <n v="0"/>
    <n v="0"/>
    <x v="2"/>
    <x v="0"/>
    <x v="0"/>
    <x v="0"/>
    <n v="100.54"/>
    <n v="35.799999999999997"/>
    <x v="1"/>
    <n v="0"/>
    <x v="1"/>
    <x v="0"/>
  </r>
  <r>
    <n v="36355"/>
    <x v="0"/>
    <n v="58"/>
    <n v="0"/>
    <n v="0"/>
    <x v="2"/>
    <x v="0"/>
    <x v="2"/>
    <x v="1"/>
    <n v="111.73"/>
    <n v="34.6"/>
    <x v="1"/>
    <n v="0"/>
    <x v="1"/>
    <x v="0"/>
  </r>
  <r>
    <n v="22678"/>
    <x v="1"/>
    <n v="42"/>
    <n v="0"/>
    <n v="0"/>
    <x v="2"/>
    <x v="0"/>
    <x v="2"/>
    <x v="0"/>
    <n v="97.78"/>
    <n v="29.8"/>
    <x v="3"/>
    <n v="0"/>
    <x v="1"/>
    <x v="3"/>
  </r>
  <r>
    <n v="2532"/>
    <x v="0"/>
    <n v="28"/>
    <n v="0"/>
    <n v="0"/>
    <x v="2"/>
    <x v="1"/>
    <x v="0"/>
    <x v="1"/>
    <n v="85.79"/>
    <n v="26.7"/>
    <x v="3"/>
    <n v="0"/>
    <x v="2"/>
    <x v="3"/>
  </r>
  <r>
    <n v="52512"/>
    <x v="0"/>
    <n v="57"/>
    <n v="0"/>
    <n v="0"/>
    <x v="2"/>
    <x v="0"/>
    <x v="0"/>
    <x v="1"/>
    <n v="98.54"/>
    <n v="30.2"/>
    <x v="1"/>
    <n v="0"/>
    <x v="1"/>
    <x v="0"/>
  </r>
  <r>
    <n v="3579"/>
    <x v="1"/>
    <n v="66"/>
    <n v="0"/>
    <n v="1"/>
    <x v="0"/>
    <x v="0"/>
    <x v="0"/>
    <x v="0"/>
    <n v="94.62"/>
    <n v="29.7"/>
    <x v="0"/>
    <n v="0"/>
    <x v="0"/>
    <x v="3"/>
  </r>
  <r>
    <n v="3130"/>
    <x v="1"/>
    <n v="56"/>
    <n v="0"/>
    <n v="0"/>
    <x v="2"/>
    <x v="0"/>
    <x v="0"/>
    <x v="1"/>
    <n v="112.43"/>
    <n v="54.6"/>
    <x v="1"/>
    <n v="0"/>
    <x v="1"/>
    <x v="0"/>
  </r>
  <r>
    <n v="5545"/>
    <x v="0"/>
    <n v="48"/>
    <n v="0"/>
    <n v="0"/>
    <x v="2"/>
    <x v="0"/>
    <x v="1"/>
    <x v="0"/>
    <n v="99.67"/>
    <n v="23.3"/>
    <x v="0"/>
    <n v="0"/>
    <x v="1"/>
    <x v="2"/>
  </r>
  <r>
    <n v="63693"/>
    <x v="0"/>
    <n v="37"/>
    <n v="0"/>
    <n v="0"/>
    <x v="2"/>
    <x v="1"/>
    <x v="0"/>
    <x v="0"/>
    <n v="67.39"/>
    <n v="35.6"/>
    <x v="3"/>
    <n v="0"/>
    <x v="2"/>
    <x v="0"/>
  </r>
  <r>
    <n v="34363"/>
    <x v="1"/>
    <n v="27"/>
    <n v="0"/>
    <n v="0"/>
    <x v="2"/>
    <x v="0"/>
    <x v="0"/>
    <x v="0"/>
    <n v="95.12"/>
    <n v="27"/>
    <x v="1"/>
    <n v="0"/>
    <x v="2"/>
    <x v="3"/>
  </r>
  <r>
    <n v="23650"/>
    <x v="0"/>
    <n v="15"/>
    <n v="0"/>
    <n v="0"/>
    <x v="2"/>
    <x v="1"/>
    <x v="3"/>
    <x v="1"/>
    <n v="85.06"/>
    <n v="21.6"/>
    <x v="1"/>
    <n v="0"/>
    <x v="2"/>
    <x v="2"/>
  </r>
  <r>
    <n v="53515"/>
    <x v="0"/>
    <n v="61"/>
    <n v="0"/>
    <n v="0"/>
    <x v="1"/>
    <x v="0"/>
    <x v="0"/>
    <x v="1"/>
    <n v="214.05"/>
    <n v="29.4"/>
    <x v="0"/>
    <n v="0"/>
    <x v="0"/>
    <x v="3"/>
  </r>
  <r>
    <n v="33528"/>
    <x v="1"/>
    <n v="80"/>
    <n v="0"/>
    <n v="1"/>
    <x v="0"/>
    <x v="0"/>
    <x v="1"/>
    <x v="0"/>
    <n v="79.09"/>
    <n v="22.8"/>
    <x v="1"/>
    <n v="0"/>
    <x v="0"/>
    <x v="2"/>
  </r>
  <r>
    <n v="23046"/>
    <x v="1"/>
    <n v="43"/>
    <n v="0"/>
    <n v="0"/>
    <x v="2"/>
    <x v="0"/>
    <x v="1"/>
    <x v="0"/>
    <n v="98.09"/>
    <n v="17.3"/>
    <x v="1"/>
    <n v="0"/>
    <x v="1"/>
    <x v="4"/>
  </r>
  <r>
    <n v="11068"/>
    <x v="0"/>
    <n v="53"/>
    <n v="0"/>
    <n v="0"/>
    <x v="2"/>
    <x v="0"/>
    <x v="1"/>
    <x v="0"/>
    <n v="76.36"/>
    <n v="29.8"/>
    <x v="3"/>
    <n v="0"/>
    <x v="1"/>
    <x v="3"/>
  </r>
  <r>
    <n v="62233"/>
    <x v="1"/>
    <n v="70"/>
    <n v="0"/>
    <n v="0"/>
    <x v="1"/>
    <x v="1"/>
    <x v="1"/>
    <x v="0"/>
    <n v="98.42"/>
    <n v="36.4"/>
    <x v="0"/>
    <n v="0"/>
    <x v="0"/>
    <x v="0"/>
  </r>
  <r>
    <n v="7291"/>
    <x v="1"/>
    <n v="58"/>
    <n v="0"/>
    <n v="0"/>
    <x v="2"/>
    <x v="1"/>
    <x v="0"/>
    <x v="0"/>
    <n v="82.01"/>
    <n v="34.700000000000003"/>
    <x v="0"/>
    <n v="0"/>
    <x v="1"/>
    <x v="0"/>
  </r>
  <r>
    <n v="36814"/>
    <x v="1"/>
    <n v="49"/>
    <n v="0"/>
    <n v="0"/>
    <x v="2"/>
    <x v="0"/>
    <x v="0"/>
    <x v="1"/>
    <n v="56.11"/>
    <n v="28.7"/>
    <x v="2"/>
    <n v="0"/>
    <x v="1"/>
    <x v="3"/>
  </r>
  <r>
    <n v="48265"/>
    <x v="0"/>
    <n v="65"/>
    <n v="0"/>
    <n v="0"/>
    <x v="1"/>
    <x v="0"/>
    <x v="2"/>
    <x v="1"/>
    <n v="111.85"/>
    <n v="26.7"/>
    <x v="1"/>
    <n v="0"/>
    <x v="0"/>
    <x v="3"/>
  </r>
  <r>
    <n v="10139"/>
    <x v="1"/>
    <n v="54"/>
    <n v="0"/>
    <n v="0"/>
    <x v="2"/>
    <x v="0"/>
    <x v="1"/>
    <x v="0"/>
    <n v="92.39"/>
    <n v="22.1"/>
    <x v="1"/>
    <n v="0"/>
    <x v="1"/>
    <x v="2"/>
  </r>
  <r>
    <n v="12662"/>
    <x v="0"/>
    <n v="74"/>
    <n v="1"/>
    <n v="0"/>
    <x v="0"/>
    <x v="0"/>
    <x v="1"/>
    <x v="0"/>
    <n v="112.54"/>
    <n v="27.7"/>
    <x v="0"/>
    <n v="0"/>
    <x v="0"/>
    <x v="3"/>
  </r>
  <r>
    <n v="43174"/>
    <x v="1"/>
    <n v="56"/>
    <n v="0"/>
    <n v="0"/>
    <x v="2"/>
    <x v="0"/>
    <x v="0"/>
    <x v="0"/>
    <n v="63.71"/>
    <n v="40.5"/>
    <x v="0"/>
    <n v="0"/>
    <x v="1"/>
    <x v="0"/>
  </r>
  <r>
    <n v="72823"/>
    <x v="1"/>
    <n v="79"/>
    <n v="0"/>
    <n v="0"/>
    <x v="1"/>
    <x v="0"/>
    <x v="0"/>
    <x v="0"/>
    <n v="70.349999999999994"/>
    <n v="23"/>
    <x v="0"/>
    <n v="0"/>
    <x v="0"/>
    <x v="2"/>
  </r>
  <r>
    <n v="30567"/>
    <x v="0"/>
    <n v="71"/>
    <n v="1"/>
    <n v="0"/>
    <x v="0"/>
    <x v="0"/>
    <x v="0"/>
    <x v="0"/>
    <n v="94.65"/>
    <n v="25.3"/>
    <x v="0"/>
    <n v="0"/>
    <x v="0"/>
    <x v="3"/>
  </r>
  <r>
    <n v="41927"/>
    <x v="1"/>
    <n v="28"/>
    <n v="0"/>
    <n v="0"/>
    <x v="2"/>
    <x v="0"/>
    <x v="0"/>
    <x v="1"/>
    <n v="64.64"/>
    <n v="22.1"/>
    <x v="1"/>
    <n v="0"/>
    <x v="2"/>
    <x v="2"/>
  </r>
  <r>
    <n v="54866"/>
    <x v="1"/>
    <n v="9"/>
    <n v="0"/>
    <n v="0"/>
    <x v="2"/>
    <x v="1"/>
    <x v="3"/>
    <x v="1"/>
    <n v="57.27"/>
    <n v="28"/>
    <x v="3"/>
    <n v="0"/>
    <x v="2"/>
    <x v="3"/>
  </r>
  <r>
    <n v="20364"/>
    <x v="1"/>
    <n v="4"/>
    <n v="0"/>
    <n v="0"/>
    <x v="2"/>
    <x v="1"/>
    <x v="3"/>
    <x v="0"/>
    <n v="107.25"/>
    <n v="12"/>
    <x v="3"/>
    <n v="0"/>
    <x v="2"/>
    <x v="4"/>
  </r>
  <r>
    <n v="21117"/>
    <x v="1"/>
    <n v="36"/>
    <n v="0"/>
    <n v="0"/>
    <x v="2"/>
    <x v="1"/>
    <x v="1"/>
    <x v="1"/>
    <n v="77.12"/>
    <n v="28.4"/>
    <x v="1"/>
    <n v="0"/>
    <x v="2"/>
    <x v="3"/>
  </r>
  <r>
    <n v="50491"/>
    <x v="0"/>
    <n v="78"/>
    <n v="0"/>
    <n v="0"/>
    <x v="1"/>
    <x v="0"/>
    <x v="1"/>
    <x v="0"/>
    <n v="55.32"/>
    <n v="29.6"/>
    <x v="2"/>
    <n v="0"/>
    <x v="0"/>
    <x v="3"/>
  </r>
  <r>
    <n v="61013"/>
    <x v="0"/>
    <n v="52"/>
    <n v="0"/>
    <n v="0"/>
    <x v="2"/>
    <x v="1"/>
    <x v="0"/>
    <x v="1"/>
    <n v="69.37"/>
    <n v="36.200000000000003"/>
    <x v="3"/>
    <n v="0"/>
    <x v="1"/>
    <x v="0"/>
  </r>
  <r>
    <n v="71010"/>
    <x v="1"/>
    <n v="80"/>
    <n v="0"/>
    <n v="0"/>
    <x v="1"/>
    <x v="1"/>
    <x v="1"/>
    <x v="0"/>
    <n v="57.57"/>
    <n v="22.8"/>
    <x v="1"/>
    <n v="0"/>
    <x v="0"/>
    <x v="2"/>
  </r>
  <r>
    <n v="23551"/>
    <x v="0"/>
    <n v="28"/>
    <n v="0"/>
    <n v="0"/>
    <x v="2"/>
    <x v="0"/>
    <x v="0"/>
    <x v="0"/>
    <n v="87.43"/>
    <n v="55.7"/>
    <x v="3"/>
    <n v="0"/>
    <x v="2"/>
    <x v="0"/>
  </r>
  <r>
    <n v="10997"/>
    <x v="1"/>
    <n v="38"/>
    <n v="0"/>
    <n v="0"/>
    <x v="2"/>
    <x v="0"/>
    <x v="0"/>
    <x v="1"/>
    <n v="98.73"/>
    <n v="24.3"/>
    <x v="1"/>
    <n v="0"/>
    <x v="2"/>
    <x v="2"/>
  </r>
  <r>
    <n v="12738"/>
    <x v="0"/>
    <n v="56"/>
    <n v="0"/>
    <n v="0"/>
    <x v="2"/>
    <x v="0"/>
    <x v="0"/>
    <x v="1"/>
    <n v="81.180000000000007"/>
    <n v="26.9"/>
    <x v="1"/>
    <n v="0"/>
    <x v="1"/>
    <x v="3"/>
  </r>
  <r>
    <n v="57772"/>
    <x v="1"/>
    <n v="75"/>
    <n v="0"/>
    <n v="0"/>
    <x v="1"/>
    <x v="0"/>
    <x v="2"/>
    <x v="1"/>
    <n v="56.23"/>
    <n v="25.3"/>
    <x v="1"/>
    <n v="0"/>
    <x v="0"/>
    <x v="3"/>
  </r>
  <r>
    <n v="16615"/>
    <x v="0"/>
    <n v="76"/>
    <n v="1"/>
    <n v="0"/>
    <x v="0"/>
    <x v="0"/>
    <x v="1"/>
    <x v="1"/>
    <n v="69.61"/>
    <n v="35.299999999999997"/>
    <x v="1"/>
    <n v="0"/>
    <x v="0"/>
    <x v="0"/>
  </r>
  <r>
    <n v="62999"/>
    <x v="0"/>
    <n v="10"/>
    <n v="0"/>
    <n v="0"/>
    <x v="2"/>
    <x v="1"/>
    <x v="3"/>
    <x v="1"/>
    <n v="59.49"/>
    <n v="18.3"/>
    <x v="3"/>
    <n v="0"/>
    <x v="2"/>
    <x v="4"/>
  </r>
  <r>
    <n v="68995"/>
    <x v="1"/>
    <n v="48"/>
    <n v="1"/>
    <n v="0"/>
    <x v="2"/>
    <x v="1"/>
    <x v="0"/>
    <x v="1"/>
    <n v="118.14"/>
    <s v="N/A"/>
    <x v="0"/>
    <n v="0"/>
    <x v="1"/>
    <x v="1"/>
  </r>
  <r>
    <n v="66184"/>
    <x v="0"/>
    <n v="40"/>
    <n v="0"/>
    <n v="0"/>
    <x v="2"/>
    <x v="0"/>
    <x v="2"/>
    <x v="1"/>
    <n v="100.26"/>
    <n v="26"/>
    <x v="3"/>
    <n v="0"/>
    <x v="1"/>
    <x v="3"/>
  </r>
  <r>
    <n v="53010"/>
    <x v="0"/>
    <n v="82"/>
    <n v="0"/>
    <n v="0"/>
    <x v="1"/>
    <x v="0"/>
    <x v="1"/>
    <x v="1"/>
    <n v="56.75"/>
    <n v="21"/>
    <x v="1"/>
    <n v="0"/>
    <x v="0"/>
    <x v="2"/>
  </r>
  <r>
    <n v="967"/>
    <x v="0"/>
    <n v="61"/>
    <n v="0"/>
    <n v="1"/>
    <x v="0"/>
    <x v="0"/>
    <x v="0"/>
    <x v="0"/>
    <n v="88.27"/>
    <s v="N/A"/>
    <x v="1"/>
    <n v="0"/>
    <x v="0"/>
    <x v="1"/>
  </r>
  <r>
    <n v="31145"/>
    <x v="1"/>
    <n v="17"/>
    <n v="0"/>
    <n v="0"/>
    <x v="2"/>
    <x v="1"/>
    <x v="0"/>
    <x v="0"/>
    <n v="67.81"/>
    <n v="55.7"/>
    <x v="1"/>
    <n v="0"/>
    <x v="2"/>
    <x v="0"/>
  </r>
  <r>
    <n v="54338"/>
    <x v="1"/>
    <n v="58"/>
    <n v="0"/>
    <n v="0"/>
    <x v="2"/>
    <x v="0"/>
    <x v="2"/>
    <x v="1"/>
    <n v="77.459999999999994"/>
    <n v="27.6"/>
    <x v="1"/>
    <n v="0"/>
    <x v="1"/>
    <x v="3"/>
  </r>
  <r>
    <n v="22870"/>
    <x v="0"/>
    <n v="12"/>
    <n v="0"/>
    <n v="0"/>
    <x v="2"/>
    <x v="1"/>
    <x v="3"/>
    <x v="0"/>
    <n v="76.260000000000005"/>
    <n v="20.5"/>
    <x v="1"/>
    <n v="0"/>
    <x v="2"/>
    <x v="2"/>
  </r>
  <r>
    <n v="13223"/>
    <x v="1"/>
    <n v="53"/>
    <n v="0"/>
    <n v="0"/>
    <x v="2"/>
    <x v="0"/>
    <x v="2"/>
    <x v="1"/>
    <n v="86.39"/>
    <n v="30.2"/>
    <x v="1"/>
    <n v="0"/>
    <x v="1"/>
    <x v="0"/>
  </r>
  <r>
    <n v="57523"/>
    <x v="1"/>
    <n v="26"/>
    <n v="0"/>
    <n v="0"/>
    <x v="2"/>
    <x v="0"/>
    <x v="0"/>
    <x v="0"/>
    <n v="116.38"/>
    <n v="21.9"/>
    <x v="0"/>
    <n v="0"/>
    <x v="2"/>
    <x v="2"/>
  </r>
  <r>
    <n v="67932"/>
    <x v="1"/>
    <n v="48"/>
    <n v="0"/>
    <n v="0"/>
    <x v="2"/>
    <x v="0"/>
    <x v="0"/>
    <x v="1"/>
    <n v="75.739999999999995"/>
    <n v="28.8"/>
    <x v="2"/>
    <n v="0"/>
    <x v="1"/>
    <x v="3"/>
  </r>
  <r>
    <n v="10255"/>
    <x v="0"/>
    <n v="25"/>
    <n v="0"/>
    <n v="0"/>
    <x v="2"/>
    <x v="0"/>
    <x v="0"/>
    <x v="1"/>
    <n v="92.14"/>
    <n v="36.200000000000003"/>
    <x v="3"/>
    <n v="0"/>
    <x v="2"/>
    <x v="0"/>
  </r>
  <r>
    <n v="68131"/>
    <x v="1"/>
    <n v="27"/>
    <n v="0"/>
    <n v="0"/>
    <x v="2"/>
    <x v="1"/>
    <x v="0"/>
    <x v="1"/>
    <n v="149.94999999999999"/>
    <n v="25.9"/>
    <x v="1"/>
    <n v="0"/>
    <x v="2"/>
    <x v="3"/>
  </r>
  <r>
    <n v="29873"/>
    <x v="0"/>
    <n v="31"/>
    <n v="1"/>
    <n v="0"/>
    <x v="2"/>
    <x v="0"/>
    <x v="2"/>
    <x v="0"/>
    <n v="92.11"/>
    <s v="N/A"/>
    <x v="1"/>
    <n v="0"/>
    <x v="2"/>
    <x v="1"/>
  </r>
  <r>
    <n v="54182"/>
    <x v="1"/>
    <n v="16"/>
    <n v="0"/>
    <n v="0"/>
    <x v="2"/>
    <x v="1"/>
    <x v="0"/>
    <x v="1"/>
    <n v="74.98"/>
    <n v="21.4"/>
    <x v="1"/>
    <n v="0"/>
    <x v="2"/>
    <x v="2"/>
  </r>
  <r>
    <n v="61300"/>
    <x v="0"/>
    <n v="20"/>
    <n v="0"/>
    <n v="0"/>
    <x v="2"/>
    <x v="1"/>
    <x v="0"/>
    <x v="0"/>
    <n v="55.25"/>
    <n v="20.399999999999999"/>
    <x v="1"/>
    <n v="0"/>
    <x v="2"/>
    <x v="2"/>
  </r>
  <r>
    <n v="15274"/>
    <x v="1"/>
    <n v="2"/>
    <n v="0"/>
    <n v="0"/>
    <x v="2"/>
    <x v="1"/>
    <x v="3"/>
    <x v="1"/>
    <n v="79.89"/>
    <n v="31.6"/>
    <x v="3"/>
    <n v="0"/>
    <x v="2"/>
    <x v="0"/>
  </r>
  <r>
    <n v="53016"/>
    <x v="1"/>
    <n v="1.8"/>
    <n v="0"/>
    <n v="0"/>
    <x v="2"/>
    <x v="1"/>
    <x v="3"/>
    <x v="0"/>
    <n v="130.61000000000001"/>
    <n v="14.4"/>
    <x v="3"/>
    <n v="0"/>
    <x v="2"/>
    <x v="4"/>
  </r>
  <r>
    <n v="28848"/>
    <x v="0"/>
    <n v="28"/>
    <n v="0"/>
    <n v="0"/>
    <x v="2"/>
    <x v="1"/>
    <x v="0"/>
    <x v="0"/>
    <n v="94.26"/>
    <n v="23.7"/>
    <x v="3"/>
    <n v="0"/>
    <x v="2"/>
    <x v="2"/>
  </r>
  <r>
    <n v="27012"/>
    <x v="0"/>
    <n v="32"/>
    <n v="0"/>
    <n v="0"/>
    <x v="2"/>
    <x v="1"/>
    <x v="0"/>
    <x v="0"/>
    <n v="94.34"/>
    <n v="30.2"/>
    <x v="0"/>
    <n v="0"/>
    <x v="2"/>
    <x v="0"/>
  </r>
  <r>
    <n v="7745"/>
    <x v="1"/>
    <n v="35"/>
    <n v="0"/>
    <n v="0"/>
    <x v="2"/>
    <x v="0"/>
    <x v="0"/>
    <x v="0"/>
    <n v="109.03"/>
    <n v="19.5"/>
    <x v="0"/>
    <n v="0"/>
    <x v="2"/>
    <x v="2"/>
  </r>
  <r>
    <n v="20541"/>
    <x v="1"/>
    <n v="52"/>
    <n v="1"/>
    <n v="0"/>
    <x v="2"/>
    <x v="0"/>
    <x v="0"/>
    <x v="1"/>
    <n v="81.03"/>
    <n v="32.6"/>
    <x v="1"/>
    <n v="0"/>
    <x v="1"/>
    <x v="0"/>
  </r>
  <r>
    <n v="5892"/>
    <x v="1"/>
    <n v="55"/>
    <n v="1"/>
    <n v="0"/>
    <x v="2"/>
    <x v="0"/>
    <x v="0"/>
    <x v="1"/>
    <n v="99.82"/>
    <n v="34.200000000000003"/>
    <x v="1"/>
    <n v="0"/>
    <x v="1"/>
    <x v="0"/>
  </r>
  <r>
    <n v="66883"/>
    <x v="1"/>
    <n v="42"/>
    <n v="0"/>
    <n v="0"/>
    <x v="2"/>
    <x v="0"/>
    <x v="1"/>
    <x v="0"/>
    <n v="140.08000000000001"/>
    <n v="43"/>
    <x v="1"/>
    <n v="0"/>
    <x v="1"/>
    <x v="0"/>
  </r>
  <r>
    <n v="43196"/>
    <x v="1"/>
    <n v="52"/>
    <n v="0"/>
    <n v="0"/>
    <x v="2"/>
    <x v="0"/>
    <x v="1"/>
    <x v="0"/>
    <n v="59.54"/>
    <n v="42.2"/>
    <x v="3"/>
    <n v="0"/>
    <x v="1"/>
    <x v="0"/>
  </r>
  <r>
    <n v="12593"/>
    <x v="1"/>
    <n v="18"/>
    <n v="0"/>
    <n v="0"/>
    <x v="2"/>
    <x v="1"/>
    <x v="0"/>
    <x v="0"/>
    <n v="80.33"/>
    <n v="19.7"/>
    <x v="1"/>
    <n v="0"/>
    <x v="2"/>
    <x v="2"/>
  </r>
  <r>
    <n v="51514"/>
    <x v="1"/>
    <n v="13"/>
    <n v="0"/>
    <n v="0"/>
    <x v="2"/>
    <x v="1"/>
    <x v="3"/>
    <x v="0"/>
    <n v="131.51"/>
    <n v="41.7"/>
    <x v="1"/>
    <n v="0"/>
    <x v="2"/>
    <x v="0"/>
  </r>
  <r>
    <n v="15553"/>
    <x v="1"/>
    <n v="45"/>
    <n v="0"/>
    <n v="0"/>
    <x v="2"/>
    <x v="0"/>
    <x v="0"/>
    <x v="1"/>
    <n v="89.21"/>
    <n v="21.6"/>
    <x v="0"/>
    <n v="0"/>
    <x v="1"/>
    <x v="2"/>
  </r>
  <r>
    <n v="45796"/>
    <x v="1"/>
    <n v="29"/>
    <n v="0"/>
    <n v="0"/>
    <x v="2"/>
    <x v="0"/>
    <x v="0"/>
    <x v="1"/>
    <n v="91.45"/>
    <n v="24.2"/>
    <x v="1"/>
    <n v="0"/>
    <x v="2"/>
    <x v="2"/>
  </r>
  <r>
    <n v="31840"/>
    <x v="1"/>
    <n v="12"/>
    <n v="0"/>
    <n v="0"/>
    <x v="2"/>
    <x v="1"/>
    <x v="3"/>
    <x v="1"/>
    <n v="90.58"/>
    <n v="19.2"/>
    <x v="3"/>
    <n v="0"/>
    <x v="2"/>
    <x v="2"/>
  </r>
  <r>
    <n v="58767"/>
    <x v="1"/>
    <n v="37"/>
    <n v="0"/>
    <n v="0"/>
    <x v="2"/>
    <x v="0"/>
    <x v="0"/>
    <x v="0"/>
    <n v="91.45"/>
    <n v="25.8"/>
    <x v="3"/>
    <n v="0"/>
    <x v="2"/>
    <x v="3"/>
  </r>
  <r>
    <n v="14391"/>
    <x v="1"/>
    <n v="30"/>
    <n v="0"/>
    <n v="0"/>
    <x v="2"/>
    <x v="0"/>
    <x v="0"/>
    <x v="1"/>
    <n v="89.63"/>
    <n v="23.2"/>
    <x v="2"/>
    <n v="0"/>
    <x v="2"/>
    <x v="2"/>
  </r>
  <r>
    <n v="22321"/>
    <x v="1"/>
    <n v="44"/>
    <n v="0"/>
    <n v="0"/>
    <x v="2"/>
    <x v="0"/>
    <x v="0"/>
    <x v="0"/>
    <n v="124.06"/>
    <n v="20.8"/>
    <x v="1"/>
    <n v="0"/>
    <x v="1"/>
    <x v="2"/>
  </r>
  <r>
    <n v="38184"/>
    <x v="1"/>
    <n v="79"/>
    <n v="1"/>
    <n v="0"/>
    <x v="0"/>
    <x v="0"/>
    <x v="0"/>
    <x v="1"/>
    <n v="99.47"/>
    <n v="28.4"/>
    <x v="1"/>
    <n v="0"/>
    <x v="0"/>
    <x v="3"/>
  </r>
  <r>
    <n v="13997"/>
    <x v="0"/>
    <n v="38"/>
    <n v="0"/>
    <n v="0"/>
    <x v="2"/>
    <x v="0"/>
    <x v="0"/>
    <x v="0"/>
    <n v="88.97"/>
    <n v="30.2"/>
    <x v="1"/>
    <n v="0"/>
    <x v="2"/>
    <x v="0"/>
  </r>
  <r>
    <n v="41673"/>
    <x v="1"/>
    <n v="45"/>
    <n v="0"/>
    <n v="0"/>
    <x v="2"/>
    <x v="0"/>
    <x v="0"/>
    <x v="1"/>
    <n v="80.930000000000007"/>
    <n v="23.1"/>
    <x v="1"/>
    <n v="0"/>
    <x v="1"/>
    <x v="2"/>
  </r>
  <r>
    <n v="27796"/>
    <x v="1"/>
    <n v="66"/>
    <n v="0"/>
    <n v="0"/>
    <x v="1"/>
    <x v="0"/>
    <x v="0"/>
    <x v="0"/>
    <n v="102.07"/>
    <n v="16.7"/>
    <x v="2"/>
    <n v="0"/>
    <x v="0"/>
    <x v="4"/>
  </r>
  <r>
    <n v="18390"/>
    <x v="1"/>
    <n v="19"/>
    <n v="0"/>
    <n v="0"/>
    <x v="2"/>
    <x v="1"/>
    <x v="0"/>
    <x v="1"/>
    <n v="91.69"/>
    <n v="39.5"/>
    <x v="3"/>
    <n v="0"/>
    <x v="2"/>
    <x v="0"/>
  </r>
  <r>
    <n v="63409"/>
    <x v="1"/>
    <n v="49"/>
    <n v="0"/>
    <n v="0"/>
    <x v="2"/>
    <x v="0"/>
    <x v="0"/>
    <x v="0"/>
    <n v="63.71"/>
    <n v="33.799999999999997"/>
    <x v="2"/>
    <n v="0"/>
    <x v="1"/>
    <x v="0"/>
  </r>
  <r>
    <n v="9752"/>
    <x v="1"/>
    <n v="66"/>
    <n v="0"/>
    <n v="0"/>
    <x v="1"/>
    <x v="0"/>
    <x v="2"/>
    <x v="1"/>
    <n v="200.49"/>
    <n v="34.6"/>
    <x v="2"/>
    <n v="0"/>
    <x v="0"/>
    <x v="0"/>
  </r>
  <r>
    <n v="72882"/>
    <x v="0"/>
    <n v="47"/>
    <n v="0"/>
    <n v="0"/>
    <x v="2"/>
    <x v="0"/>
    <x v="0"/>
    <x v="1"/>
    <n v="75.3"/>
    <n v="25"/>
    <x v="0"/>
    <n v="0"/>
    <x v="1"/>
    <x v="3"/>
  </r>
  <r>
    <n v="49744"/>
    <x v="1"/>
    <n v="59"/>
    <n v="0"/>
    <n v="0"/>
    <x v="2"/>
    <x v="0"/>
    <x v="0"/>
    <x v="0"/>
    <n v="240.71"/>
    <n v="43.9"/>
    <x v="0"/>
    <n v="0"/>
    <x v="1"/>
    <x v="0"/>
  </r>
  <r>
    <n v="49086"/>
    <x v="1"/>
    <n v="23"/>
    <n v="0"/>
    <n v="0"/>
    <x v="2"/>
    <x v="1"/>
    <x v="0"/>
    <x v="0"/>
    <n v="60.5"/>
    <n v="27.1"/>
    <x v="0"/>
    <n v="0"/>
    <x v="2"/>
    <x v="3"/>
  </r>
  <r>
    <n v="40866"/>
    <x v="1"/>
    <n v="79"/>
    <n v="0"/>
    <n v="0"/>
    <x v="1"/>
    <x v="0"/>
    <x v="1"/>
    <x v="1"/>
    <n v="131.85"/>
    <n v="25.9"/>
    <x v="3"/>
    <n v="0"/>
    <x v="0"/>
    <x v="3"/>
  </r>
  <r>
    <n v="47523"/>
    <x v="1"/>
    <n v="37"/>
    <n v="0"/>
    <n v="0"/>
    <x v="2"/>
    <x v="1"/>
    <x v="1"/>
    <x v="1"/>
    <n v="134.38999999999999"/>
    <n v="22.7"/>
    <x v="0"/>
    <n v="0"/>
    <x v="2"/>
    <x v="2"/>
  </r>
  <r>
    <n v="63561"/>
    <x v="0"/>
    <n v="78"/>
    <n v="0"/>
    <n v="0"/>
    <x v="1"/>
    <x v="0"/>
    <x v="0"/>
    <x v="0"/>
    <n v="56.18"/>
    <n v="27.1"/>
    <x v="1"/>
    <n v="0"/>
    <x v="0"/>
    <x v="3"/>
  </r>
  <r>
    <n v="51422"/>
    <x v="1"/>
    <n v="70"/>
    <n v="1"/>
    <n v="0"/>
    <x v="0"/>
    <x v="0"/>
    <x v="0"/>
    <x v="1"/>
    <n v="113.64"/>
    <n v="25.6"/>
    <x v="0"/>
    <n v="0"/>
    <x v="0"/>
    <x v="3"/>
  </r>
  <r>
    <n v="56870"/>
    <x v="1"/>
    <n v="34"/>
    <n v="0"/>
    <n v="0"/>
    <x v="2"/>
    <x v="1"/>
    <x v="0"/>
    <x v="1"/>
    <n v="156.57"/>
    <n v="28.4"/>
    <x v="3"/>
    <n v="0"/>
    <x v="2"/>
    <x v="3"/>
  </r>
  <r>
    <n v="3590"/>
    <x v="1"/>
    <n v="28"/>
    <n v="1"/>
    <n v="0"/>
    <x v="2"/>
    <x v="1"/>
    <x v="0"/>
    <x v="1"/>
    <n v="80.400000000000006"/>
    <n v="57.5"/>
    <x v="1"/>
    <n v="0"/>
    <x v="2"/>
    <x v="0"/>
  </r>
  <r>
    <n v="60665"/>
    <x v="0"/>
    <n v="29"/>
    <n v="0"/>
    <n v="0"/>
    <x v="2"/>
    <x v="1"/>
    <x v="0"/>
    <x v="0"/>
    <n v="59.26"/>
    <n v="35.799999999999997"/>
    <x v="2"/>
    <n v="0"/>
    <x v="2"/>
    <x v="0"/>
  </r>
  <r>
    <n v="40791"/>
    <x v="1"/>
    <n v="13"/>
    <n v="0"/>
    <n v="0"/>
    <x v="2"/>
    <x v="1"/>
    <x v="3"/>
    <x v="1"/>
    <n v="63.26"/>
    <n v="19.5"/>
    <x v="3"/>
    <n v="0"/>
    <x v="2"/>
    <x v="2"/>
  </r>
  <r>
    <n v="54304"/>
    <x v="1"/>
    <n v="22"/>
    <n v="0"/>
    <n v="0"/>
    <x v="2"/>
    <x v="0"/>
    <x v="0"/>
    <x v="0"/>
    <n v="86.24"/>
    <n v="31.2"/>
    <x v="1"/>
    <n v="0"/>
    <x v="2"/>
    <x v="0"/>
  </r>
  <r>
    <n v="22485"/>
    <x v="0"/>
    <n v="56"/>
    <n v="0"/>
    <n v="0"/>
    <x v="2"/>
    <x v="0"/>
    <x v="0"/>
    <x v="0"/>
    <n v="197.1"/>
    <n v="43.6"/>
    <x v="0"/>
    <n v="0"/>
    <x v="1"/>
    <x v="0"/>
  </r>
  <r>
    <n v="18430"/>
    <x v="1"/>
    <n v="81"/>
    <n v="0"/>
    <n v="0"/>
    <x v="1"/>
    <x v="0"/>
    <x v="1"/>
    <x v="0"/>
    <n v="90.9"/>
    <n v="31.2"/>
    <x v="0"/>
    <n v="0"/>
    <x v="0"/>
    <x v="0"/>
  </r>
  <r>
    <n v="19234"/>
    <x v="1"/>
    <n v="28"/>
    <n v="0"/>
    <n v="0"/>
    <x v="2"/>
    <x v="1"/>
    <x v="0"/>
    <x v="1"/>
    <n v="84.59"/>
    <n v="23.5"/>
    <x v="3"/>
    <n v="0"/>
    <x v="2"/>
    <x v="2"/>
  </r>
  <r>
    <n v="52454"/>
    <x v="0"/>
    <n v="9"/>
    <n v="0"/>
    <n v="0"/>
    <x v="2"/>
    <x v="1"/>
    <x v="3"/>
    <x v="1"/>
    <n v="121.8"/>
    <n v="18.7"/>
    <x v="3"/>
    <n v="0"/>
    <x v="2"/>
    <x v="2"/>
  </r>
  <r>
    <n v="13365"/>
    <x v="0"/>
    <n v="50"/>
    <n v="0"/>
    <n v="0"/>
    <x v="2"/>
    <x v="0"/>
    <x v="0"/>
    <x v="1"/>
    <n v="77.650000000000006"/>
    <n v="24.4"/>
    <x v="2"/>
    <n v="0"/>
    <x v="1"/>
    <x v="2"/>
  </r>
  <r>
    <n v="60983"/>
    <x v="0"/>
    <n v="70"/>
    <n v="0"/>
    <n v="0"/>
    <x v="1"/>
    <x v="0"/>
    <x v="0"/>
    <x v="0"/>
    <n v="64.41"/>
    <n v="29.4"/>
    <x v="2"/>
    <n v="0"/>
    <x v="0"/>
    <x v="3"/>
  </r>
  <r>
    <n v="14615"/>
    <x v="1"/>
    <n v="30"/>
    <n v="0"/>
    <n v="0"/>
    <x v="2"/>
    <x v="1"/>
    <x v="0"/>
    <x v="0"/>
    <n v="75.19"/>
    <n v="37"/>
    <x v="2"/>
    <n v="0"/>
    <x v="2"/>
    <x v="0"/>
  </r>
  <r>
    <n v="50277"/>
    <x v="1"/>
    <n v="51"/>
    <n v="0"/>
    <n v="0"/>
    <x v="2"/>
    <x v="0"/>
    <x v="1"/>
    <x v="1"/>
    <n v="67.97"/>
    <n v="29.4"/>
    <x v="2"/>
    <n v="0"/>
    <x v="1"/>
    <x v="3"/>
  </r>
  <r>
    <n v="50811"/>
    <x v="0"/>
    <n v="24"/>
    <n v="0"/>
    <n v="0"/>
    <x v="2"/>
    <x v="1"/>
    <x v="0"/>
    <x v="0"/>
    <n v="119.34"/>
    <n v="38.5"/>
    <x v="1"/>
    <n v="0"/>
    <x v="2"/>
    <x v="0"/>
  </r>
  <r>
    <n v="16575"/>
    <x v="0"/>
    <n v="17"/>
    <n v="0"/>
    <n v="0"/>
    <x v="2"/>
    <x v="1"/>
    <x v="0"/>
    <x v="1"/>
    <n v="94.92"/>
    <n v="23.5"/>
    <x v="1"/>
    <n v="0"/>
    <x v="2"/>
    <x v="2"/>
  </r>
  <r>
    <n v="1246"/>
    <x v="1"/>
    <n v="43"/>
    <n v="0"/>
    <n v="0"/>
    <x v="2"/>
    <x v="0"/>
    <x v="2"/>
    <x v="1"/>
    <n v="107.42"/>
    <s v="N/A"/>
    <x v="1"/>
    <n v="0"/>
    <x v="1"/>
    <x v="1"/>
  </r>
  <r>
    <n v="11176"/>
    <x v="0"/>
    <n v="9"/>
    <n v="0"/>
    <n v="0"/>
    <x v="2"/>
    <x v="1"/>
    <x v="3"/>
    <x v="1"/>
    <n v="85.02"/>
    <n v="16.3"/>
    <x v="3"/>
    <n v="0"/>
    <x v="2"/>
    <x v="4"/>
  </r>
  <r>
    <n v="30712"/>
    <x v="0"/>
    <n v="50"/>
    <n v="0"/>
    <n v="0"/>
    <x v="2"/>
    <x v="0"/>
    <x v="0"/>
    <x v="0"/>
    <n v="103.51"/>
    <n v="35.9"/>
    <x v="1"/>
    <n v="0"/>
    <x v="1"/>
    <x v="0"/>
  </r>
  <r>
    <n v="31308"/>
    <x v="1"/>
    <n v="49"/>
    <n v="0"/>
    <n v="0"/>
    <x v="2"/>
    <x v="0"/>
    <x v="0"/>
    <x v="0"/>
    <n v="114.5"/>
    <n v="35.9"/>
    <x v="0"/>
    <n v="0"/>
    <x v="1"/>
    <x v="0"/>
  </r>
  <r>
    <n v="9612"/>
    <x v="0"/>
    <n v="6"/>
    <n v="0"/>
    <n v="0"/>
    <x v="2"/>
    <x v="1"/>
    <x v="3"/>
    <x v="0"/>
    <n v="70.78"/>
    <n v="20.3"/>
    <x v="3"/>
    <n v="0"/>
    <x v="2"/>
    <x v="2"/>
  </r>
  <r>
    <n v="3325"/>
    <x v="0"/>
    <n v="30"/>
    <n v="0"/>
    <n v="0"/>
    <x v="2"/>
    <x v="0"/>
    <x v="1"/>
    <x v="1"/>
    <n v="95.01"/>
    <n v="32.299999999999997"/>
    <x v="2"/>
    <n v="0"/>
    <x v="2"/>
    <x v="0"/>
  </r>
  <r>
    <n v="52808"/>
    <x v="0"/>
    <n v="73"/>
    <n v="0"/>
    <n v="0"/>
    <x v="1"/>
    <x v="0"/>
    <x v="0"/>
    <x v="0"/>
    <n v="84.11"/>
    <n v="27.9"/>
    <x v="1"/>
    <n v="0"/>
    <x v="0"/>
    <x v="3"/>
  </r>
  <r>
    <n v="41513"/>
    <x v="1"/>
    <n v="20"/>
    <n v="0"/>
    <n v="0"/>
    <x v="2"/>
    <x v="0"/>
    <x v="0"/>
    <x v="0"/>
    <n v="74.02"/>
    <n v="22.3"/>
    <x v="1"/>
    <n v="0"/>
    <x v="2"/>
    <x v="2"/>
  </r>
  <r>
    <n v="36109"/>
    <x v="0"/>
    <n v="42"/>
    <n v="0"/>
    <n v="0"/>
    <x v="2"/>
    <x v="0"/>
    <x v="0"/>
    <x v="0"/>
    <n v="78.489999999999995"/>
    <n v="31.8"/>
    <x v="2"/>
    <n v="0"/>
    <x v="1"/>
    <x v="0"/>
  </r>
  <r>
    <n v="53336"/>
    <x v="1"/>
    <n v="79"/>
    <n v="0"/>
    <n v="0"/>
    <x v="1"/>
    <x v="0"/>
    <x v="2"/>
    <x v="0"/>
    <n v="74.22"/>
    <n v="29.7"/>
    <x v="3"/>
    <n v="0"/>
    <x v="0"/>
    <x v="3"/>
  </r>
  <r>
    <n v="56831"/>
    <x v="1"/>
    <n v="55"/>
    <n v="0"/>
    <n v="0"/>
    <x v="2"/>
    <x v="0"/>
    <x v="0"/>
    <x v="0"/>
    <n v="55.34"/>
    <n v="27.1"/>
    <x v="2"/>
    <n v="0"/>
    <x v="1"/>
    <x v="3"/>
  </r>
  <r>
    <n v="52580"/>
    <x v="1"/>
    <n v="27"/>
    <n v="0"/>
    <n v="0"/>
    <x v="2"/>
    <x v="1"/>
    <x v="0"/>
    <x v="1"/>
    <n v="75.040000000000006"/>
    <n v="24.5"/>
    <x v="1"/>
    <n v="0"/>
    <x v="2"/>
    <x v="2"/>
  </r>
  <r>
    <n v="55592"/>
    <x v="0"/>
    <n v="71"/>
    <n v="0"/>
    <n v="0"/>
    <x v="1"/>
    <x v="0"/>
    <x v="0"/>
    <x v="1"/>
    <n v="109.73"/>
    <n v="28.9"/>
    <x v="1"/>
    <n v="0"/>
    <x v="0"/>
    <x v="3"/>
  </r>
  <r>
    <n v="33723"/>
    <x v="1"/>
    <n v="9"/>
    <n v="0"/>
    <n v="0"/>
    <x v="2"/>
    <x v="1"/>
    <x v="3"/>
    <x v="0"/>
    <n v="95.81"/>
    <s v="N/A"/>
    <x v="3"/>
    <n v="0"/>
    <x v="2"/>
    <x v="1"/>
  </r>
  <r>
    <n v="26235"/>
    <x v="0"/>
    <n v="23"/>
    <n v="0"/>
    <n v="0"/>
    <x v="2"/>
    <x v="1"/>
    <x v="0"/>
    <x v="1"/>
    <n v="96.78"/>
    <n v="24.6"/>
    <x v="2"/>
    <n v="0"/>
    <x v="2"/>
    <x v="2"/>
  </r>
  <r>
    <n v="16685"/>
    <x v="1"/>
    <n v="71"/>
    <n v="1"/>
    <n v="0"/>
    <x v="0"/>
    <x v="0"/>
    <x v="0"/>
    <x v="0"/>
    <n v="194.62"/>
    <n v="31.6"/>
    <x v="1"/>
    <n v="0"/>
    <x v="0"/>
    <x v="0"/>
  </r>
  <r>
    <n v="44583"/>
    <x v="1"/>
    <n v="56"/>
    <n v="0"/>
    <n v="1"/>
    <x v="2"/>
    <x v="0"/>
    <x v="0"/>
    <x v="1"/>
    <n v="70.02"/>
    <n v="32.299999999999997"/>
    <x v="1"/>
    <n v="0"/>
    <x v="1"/>
    <x v="0"/>
  </r>
  <r>
    <n v="25315"/>
    <x v="0"/>
    <n v="31"/>
    <n v="0"/>
    <n v="0"/>
    <x v="2"/>
    <x v="0"/>
    <x v="0"/>
    <x v="0"/>
    <n v="222.21"/>
    <n v="41.1"/>
    <x v="2"/>
    <n v="0"/>
    <x v="2"/>
    <x v="0"/>
  </r>
  <r>
    <n v="58227"/>
    <x v="1"/>
    <n v="64"/>
    <n v="0"/>
    <n v="0"/>
    <x v="1"/>
    <x v="0"/>
    <x v="2"/>
    <x v="1"/>
    <n v="62.41"/>
    <n v="30"/>
    <x v="1"/>
    <n v="0"/>
    <x v="0"/>
    <x v="0"/>
  </r>
  <r>
    <n v="60810"/>
    <x v="0"/>
    <n v="46"/>
    <n v="0"/>
    <n v="0"/>
    <x v="2"/>
    <x v="0"/>
    <x v="1"/>
    <x v="0"/>
    <n v="55.83"/>
    <n v="26.4"/>
    <x v="1"/>
    <n v="0"/>
    <x v="1"/>
    <x v="3"/>
  </r>
  <r>
    <n v="34612"/>
    <x v="0"/>
    <n v="55"/>
    <n v="0"/>
    <n v="0"/>
    <x v="2"/>
    <x v="0"/>
    <x v="2"/>
    <x v="1"/>
    <n v="65.12"/>
    <n v="30"/>
    <x v="1"/>
    <n v="0"/>
    <x v="1"/>
    <x v="0"/>
  </r>
  <r>
    <n v="8320"/>
    <x v="0"/>
    <n v="2"/>
    <n v="0"/>
    <n v="0"/>
    <x v="2"/>
    <x v="1"/>
    <x v="3"/>
    <x v="1"/>
    <n v="73.62"/>
    <n v="20.8"/>
    <x v="3"/>
    <n v="0"/>
    <x v="2"/>
    <x v="2"/>
  </r>
  <r>
    <n v="25595"/>
    <x v="1"/>
    <n v="58"/>
    <n v="1"/>
    <n v="0"/>
    <x v="2"/>
    <x v="0"/>
    <x v="0"/>
    <x v="0"/>
    <n v="85.83"/>
    <n v="44"/>
    <x v="0"/>
    <n v="0"/>
    <x v="1"/>
    <x v="0"/>
  </r>
  <r>
    <n v="30550"/>
    <x v="1"/>
    <n v="78"/>
    <n v="0"/>
    <n v="0"/>
    <x v="1"/>
    <x v="1"/>
    <x v="0"/>
    <x v="0"/>
    <n v="103.86"/>
    <n v="30.6"/>
    <x v="3"/>
    <n v="0"/>
    <x v="0"/>
    <x v="0"/>
  </r>
  <r>
    <n v="49529"/>
    <x v="1"/>
    <n v="1.1599999999999999"/>
    <n v="0"/>
    <n v="0"/>
    <x v="2"/>
    <x v="1"/>
    <x v="3"/>
    <x v="0"/>
    <n v="60.98"/>
    <n v="17.2"/>
    <x v="3"/>
    <n v="0"/>
    <x v="2"/>
    <x v="4"/>
  </r>
  <r>
    <n v="13367"/>
    <x v="1"/>
    <n v="35"/>
    <n v="0"/>
    <n v="0"/>
    <x v="2"/>
    <x v="0"/>
    <x v="0"/>
    <x v="1"/>
    <n v="82.69"/>
    <n v="29.1"/>
    <x v="3"/>
    <n v="0"/>
    <x v="2"/>
    <x v="3"/>
  </r>
  <r>
    <n v="33585"/>
    <x v="1"/>
    <n v="64"/>
    <n v="0"/>
    <n v="0"/>
    <x v="1"/>
    <x v="0"/>
    <x v="0"/>
    <x v="1"/>
    <n v="250.2"/>
    <n v="27.4"/>
    <x v="3"/>
    <n v="0"/>
    <x v="0"/>
    <x v="3"/>
  </r>
  <r>
    <n v="49785"/>
    <x v="1"/>
    <n v="18"/>
    <n v="0"/>
    <n v="0"/>
    <x v="2"/>
    <x v="1"/>
    <x v="0"/>
    <x v="1"/>
    <n v="128.97"/>
    <n v="23.5"/>
    <x v="3"/>
    <n v="0"/>
    <x v="2"/>
    <x v="2"/>
  </r>
  <r>
    <n v="6886"/>
    <x v="0"/>
    <n v="19"/>
    <n v="0"/>
    <n v="0"/>
    <x v="2"/>
    <x v="1"/>
    <x v="0"/>
    <x v="1"/>
    <n v="84.31"/>
    <n v="31.8"/>
    <x v="1"/>
    <n v="0"/>
    <x v="2"/>
    <x v="0"/>
  </r>
  <r>
    <n v="38609"/>
    <x v="0"/>
    <n v="47"/>
    <n v="0"/>
    <n v="0"/>
    <x v="2"/>
    <x v="0"/>
    <x v="2"/>
    <x v="1"/>
    <n v="74.8"/>
    <n v="23.5"/>
    <x v="1"/>
    <n v="0"/>
    <x v="1"/>
    <x v="2"/>
  </r>
  <r>
    <n v="22159"/>
    <x v="1"/>
    <n v="54"/>
    <n v="1"/>
    <n v="0"/>
    <x v="2"/>
    <x v="1"/>
    <x v="0"/>
    <x v="0"/>
    <n v="97.06"/>
    <n v="28.5"/>
    <x v="0"/>
    <n v="0"/>
    <x v="1"/>
    <x v="3"/>
  </r>
  <r>
    <n v="37413"/>
    <x v="1"/>
    <n v="39"/>
    <n v="0"/>
    <n v="0"/>
    <x v="2"/>
    <x v="0"/>
    <x v="0"/>
    <x v="0"/>
    <n v="77.540000000000006"/>
    <n v="32.700000000000003"/>
    <x v="3"/>
    <n v="0"/>
    <x v="2"/>
    <x v="0"/>
  </r>
  <r>
    <n v="4169"/>
    <x v="1"/>
    <n v="37"/>
    <n v="0"/>
    <n v="0"/>
    <x v="2"/>
    <x v="1"/>
    <x v="0"/>
    <x v="1"/>
    <n v="92.78"/>
    <n v="54.2"/>
    <x v="1"/>
    <n v="0"/>
    <x v="2"/>
    <x v="0"/>
  </r>
  <r>
    <n v="40055"/>
    <x v="1"/>
    <n v="17"/>
    <n v="0"/>
    <n v="0"/>
    <x v="2"/>
    <x v="1"/>
    <x v="0"/>
    <x v="1"/>
    <n v="173.43"/>
    <n v="25.6"/>
    <x v="2"/>
    <n v="0"/>
    <x v="2"/>
    <x v="3"/>
  </r>
  <r>
    <n v="18888"/>
    <x v="1"/>
    <n v="20"/>
    <n v="0"/>
    <n v="0"/>
    <x v="2"/>
    <x v="0"/>
    <x v="0"/>
    <x v="0"/>
    <n v="79.08"/>
    <n v="41.2"/>
    <x v="1"/>
    <n v="0"/>
    <x v="2"/>
    <x v="0"/>
  </r>
  <r>
    <n v="45283"/>
    <x v="1"/>
    <n v="31"/>
    <n v="0"/>
    <n v="0"/>
    <x v="2"/>
    <x v="0"/>
    <x v="0"/>
    <x v="0"/>
    <n v="106.18"/>
    <n v="27"/>
    <x v="2"/>
    <n v="0"/>
    <x v="2"/>
    <x v="3"/>
  </r>
  <r>
    <n v="42503"/>
    <x v="1"/>
    <n v="56"/>
    <n v="0"/>
    <n v="0"/>
    <x v="2"/>
    <x v="0"/>
    <x v="0"/>
    <x v="1"/>
    <n v="114.21"/>
    <n v="21.3"/>
    <x v="1"/>
    <n v="0"/>
    <x v="1"/>
    <x v="2"/>
  </r>
  <r>
    <n v="23645"/>
    <x v="1"/>
    <n v="31"/>
    <n v="0"/>
    <n v="0"/>
    <x v="2"/>
    <x v="1"/>
    <x v="0"/>
    <x v="1"/>
    <n v="91.08"/>
    <n v="34.299999999999997"/>
    <x v="1"/>
    <n v="0"/>
    <x v="2"/>
    <x v="0"/>
  </r>
  <r>
    <n v="62382"/>
    <x v="0"/>
    <n v="82"/>
    <n v="0"/>
    <n v="0"/>
    <x v="1"/>
    <x v="0"/>
    <x v="0"/>
    <x v="0"/>
    <n v="105.77"/>
    <n v="29.5"/>
    <x v="3"/>
    <n v="0"/>
    <x v="0"/>
    <x v="3"/>
  </r>
  <r>
    <n v="59521"/>
    <x v="0"/>
    <n v="33"/>
    <n v="0"/>
    <n v="0"/>
    <x v="2"/>
    <x v="0"/>
    <x v="0"/>
    <x v="1"/>
    <n v="74.88"/>
    <n v="31.6"/>
    <x v="2"/>
    <n v="0"/>
    <x v="2"/>
    <x v="0"/>
  </r>
  <r>
    <n v="55386"/>
    <x v="0"/>
    <n v="42"/>
    <n v="0"/>
    <n v="0"/>
    <x v="2"/>
    <x v="0"/>
    <x v="0"/>
    <x v="1"/>
    <n v="123.15"/>
    <n v="26.1"/>
    <x v="2"/>
    <n v="0"/>
    <x v="1"/>
    <x v="3"/>
  </r>
  <r>
    <n v="22685"/>
    <x v="0"/>
    <n v="20"/>
    <n v="0"/>
    <n v="0"/>
    <x v="2"/>
    <x v="1"/>
    <x v="0"/>
    <x v="1"/>
    <n v="184.25"/>
    <n v="27.5"/>
    <x v="1"/>
    <n v="0"/>
    <x v="2"/>
    <x v="3"/>
  </r>
  <r>
    <n v="46745"/>
    <x v="0"/>
    <n v="22"/>
    <n v="0"/>
    <n v="0"/>
    <x v="2"/>
    <x v="0"/>
    <x v="2"/>
    <x v="1"/>
    <n v="117.69"/>
    <n v="26.5"/>
    <x v="1"/>
    <n v="0"/>
    <x v="2"/>
    <x v="3"/>
  </r>
  <r>
    <n v="72547"/>
    <x v="0"/>
    <n v="61"/>
    <n v="0"/>
    <n v="0"/>
    <x v="1"/>
    <x v="0"/>
    <x v="0"/>
    <x v="1"/>
    <n v="55.26"/>
    <n v="33.200000000000003"/>
    <x v="3"/>
    <n v="0"/>
    <x v="0"/>
    <x v="0"/>
  </r>
  <r>
    <n v="26973"/>
    <x v="1"/>
    <n v="31"/>
    <n v="0"/>
    <n v="0"/>
    <x v="2"/>
    <x v="0"/>
    <x v="0"/>
    <x v="0"/>
    <n v="106.51"/>
    <n v="40.200000000000003"/>
    <x v="1"/>
    <n v="0"/>
    <x v="2"/>
    <x v="0"/>
  </r>
  <r>
    <n v="41033"/>
    <x v="1"/>
    <n v="31"/>
    <n v="0"/>
    <n v="0"/>
    <x v="2"/>
    <x v="0"/>
    <x v="2"/>
    <x v="1"/>
    <n v="55.27"/>
    <n v="32.5"/>
    <x v="0"/>
    <n v="0"/>
    <x v="2"/>
    <x v="0"/>
  </r>
  <r>
    <n v="5046"/>
    <x v="0"/>
    <n v="17"/>
    <n v="0"/>
    <n v="0"/>
    <x v="2"/>
    <x v="1"/>
    <x v="1"/>
    <x v="0"/>
    <n v="98.42"/>
    <n v="23.4"/>
    <x v="3"/>
    <n v="0"/>
    <x v="2"/>
    <x v="2"/>
  </r>
  <r>
    <n v="71442"/>
    <x v="1"/>
    <n v="30"/>
    <n v="0"/>
    <n v="0"/>
    <x v="2"/>
    <x v="0"/>
    <x v="0"/>
    <x v="1"/>
    <n v="99.2"/>
    <n v="32.5"/>
    <x v="1"/>
    <n v="0"/>
    <x v="2"/>
    <x v="0"/>
  </r>
  <r>
    <n v="49624"/>
    <x v="0"/>
    <n v="69"/>
    <n v="0"/>
    <n v="0"/>
    <x v="1"/>
    <x v="0"/>
    <x v="0"/>
    <x v="0"/>
    <n v="98.92"/>
    <n v="23.9"/>
    <x v="0"/>
    <n v="0"/>
    <x v="0"/>
    <x v="2"/>
  </r>
  <r>
    <n v="10572"/>
    <x v="1"/>
    <n v="63"/>
    <n v="0"/>
    <n v="0"/>
    <x v="1"/>
    <x v="0"/>
    <x v="0"/>
    <x v="1"/>
    <n v="92.7"/>
    <n v="29.5"/>
    <x v="1"/>
    <n v="0"/>
    <x v="0"/>
    <x v="3"/>
  </r>
  <r>
    <n v="55847"/>
    <x v="0"/>
    <n v="19"/>
    <n v="0"/>
    <n v="0"/>
    <x v="2"/>
    <x v="1"/>
    <x v="0"/>
    <x v="1"/>
    <n v="106.7"/>
    <n v="24"/>
    <x v="1"/>
    <n v="0"/>
    <x v="2"/>
    <x v="2"/>
  </r>
  <r>
    <n v="42441"/>
    <x v="0"/>
    <n v="7"/>
    <n v="0"/>
    <n v="0"/>
    <x v="2"/>
    <x v="1"/>
    <x v="3"/>
    <x v="0"/>
    <n v="152.81"/>
    <n v="17.7"/>
    <x v="3"/>
    <n v="0"/>
    <x v="2"/>
    <x v="4"/>
  </r>
  <r>
    <n v="28910"/>
    <x v="1"/>
    <n v="51"/>
    <n v="0"/>
    <n v="0"/>
    <x v="2"/>
    <x v="0"/>
    <x v="0"/>
    <x v="0"/>
    <n v="82.59"/>
    <n v="26.2"/>
    <x v="0"/>
    <n v="0"/>
    <x v="1"/>
    <x v="3"/>
  </r>
  <r>
    <n v="10381"/>
    <x v="1"/>
    <n v="38"/>
    <n v="1"/>
    <n v="0"/>
    <x v="2"/>
    <x v="0"/>
    <x v="1"/>
    <x v="0"/>
    <n v="91"/>
    <n v="33.299999999999997"/>
    <x v="1"/>
    <n v="0"/>
    <x v="2"/>
    <x v="0"/>
  </r>
  <r>
    <n v="14387"/>
    <x v="0"/>
    <n v="2"/>
    <n v="0"/>
    <n v="0"/>
    <x v="2"/>
    <x v="1"/>
    <x v="3"/>
    <x v="0"/>
    <n v="93.88"/>
    <n v="17.399999999999999"/>
    <x v="3"/>
    <n v="0"/>
    <x v="2"/>
    <x v="4"/>
  </r>
  <r>
    <n v="31956"/>
    <x v="1"/>
    <n v="58"/>
    <n v="0"/>
    <n v="0"/>
    <x v="2"/>
    <x v="0"/>
    <x v="0"/>
    <x v="0"/>
    <n v="76.989999999999995"/>
    <n v="29"/>
    <x v="1"/>
    <n v="0"/>
    <x v="1"/>
    <x v="3"/>
  </r>
  <r>
    <n v="17813"/>
    <x v="1"/>
    <n v="69"/>
    <n v="0"/>
    <n v="1"/>
    <x v="0"/>
    <x v="0"/>
    <x v="0"/>
    <x v="1"/>
    <n v="254.6"/>
    <n v="21.7"/>
    <x v="3"/>
    <n v="0"/>
    <x v="0"/>
    <x v="2"/>
  </r>
  <r>
    <n v="24665"/>
    <x v="1"/>
    <n v="64"/>
    <n v="1"/>
    <n v="0"/>
    <x v="0"/>
    <x v="0"/>
    <x v="0"/>
    <x v="1"/>
    <n v="93.99"/>
    <n v="37.799999999999997"/>
    <x v="0"/>
    <n v="0"/>
    <x v="0"/>
    <x v="0"/>
  </r>
  <r>
    <n v="13683"/>
    <x v="1"/>
    <n v="31"/>
    <n v="0"/>
    <n v="0"/>
    <x v="2"/>
    <x v="0"/>
    <x v="0"/>
    <x v="0"/>
    <n v="109.68"/>
    <n v="41.8"/>
    <x v="1"/>
    <n v="0"/>
    <x v="2"/>
    <x v="0"/>
  </r>
  <r>
    <n v="7387"/>
    <x v="1"/>
    <n v="59"/>
    <n v="1"/>
    <n v="0"/>
    <x v="2"/>
    <x v="0"/>
    <x v="0"/>
    <x v="1"/>
    <n v="92.04"/>
    <n v="24.2"/>
    <x v="1"/>
    <n v="0"/>
    <x v="1"/>
    <x v="2"/>
  </r>
  <r>
    <n v="57011"/>
    <x v="1"/>
    <n v="54"/>
    <n v="0"/>
    <n v="0"/>
    <x v="2"/>
    <x v="0"/>
    <x v="0"/>
    <x v="1"/>
    <n v="111.41"/>
    <n v="31.1"/>
    <x v="1"/>
    <n v="0"/>
    <x v="1"/>
    <x v="0"/>
  </r>
  <r>
    <n v="22384"/>
    <x v="1"/>
    <n v="24"/>
    <n v="0"/>
    <n v="0"/>
    <x v="2"/>
    <x v="0"/>
    <x v="0"/>
    <x v="1"/>
    <n v="97.92"/>
    <n v="23.1"/>
    <x v="1"/>
    <n v="0"/>
    <x v="2"/>
    <x v="2"/>
  </r>
  <r>
    <n v="24108"/>
    <x v="0"/>
    <n v="19"/>
    <n v="0"/>
    <n v="0"/>
    <x v="2"/>
    <x v="1"/>
    <x v="0"/>
    <x v="0"/>
    <n v="65.61"/>
    <n v="25.1"/>
    <x v="3"/>
    <n v="0"/>
    <x v="2"/>
    <x v="3"/>
  </r>
  <r>
    <n v="50053"/>
    <x v="0"/>
    <n v="17"/>
    <n v="0"/>
    <n v="0"/>
    <x v="2"/>
    <x v="1"/>
    <x v="0"/>
    <x v="0"/>
    <n v="62.37"/>
    <n v="41.3"/>
    <x v="1"/>
    <n v="0"/>
    <x v="2"/>
    <x v="0"/>
  </r>
  <r>
    <n v="69427"/>
    <x v="1"/>
    <n v="29"/>
    <n v="0"/>
    <n v="0"/>
    <x v="2"/>
    <x v="1"/>
    <x v="0"/>
    <x v="0"/>
    <n v="101.28"/>
    <n v="22.7"/>
    <x v="1"/>
    <n v="0"/>
    <x v="2"/>
    <x v="2"/>
  </r>
  <r>
    <n v="21688"/>
    <x v="1"/>
    <n v="42"/>
    <n v="0"/>
    <n v="0"/>
    <x v="2"/>
    <x v="0"/>
    <x v="0"/>
    <x v="1"/>
    <n v="88.31"/>
    <n v="24"/>
    <x v="2"/>
    <n v="0"/>
    <x v="1"/>
    <x v="2"/>
  </r>
  <r>
    <n v="60777"/>
    <x v="1"/>
    <n v="31"/>
    <n v="0"/>
    <n v="0"/>
    <x v="2"/>
    <x v="0"/>
    <x v="2"/>
    <x v="1"/>
    <n v="103.55"/>
    <n v="20.5"/>
    <x v="0"/>
    <n v="0"/>
    <x v="2"/>
    <x v="2"/>
  </r>
  <r>
    <n v="64732"/>
    <x v="1"/>
    <n v="29"/>
    <n v="0"/>
    <n v="0"/>
    <x v="2"/>
    <x v="1"/>
    <x v="0"/>
    <x v="0"/>
    <n v="60.26"/>
    <n v="20.399999999999999"/>
    <x v="1"/>
    <n v="0"/>
    <x v="2"/>
    <x v="2"/>
  </r>
  <r>
    <n v="42710"/>
    <x v="1"/>
    <n v="23"/>
    <n v="0"/>
    <n v="0"/>
    <x v="2"/>
    <x v="1"/>
    <x v="0"/>
    <x v="0"/>
    <n v="79.39"/>
    <n v="27.6"/>
    <x v="1"/>
    <n v="0"/>
    <x v="2"/>
    <x v="3"/>
  </r>
  <r>
    <n v="46683"/>
    <x v="1"/>
    <n v="25"/>
    <n v="0"/>
    <n v="0"/>
    <x v="2"/>
    <x v="1"/>
    <x v="0"/>
    <x v="0"/>
    <n v="122.01"/>
    <n v="27"/>
    <x v="2"/>
    <n v="0"/>
    <x v="2"/>
    <x v="3"/>
  </r>
  <r>
    <n v="58909"/>
    <x v="1"/>
    <n v="14"/>
    <n v="0"/>
    <n v="0"/>
    <x v="2"/>
    <x v="1"/>
    <x v="3"/>
    <x v="1"/>
    <n v="78.09"/>
    <n v="26.4"/>
    <x v="3"/>
    <n v="0"/>
    <x v="2"/>
    <x v="3"/>
  </r>
  <r>
    <n v="51125"/>
    <x v="1"/>
    <n v="66"/>
    <n v="0"/>
    <n v="0"/>
    <x v="1"/>
    <x v="0"/>
    <x v="0"/>
    <x v="0"/>
    <n v="89.7"/>
    <n v="34.9"/>
    <x v="2"/>
    <n v="0"/>
    <x v="0"/>
    <x v="0"/>
  </r>
  <r>
    <n v="29077"/>
    <x v="1"/>
    <n v="77"/>
    <n v="0"/>
    <n v="0"/>
    <x v="1"/>
    <x v="0"/>
    <x v="0"/>
    <x v="1"/>
    <n v="95.1"/>
    <n v="35"/>
    <x v="1"/>
    <n v="0"/>
    <x v="0"/>
    <x v="0"/>
  </r>
  <r>
    <n v="4970"/>
    <x v="0"/>
    <n v="79"/>
    <n v="0"/>
    <n v="0"/>
    <x v="1"/>
    <x v="0"/>
    <x v="1"/>
    <x v="1"/>
    <n v="112.64"/>
    <n v="28.5"/>
    <x v="0"/>
    <n v="0"/>
    <x v="0"/>
    <x v="3"/>
  </r>
  <r>
    <n v="58291"/>
    <x v="1"/>
    <n v="52"/>
    <n v="0"/>
    <n v="0"/>
    <x v="2"/>
    <x v="0"/>
    <x v="0"/>
    <x v="1"/>
    <n v="79.8"/>
    <n v="32.299999999999997"/>
    <x v="0"/>
    <n v="0"/>
    <x v="1"/>
    <x v="0"/>
  </r>
  <r>
    <n v="18616"/>
    <x v="1"/>
    <n v="41"/>
    <n v="0"/>
    <n v="0"/>
    <x v="2"/>
    <x v="0"/>
    <x v="0"/>
    <x v="0"/>
    <n v="82.2"/>
    <n v="23.9"/>
    <x v="3"/>
    <n v="0"/>
    <x v="1"/>
    <x v="2"/>
  </r>
  <r>
    <n v="99"/>
    <x v="1"/>
    <n v="31"/>
    <n v="0"/>
    <n v="0"/>
    <x v="2"/>
    <x v="1"/>
    <x v="0"/>
    <x v="0"/>
    <n v="108.89"/>
    <n v="52.3"/>
    <x v="3"/>
    <n v="0"/>
    <x v="2"/>
    <x v="0"/>
  </r>
  <r>
    <n v="55529"/>
    <x v="0"/>
    <n v="39"/>
    <n v="0"/>
    <n v="0"/>
    <x v="2"/>
    <x v="0"/>
    <x v="0"/>
    <x v="1"/>
    <n v="114.32"/>
    <n v="26.4"/>
    <x v="1"/>
    <n v="0"/>
    <x v="2"/>
    <x v="3"/>
  </r>
  <r>
    <n v="12204"/>
    <x v="1"/>
    <n v="51"/>
    <n v="0"/>
    <n v="0"/>
    <x v="2"/>
    <x v="1"/>
    <x v="2"/>
    <x v="1"/>
    <n v="116.14"/>
    <n v="20.9"/>
    <x v="1"/>
    <n v="0"/>
    <x v="1"/>
    <x v="2"/>
  </r>
  <r>
    <n v="21397"/>
    <x v="1"/>
    <n v="40"/>
    <n v="0"/>
    <n v="0"/>
    <x v="2"/>
    <x v="0"/>
    <x v="2"/>
    <x v="0"/>
    <n v="122.74"/>
    <n v="23.3"/>
    <x v="3"/>
    <n v="0"/>
    <x v="1"/>
    <x v="2"/>
  </r>
  <r>
    <n v="64633"/>
    <x v="1"/>
    <n v="48"/>
    <n v="0"/>
    <n v="0"/>
    <x v="2"/>
    <x v="0"/>
    <x v="0"/>
    <x v="0"/>
    <n v="94.04"/>
    <n v="32.700000000000003"/>
    <x v="1"/>
    <n v="0"/>
    <x v="1"/>
    <x v="0"/>
  </r>
  <r>
    <n v="23016"/>
    <x v="0"/>
    <n v="55"/>
    <n v="0"/>
    <n v="0"/>
    <x v="2"/>
    <x v="0"/>
    <x v="0"/>
    <x v="1"/>
    <n v="86.6"/>
    <n v="26.5"/>
    <x v="1"/>
    <n v="0"/>
    <x v="1"/>
    <x v="3"/>
  </r>
  <r>
    <n v="18412"/>
    <x v="0"/>
    <n v="41"/>
    <n v="0"/>
    <n v="0"/>
    <x v="2"/>
    <x v="0"/>
    <x v="0"/>
    <x v="1"/>
    <n v="82.32"/>
    <n v="27.9"/>
    <x v="3"/>
    <n v="0"/>
    <x v="1"/>
    <x v="3"/>
  </r>
  <r>
    <n v="67412"/>
    <x v="1"/>
    <n v="39"/>
    <n v="0"/>
    <n v="0"/>
    <x v="2"/>
    <x v="0"/>
    <x v="0"/>
    <x v="1"/>
    <n v="83.83"/>
    <n v="30.3"/>
    <x v="1"/>
    <n v="0"/>
    <x v="2"/>
    <x v="0"/>
  </r>
  <r>
    <n v="37545"/>
    <x v="0"/>
    <n v="41"/>
    <n v="0"/>
    <n v="0"/>
    <x v="2"/>
    <x v="1"/>
    <x v="2"/>
    <x v="0"/>
    <n v="106.98"/>
    <n v="27.6"/>
    <x v="1"/>
    <n v="0"/>
    <x v="1"/>
    <x v="3"/>
  </r>
  <r>
    <n v="10324"/>
    <x v="1"/>
    <n v="5"/>
    <n v="0"/>
    <n v="0"/>
    <x v="2"/>
    <x v="1"/>
    <x v="3"/>
    <x v="0"/>
    <n v="93.88"/>
    <n v="14.6"/>
    <x v="3"/>
    <n v="0"/>
    <x v="2"/>
    <x v="4"/>
  </r>
  <r>
    <n v="14491"/>
    <x v="0"/>
    <n v="38"/>
    <n v="0"/>
    <n v="0"/>
    <x v="2"/>
    <x v="0"/>
    <x v="2"/>
    <x v="0"/>
    <n v="70.53"/>
    <n v="40.9"/>
    <x v="2"/>
    <n v="0"/>
    <x v="2"/>
    <x v="0"/>
  </r>
  <r>
    <n v="64582"/>
    <x v="0"/>
    <n v="40"/>
    <n v="1"/>
    <n v="0"/>
    <x v="2"/>
    <x v="0"/>
    <x v="2"/>
    <x v="1"/>
    <n v="212.01"/>
    <n v="28.4"/>
    <x v="1"/>
    <n v="0"/>
    <x v="1"/>
    <x v="3"/>
  </r>
  <r>
    <n v="25514"/>
    <x v="0"/>
    <n v="12"/>
    <n v="0"/>
    <n v="0"/>
    <x v="2"/>
    <x v="1"/>
    <x v="3"/>
    <x v="1"/>
    <n v="65.88"/>
    <n v="23.7"/>
    <x v="3"/>
    <n v="0"/>
    <x v="2"/>
    <x v="2"/>
  </r>
  <r>
    <n v="7663"/>
    <x v="0"/>
    <n v="20"/>
    <n v="0"/>
    <n v="0"/>
    <x v="2"/>
    <x v="1"/>
    <x v="2"/>
    <x v="1"/>
    <n v="106.97"/>
    <n v="27.9"/>
    <x v="0"/>
    <n v="0"/>
    <x v="2"/>
    <x v="3"/>
  </r>
  <r>
    <n v="66220"/>
    <x v="0"/>
    <n v="53"/>
    <n v="0"/>
    <n v="0"/>
    <x v="2"/>
    <x v="0"/>
    <x v="0"/>
    <x v="0"/>
    <n v="126.35"/>
    <n v="25.2"/>
    <x v="1"/>
    <n v="0"/>
    <x v="1"/>
    <x v="3"/>
  </r>
  <r>
    <n v="71793"/>
    <x v="1"/>
    <n v="21"/>
    <n v="0"/>
    <n v="0"/>
    <x v="2"/>
    <x v="1"/>
    <x v="0"/>
    <x v="0"/>
    <n v="129.16"/>
    <n v="34.4"/>
    <x v="3"/>
    <n v="0"/>
    <x v="2"/>
    <x v="0"/>
  </r>
  <r>
    <n v="25458"/>
    <x v="1"/>
    <n v="70"/>
    <n v="1"/>
    <n v="0"/>
    <x v="0"/>
    <x v="0"/>
    <x v="2"/>
    <x v="1"/>
    <n v="88.66"/>
    <n v="36.700000000000003"/>
    <x v="0"/>
    <n v="0"/>
    <x v="0"/>
    <x v="0"/>
  </r>
  <r>
    <n v="69645"/>
    <x v="0"/>
    <n v="61"/>
    <n v="0"/>
    <n v="0"/>
    <x v="1"/>
    <x v="0"/>
    <x v="2"/>
    <x v="1"/>
    <n v="112.95"/>
    <n v="22.2"/>
    <x v="0"/>
    <n v="0"/>
    <x v="0"/>
    <x v="2"/>
  </r>
  <r>
    <n v="53695"/>
    <x v="0"/>
    <n v="70"/>
    <n v="0"/>
    <n v="0"/>
    <x v="1"/>
    <x v="0"/>
    <x v="2"/>
    <x v="0"/>
    <n v="81.59"/>
    <n v="27.2"/>
    <x v="1"/>
    <n v="0"/>
    <x v="0"/>
    <x v="3"/>
  </r>
  <r>
    <n v="26692"/>
    <x v="1"/>
    <n v="38"/>
    <n v="0"/>
    <n v="0"/>
    <x v="2"/>
    <x v="0"/>
    <x v="2"/>
    <x v="1"/>
    <n v="76.819999999999993"/>
    <n v="27.3"/>
    <x v="1"/>
    <n v="0"/>
    <x v="2"/>
    <x v="3"/>
  </r>
  <r>
    <n v="33400"/>
    <x v="0"/>
    <n v="59"/>
    <n v="0"/>
    <n v="0"/>
    <x v="2"/>
    <x v="0"/>
    <x v="2"/>
    <x v="1"/>
    <n v="73.75"/>
    <n v="27.3"/>
    <x v="2"/>
    <n v="0"/>
    <x v="1"/>
    <x v="3"/>
  </r>
  <r>
    <n v="67078"/>
    <x v="1"/>
    <n v="36"/>
    <n v="1"/>
    <n v="0"/>
    <x v="2"/>
    <x v="0"/>
    <x v="0"/>
    <x v="0"/>
    <n v="91.56"/>
    <n v="42.2"/>
    <x v="1"/>
    <n v="0"/>
    <x v="2"/>
    <x v="0"/>
  </r>
  <r>
    <n v="32352"/>
    <x v="1"/>
    <n v="31"/>
    <n v="0"/>
    <n v="0"/>
    <x v="2"/>
    <x v="0"/>
    <x v="2"/>
    <x v="1"/>
    <n v="104.55"/>
    <n v="26.4"/>
    <x v="1"/>
    <n v="0"/>
    <x v="2"/>
    <x v="3"/>
  </r>
  <r>
    <n v="22540"/>
    <x v="1"/>
    <n v="65"/>
    <n v="0"/>
    <n v="0"/>
    <x v="1"/>
    <x v="0"/>
    <x v="2"/>
    <x v="0"/>
    <n v="84.84"/>
    <n v="39.4"/>
    <x v="3"/>
    <n v="0"/>
    <x v="0"/>
    <x v="0"/>
  </r>
  <r>
    <n v="26999"/>
    <x v="0"/>
    <n v="61"/>
    <n v="1"/>
    <n v="1"/>
    <x v="0"/>
    <x v="0"/>
    <x v="2"/>
    <x v="1"/>
    <n v="86.06"/>
    <n v="34.799999999999997"/>
    <x v="1"/>
    <n v="0"/>
    <x v="0"/>
    <x v="0"/>
  </r>
  <r>
    <n v="65218"/>
    <x v="0"/>
    <n v="2"/>
    <n v="0"/>
    <n v="0"/>
    <x v="2"/>
    <x v="1"/>
    <x v="3"/>
    <x v="1"/>
    <n v="109.1"/>
    <n v="20"/>
    <x v="3"/>
    <n v="0"/>
    <x v="2"/>
    <x v="2"/>
  </r>
  <r>
    <n v="30102"/>
    <x v="0"/>
    <n v="52"/>
    <n v="0"/>
    <n v="0"/>
    <x v="2"/>
    <x v="0"/>
    <x v="0"/>
    <x v="1"/>
    <n v="68.349999999999994"/>
    <n v="34.1"/>
    <x v="1"/>
    <n v="0"/>
    <x v="1"/>
    <x v="0"/>
  </r>
  <r>
    <n v="49521"/>
    <x v="1"/>
    <n v="33"/>
    <n v="0"/>
    <n v="0"/>
    <x v="2"/>
    <x v="0"/>
    <x v="0"/>
    <x v="0"/>
    <n v="121.04"/>
    <n v="31.4"/>
    <x v="3"/>
    <n v="0"/>
    <x v="2"/>
    <x v="0"/>
  </r>
  <r>
    <n v="54643"/>
    <x v="0"/>
    <n v="5"/>
    <n v="0"/>
    <n v="0"/>
    <x v="2"/>
    <x v="1"/>
    <x v="3"/>
    <x v="1"/>
    <n v="160.83000000000001"/>
    <n v="17.8"/>
    <x v="3"/>
    <n v="0"/>
    <x v="2"/>
    <x v="4"/>
  </r>
  <r>
    <n v="29134"/>
    <x v="1"/>
    <n v="32"/>
    <n v="0"/>
    <n v="0"/>
    <x v="2"/>
    <x v="0"/>
    <x v="0"/>
    <x v="1"/>
    <n v="85.62"/>
    <n v="46.1"/>
    <x v="2"/>
    <n v="0"/>
    <x v="2"/>
    <x v="0"/>
  </r>
  <r>
    <n v="68281"/>
    <x v="1"/>
    <n v="54"/>
    <n v="0"/>
    <n v="0"/>
    <x v="2"/>
    <x v="0"/>
    <x v="2"/>
    <x v="0"/>
    <n v="74.23"/>
    <n v="28.1"/>
    <x v="0"/>
    <n v="0"/>
    <x v="1"/>
    <x v="3"/>
  </r>
  <r>
    <n v="40350"/>
    <x v="1"/>
    <n v="51"/>
    <n v="0"/>
    <n v="0"/>
    <x v="2"/>
    <x v="1"/>
    <x v="0"/>
    <x v="0"/>
    <n v="110.76"/>
    <n v="24.7"/>
    <x v="0"/>
    <n v="0"/>
    <x v="1"/>
    <x v="2"/>
  </r>
  <r>
    <n v="33410"/>
    <x v="1"/>
    <n v="39"/>
    <n v="0"/>
    <n v="0"/>
    <x v="2"/>
    <x v="1"/>
    <x v="2"/>
    <x v="0"/>
    <n v="79.44"/>
    <n v="22.7"/>
    <x v="1"/>
    <n v="0"/>
    <x v="2"/>
    <x v="2"/>
  </r>
  <r>
    <n v="39375"/>
    <x v="1"/>
    <n v="40"/>
    <n v="0"/>
    <n v="0"/>
    <x v="2"/>
    <x v="0"/>
    <x v="0"/>
    <x v="1"/>
    <n v="119.52"/>
    <n v="34.6"/>
    <x v="1"/>
    <n v="0"/>
    <x v="1"/>
    <x v="0"/>
  </r>
  <r>
    <n v="2543"/>
    <x v="1"/>
    <n v="19"/>
    <n v="0"/>
    <n v="0"/>
    <x v="2"/>
    <x v="0"/>
    <x v="0"/>
    <x v="1"/>
    <n v="90.42"/>
    <n v="21.4"/>
    <x v="1"/>
    <n v="0"/>
    <x v="2"/>
    <x v="2"/>
  </r>
  <r>
    <n v="45289"/>
    <x v="1"/>
    <n v="9"/>
    <n v="0"/>
    <n v="0"/>
    <x v="2"/>
    <x v="1"/>
    <x v="3"/>
    <x v="0"/>
    <n v="109.32"/>
    <n v="27.4"/>
    <x v="3"/>
    <n v="0"/>
    <x v="2"/>
    <x v="3"/>
  </r>
  <r>
    <n v="12106"/>
    <x v="0"/>
    <n v="53"/>
    <n v="1"/>
    <n v="0"/>
    <x v="2"/>
    <x v="0"/>
    <x v="2"/>
    <x v="1"/>
    <n v="78.16"/>
    <n v="36.6"/>
    <x v="1"/>
    <n v="0"/>
    <x v="1"/>
    <x v="0"/>
  </r>
  <r>
    <n v="10792"/>
    <x v="1"/>
    <n v="23"/>
    <n v="0"/>
    <n v="0"/>
    <x v="2"/>
    <x v="1"/>
    <x v="0"/>
    <x v="1"/>
    <n v="79.13"/>
    <n v="32.9"/>
    <x v="0"/>
    <n v="0"/>
    <x v="2"/>
    <x v="0"/>
  </r>
  <r>
    <n v="19153"/>
    <x v="1"/>
    <n v="19"/>
    <n v="0"/>
    <n v="0"/>
    <x v="2"/>
    <x v="1"/>
    <x v="1"/>
    <x v="0"/>
    <n v="84.06"/>
    <n v="24.7"/>
    <x v="1"/>
    <n v="0"/>
    <x v="2"/>
    <x v="2"/>
  </r>
  <r>
    <n v="47876"/>
    <x v="0"/>
    <n v="1"/>
    <n v="0"/>
    <n v="0"/>
    <x v="2"/>
    <x v="1"/>
    <x v="3"/>
    <x v="1"/>
    <n v="89.3"/>
    <n v="21.4"/>
    <x v="3"/>
    <n v="0"/>
    <x v="2"/>
    <x v="2"/>
  </r>
  <r>
    <n v="25283"/>
    <x v="1"/>
    <n v="48"/>
    <n v="0"/>
    <n v="0"/>
    <x v="2"/>
    <x v="0"/>
    <x v="0"/>
    <x v="0"/>
    <n v="69.209999999999994"/>
    <n v="33.1"/>
    <x v="1"/>
    <n v="0"/>
    <x v="1"/>
    <x v="0"/>
  </r>
  <r>
    <n v="12270"/>
    <x v="0"/>
    <n v="71"/>
    <n v="0"/>
    <n v="0"/>
    <x v="1"/>
    <x v="0"/>
    <x v="2"/>
    <x v="1"/>
    <n v="186.45"/>
    <n v="26.7"/>
    <x v="1"/>
    <n v="0"/>
    <x v="0"/>
    <x v="3"/>
  </r>
  <r>
    <n v="49949"/>
    <x v="0"/>
    <n v="44"/>
    <n v="0"/>
    <n v="0"/>
    <x v="2"/>
    <x v="0"/>
    <x v="0"/>
    <x v="0"/>
    <n v="58.47"/>
    <n v="24.4"/>
    <x v="1"/>
    <n v="0"/>
    <x v="1"/>
    <x v="2"/>
  </r>
  <r>
    <n v="50826"/>
    <x v="1"/>
    <n v="53"/>
    <n v="0"/>
    <n v="0"/>
    <x v="2"/>
    <x v="0"/>
    <x v="2"/>
    <x v="1"/>
    <n v="189.49"/>
    <n v="25.8"/>
    <x v="3"/>
    <n v="0"/>
    <x v="1"/>
    <x v="3"/>
  </r>
  <r>
    <n v="28681"/>
    <x v="1"/>
    <n v="70"/>
    <n v="1"/>
    <n v="0"/>
    <x v="0"/>
    <x v="0"/>
    <x v="1"/>
    <x v="0"/>
    <n v="99.6"/>
    <n v="34.299999999999997"/>
    <x v="0"/>
    <n v="0"/>
    <x v="0"/>
    <x v="0"/>
  </r>
  <r>
    <n v="41615"/>
    <x v="1"/>
    <n v="1.4"/>
    <n v="0"/>
    <n v="0"/>
    <x v="2"/>
    <x v="1"/>
    <x v="3"/>
    <x v="1"/>
    <n v="126.18"/>
    <n v="18.100000000000001"/>
    <x v="3"/>
    <n v="0"/>
    <x v="2"/>
    <x v="4"/>
  </r>
  <r>
    <n v="14147"/>
    <x v="0"/>
    <n v="49"/>
    <n v="0"/>
    <n v="0"/>
    <x v="2"/>
    <x v="0"/>
    <x v="0"/>
    <x v="0"/>
    <n v="186.32"/>
    <n v="43.8"/>
    <x v="2"/>
    <n v="0"/>
    <x v="1"/>
    <x v="0"/>
  </r>
  <r>
    <n v="41537"/>
    <x v="1"/>
    <n v="17"/>
    <n v="0"/>
    <n v="0"/>
    <x v="2"/>
    <x v="1"/>
    <x v="0"/>
    <x v="1"/>
    <n v="62.49"/>
    <n v="26.9"/>
    <x v="1"/>
    <n v="0"/>
    <x v="2"/>
    <x v="3"/>
  </r>
  <r>
    <n v="62332"/>
    <x v="1"/>
    <n v="40"/>
    <n v="0"/>
    <n v="0"/>
    <x v="2"/>
    <x v="0"/>
    <x v="0"/>
    <x v="1"/>
    <n v="74.510000000000005"/>
    <n v="36.6"/>
    <x v="1"/>
    <n v="0"/>
    <x v="1"/>
    <x v="0"/>
  </r>
  <r>
    <n v="25488"/>
    <x v="1"/>
    <n v="46"/>
    <n v="0"/>
    <n v="0"/>
    <x v="2"/>
    <x v="0"/>
    <x v="1"/>
    <x v="0"/>
    <n v="94.63"/>
    <n v="24.9"/>
    <x v="1"/>
    <n v="0"/>
    <x v="1"/>
    <x v="2"/>
  </r>
  <r>
    <n v="45759"/>
    <x v="1"/>
    <n v="32"/>
    <n v="0"/>
    <n v="0"/>
    <x v="2"/>
    <x v="0"/>
    <x v="0"/>
    <x v="1"/>
    <n v="91.98"/>
    <n v="27.6"/>
    <x v="2"/>
    <n v="0"/>
    <x v="2"/>
    <x v="3"/>
  </r>
  <r>
    <n v="71929"/>
    <x v="0"/>
    <n v="2"/>
    <n v="0"/>
    <n v="0"/>
    <x v="2"/>
    <x v="1"/>
    <x v="3"/>
    <x v="1"/>
    <n v="56.77"/>
    <n v="20.9"/>
    <x v="3"/>
    <n v="0"/>
    <x v="2"/>
    <x v="2"/>
  </r>
  <r>
    <n v="14807"/>
    <x v="1"/>
    <n v="40"/>
    <n v="0"/>
    <n v="0"/>
    <x v="2"/>
    <x v="0"/>
    <x v="0"/>
    <x v="0"/>
    <n v="75.87"/>
    <n v="30.3"/>
    <x v="1"/>
    <n v="0"/>
    <x v="1"/>
    <x v="0"/>
  </r>
  <r>
    <n v="16110"/>
    <x v="1"/>
    <n v="19"/>
    <n v="0"/>
    <n v="0"/>
    <x v="2"/>
    <x v="1"/>
    <x v="0"/>
    <x v="1"/>
    <n v="77.19"/>
    <n v="37.4"/>
    <x v="2"/>
    <n v="0"/>
    <x v="2"/>
    <x v="0"/>
  </r>
  <r>
    <n v="40970"/>
    <x v="0"/>
    <n v="43"/>
    <n v="0"/>
    <n v="0"/>
    <x v="2"/>
    <x v="0"/>
    <x v="0"/>
    <x v="0"/>
    <n v="135.75"/>
    <n v="35.9"/>
    <x v="2"/>
    <n v="0"/>
    <x v="1"/>
    <x v="0"/>
  </r>
  <r>
    <n v="28933"/>
    <x v="1"/>
    <n v="46"/>
    <n v="0"/>
    <n v="0"/>
    <x v="2"/>
    <x v="0"/>
    <x v="0"/>
    <x v="1"/>
    <n v="100.15"/>
    <n v="50.3"/>
    <x v="2"/>
    <n v="0"/>
    <x v="1"/>
    <x v="0"/>
  </r>
  <r>
    <n v="11709"/>
    <x v="0"/>
    <n v="71"/>
    <n v="0"/>
    <n v="0"/>
    <x v="1"/>
    <x v="1"/>
    <x v="0"/>
    <x v="0"/>
    <n v="95.08"/>
    <n v="31.5"/>
    <x v="1"/>
    <n v="0"/>
    <x v="0"/>
    <x v="0"/>
  </r>
  <r>
    <n v="37154"/>
    <x v="1"/>
    <n v="31"/>
    <n v="0"/>
    <n v="0"/>
    <x v="2"/>
    <x v="0"/>
    <x v="0"/>
    <x v="0"/>
    <n v="125.38"/>
    <n v="24.4"/>
    <x v="2"/>
    <n v="0"/>
    <x v="2"/>
    <x v="2"/>
  </r>
  <r>
    <n v="16809"/>
    <x v="0"/>
    <n v="41"/>
    <n v="0"/>
    <n v="0"/>
    <x v="2"/>
    <x v="0"/>
    <x v="0"/>
    <x v="0"/>
    <n v="111.71"/>
    <n v="38.9"/>
    <x v="0"/>
    <n v="0"/>
    <x v="1"/>
    <x v="0"/>
  </r>
  <r>
    <n v="13907"/>
    <x v="0"/>
    <n v="65"/>
    <n v="0"/>
    <n v="0"/>
    <x v="1"/>
    <x v="0"/>
    <x v="1"/>
    <x v="1"/>
    <n v="94.64"/>
    <n v="28.6"/>
    <x v="1"/>
    <n v="0"/>
    <x v="0"/>
    <x v="3"/>
  </r>
  <r>
    <n v="2314"/>
    <x v="0"/>
    <n v="52"/>
    <n v="0"/>
    <n v="0"/>
    <x v="2"/>
    <x v="0"/>
    <x v="0"/>
    <x v="0"/>
    <n v="226.7"/>
    <s v="N/A"/>
    <x v="2"/>
    <n v="0"/>
    <x v="1"/>
    <x v="1"/>
  </r>
  <r>
    <n v="70380"/>
    <x v="1"/>
    <n v="20"/>
    <n v="0"/>
    <n v="0"/>
    <x v="2"/>
    <x v="1"/>
    <x v="0"/>
    <x v="0"/>
    <n v="112.96"/>
    <n v="27.5"/>
    <x v="1"/>
    <n v="0"/>
    <x v="2"/>
    <x v="3"/>
  </r>
  <r>
    <n v="63058"/>
    <x v="1"/>
    <n v="77"/>
    <n v="0"/>
    <n v="1"/>
    <x v="0"/>
    <x v="0"/>
    <x v="0"/>
    <x v="1"/>
    <n v="183.1"/>
    <s v="N/A"/>
    <x v="1"/>
    <n v="0"/>
    <x v="0"/>
    <x v="1"/>
  </r>
  <r>
    <n v="54071"/>
    <x v="1"/>
    <n v="51"/>
    <n v="0"/>
    <n v="0"/>
    <x v="2"/>
    <x v="0"/>
    <x v="0"/>
    <x v="0"/>
    <n v="105.36"/>
    <n v="43.7"/>
    <x v="3"/>
    <n v="0"/>
    <x v="1"/>
    <x v="0"/>
  </r>
  <r>
    <n v="67405"/>
    <x v="1"/>
    <n v="37"/>
    <n v="0"/>
    <n v="0"/>
    <x v="2"/>
    <x v="0"/>
    <x v="0"/>
    <x v="0"/>
    <n v="84.13"/>
    <n v="27"/>
    <x v="1"/>
    <n v="0"/>
    <x v="2"/>
    <x v="3"/>
  </r>
  <r>
    <n v="28024"/>
    <x v="0"/>
    <n v="49"/>
    <n v="0"/>
    <n v="0"/>
    <x v="2"/>
    <x v="0"/>
    <x v="0"/>
    <x v="1"/>
    <n v="102.47"/>
    <n v="29.3"/>
    <x v="0"/>
    <n v="0"/>
    <x v="1"/>
    <x v="3"/>
  </r>
  <r>
    <n v="11730"/>
    <x v="1"/>
    <n v="62"/>
    <n v="1"/>
    <n v="0"/>
    <x v="0"/>
    <x v="0"/>
    <x v="2"/>
    <x v="1"/>
    <n v="77.040000000000006"/>
    <n v="34.700000000000003"/>
    <x v="1"/>
    <n v="0"/>
    <x v="0"/>
    <x v="0"/>
  </r>
  <r>
    <n v="2549"/>
    <x v="1"/>
    <n v="17"/>
    <n v="0"/>
    <n v="0"/>
    <x v="2"/>
    <x v="1"/>
    <x v="0"/>
    <x v="1"/>
    <n v="83.23"/>
    <s v="N/A"/>
    <x v="1"/>
    <n v="0"/>
    <x v="2"/>
    <x v="1"/>
  </r>
  <r>
    <n v="17245"/>
    <x v="1"/>
    <n v="28"/>
    <n v="0"/>
    <n v="0"/>
    <x v="2"/>
    <x v="0"/>
    <x v="0"/>
    <x v="1"/>
    <n v="87.01"/>
    <n v="39.9"/>
    <x v="1"/>
    <n v="0"/>
    <x v="2"/>
    <x v="0"/>
  </r>
  <r>
    <n v="70852"/>
    <x v="0"/>
    <n v="80"/>
    <n v="0"/>
    <n v="0"/>
    <x v="1"/>
    <x v="0"/>
    <x v="0"/>
    <x v="1"/>
    <n v="56.99"/>
    <n v="26.7"/>
    <x v="1"/>
    <n v="0"/>
    <x v="0"/>
    <x v="3"/>
  </r>
  <r>
    <n v="60957"/>
    <x v="0"/>
    <n v="45"/>
    <n v="0"/>
    <n v="0"/>
    <x v="2"/>
    <x v="0"/>
    <x v="0"/>
    <x v="1"/>
    <n v="73.010000000000005"/>
    <n v="24.8"/>
    <x v="0"/>
    <n v="0"/>
    <x v="1"/>
    <x v="2"/>
  </r>
  <r>
    <n v="19742"/>
    <x v="1"/>
    <n v="37"/>
    <n v="0"/>
    <n v="0"/>
    <x v="2"/>
    <x v="0"/>
    <x v="0"/>
    <x v="0"/>
    <n v="106.35"/>
    <n v="29.7"/>
    <x v="1"/>
    <n v="0"/>
    <x v="2"/>
    <x v="3"/>
  </r>
  <r>
    <n v="10782"/>
    <x v="1"/>
    <n v="3"/>
    <n v="0"/>
    <n v="0"/>
    <x v="2"/>
    <x v="1"/>
    <x v="3"/>
    <x v="1"/>
    <n v="80.63"/>
    <n v="15.9"/>
    <x v="3"/>
    <n v="0"/>
    <x v="2"/>
    <x v="4"/>
  </r>
  <r>
    <n v="61742"/>
    <x v="0"/>
    <n v="26"/>
    <n v="0"/>
    <n v="0"/>
    <x v="2"/>
    <x v="1"/>
    <x v="0"/>
    <x v="0"/>
    <n v="103.61"/>
    <n v="31.4"/>
    <x v="1"/>
    <n v="0"/>
    <x v="2"/>
    <x v="0"/>
  </r>
  <r>
    <n v="4808"/>
    <x v="1"/>
    <n v="71"/>
    <n v="0"/>
    <n v="0"/>
    <x v="1"/>
    <x v="0"/>
    <x v="1"/>
    <x v="0"/>
    <n v="91.35"/>
    <s v="N/A"/>
    <x v="0"/>
    <n v="0"/>
    <x v="0"/>
    <x v="1"/>
  </r>
  <r>
    <n v="13571"/>
    <x v="0"/>
    <n v="58"/>
    <n v="0"/>
    <n v="0"/>
    <x v="2"/>
    <x v="0"/>
    <x v="2"/>
    <x v="0"/>
    <n v="194.04"/>
    <n v="27.8"/>
    <x v="1"/>
    <n v="0"/>
    <x v="1"/>
    <x v="3"/>
  </r>
  <r>
    <n v="49928"/>
    <x v="1"/>
    <n v="59"/>
    <n v="0"/>
    <n v="0"/>
    <x v="2"/>
    <x v="0"/>
    <x v="2"/>
    <x v="1"/>
    <n v="111.99"/>
    <n v="35.5"/>
    <x v="0"/>
    <n v="0"/>
    <x v="1"/>
    <x v="0"/>
  </r>
  <r>
    <n v="52688"/>
    <x v="0"/>
    <n v="74"/>
    <n v="1"/>
    <n v="0"/>
    <x v="0"/>
    <x v="0"/>
    <x v="0"/>
    <x v="1"/>
    <n v="57.51"/>
    <n v="31.7"/>
    <x v="2"/>
    <n v="0"/>
    <x v="0"/>
    <x v="0"/>
  </r>
  <r>
    <n v="24099"/>
    <x v="0"/>
    <n v="17"/>
    <n v="0"/>
    <n v="0"/>
    <x v="2"/>
    <x v="1"/>
    <x v="0"/>
    <x v="1"/>
    <n v="68.489999999999995"/>
    <n v="33.200000000000003"/>
    <x v="1"/>
    <n v="0"/>
    <x v="2"/>
    <x v="0"/>
  </r>
  <r>
    <n v="65698"/>
    <x v="1"/>
    <n v="62"/>
    <n v="0"/>
    <n v="0"/>
    <x v="1"/>
    <x v="0"/>
    <x v="0"/>
    <x v="0"/>
    <n v="60.2"/>
    <n v="27.7"/>
    <x v="0"/>
    <n v="0"/>
    <x v="0"/>
    <x v="3"/>
  </r>
  <r>
    <n v="47885"/>
    <x v="0"/>
    <n v="37"/>
    <n v="0"/>
    <n v="0"/>
    <x v="2"/>
    <x v="0"/>
    <x v="1"/>
    <x v="0"/>
    <n v="160"/>
    <n v="31.9"/>
    <x v="0"/>
    <n v="0"/>
    <x v="2"/>
    <x v="0"/>
  </r>
  <r>
    <n v="13948"/>
    <x v="1"/>
    <n v="19"/>
    <n v="0"/>
    <n v="0"/>
    <x v="2"/>
    <x v="1"/>
    <x v="4"/>
    <x v="0"/>
    <n v="86.96"/>
    <n v="25.8"/>
    <x v="1"/>
    <n v="0"/>
    <x v="2"/>
    <x v="3"/>
  </r>
  <r>
    <n v="17351"/>
    <x v="1"/>
    <n v="59"/>
    <n v="0"/>
    <n v="0"/>
    <x v="2"/>
    <x v="0"/>
    <x v="0"/>
    <x v="1"/>
    <n v="237.15"/>
    <n v="27.7"/>
    <x v="1"/>
    <n v="0"/>
    <x v="1"/>
    <x v="3"/>
  </r>
  <r>
    <n v="820"/>
    <x v="1"/>
    <n v="59"/>
    <n v="1"/>
    <n v="0"/>
    <x v="2"/>
    <x v="0"/>
    <x v="0"/>
    <x v="1"/>
    <n v="99.06"/>
    <n v="23.4"/>
    <x v="1"/>
    <n v="0"/>
    <x v="1"/>
    <x v="2"/>
  </r>
  <r>
    <n v="55721"/>
    <x v="0"/>
    <n v="62"/>
    <n v="0"/>
    <n v="1"/>
    <x v="0"/>
    <x v="0"/>
    <x v="1"/>
    <x v="0"/>
    <n v="56.31"/>
    <n v="24.3"/>
    <x v="0"/>
    <n v="0"/>
    <x v="0"/>
    <x v="2"/>
  </r>
  <r>
    <n v="72310"/>
    <x v="0"/>
    <n v="80"/>
    <n v="1"/>
    <n v="1"/>
    <x v="0"/>
    <x v="0"/>
    <x v="1"/>
    <x v="0"/>
    <n v="84.31"/>
    <n v="30.3"/>
    <x v="2"/>
    <n v="0"/>
    <x v="0"/>
    <x v="0"/>
  </r>
  <r>
    <n v="24115"/>
    <x v="1"/>
    <n v="54"/>
    <n v="0"/>
    <n v="0"/>
    <x v="2"/>
    <x v="0"/>
    <x v="0"/>
    <x v="1"/>
    <n v="90.92"/>
    <n v="29.1"/>
    <x v="1"/>
    <n v="0"/>
    <x v="1"/>
    <x v="3"/>
  </r>
  <r>
    <n v="65766"/>
    <x v="1"/>
    <n v="27"/>
    <n v="0"/>
    <n v="0"/>
    <x v="2"/>
    <x v="1"/>
    <x v="0"/>
    <x v="1"/>
    <n v="104.33"/>
    <n v="20.100000000000001"/>
    <x v="1"/>
    <n v="0"/>
    <x v="2"/>
    <x v="2"/>
  </r>
  <r>
    <n v="42482"/>
    <x v="1"/>
    <n v="4"/>
    <n v="0"/>
    <n v="0"/>
    <x v="2"/>
    <x v="1"/>
    <x v="3"/>
    <x v="0"/>
    <n v="62.61"/>
    <n v="21.2"/>
    <x v="3"/>
    <n v="0"/>
    <x v="2"/>
    <x v="2"/>
  </r>
  <r>
    <n v="25627"/>
    <x v="0"/>
    <n v="81"/>
    <n v="1"/>
    <n v="0"/>
    <x v="0"/>
    <x v="0"/>
    <x v="1"/>
    <x v="0"/>
    <n v="231.19"/>
    <n v="31.6"/>
    <x v="0"/>
    <n v="0"/>
    <x v="0"/>
    <x v="0"/>
  </r>
  <r>
    <n v="7122"/>
    <x v="1"/>
    <n v="41"/>
    <n v="0"/>
    <n v="0"/>
    <x v="2"/>
    <x v="1"/>
    <x v="0"/>
    <x v="1"/>
    <n v="94.3"/>
    <n v="41.6"/>
    <x v="3"/>
    <n v="0"/>
    <x v="1"/>
    <x v="0"/>
  </r>
  <r>
    <n v="48755"/>
    <x v="0"/>
    <n v="27"/>
    <n v="0"/>
    <n v="0"/>
    <x v="2"/>
    <x v="0"/>
    <x v="0"/>
    <x v="1"/>
    <n v="104.48"/>
    <n v="36.4"/>
    <x v="2"/>
    <n v="0"/>
    <x v="2"/>
    <x v="0"/>
  </r>
  <r>
    <n v="33551"/>
    <x v="1"/>
    <n v="51"/>
    <n v="1"/>
    <n v="0"/>
    <x v="2"/>
    <x v="0"/>
    <x v="0"/>
    <x v="0"/>
    <n v="72.62"/>
    <n v="30.5"/>
    <x v="1"/>
    <n v="0"/>
    <x v="1"/>
    <x v="0"/>
  </r>
  <r>
    <n v="62716"/>
    <x v="1"/>
    <n v="59"/>
    <n v="0"/>
    <n v="0"/>
    <x v="2"/>
    <x v="0"/>
    <x v="1"/>
    <x v="0"/>
    <n v="81.64"/>
    <n v="32.799999999999997"/>
    <x v="3"/>
    <n v="0"/>
    <x v="1"/>
    <x v="0"/>
  </r>
  <r>
    <n v="68438"/>
    <x v="1"/>
    <n v="51"/>
    <n v="0"/>
    <n v="0"/>
    <x v="2"/>
    <x v="0"/>
    <x v="0"/>
    <x v="1"/>
    <n v="90.78"/>
    <n v="32.299999999999997"/>
    <x v="1"/>
    <n v="0"/>
    <x v="1"/>
    <x v="0"/>
  </r>
  <r>
    <n v="41148"/>
    <x v="0"/>
    <n v="71"/>
    <n v="0"/>
    <n v="1"/>
    <x v="0"/>
    <x v="0"/>
    <x v="0"/>
    <x v="0"/>
    <n v="70.709999999999994"/>
    <n v="30.1"/>
    <x v="1"/>
    <n v="0"/>
    <x v="0"/>
    <x v="0"/>
  </r>
  <r>
    <n v="14924"/>
    <x v="0"/>
    <n v="48"/>
    <n v="0"/>
    <n v="0"/>
    <x v="2"/>
    <x v="0"/>
    <x v="0"/>
    <x v="0"/>
    <n v="72.36"/>
    <n v="34.700000000000003"/>
    <x v="2"/>
    <n v="0"/>
    <x v="1"/>
    <x v="0"/>
  </r>
  <r>
    <n v="47950"/>
    <x v="1"/>
    <n v="49"/>
    <n v="0"/>
    <n v="0"/>
    <x v="2"/>
    <x v="0"/>
    <x v="1"/>
    <x v="0"/>
    <n v="59.76"/>
    <n v="29.7"/>
    <x v="3"/>
    <n v="0"/>
    <x v="1"/>
    <x v="3"/>
  </r>
  <r>
    <n v="8008"/>
    <x v="1"/>
    <n v="35"/>
    <n v="0"/>
    <n v="0"/>
    <x v="2"/>
    <x v="1"/>
    <x v="2"/>
    <x v="0"/>
    <n v="83.76"/>
    <s v="N/A"/>
    <x v="2"/>
    <n v="0"/>
    <x v="2"/>
    <x v="1"/>
  </r>
  <r>
    <n v="56089"/>
    <x v="1"/>
    <n v="25"/>
    <n v="0"/>
    <n v="0"/>
    <x v="2"/>
    <x v="0"/>
    <x v="0"/>
    <x v="1"/>
    <n v="63.64"/>
    <n v="31.3"/>
    <x v="0"/>
    <n v="0"/>
    <x v="2"/>
    <x v="0"/>
  </r>
  <r>
    <n v="9262"/>
    <x v="1"/>
    <n v="31"/>
    <n v="0"/>
    <n v="0"/>
    <x v="2"/>
    <x v="0"/>
    <x v="0"/>
    <x v="1"/>
    <n v="76.260000000000005"/>
    <n v="35.6"/>
    <x v="1"/>
    <n v="0"/>
    <x v="2"/>
    <x v="0"/>
  </r>
  <r>
    <n v="71896"/>
    <x v="1"/>
    <n v="68"/>
    <n v="0"/>
    <n v="0"/>
    <x v="1"/>
    <x v="0"/>
    <x v="0"/>
    <x v="1"/>
    <n v="82.06"/>
    <n v="35.200000000000003"/>
    <x v="0"/>
    <n v="0"/>
    <x v="0"/>
    <x v="0"/>
  </r>
  <r>
    <n v="38623"/>
    <x v="0"/>
    <n v="39"/>
    <n v="0"/>
    <n v="0"/>
    <x v="2"/>
    <x v="1"/>
    <x v="0"/>
    <x v="0"/>
    <n v="110.91"/>
    <n v="27.6"/>
    <x v="1"/>
    <n v="0"/>
    <x v="2"/>
    <x v="3"/>
  </r>
  <r>
    <n v="26503"/>
    <x v="1"/>
    <n v="32"/>
    <n v="0"/>
    <n v="0"/>
    <x v="2"/>
    <x v="1"/>
    <x v="0"/>
    <x v="1"/>
    <n v="77.16"/>
    <n v="35.200000000000003"/>
    <x v="2"/>
    <n v="0"/>
    <x v="2"/>
    <x v="0"/>
  </r>
  <r>
    <n v="5475"/>
    <x v="1"/>
    <n v="39"/>
    <n v="0"/>
    <n v="0"/>
    <x v="2"/>
    <x v="0"/>
    <x v="0"/>
    <x v="1"/>
    <n v="69.58"/>
    <n v="28.1"/>
    <x v="3"/>
    <n v="0"/>
    <x v="2"/>
    <x v="3"/>
  </r>
  <r>
    <n v="15525"/>
    <x v="1"/>
    <n v="63"/>
    <n v="0"/>
    <n v="0"/>
    <x v="1"/>
    <x v="0"/>
    <x v="0"/>
    <x v="0"/>
    <n v="96.26"/>
    <n v="31.8"/>
    <x v="3"/>
    <n v="0"/>
    <x v="0"/>
    <x v="0"/>
  </r>
  <r>
    <n v="48748"/>
    <x v="1"/>
    <n v="69"/>
    <n v="0"/>
    <n v="0"/>
    <x v="1"/>
    <x v="0"/>
    <x v="0"/>
    <x v="1"/>
    <n v="87.27"/>
    <n v="23.3"/>
    <x v="2"/>
    <n v="0"/>
    <x v="0"/>
    <x v="2"/>
  </r>
  <r>
    <n v="11745"/>
    <x v="1"/>
    <n v="29"/>
    <n v="0"/>
    <n v="0"/>
    <x v="2"/>
    <x v="0"/>
    <x v="0"/>
    <x v="0"/>
    <n v="65.36"/>
    <n v="28.8"/>
    <x v="0"/>
    <n v="0"/>
    <x v="2"/>
    <x v="3"/>
  </r>
  <r>
    <n v="17733"/>
    <x v="1"/>
    <n v="1.72"/>
    <n v="0"/>
    <n v="0"/>
    <x v="2"/>
    <x v="1"/>
    <x v="3"/>
    <x v="1"/>
    <n v="109.51"/>
    <n v="19.5"/>
    <x v="3"/>
    <n v="0"/>
    <x v="2"/>
    <x v="2"/>
  </r>
  <r>
    <n v="71591"/>
    <x v="1"/>
    <n v="58"/>
    <n v="0"/>
    <n v="0"/>
    <x v="2"/>
    <x v="0"/>
    <x v="0"/>
    <x v="0"/>
    <n v="89.03"/>
    <n v="30"/>
    <x v="2"/>
    <n v="0"/>
    <x v="1"/>
    <x v="0"/>
  </r>
  <r>
    <n v="11743"/>
    <x v="1"/>
    <n v="32"/>
    <n v="0"/>
    <n v="0"/>
    <x v="2"/>
    <x v="0"/>
    <x v="0"/>
    <x v="0"/>
    <n v="91.34"/>
    <n v="25.5"/>
    <x v="0"/>
    <n v="0"/>
    <x v="2"/>
    <x v="3"/>
  </r>
  <r>
    <n v="67864"/>
    <x v="0"/>
    <n v="63"/>
    <n v="0"/>
    <n v="0"/>
    <x v="1"/>
    <x v="0"/>
    <x v="0"/>
    <x v="1"/>
    <n v="57.82"/>
    <n v="28.8"/>
    <x v="0"/>
    <n v="0"/>
    <x v="0"/>
    <x v="3"/>
  </r>
  <r>
    <n v="34857"/>
    <x v="0"/>
    <n v="57"/>
    <n v="0"/>
    <n v="0"/>
    <x v="2"/>
    <x v="0"/>
    <x v="1"/>
    <x v="0"/>
    <n v="81.150000000000006"/>
    <n v="40.200000000000003"/>
    <x v="0"/>
    <n v="0"/>
    <x v="1"/>
    <x v="0"/>
  </r>
  <r>
    <n v="34995"/>
    <x v="1"/>
    <n v="77"/>
    <n v="0"/>
    <n v="0"/>
    <x v="1"/>
    <x v="0"/>
    <x v="0"/>
    <x v="1"/>
    <n v="115.29"/>
    <n v="32.9"/>
    <x v="3"/>
    <n v="0"/>
    <x v="0"/>
    <x v="0"/>
  </r>
  <r>
    <n v="3606"/>
    <x v="0"/>
    <n v="8"/>
    <n v="0"/>
    <n v="0"/>
    <x v="2"/>
    <x v="1"/>
    <x v="3"/>
    <x v="0"/>
    <n v="111.02"/>
    <n v="22.4"/>
    <x v="3"/>
    <n v="0"/>
    <x v="2"/>
    <x v="2"/>
  </r>
  <r>
    <n v="22952"/>
    <x v="1"/>
    <n v="21"/>
    <n v="0"/>
    <n v="0"/>
    <x v="2"/>
    <x v="1"/>
    <x v="2"/>
    <x v="0"/>
    <n v="111.61"/>
    <n v="36.9"/>
    <x v="2"/>
    <n v="0"/>
    <x v="2"/>
    <x v="0"/>
  </r>
  <r>
    <n v="32554"/>
    <x v="1"/>
    <n v="16"/>
    <n v="0"/>
    <n v="0"/>
    <x v="2"/>
    <x v="1"/>
    <x v="3"/>
    <x v="1"/>
    <n v="109.02"/>
    <n v="19.8"/>
    <x v="3"/>
    <n v="0"/>
    <x v="2"/>
    <x v="2"/>
  </r>
  <r>
    <n v="45893"/>
    <x v="1"/>
    <n v="8"/>
    <n v="0"/>
    <n v="0"/>
    <x v="2"/>
    <x v="1"/>
    <x v="3"/>
    <x v="0"/>
    <n v="106.51"/>
    <n v="12.3"/>
    <x v="3"/>
    <n v="0"/>
    <x v="2"/>
    <x v="4"/>
  </r>
  <r>
    <n v="72020"/>
    <x v="0"/>
    <n v="71"/>
    <n v="0"/>
    <n v="1"/>
    <x v="0"/>
    <x v="0"/>
    <x v="1"/>
    <x v="1"/>
    <n v="207.32"/>
    <n v="32.4"/>
    <x v="2"/>
    <n v="0"/>
    <x v="0"/>
    <x v="0"/>
  </r>
  <r>
    <n v="57879"/>
    <x v="1"/>
    <n v="74"/>
    <n v="0"/>
    <n v="0"/>
    <x v="1"/>
    <x v="0"/>
    <x v="0"/>
    <x v="0"/>
    <n v="87.11"/>
    <n v="24.8"/>
    <x v="1"/>
    <n v="0"/>
    <x v="0"/>
    <x v="2"/>
  </r>
  <r>
    <n v="53538"/>
    <x v="1"/>
    <n v="7"/>
    <n v="0"/>
    <n v="0"/>
    <x v="2"/>
    <x v="1"/>
    <x v="3"/>
    <x v="0"/>
    <n v="61.68"/>
    <n v="16.399999999999999"/>
    <x v="3"/>
    <n v="0"/>
    <x v="2"/>
    <x v="4"/>
  </r>
  <r>
    <n v="17006"/>
    <x v="0"/>
    <n v="19"/>
    <n v="0"/>
    <n v="0"/>
    <x v="2"/>
    <x v="1"/>
    <x v="0"/>
    <x v="1"/>
    <n v="119.04"/>
    <n v="35.9"/>
    <x v="3"/>
    <n v="0"/>
    <x v="2"/>
    <x v="0"/>
  </r>
  <r>
    <n v="36638"/>
    <x v="0"/>
    <n v="64"/>
    <n v="0"/>
    <n v="0"/>
    <x v="1"/>
    <x v="0"/>
    <x v="0"/>
    <x v="0"/>
    <n v="86.05"/>
    <n v="23"/>
    <x v="3"/>
    <n v="0"/>
    <x v="0"/>
    <x v="2"/>
  </r>
  <r>
    <n v="41097"/>
    <x v="1"/>
    <n v="23"/>
    <n v="1"/>
    <n v="0"/>
    <x v="2"/>
    <x v="1"/>
    <x v="0"/>
    <x v="0"/>
    <n v="70.03"/>
    <n v="78"/>
    <x v="2"/>
    <n v="0"/>
    <x v="2"/>
    <x v="0"/>
  </r>
  <r>
    <n v="36618"/>
    <x v="0"/>
    <n v="75"/>
    <n v="0"/>
    <n v="1"/>
    <x v="0"/>
    <x v="0"/>
    <x v="1"/>
    <x v="0"/>
    <n v="207.64"/>
    <n v="30.5"/>
    <x v="0"/>
    <n v="0"/>
    <x v="0"/>
    <x v="0"/>
  </r>
  <r>
    <n v="37290"/>
    <x v="0"/>
    <n v="80"/>
    <n v="0"/>
    <n v="0"/>
    <x v="1"/>
    <x v="0"/>
    <x v="1"/>
    <x v="1"/>
    <n v="236.84"/>
    <n v="26.8"/>
    <x v="1"/>
    <n v="0"/>
    <x v="0"/>
    <x v="3"/>
  </r>
  <r>
    <n v="54620"/>
    <x v="0"/>
    <n v="40"/>
    <n v="0"/>
    <n v="0"/>
    <x v="2"/>
    <x v="0"/>
    <x v="0"/>
    <x v="0"/>
    <n v="78.11"/>
    <n v="35.299999999999997"/>
    <x v="1"/>
    <n v="0"/>
    <x v="1"/>
    <x v="0"/>
  </r>
  <r>
    <n v="42108"/>
    <x v="1"/>
    <n v="24"/>
    <n v="0"/>
    <n v="0"/>
    <x v="2"/>
    <x v="1"/>
    <x v="2"/>
    <x v="1"/>
    <n v="100.97"/>
    <n v="27.9"/>
    <x v="1"/>
    <n v="0"/>
    <x v="2"/>
    <x v="3"/>
  </r>
  <r>
    <n v="19681"/>
    <x v="1"/>
    <n v="74"/>
    <n v="0"/>
    <n v="0"/>
    <x v="1"/>
    <x v="0"/>
    <x v="1"/>
    <x v="0"/>
    <n v="99.21"/>
    <n v="22.1"/>
    <x v="1"/>
    <n v="0"/>
    <x v="0"/>
    <x v="2"/>
  </r>
  <r>
    <n v="6988"/>
    <x v="1"/>
    <n v="52"/>
    <n v="0"/>
    <n v="0"/>
    <x v="2"/>
    <x v="0"/>
    <x v="1"/>
    <x v="0"/>
    <n v="113.21"/>
    <n v="38.299999999999997"/>
    <x v="1"/>
    <n v="0"/>
    <x v="1"/>
    <x v="0"/>
  </r>
  <r>
    <n v="25287"/>
    <x v="0"/>
    <n v="54"/>
    <n v="0"/>
    <n v="0"/>
    <x v="2"/>
    <x v="0"/>
    <x v="0"/>
    <x v="0"/>
    <n v="92.95"/>
    <n v="41"/>
    <x v="1"/>
    <n v="0"/>
    <x v="1"/>
    <x v="0"/>
  </r>
  <r>
    <n v="224"/>
    <x v="1"/>
    <n v="23"/>
    <n v="0"/>
    <n v="0"/>
    <x v="2"/>
    <x v="1"/>
    <x v="0"/>
    <x v="0"/>
    <n v="110.16"/>
    <s v="N/A"/>
    <x v="1"/>
    <n v="0"/>
    <x v="2"/>
    <x v="1"/>
  </r>
  <r>
    <n v="56679"/>
    <x v="0"/>
    <n v="19"/>
    <n v="0"/>
    <n v="0"/>
    <x v="2"/>
    <x v="1"/>
    <x v="0"/>
    <x v="1"/>
    <n v="142.57"/>
    <n v="22.8"/>
    <x v="3"/>
    <n v="0"/>
    <x v="2"/>
    <x v="2"/>
  </r>
  <r>
    <n v="27146"/>
    <x v="1"/>
    <n v="23"/>
    <n v="0"/>
    <n v="0"/>
    <x v="2"/>
    <x v="1"/>
    <x v="0"/>
    <x v="1"/>
    <n v="92.87"/>
    <n v="30.1"/>
    <x v="1"/>
    <n v="0"/>
    <x v="2"/>
    <x v="0"/>
  </r>
  <r>
    <n v="16556"/>
    <x v="0"/>
    <n v="13"/>
    <n v="0"/>
    <n v="0"/>
    <x v="2"/>
    <x v="1"/>
    <x v="4"/>
    <x v="1"/>
    <n v="111.48"/>
    <n v="20.8"/>
    <x v="3"/>
    <n v="0"/>
    <x v="2"/>
    <x v="2"/>
  </r>
  <r>
    <n v="5934"/>
    <x v="1"/>
    <n v="51"/>
    <n v="0"/>
    <n v="0"/>
    <x v="2"/>
    <x v="0"/>
    <x v="0"/>
    <x v="0"/>
    <n v="123"/>
    <n v="31.7"/>
    <x v="1"/>
    <n v="0"/>
    <x v="1"/>
    <x v="0"/>
  </r>
  <r>
    <n v="58999"/>
    <x v="0"/>
    <n v="60"/>
    <n v="0"/>
    <n v="0"/>
    <x v="1"/>
    <x v="0"/>
    <x v="2"/>
    <x v="0"/>
    <n v="100.54"/>
    <n v="30.1"/>
    <x v="1"/>
    <n v="0"/>
    <x v="0"/>
    <x v="0"/>
  </r>
  <r>
    <n v="28261"/>
    <x v="0"/>
    <n v="79"/>
    <n v="0"/>
    <n v="1"/>
    <x v="0"/>
    <x v="0"/>
    <x v="1"/>
    <x v="0"/>
    <n v="106.68"/>
    <n v="30.8"/>
    <x v="1"/>
    <n v="0"/>
    <x v="0"/>
    <x v="0"/>
  </r>
  <r>
    <n v="35222"/>
    <x v="1"/>
    <n v="75"/>
    <n v="0"/>
    <n v="0"/>
    <x v="1"/>
    <x v="0"/>
    <x v="0"/>
    <x v="0"/>
    <n v="86.4"/>
    <n v="42.6"/>
    <x v="1"/>
    <n v="0"/>
    <x v="0"/>
    <x v="0"/>
  </r>
  <r>
    <n v="44105"/>
    <x v="1"/>
    <n v="69"/>
    <n v="1"/>
    <n v="0"/>
    <x v="0"/>
    <x v="0"/>
    <x v="1"/>
    <x v="0"/>
    <n v="61.81"/>
    <n v="37.1"/>
    <x v="3"/>
    <n v="0"/>
    <x v="0"/>
    <x v="0"/>
  </r>
  <r>
    <n v="65256"/>
    <x v="1"/>
    <n v="57"/>
    <n v="0"/>
    <n v="0"/>
    <x v="2"/>
    <x v="0"/>
    <x v="1"/>
    <x v="1"/>
    <n v="128.28"/>
    <n v="34.200000000000003"/>
    <x v="1"/>
    <n v="0"/>
    <x v="1"/>
    <x v="0"/>
  </r>
  <r>
    <n v="62709"/>
    <x v="1"/>
    <n v="47"/>
    <n v="0"/>
    <n v="0"/>
    <x v="2"/>
    <x v="0"/>
    <x v="0"/>
    <x v="1"/>
    <n v="204.63"/>
    <n v="43.4"/>
    <x v="1"/>
    <n v="0"/>
    <x v="1"/>
    <x v="0"/>
  </r>
  <r>
    <n v="36698"/>
    <x v="1"/>
    <n v="33"/>
    <n v="0"/>
    <n v="0"/>
    <x v="2"/>
    <x v="0"/>
    <x v="0"/>
    <x v="0"/>
    <n v="89.98"/>
    <n v="18.7"/>
    <x v="2"/>
    <n v="0"/>
    <x v="2"/>
    <x v="2"/>
  </r>
  <r>
    <n v="7273"/>
    <x v="1"/>
    <n v="51"/>
    <n v="0"/>
    <n v="0"/>
    <x v="2"/>
    <x v="0"/>
    <x v="1"/>
    <x v="0"/>
    <n v="232.89"/>
    <n v="34"/>
    <x v="2"/>
    <n v="0"/>
    <x v="1"/>
    <x v="0"/>
  </r>
  <r>
    <n v="20044"/>
    <x v="1"/>
    <n v="47"/>
    <n v="0"/>
    <n v="0"/>
    <x v="2"/>
    <x v="0"/>
    <x v="0"/>
    <x v="1"/>
    <n v="98.58"/>
    <n v="23.2"/>
    <x v="1"/>
    <n v="0"/>
    <x v="1"/>
    <x v="2"/>
  </r>
  <r>
    <n v="54769"/>
    <x v="0"/>
    <n v="15"/>
    <n v="0"/>
    <n v="0"/>
    <x v="2"/>
    <x v="1"/>
    <x v="0"/>
    <x v="0"/>
    <n v="57.94"/>
    <n v="41.7"/>
    <x v="3"/>
    <n v="0"/>
    <x v="2"/>
    <x v="0"/>
  </r>
  <r>
    <n v="57372"/>
    <x v="0"/>
    <n v="1"/>
    <n v="0"/>
    <n v="0"/>
    <x v="2"/>
    <x v="1"/>
    <x v="3"/>
    <x v="1"/>
    <n v="123.21"/>
    <n v="15.1"/>
    <x v="3"/>
    <n v="0"/>
    <x v="2"/>
    <x v="4"/>
  </r>
  <r>
    <n v="30605"/>
    <x v="1"/>
    <n v="20"/>
    <n v="0"/>
    <n v="0"/>
    <x v="2"/>
    <x v="1"/>
    <x v="0"/>
    <x v="0"/>
    <n v="76.34"/>
    <n v="20.6"/>
    <x v="2"/>
    <n v="0"/>
    <x v="2"/>
    <x v="2"/>
  </r>
  <r>
    <n v="13622"/>
    <x v="0"/>
    <n v="6"/>
    <n v="0"/>
    <n v="0"/>
    <x v="2"/>
    <x v="1"/>
    <x v="3"/>
    <x v="1"/>
    <n v="92.98"/>
    <n v="18.899999999999999"/>
    <x v="3"/>
    <n v="0"/>
    <x v="2"/>
    <x v="2"/>
  </r>
  <r>
    <n v="12686"/>
    <x v="0"/>
    <n v="50"/>
    <n v="0"/>
    <n v="0"/>
    <x v="2"/>
    <x v="1"/>
    <x v="2"/>
    <x v="1"/>
    <n v="92.81"/>
    <n v="26.6"/>
    <x v="1"/>
    <n v="0"/>
    <x v="1"/>
    <x v="3"/>
  </r>
  <r>
    <n v="39250"/>
    <x v="0"/>
    <n v="31"/>
    <n v="0"/>
    <n v="0"/>
    <x v="2"/>
    <x v="0"/>
    <x v="0"/>
    <x v="0"/>
    <n v="85.16"/>
    <n v="30.1"/>
    <x v="2"/>
    <n v="0"/>
    <x v="2"/>
    <x v="0"/>
  </r>
  <r>
    <n v="2879"/>
    <x v="1"/>
    <n v="15"/>
    <n v="0"/>
    <n v="0"/>
    <x v="2"/>
    <x v="1"/>
    <x v="1"/>
    <x v="0"/>
    <n v="90.1"/>
    <n v="32.1"/>
    <x v="1"/>
    <n v="0"/>
    <x v="2"/>
    <x v="0"/>
  </r>
  <r>
    <n v="59684"/>
    <x v="1"/>
    <n v="3"/>
    <n v="0"/>
    <n v="0"/>
    <x v="2"/>
    <x v="1"/>
    <x v="3"/>
    <x v="0"/>
    <n v="65.150000000000006"/>
    <n v="15.1"/>
    <x v="3"/>
    <n v="0"/>
    <x v="2"/>
    <x v="4"/>
  </r>
  <r>
    <n v="48830"/>
    <x v="0"/>
    <n v="30"/>
    <n v="0"/>
    <n v="0"/>
    <x v="2"/>
    <x v="0"/>
    <x v="0"/>
    <x v="0"/>
    <n v="104.62"/>
    <n v="33.5"/>
    <x v="2"/>
    <n v="0"/>
    <x v="2"/>
    <x v="0"/>
  </r>
  <r>
    <n v="56986"/>
    <x v="0"/>
    <n v="17"/>
    <n v="0"/>
    <n v="0"/>
    <x v="2"/>
    <x v="1"/>
    <x v="4"/>
    <x v="0"/>
    <n v="113.25"/>
    <n v="23.4"/>
    <x v="1"/>
    <n v="0"/>
    <x v="2"/>
    <x v="2"/>
  </r>
  <r>
    <n v="47924"/>
    <x v="0"/>
    <n v="24"/>
    <n v="0"/>
    <n v="0"/>
    <x v="2"/>
    <x v="1"/>
    <x v="0"/>
    <x v="0"/>
    <n v="59.28"/>
    <n v="43.2"/>
    <x v="1"/>
    <n v="0"/>
    <x v="2"/>
    <x v="0"/>
  </r>
  <r>
    <n v="16402"/>
    <x v="1"/>
    <n v="5"/>
    <n v="0"/>
    <n v="0"/>
    <x v="2"/>
    <x v="1"/>
    <x v="3"/>
    <x v="0"/>
    <n v="93.07"/>
    <n v="19.100000000000001"/>
    <x v="3"/>
    <n v="0"/>
    <x v="2"/>
    <x v="2"/>
  </r>
  <r>
    <n v="40889"/>
    <x v="0"/>
    <n v="33"/>
    <n v="0"/>
    <n v="0"/>
    <x v="2"/>
    <x v="1"/>
    <x v="0"/>
    <x v="1"/>
    <n v="77.42"/>
    <n v="26.1"/>
    <x v="3"/>
    <n v="0"/>
    <x v="2"/>
    <x v="3"/>
  </r>
  <r>
    <n v="4083"/>
    <x v="1"/>
    <n v="30"/>
    <n v="0"/>
    <n v="0"/>
    <x v="2"/>
    <x v="1"/>
    <x v="0"/>
    <x v="1"/>
    <n v="73.69"/>
    <n v="17.3"/>
    <x v="1"/>
    <n v="0"/>
    <x v="2"/>
    <x v="4"/>
  </r>
  <r>
    <n v="59336"/>
    <x v="0"/>
    <n v="66"/>
    <n v="1"/>
    <n v="0"/>
    <x v="0"/>
    <x v="0"/>
    <x v="0"/>
    <x v="1"/>
    <n v="74.900000000000006"/>
    <n v="32.1"/>
    <x v="1"/>
    <n v="0"/>
    <x v="0"/>
    <x v="0"/>
  </r>
  <r>
    <n v="5684"/>
    <x v="0"/>
    <n v="40"/>
    <n v="0"/>
    <n v="0"/>
    <x v="2"/>
    <x v="1"/>
    <x v="0"/>
    <x v="0"/>
    <n v="88.27"/>
    <s v="N/A"/>
    <x v="0"/>
    <n v="0"/>
    <x v="1"/>
    <x v="1"/>
  </r>
  <r>
    <n v="48843"/>
    <x v="1"/>
    <n v="27"/>
    <n v="0"/>
    <n v="0"/>
    <x v="2"/>
    <x v="1"/>
    <x v="0"/>
    <x v="0"/>
    <n v="58.39"/>
    <n v="30.4"/>
    <x v="1"/>
    <n v="0"/>
    <x v="2"/>
    <x v="0"/>
  </r>
  <r>
    <n v="5694"/>
    <x v="0"/>
    <n v="21"/>
    <n v="0"/>
    <n v="0"/>
    <x v="2"/>
    <x v="1"/>
    <x v="0"/>
    <x v="1"/>
    <n v="102.05"/>
    <n v="29.9"/>
    <x v="1"/>
    <n v="0"/>
    <x v="2"/>
    <x v="3"/>
  </r>
  <r>
    <n v="3673"/>
    <x v="1"/>
    <n v="55"/>
    <n v="0"/>
    <n v="0"/>
    <x v="2"/>
    <x v="0"/>
    <x v="0"/>
    <x v="1"/>
    <n v="112.47"/>
    <n v="32.799999999999997"/>
    <x v="2"/>
    <n v="0"/>
    <x v="1"/>
    <x v="0"/>
  </r>
  <r>
    <n v="44481"/>
    <x v="1"/>
    <n v="19"/>
    <n v="0"/>
    <n v="0"/>
    <x v="2"/>
    <x v="1"/>
    <x v="0"/>
    <x v="1"/>
    <n v="72.84"/>
    <n v="22.7"/>
    <x v="1"/>
    <n v="0"/>
    <x v="2"/>
    <x v="2"/>
  </r>
  <r>
    <n v="10538"/>
    <x v="0"/>
    <n v="75"/>
    <n v="1"/>
    <n v="1"/>
    <x v="0"/>
    <x v="0"/>
    <x v="1"/>
    <x v="0"/>
    <n v="195.03"/>
    <n v="28.7"/>
    <x v="0"/>
    <n v="0"/>
    <x v="0"/>
    <x v="3"/>
  </r>
  <r>
    <n v="9648"/>
    <x v="1"/>
    <n v="71"/>
    <n v="0"/>
    <n v="1"/>
    <x v="0"/>
    <x v="0"/>
    <x v="0"/>
    <x v="0"/>
    <n v="170.95"/>
    <n v="35.200000000000003"/>
    <x v="1"/>
    <n v="0"/>
    <x v="0"/>
    <x v="0"/>
  </r>
  <r>
    <n v="19101"/>
    <x v="1"/>
    <n v="16"/>
    <n v="0"/>
    <n v="0"/>
    <x v="2"/>
    <x v="1"/>
    <x v="0"/>
    <x v="0"/>
    <n v="87.98"/>
    <n v="22.4"/>
    <x v="1"/>
    <n v="0"/>
    <x v="2"/>
    <x v="2"/>
  </r>
  <r>
    <n v="31867"/>
    <x v="1"/>
    <n v="49"/>
    <n v="0"/>
    <n v="0"/>
    <x v="2"/>
    <x v="1"/>
    <x v="0"/>
    <x v="1"/>
    <n v="65.81"/>
    <n v="32.299999999999997"/>
    <x v="3"/>
    <n v="0"/>
    <x v="1"/>
    <x v="0"/>
  </r>
  <r>
    <n v="11973"/>
    <x v="1"/>
    <n v="10"/>
    <n v="0"/>
    <n v="0"/>
    <x v="2"/>
    <x v="1"/>
    <x v="3"/>
    <x v="0"/>
    <n v="124.6"/>
    <n v="18.600000000000001"/>
    <x v="3"/>
    <n v="0"/>
    <x v="2"/>
    <x v="2"/>
  </r>
  <r>
    <n v="23633"/>
    <x v="1"/>
    <n v="37"/>
    <n v="0"/>
    <n v="0"/>
    <x v="2"/>
    <x v="0"/>
    <x v="0"/>
    <x v="1"/>
    <n v="83.65"/>
    <n v="42.1"/>
    <x v="2"/>
    <n v="0"/>
    <x v="2"/>
    <x v="0"/>
  </r>
  <r>
    <n v="52549"/>
    <x v="0"/>
    <n v="59"/>
    <n v="0"/>
    <n v="0"/>
    <x v="2"/>
    <x v="0"/>
    <x v="2"/>
    <x v="1"/>
    <n v="88.81"/>
    <n v="38"/>
    <x v="0"/>
    <n v="0"/>
    <x v="1"/>
    <x v="0"/>
  </r>
  <r>
    <n v="59178"/>
    <x v="1"/>
    <n v="7"/>
    <n v="0"/>
    <n v="0"/>
    <x v="2"/>
    <x v="1"/>
    <x v="3"/>
    <x v="0"/>
    <n v="86.75"/>
    <n v="22.3"/>
    <x v="3"/>
    <n v="0"/>
    <x v="2"/>
    <x v="2"/>
  </r>
  <r>
    <n v="37349"/>
    <x v="1"/>
    <n v="61"/>
    <n v="0"/>
    <n v="0"/>
    <x v="1"/>
    <x v="0"/>
    <x v="0"/>
    <x v="1"/>
    <n v="123.36"/>
    <n v="33.4"/>
    <x v="1"/>
    <n v="0"/>
    <x v="0"/>
    <x v="0"/>
  </r>
  <r>
    <n v="44281"/>
    <x v="0"/>
    <n v="34"/>
    <n v="0"/>
    <n v="0"/>
    <x v="2"/>
    <x v="1"/>
    <x v="0"/>
    <x v="1"/>
    <n v="89.68"/>
    <n v="23.2"/>
    <x v="2"/>
    <n v="0"/>
    <x v="2"/>
    <x v="2"/>
  </r>
  <r>
    <n v="55599"/>
    <x v="1"/>
    <n v="9"/>
    <n v="0"/>
    <n v="0"/>
    <x v="2"/>
    <x v="1"/>
    <x v="3"/>
    <x v="1"/>
    <n v="69.87"/>
    <n v="18"/>
    <x v="3"/>
    <n v="0"/>
    <x v="2"/>
    <x v="4"/>
  </r>
  <r>
    <n v="45224"/>
    <x v="1"/>
    <n v="46"/>
    <n v="0"/>
    <n v="0"/>
    <x v="2"/>
    <x v="0"/>
    <x v="0"/>
    <x v="1"/>
    <n v="109.22"/>
    <n v="20.100000000000001"/>
    <x v="1"/>
    <n v="0"/>
    <x v="1"/>
    <x v="2"/>
  </r>
  <r>
    <n v="54747"/>
    <x v="0"/>
    <n v="0.88"/>
    <n v="0"/>
    <n v="0"/>
    <x v="2"/>
    <x v="1"/>
    <x v="3"/>
    <x v="1"/>
    <n v="157.57"/>
    <n v="19.2"/>
    <x v="3"/>
    <n v="0"/>
    <x v="2"/>
    <x v="2"/>
  </r>
  <r>
    <n v="2751"/>
    <x v="0"/>
    <n v="50"/>
    <n v="0"/>
    <n v="0"/>
    <x v="2"/>
    <x v="0"/>
    <x v="2"/>
    <x v="0"/>
    <n v="110.73"/>
    <n v="28.7"/>
    <x v="2"/>
    <n v="0"/>
    <x v="1"/>
    <x v="3"/>
  </r>
  <r>
    <n v="6090"/>
    <x v="0"/>
    <n v="19"/>
    <n v="0"/>
    <n v="0"/>
    <x v="2"/>
    <x v="0"/>
    <x v="0"/>
    <x v="0"/>
    <n v="99.14"/>
    <n v="28.1"/>
    <x v="1"/>
    <n v="0"/>
    <x v="2"/>
    <x v="3"/>
  </r>
  <r>
    <n v="46385"/>
    <x v="1"/>
    <n v="21"/>
    <n v="0"/>
    <n v="0"/>
    <x v="2"/>
    <x v="0"/>
    <x v="0"/>
    <x v="0"/>
    <n v="59.15"/>
    <n v="22.6"/>
    <x v="1"/>
    <n v="0"/>
    <x v="2"/>
    <x v="2"/>
  </r>
  <r>
    <n v="46323"/>
    <x v="1"/>
    <n v="2"/>
    <n v="0"/>
    <n v="0"/>
    <x v="2"/>
    <x v="1"/>
    <x v="3"/>
    <x v="1"/>
    <n v="165.11"/>
    <n v="18"/>
    <x v="3"/>
    <n v="0"/>
    <x v="2"/>
    <x v="4"/>
  </r>
  <r>
    <n v="28122"/>
    <x v="1"/>
    <n v="37"/>
    <n v="0"/>
    <n v="0"/>
    <x v="2"/>
    <x v="0"/>
    <x v="1"/>
    <x v="1"/>
    <n v="77.44"/>
    <n v="21.4"/>
    <x v="0"/>
    <n v="0"/>
    <x v="2"/>
    <x v="2"/>
  </r>
  <r>
    <n v="50843"/>
    <x v="0"/>
    <n v="20"/>
    <n v="0"/>
    <n v="0"/>
    <x v="2"/>
    <x v="1"/>
    <x v="0"/>
    <x v="1"/>
    <n v="100.33"/>
    <n v="27.8"/>
    <x v="3"/>
    <n v="0"/>
    <x v="2"/>
    <x v="3"/>
  </r>
  <r>
    <n v="64464"/>
    <x v="0"/>
    <n v="50"/>
    <n v="0"/>
    <n v="0"/>
    <x v="2"/>
    <x v="0"/>
    <x v="0"/>
    <x v="0"/>
    <n v="57.93"/>
    <n v="27.6"/>
    <x v="3"/>
    <n v="0"/>
    <x v="1"/>
    <x v="3"/>
  </r>
  <r>
    <n v="66922"/>
    <x v="0"/>
    <n v="61"/>
    <n v="1"/>
    <n v="1"/>
    <x v="0"/>
    <x v="1"/>
    <x v="0"/>
    <x v="1"/>
    <n v="148.24"/>
    <n v="32.200000000000003"/>
    <x v="0"/>
    <n v="0"/>
    <x v="0"/>
    <x v="0"/>
  </r>
  <r>
    <n v="66494"/>
    <x v="0"/>
    <n v="48"/>
    <n v="0"/>
    <n v="0"/>
    <x v="2"/>
    <x v="0"/>
    <x v="0"/>
    <x v="0"/>
    <n v="91.96"/>
    <n v="24.9"/>
    <x v="3"/>
    <n v="0"/>
    <x v="1"/>
    <x v="2"/>
  </r>
  <r>
    <n v="42786"/>
    <x v="0"/>
    <n v="82"/>
    <n v="0"/>
    <n v="1"/>
    <x v="0"/>
    <x v="0"/>
    <x v="1"/>
    <x v="1"/>
    <n v="72.930000000000007"/>
    <n v="27.1"/>
    <x v="0"/>
    <n v="0"/>
    <x v="0"/>
    <x v="3"/>
  </r>
  <r>
    <n v="33401"/>
    <x v="0"/>
    <n v="64"/>
    <n v="0"/>
    <n v="0"/>
    <x v="1"/>
    <x v="0"/>
    <x v="0"/>
    <x v="1"/>
    <n v="84.27"/>
    <n v="24.6"/>
    <x v="3"/>
    <n v="0"/>
    <x v="0"/>
    <x v="2"/>
  </r>
  <r>
    <n v="24174"/>
    <x v="1"/>
    <n v="50"/>
    <n v="0"/>
    <n v="0"/>
    <x v="2"/>
    <x v="0"/>
    <x v="2"/>
    <x v="1"/>
    <n v="124.45"/>
    <n v="24.6"/>
    <x v="1"/>
    <n v="0"/>
    <x v="1"/>
    <x v="2"/>
  </r>
  <r>
    <n v="60211"/>
    <x v="0"/>
    <n v="1.4"/>
    <n v="0"/>
    <n v="0"/>
    <x v="2"/>
    <x v="1"/>
    <x v="3"/>
    <x v="0"/>
    <n v="90.51"/>
    <n v="18.899999999999999"/>
    <x v="3"/>
    <n v="0"/>
    <x v="2"/>
    <x v="2"/>
  </r>
  <r>
    <n v="53279"/>
    <x v="0"/>
    <n v="0.24"/>
    <n v="0"/>
    <n v="0"/>
    <x v="2"/>
    <x v="1"/>
    <x v="3"/>
    <x v="1"/>
    <n v="118.87"/>
    <n v="16.3"/>
    <x v="3"/>
    <n v="0"/>
    <x v="2"/>
    <x v="4"/>
  </r>
  <r>
    <n v="61715"/>
    <x v="0"/>
    <n v="55"/>
    <n v="0"/>
    <n v="0"/>
    <x v="2"/>
    <x v="0"/>
    <x v="0"/>
    <x v="1"/>
    <n v="56.42"/>
    <n v="31.8"/>
    <x v="1"/>
    <n v="0"/>
    <x v="1"/>
    <x v="0"/>
  </r>
  <r>
    <n v="37830"/>
    <x v="1"/>
    <n v="29"/>
    <n v="0"/>
    <n v="0"/>
    <x v="2"/>
    <x v="1"/>
    <x v="0"/>
    <x v="0"/>
    <n v="73.67"/>
    <n v="21"/>
    <x v="3"/>
    <n v="0"/>
    <x v="2"/>
    <x v="2"/>
  </r>
  <r>
    <n v="2454"/>
    <x v="0"/>
    <n v="4"/>
    <n v="0"/>
    <n v="0"/>
    <x v="2"/>
    <x v="1"/>
    <x v="3"/>
    <x v="1"/>
    <n v="89.11"/>
    <n v="20.100000000000001"/>
    <x v="3"/>
    <n v="0"/>
    <x v="2"/>
    <x v="2"/>
  </r>
  <r>
    <n v="60663"/>
    <x v="0"/>
    <n v="70"/>
    <n v="1"/>
    <n v="0"/>
    <x v="0"/>
    <x v="0"/>
    <x v="0"/>
    <x v="1"/>
    <n v="74.040000000000006"/>
    <n v="29.1"/>
    <x v="1"/>
    <n v="0"/>
    <x v="0"/>
    <x v="3"/>
  </r>
  <r>
    <n v="46875"/>
    <x v="0"/>
    <n v="35"/>
    <n v="0"/>
    <n v="0"/>
    <x v="2"/>
    <x v="0"/>
    <x v="0"/>
    <x v="0"/>
    <n v="145.22999999999999"/>
    <n v="32.299999999999997"/>
    <x v="1"/>
    <n v="0"/>
    <x v="2"/>
    <x v="0"/>
  </r>
  <r>
    <n v="69091"/>
    <x v="1"/>
    <n v="80"/>
    <n v="0"/>
    <n v="1"/>
    <x v="0"/>
    <x v="0"/>
    <x v="0"/>
    <x v="1"/>
    <n v="100.8"/>
    <n v="29.4"/>
    <x v="1"/>
    <n v="0"/>
    <x v="0"/>
    <x v="3"/>
  </r>
  <r>
    <n v="1821"/>
    <x v="1"/>
    <n v="54"/>
    <n v="0"/>
    <n v="0"/>
    <x v="2"/>
    <x v="0"/>
    <x v="0"/>
    <x v="0"/>
    <n v="85.22"/>
    <n v="50.2"/>
    <x v="1"/>
    <n v="0"/>
    <x v="1"/>
    <x v="0"/>
  </r>
  <r>
    <n v="44978"/>
    <x v="0"/>
    <n v="39"/>
    <n v="0"/>
    <n v="0"/>
    <x v="2"/>
    <x v="0"/>
    <x v="2"/>
    <x v="1"/>
    <n v="72.489999999999995"/>
    <n v="44.9"/>
    <x v="0"/>
    <n v="0"/>
    <x v="2"/>
    <x v="0"/>
  </r>
  <r>
    <n v="3437"/>
    <x v="1"/>
    <n v="26"/>
    <n v="0"/>
    <n v="0"/>
    <x v="2"/>
    <x v="1"/>
    <x v="0"/>
    <x v="0"/>
    <n v="82.61"/>
    <n v="28.5"/>
    <x v="2"/>
    <n v="0"/>
    <x v="2"/>
    <x v="3"/>
  </r>
  <r>
    <n v="6355"/>
    <x v="1"/>
    <n v="6"/>
    <n v="0"/>
    <n v="0"/>
    <x v="2"/>
    <x v="1"/>
    <x v="3"/>
    <x v="1"/>
    <n v="72.069999999999993"/>
    <n v="19.5"/>
    <x v="3"/>
    <n v="0"/>
    <x v="2"/>
    <x v="2"/>
  </r>
  <r>
    <n v="10762"/>
    <x v="1"/>
    <n v="41"/>
    <n v="0"/>
    <n v="0"/>
    <x v="2"/>
    <x v="0"/>
    <x v="0"/>
    <x v="1"/>
    <n v="79.849999999999994"/>
    <n v="45"/>
    <x v="3"/>
    <n v="0"/>
    <x v="1"/>
    <x v="0"/>
  </r>
  <r>
    <n v="58567"/>
    <x v="1"/>
    <n v="42"/>
    <n v="0"/>
    <n v="0"/>
    <x v="2"/>
    <x v="0"/>
    <x v="0"/>
    <x v="1"/>
    <n v="84.86"/>
    <n v="22.8"/>
    <x v="3"/>
    <n v="0"/>
    <x v="1"/>
    <x v="2"/>
  </r>
  <r>
    <n v="62187"/>
    <x v="0"/>
    <n v="9"/>
    <n v="0"/>
    <n v="0"/>
    <x v="2"/>
    <x v="1"/>
    <x v="3"/>
    <x v="0"/>
    <n v="131.88999999999999"/>
    <n v="25.5"/>
    <x v="3"/>
    <n v="0"/>
    <x v="2"/>
    <x v="3"/>
  </r>
  <r>
    <n v="84"/>
    <x v="0"/>
    <n v="55"/>
    <n v="0"/>
    <n v="0"/>
    <x v="2"/>
    <x v="0"/>
    <x v="0"/>
    <x v="0"/>
    <n v="89.17"/>
    <n v="31.5"/>
    <x v="1"/>
    <n v="0"/>
    <x v="1"/>
    <x v="0"/>
  </r>
  <r>
    <n v="8521"/>
    <x v="0"/>
    <n v="71"/>
    <n v="0"/>
    <n v="0"/>
    <x v="1"/>
    <x v="0"/>
    <x v="0"/>
    <x v="1"/>
    <n v="227.91"/>
    <n v="31.6"/>
    <x v="0"/>
    <n v="0"/>
    <x v="0"/>
    <x v="0"/>
  </r>
  <r>
    <n v="72779"/>
    <x v="1"/>
    <n v="14"/>
    <n v="0"/>
    <n v="0"/>
    <x v="2"/>
    <x v="1"/>
    <x v="3"/>
    <x v="0"/>
    <n v="131.77000000000001"/>
    <n v="31"/>
    <x v="3"/>
    <n v="0"/>
    <x v="2"/>
    <x v="0"/>
  </r>
  <r>
    <n v="45824"/>
    <x v="1"/>
    <n v="77"/>
    <n v="1"/>
    <n v="0"/>
    <x v="0"/>
    <x v="0"/>
    <x v="1"/>
    <x v="0"/>
    <n v="102.01"/>
    <n v="29.5"/>
    <x v="3"/>
    <n v="0"/>
    <x v="0"/>
    <x v="3"/>
  </r>
  <r>
    <n v="61838"/>
    <x v="1"/>
    <n v="50"/>
    <n v="0"/>
    <n v="0"/>
    <x v="2"/>
    <x v="0"/>
    <x v="2"/>
    <x v="0"/>
    <n v="128.63"/>
    <n v="23.1"/>
    <x v="3"/>
    <n v="0"/>
    <x v="1"/>
    <x v="2"/>
  </r>
  <r>
    <n v="57212"/>
    <x v="0"/>
    <n v="49"/>
    <n v="0"/>
    <n v="0"/>
    <x v="2"/>
    <x v="1"/>
    <x v="0"/>
    <x v="0"/>
    <n v="144.1"/>
    <n v="30.7"/>
    <x v="2"/>
    <n v="0"/>
    <x v="1"/>
    <x v="0"/>
  </r>
  <r>
    <n v="62668"/>
    <x v="1"/>
    <n v="51"/>
    <n v="0"/>
    <n v="0"/>
    <x v="2"/>
    <x v="0"/>
    <x v="1"/>
    <x v="0"/>
    <n v="143.15"/>
    <n v="44.7"/>
    <x v="0"/>
    <n v="0"/>
    <x v="1"/>
    <x v="0"/>
  </r>
  <r>
    <n v="33142"/>
    <x v="0"/>
    <n v="79"/>
    <n v="0"/>
    <n v="0"/>
    <x v="1"/>
    <x v="0"/>
    <x v="1"/>
    <x v="1"/>
    <n v="116.67"/>
    <n v="33.5"/>
    <x v="1"/>
    <n v="0"/>
    <x v="0"/>
    <x v="0"/>
  </r>
  <r>
    <n v="17437"/>
    <x v="1"/>
    <n v="63"/>
    <n v="0"/>
    <n v="0"/>
    <x v="1"/>
    <x v="0"/>
    <x v="1"/>
    <x v="1"/>
    <n v="85.6"/>
    <n v="25.9"/>
    <x v="3"/>
    <n v="0"/>
    <x v="0"/>
    <x v="3"/>
  </r>
  <r>
    <n v="38303"/>
    <x v="1"/>
    <n v="66"/>
    <n v="0"/>
    <n v="0"/>
    <x v="1"/>
    <x v="0"/>
    <x v="1"/>
    <x v="0"/>
    <n v="142.12"/>
    <n v="28.3"/>
    <x v="1"/>
    <n v="0"/>
    <x v="0"/>
    <x v="3"/>
  </r>
  <r>
    <n v="12396"/>
    <x v="1"/>
    <n v="20"/>
    <n v="0"/>
    <n v="0"/>
    <x v="2"/>
    <x v="1"/>
    <x v="0"/>
    <x v="0"/>
    <n v="100.81"/>
    <n v="26.8"/>
    <x v="3"/>
    <n v="0"/>
    <x v="2"/>
    <x v="3"/>
  </r>
  <r>
    <n v="36484"/>
    <x v="1"/>
    <n v="37"/>
    <n v="0"/>
    <n v="0"/>
    <x v="2"/>
    <x v="0"/>
    <x v="2"/>
    <x v="0"/>
    <n v="69.17"/>
    <n v="27.8"/>
    <x v="1"/>
    <n v="0"/>
    <x v="2"/>
    <x v="3"/>
  </r>
  <r>
    <n v="60047"/>
    <x v="0"/>
    <n v="22"/>
    <n v="0"/>
    <n v="0"/>
    <x v="2"/>
    <x v="1"/>
    <x v="0"/>
    <x v="1"/>
    <n v="58.38"/>
    <n v="36"/>
    <x v="1"/>
    <n v="0"/>
    <x v="2"/>
    <x v="0"/>
  </r>
  <r>
    <n v="16542"/>
    <x v="1"/>
    <n v="60"/>
    <n v="0"/>
    <n v="0"/>
    <x v="1"/>
    <x v="0"/>
    <x v="2"/>
    <x v="0"/>
    <n v="86.34"/>
    <n v="22.1"/>
    <x v="1"/>
    <n v="0"/>
    <x v="0"/>
    <x v="2"/>
  </r>
  <r>
    <n v="18805"/>
    <x v="0"/>
    <n v="39"/>
    <n v="0"/>
    <n v="0"/>
    <x v="2"/>
    <x v="0"/>
    <x v="0"/>
    <x v="0"/>
    <n v="95.44"/>
    <n v="38.4"/>
    <x v="1"/>
    <n v="0"/>
    <x v="2"/>
    <x v="0"/>
  </r>
  <r>
    <n v="17869"/>
    <x v="1"/>
    <n v="53"/>
    <n v="0"/>
    <n v="0"/>
    <x v="2"/>
    <x v="0"/>
    <x v="0"/>
    <x v="0"/>
    <n v="94.78"/>
    <n v="30.1"/>
    <x v="3"/>
    <n v="0"/>
    <x v="1"/>
    <x v="0"/>
  </r>
  <r>
    <n v="6793"/>
    <x v="1"/>
    <n v="55"/>
    <n v="0"/>
    <n v="0"/>
    <x v="2"/>
    <x v="0"/>
    <x v="0"/>
    <x v="1"/>
    <n v="109.59"/>
    <n v="26.2"/>
    <x v="0"/>
    <n v="0"/>
    <x v="1"/>
    <x v="3"/>
  </r>
  <r>
    <n v="49265"/>
    <x v="1"/>
    <n v="63"/>
    <n v="0"/>
    <n v="0"/>
    <x v="1"/>
    <x v="0"/>
    <x v="0"/>
    <x v="1"/>
    <n v="79.260000000000005"/>
    <n v="26.6"/>
    <x v="2"/>
    <n v="0"/>
    <x v="0"/>
    <x v="3"/>
  </r>
  <r>
    <n v="6606"/>
    <x v="1"/>
    <n v="57"/>
    <n v="0"/>
    <n v="0"/>
    <x v="2"/>
    <x v="0"/>
    <x v="0"/>
    <x v="0"/>
    <n v="78.459999999999994"/>
    <n v="32.6"/>
    <x v="1"/>
    <n v="0"/>
    <x v="1"/>
    <x v="0"/>
  </r>
  <r>
    <n v="23031"/>
    <x v="0"/>
    <n v="82"/>
    <n v="0"/>
    <n v="0"/>
    <x v="1"/>
    <x v="0"/>
    <x v="1"/>
    <x v="1"/>
    <n v="85.29"/>
    <n v="27"/>
    <x v="1"/>
    <n v="0"/>
    <x v="0"/>
    <x v="3"/>
  </r>
  <r>
    <n v="69330"/>
    <x v="0"/>
    <n v="56"/>
    <n v="0"/>
    <n v="0"/>
    <x v="2"/>
    <x v="0"/>
    <x v="0"/>
    <x v="1"/>
    <n v="156.18"/>
    <n v="25.3"/>
    <x v="2"/>
    <n v="0"/>
    <x v="1"/>
    <x v="3"/>
  </r>
  <r>
    <n v="22902"/>
    <x v="0"/>
    <n v="41"/>
    <n v="1"/>
    <n v="0"/>
    <x v="2"/>
    <x v="0"/>
    <x v="0"/>
    <x v="0"/>
    <n v="69.52"/>
    <n v="31.9"/>
    <x v="1"/>
    <n v="0"/>
    <x v="1"/>
    <x v="0"/>
  </r>
  <r>
    <n v="69622"/>
    <x v="1"/>
    <n v="8"/>
    <n v="0"/>
    <n v="0"/>
    <x v="2"/>
    <x v="1"/>
    <x v="3"/>
    <x v="0"/>
    <n v="65.319999999999993"/>
    <n v="18.399999999999999"/>
    <x v="3"/>
    <n v="0"/>
    <x v="2"/>
    <x v="4"/>
  </r>
  <r>
    <n v="4807"/>
    <x v="0"/>
    <n v="34"/>
    <n v="0"/>
    <n v="0"/>
    <x v="2"/>
    <x v="1"/>
    <x v="0"/>
    <x v="0"/>
    <n v="108.47"/>
    <n v="30.4"/>
    <x v="2"/>
    <n v="0"/>
    <x v="2"/>
    <x v="0"/>
  </r>
  <r>
    <n v="9641"/>
    <x v="0"/>
    <n v="75"/>
    <n v="0"/>
    <n v="0"/>
    <x v="1"/>
    <x v="0"/>
    <x v="0"/>
    <x v="0"/>
    <n v="105.63"/>
    <n v="28.2"/>
    <x v="2"/>
    <n v="0"/>
    <x v="0"/>
    <x v="3"/>
  </r>
  <r>
    <n v="10313"/>
    <x v="0"/>
    <n v="57"/>
    <n v="0"/>
    <n v="0"/>
    <x v="2"/>
    <x v="0"/>
    <x v="0"/>
    <x v="0"/>
    <n v="77.930000000000007"/>
    <n v="35.700000000000003"/>
    <x v="0"/>
    <n v="0"/>
    <x v="1"/>
    <x v="0"/>
  </r>
  <r>
    <n v="12097"/>
    <x v="1"/>
    <n v="72"/>
    <n v="0"/>
    <n v="0"/>
    <x v="1"/>
    <x v="0"/>
    <x v="0"/>
    <x v="0"/>
    <n v="95.2"/>
    <n v="35"/>
    <x v="1"/>
    <n v="0"/>
    <x v="0"/>
    <x v="0"/>
  </r>
  <r>
    <n v="58037"/>
    <x v="0"/>
    <n v="21"/>
    <n v="0"/>
    <n v="0"/>
    <x v="2"/>
    <x v="1"/>
    <x v="0"/>
    <x v="1"/>
    <n v="78.52"/>
    <n v="27.2"/>
    <x v="1"/>
    <n v="0"/>
    <x v="2"/>
    <x v="3"/>
  </r>
  <r>
    <n v="45323"/>
    <x v="1"/>
    <n v="51"/>
    <n v="0"/>
    <n v="0"/>
    <x v="2"/>
    <x v="0"/>
    <x v="0"/>
    <x v="0"/>
    <n v="114.89"/>
    <n v="23"/>
    <x v="1"/>
    <n v="0"/>
    <x v="1"/>
    <x v="2"/>
  </r>
  <r>
    <n v="34281"/>
    <x v="1"/>
    <n v="15"/>
    <n v="0"/>
    <n v="0"/>
    <x v="2"/>
    <x v="1"/>
    <x v="0"/>
    <x v="1"/>
    <n v="95.43"/>
    <n v="25"/>
    <x v="3"/>
    <n v="0"/>
    <x v="2"/>
    <x v="3"/>
  </r>
  <r>
    <n v="7990"/>
    <x v="1"/>
    <n v="24"/>
    <n v="0"/>
    <n v="0"/>
    <x v="2"/>
    <x v="0"/>
    <x v="0"/>
    <x v="1"/>
    <n v="84.08"/>
    <n v="24.5"/>
    <x v="3"/>
    <n v="0"/>
    <x v="2"/>
    <x v="2"/>
  </r>
  <r>
    <n v="57622"/>
    <x v="1"/>
    <n v="30"/>
    <n v="0"/>
    <n v="0"/>
    <x v="2"/>
    <x v="0"/>
    <x v="2"/>
    <x v="1"/>
    <n v="110.55"/>
    <n v="30.9"/>
    <x v="2"/>
    <n v="0"/>
    <x v="2"/>
    <x v="0"/>
  </r>
  <r>
    <n v="39120"/>
    <x v="1"/>
    <n v="82"/>
    <n v="0"/>
    <n v="0"/>
    <x v="1"/>
    <x v="1"/>
    <x v="1"/>
    <x v="0"/>
    <n v="82.21"/>
    <n v="26"/>
    <x v="1"/>
    <n v="0"/>
    <x v="0"/>
    <x v="3"/>
  </r>
  <r>
    <n v="68344"/>
    <x v="1"/>
    <n v="62"/>
    <n v="0"/>
    <n v="0"/>
    <x v="1"/>
    <x v="0"/>
    <x v="0"/>
    <x v="0"/>
    <n v="82.38"/>
    <n v="27.2"/>
    <x v="0"/>
    <n v="0"/>
    <x v="0"/>
    <x v="3"/>
  </r>
  <r>
    <n v="66752"/>
    <x v="1"/>
    <n v="79"/>
    <n v="0"/>
    <n v="0"/>
    <x v="1"/>
    <x v="0"/>
    <x v="2"/>
    <x v="0"/>
    <n v="93.89"/>
    <n v="30.4"/>
    <x v="1"/>
    <n v="0"/>
    <x v="0"/>
    <x v="0"/>
  </r>
  <r>
    <n v="11691"/>
    <x v="1"/>
    <n v="19"/>
    <n v="0"/>
    <n v="0"/>
    <x v="2"/>
    <x v="1"/>
    <x v="0"/>
    <x v="1"/>
    <n v="75.08"/>
    <n v="21.7"/>
    <x v="3"/>
    <n v="0"/>
    <x v="2"/>
    <x v="2"/>
  </r>
  <r>
    <n v="5077"/>
    <x v="0"/>
    <n v="45"/>
    <n v="0"/>
    <n v="0"/>
    <x v="2"/>
    <x v="0"/>
    <x v="0"/>
    <x v="0"/>
    <n v="76.72"/>
    <n v="29.1"/>
    <x v="3"/>
    <n v="0"/>
    <x v="1"/>
    <x v="3"/>
  </r>
  <r>
    <n v="13319"/>
    <x v="1"/>
    <n v="5"/>
    <n v="0"/>
    <n v="0"/>
    <x v="2"/>
    <x v="1"/>
    <x v="3"/>
    <x v="1"/>
    <n v="84.93"/>
    <n v="17.600000000000001"/>
    <x v="3"/>
    <n v="0"/>
    <x v="2"/>
    <x v="4"/>
  </r>
  <r>
    <n v="49279"/>
    <x v="0"/>
    <n v="57"/>
    <n v="0"/>
    <n v="1"/>
    <x v="2"/>
    <x v="0"/>
    <x v="0"/>
    <x v="0"/>
    <n v="76.5"/>
    <n v="29.2"/>
    <x v="0"/>
    <n v="0"/>
    <x v="1"/>
    <x v="3"/>
  </r>
  <r>
    <n v="53815"/>
    <x v="1"/>
    <n v="31"/>
    <n v="0"/>
    <n v="0"/>
    <x v="2"/>
    <x v="1"/>
    <x v="0"/>
    <x v="0"/>
    <n v="65.47"/>
    <n v="28.1"/>
    <x v="1"/>
    <n v="0"/>
    <x v="2"/>
    <x v="3"/>
  </r>
  <r>
    <n v="42856"/>
    <x v="0"/>
    <n v="61"/>
    <n v="0"/>
    <n v="0"/>
    <x v="1"/>
    <x v="0"/>
    <x v="0"/>
    <x v="0"/>
    <n v="99.16"/>
    <n v="26.6"/>
    <x v="2"/>
    <n v="0"/>
    <x v="0"/>
    <x v="3"/>
  </r>
  <r>
    <n v="51579"/>
    <x v="0"/>
    <n v="27"/>
    <n v="0"/>
    <n v="0"/>
    <x v="2"/>
    <x v="1"/>
    <x v="1"/>
    <x v="1"/>
    <n v="63.53"/>
    <n v="26.9"/>
    <x v="1"/>
    <n v="0"/>
    <x v="2"/>
    <x v="3"/>
  </r>
  <r>
    <n v="10752"/>
    <x v="1"/>
    <n v="61"/>
    <n v="0"/>
    <n v="0"/>
    <x v="1"/>
    <x v="0"/>
    <x v="0"/>
    <x v="1"/>
    <n v="78.650000000000006"/>
    <n v="36.200000000000003"/>
    <x v="0"/>
    <n v="0"/>
    <x v="0"/>
    <x v="0"/>
  </r>
  <r>
    <n v="42133"/>
    <x v="1"/>
    <n v="53"/>
    <n v="0"/>
    <n v="0"/>
    <x v="2"/>
    <x v="0"/>
    <x v="1"/>
    <x v="0"/>
    <n v="63.78"/>
    <n v="25.9"/>
    <x v="1"/>
    <n v="0"/>
    <x v="1"/>
    <x v="3"/>
  </r>
  <r>
    <n v="4842"/>
    <x v="1"/>
    <n v="76"/>
    <n v="0"/>
    <n v="0"/>
    <x v="1"/>
    <x v="1"/>
    <x v="1"/>
    <x v="0"/>
    <n v="77.52"/>
    <n v="40.9"/>
    <x v="0"/>
    <n v="0"/>
    <x v="0"/>
    <x v="0"/>
  </r>
  <r>
    <n v="58138"/>
    <x v="0"/>
    <n v="57"/>
    <n v="0"/>
    <n v="0"/>
    <x v="2"/>
    <x v="0"/>
    <x v="0"/>
    <x v="1"/>
    <n v="111.64"/>
    <n v="31.5"/>
    <x v="1"/>
    <n v="0"/>
    <x v="1"/>
    <x v="0"/>
  </r>
  <r>
    <n v="58203"/>
    <x v="0"/>
    <n v="9"/>
    <n v="0"/>
    <n v="0"/>
    <x v="2"/>
    <x v="1"/>
    <x v="3"/>
    <x v="0"/>
    <n v="97.84"/>
    <n v="23.3"/>
    <x v="3"/>
    <n v="0"/>
    <x v="2"/>
    <x v="2"/>
  </r>
  <r>
    <n v="65053"/>
    <x v="1"/>
    <n v="34"/>
    <n v="0"/>
    <n v="0"/>
    <x v="2"/>
    <x v="0"/>
    <x v="0"/>
    <x v="0"/>
    <n v="113.01"/>
    <n v="37.6"/>
    <x v="1"/>
    <n v="0"/>
    <x v="2"/>
    <x v="0"/>
  </r>
  <r>
    <n v="24168"/>
    <x v="0"/>
    <n v="51"/>
    <n v="1"/>
    <n v="0"/>
    <x v="2"/>
    <x v="0"/>
    <x v="0"/>
    <x v="0"/>
    <n v="56.48"/>
    <n v="39.799999999999997"/>
    <x v="1"/>
    <n v="0"/>
    <x v="1"/>
    <x v="0"/>
  </r>
  <r>
    <n v="5824"/>
    <x v="0"/>
    <n v="61"/>
    <n v="0"/>
    <n v="0"/>
    <x v="1"/>
    <x v="0"/>
    <x v="0"/>
    <x v="1"/>
    <n v="204.5"/>
    <n v="35.1"/>
    <x v="0"/>
    <n v="0"/>
    <x v="0"/>
    <x v="0"/>
  </r>
  <r>
    <n v="6965"/>
    <x v="1"/>
    <n v="19"/>
    <n v="0"/>
    <n v="0"/>
    <x v="2"/>
    <x v="1"/>
    <x v="0"/>
    <x v="1"/>
    <n v="96.02"/>
    <n v="21.9"/>
    <x v="1"/>
    <n v="0"/>
    <x v="2"/>
    <x v="2"/>
  </r>
  <r>
    <n v="8332"/>
    <x v="1"/>
    <n v="50"/>
    <n v="0"/>
    <n v="0"/>
    <x v="2"/>
    <x v="0"/>
    <x v="0"/>
    <x v="1"/>
    <n v="206.25"/>
    <n v="53.4"/>
    <x v="0"/>
    <n v="0"/>
    <x v="1"/>
    <x v="0"/>
  </r>
  <r>
    <n v="61973"/>
    <x v="1"/>
    <n v="80"/>
    <n v="1"/>
    <n v="1"/>
    <x v="0"/>
    <x v="0"/>
    <x v="0"/>
    <x v="1"/>
    <n v="115.52"/>
    <n v="34.4"/>
    <x v="3"/>
    <n v="0"/>
    <x v="0"/>
    <x v="0"/>
  </r>
  <r>
    <n v="42821"/>
    <x v="1"/>
    <n v="13"/>
    <n v="0"/>
    <n v="0"/>
    <x v="2"/>
    <x v="1"/>
    <x v="0"/>
    <x v="1"/>
    <n v="60.69"/>
    <n v="24"/>
    <x v="2"/>
    <n v="0"/>
    <x v="2"/>
    <x v="2"/>
  </r>
  <r>
    <n v="18687"/>
    <x v="0"/>
    <n v="55"/>
    <n v="0"/>
    <n v="0"/>
    <x v="2"/>
    <x v="0"/>
    <x v="1"/>
    <x v="0"/>
    <n v="93.67"/>
    <n v="29.3"/>
    <x v="3"/>
    <n v="0"/>
    <x v="1"/>
    <x v="3"/>
  </r>
  <r>
    <n v="72642"/>
    <x v="0"/>
    <n v="67"/>
    <n v="0"/>
    <n v="0"/>
    <x v="1"/>
    <x v="0"/>
    <x v="2"/>
    <x v="0"/>
    <n v="67.790000000000006"/>
    <n v="26"/>
    <x v="0"/>
    <n v="0"/>
    <x v="0"/>
    <x v="3"/>
  </r>
  <r>
    <n v="54782"/>
    <x v="1"/>
    <n v="30"/>
    <n v="0"/>
    <n v="0"/>
    <x v="2"/>
    <x v="1"/>
    <x v="1"/>
    <x v="1"/>
    <n v="56.07"/>
    <n v="31.3"/>
    <x v="1"/>
    <n v="0"/>
    <x v="2"/>
    <x v="0"/>
  </r>
  <r>
    <n v="55862"/>
    <x v="0"/>
    <n v="67"/>
    <n v="1"/>
    <n v="1"/>
    <x v="0"/>
    <x v="0"/>
    <x v="0"/>
    <x v="1"/>
    <n v="254.63"/>
    <n v="31"/>
    <x v="1"/>
    <n v="0"/>
    <x v="0"/>
    <x v="0"/>
  </r>
  <r>
    <n v="24437"/>
    <x v="1"/>
    <n v="82"/>
    <n v="0"/>
    <n v="0"/>
    <x v="1"/>
    <x v="0"/>
    <x v="0"/>
    <x v="1"/>
    <n v="96.63"/>
    <n v="26.5"/>
    <x v="3"/>
    <n v="0"/>
    <x v="0"/>
    <x v="3"/>
  </r>
  <r>
    <n v="10367"/>
    <x v="0"/>
    <n v="5"/>
    <n v="0"/>
    <n v="0"/>
    <x v="2"/>
    <x v="1"/>
    <x v="3"/>
    <x v="1"/>
    <n v="84.3"/>
    <n v="16"/>
    <x v="3"/>
    <n v="0"/>
    <x v="2"/>
    <x v="4"/>
  </r>
  <r>
    <n v="42550"/>
    <x v="1"/>
    <n v="81"/>
    <n v="0"/>
    <n v="0"/>
    <x v="1"/>
    <x v="0"/>
    <x v="1"/>
    <x v="1"/>
    <n v="246.34"/>
    <n v="21.1"/>
    <x v="1"/>
    <n v="0"/>
    <x v="0"/>
    <x v="2"/>
  </r>
  <r>
    <n v="14178"/>
    <x v="1"/>
    <n v="48"/>
    <n v="0"/>
    <n v="0"/>
    <x v="2"/>
    <x v="0"/>
    <x v="0"/>
    <x v="1"/>
    <n v="195.16"/>
    <n v="42.2"/>
    <x v="3"/>
    <n v="0"/>
    <x v="1"/>
    <x v="0"/>
  </r>
  <r>
    <n v="65429"/>
    <x v="1"/>
    <n v="66"/>
    <n v="0"/>
    <n v="0"/>
    <x v="1"/>
    <x v="0"/>
    <x v="2"/>
    <x v="1"/>
    <n v="93.34"/>
    <n v="27.7"/>
    <x v="1"/>
    <n v="0"/>
    <x v="0"/>
    <x v="3"/>
  </r>
  <r>
    <n v="66530"/>
    <x v="1"/>
    <n v="38"/>
    <n v="0"/>
    <n v="0"/>
    <x v="2"/>
    <x v="0"/>
    <x v="0"/>
    <x v="0"/>
    <n v="162.30000000000001"/>
    <n v="23.6"/>
    <x v="1"/>
    <n v="0"/>
    <x v="2"/>
    <x v="2"/>
  </r>
  <r>
    <n v="43146"/>
    <x v="0"/>
    <n v="8"/>
    <n v="0"/>
    <n v="0"/>
    <x v="2"/>
    <x v="1"/>
    <x v="3"/>
    <x v="0"/>
    <n v="106.4"/>
    <n v="18.3"/>
    <x v="3"/>
    <n v="0"/>
    <x v="2"/>
    <x v="4"/>
  </r>
  <r>
    <n v="3509"/>
    <x v="0"/>
    <n v="47"/>
    <n v="1"/>
    <n v="0"/>
    <x v="2"/>
    <x v="0"/>
    <x v="0"/>
    <x v="0"/>
    <n v="110.25"/>
    <n v="44.3"/>
    <x v="1"/>
    <n v="0"/>
    <x v="1"/>
    <x v="0"/>
  </r>
  <r>
    <n v="57497"/>
    <x v="0"/>
    <n v="27"/>
    <n v="0"/>
    <n v="0"/>
    <x v="2"/>
    <x v="1"/>
    <x v="0"/>
    <x v="1"/>
    <n v="69.7"/>
    <n v="27.3"/>
    <x v="1"/>
    <n v="0"/>
    <x v="2"/>
    <x v="3"/>
  </r>
  <r>
    <n v="15220"/>
    <x v="1"/>
    <n v="53"/>
    <n v="1"/>
    <n v="0"/>
    <x v="2"/>
    <x v="0"/>
    <x v="0"/>
    <x v="0"/>
    <n v="87.03"/>
    <n v="55.2"/>
    <x v="0"/>
    <n v="0"/>
    <x v="1"/>
    <x v="0"/>
  </r>
  <r>
    <n v="4813"/>
    <x v="0"/>
    <n v="27"/>
    <n v="0"/>
    <n v="0"/>
    <x v="2"/>
    <x v="1"/>
    <x v="0"/>
    <x v="0"/>
    <n v="112.98"/>
    <n v="44.7"/>
    <x v="1"/>
    <n v="0"/>
    <x v="2"/>
    <x v="0"/>
  </r>
  <r>
    <n v="31166"/>
    <x v="1"/>
    <n v="36"/>
    <n v="0"/>
    <n v="0"/>
    <x v="2"/>
    <x v="0"/>
    <x v="2"/>
    <x v="1"/>
    <n v="82.47"/>
    <n v="33.1"/>
    <x v="2"/>
    <n v="0"/>
    <x v="2"/>
    <x v="0"/>
  </r>
  <r>
    <n v="9051"/>
    <x v="1"/>
    <n v="50"/>
    <n v="0"/>
    <n v="0"/>
    <x v="2"/>
    <x v="0"/>
    <x v="0"/>
    <x v="0"/>
    <n v="75.88"/>
    <n v="30"/>
    <x v="1"/>
    <n v="0"/>
    <x v="1"/>
    <x v="0"/>
  </r>
  <r>
    <n v="28669"/>
    <x v="1"/>
    <n v="32"/>
    <n v="0"/>
    <n v="0"/>
    <x v="2"/>
    <x v="0"/>
    <x v="0"/>
    <x v="0"/>
    <n v="84.63"/>
    <n v="40.1"/>
    <x v="3"/>
    <n v="0"/>
    <x v="2"/>
    <x v="0"/>
  </r>
  <r>
    <n v="59894"/>
    <x v="1"/>
    <n v="58"/>
    <n v="0"/>
    <n v="0"/>
    <x v="2"/>
    <x v="0"/>
    <x v="2"/>
    <x v="1"/>
    <n v="109.56"/>
    <n v="23.1"/>
    <x v="1"/>
    <n v="0"/>
    <x v="1"/>
    <x v="2"/>
  </r>
  <r>
    <n v="18684"/>
    <x v="1"/>
    <n v="73"/>
    <n v="0"/>
    <n v="0"/>
    <x v="1"/>
    <x v="0"/>
    <x v="1"/>
    <x v="1"/>
    <n v="89.45"/>
    <n v="30.3"/>
    <x v="0"/>
    <n v="0"/>
    <x v="0"/>
    <x v="0"/>
  </r>
  <r>
    <n v="35866"/>
    <x v="1"/>
    <n v="62"/>
    <n v="0"/>
    <n v="0"/>
    <x v="1"/>
    <x v="0"/>
    <x v="0"/>
    <x v="1"/>
    <n v="91.65"/>
    <n v="30.5"/>
    <x v="1"/>
    <n v="0"/>
    <x v="0"/>
    <x v="0"/>
  </r>
  <r>
    <n v="51907"/>
    <x v="1"/>
    <n v="50"/>
    <n v="0"/>
    <n v="0"/>
    <x v="2"/>
    <x v="0"/>
    <x v="1"/>
    <x v="0"/>
    <n v="121.14"/>
    <n v="22.8"/>
    <x v="1"/>
    <n v="0"/>
    <x v="1"/>
    <x v="2"/>
  </r>
  <r>
    <n v="7250"/>
    <x v="1"/>
    <n v="51"/>
    <n v="0"/>
    <n v="0"/>
    <x v="2"/>
    <x v="1"/>
    <x v="0"/>
    <x v="1"/>
    <n v="87.77"/>
    <n v="42"/>
    <x v="3"/>
    <n v="0"/>
    <x v="1"/>
    <x v="0"/>
  </r>
  <r>
    <n v="16147"/>
    <x v="1"/>
    <n v="19"/>
    <n v="0"/>
    <n v="0"/>
    <x v="2"/>
    <x v="1"/>
    <x v="0"/>
    <x v="1"/>
    <n v="106.56"/>
    <n v="29.9"/>
    <x v="1"/>
    <n v="0"/>
    <x v="2"/>
    <x v="3"/>
  </r>
  <r>
    <n v="18306"/>
    <x v="1"/>
    <n v="30"/>
    <n v="0"/>
    <n v="0"/>
    <x v="2"/>
    <x v="1"/>
    <x v="0"/>
    <x v="1"/>
    <n v="93.88"/>
    <n v="24"/>
    <x v="0"/>
    <n v="0"/>
    <x v="2"/>
    <x v="2"/>
  </r>
  <r>
    <n v="69143"/>
    <x v="1"/>
    <n v="45"/>
    <n v="0"/>
    <n v="0"/>
    <x v="2"/>
    <x v="1"/>
    <x v="0"/>
    <x v="1"/>
    <n v="153.76"/>
    <n v="36.700000000000003"/>
    <x v="3"/>
    <n v="0"/>
    <x v="1"/>
    <x v="0"/>
  </r>
  <r>
    <n v="61769"/>
    <x v="0"/>
    <n v="30"/>
    <n v="0"/>
    <n v="0"/>
    <x v="2"/>
    <x v="1"/>
    <x v="0"/>
    <x v="0"/>
    <n v="88.65"/>
    <n v="22.2"/>
    <x v="1"/>
    <n v="0"/>
    <x v="2"/>
    <x v="2"/>
  </r>
  <r>
    <n v="26134"/>
    <x v="1"/>
    <n v="28"/>
    <n v="0"/>
    <n v="0"/>
    <x v="2"/>
    <x v="0"/>
    <x v="0"/>
    <x v="0"/>
    <n v="111.22"/>
    <n v="25.5"/>
    <x v="3"/>
    <n v="0"/>
    <x v="2"/>
    <x v="3"/>
  </r>
  <r>
    <n v="67603"/>
    <x v="0"/>
    <n v="70"/>
    <n v="0"/>
    <n v="0"/>
    <x v="1"/>
    <x v="0"/>
    <x v="1"/>
    <x v="0"/>
    <n v="223.68"/>
    <n v="34.299999999999997"/>
    <x v="0"/>
    <n v="0"/>
    <x v="0"/>
    <x v="0"/>
  </r>
  <r>
    <n v="66772"/>
    <x v="1"/>
    <n v="0.32"/>
    <n v="0"/>
    <n v="0"/>
    <x v="2"/>
    <x v="1"/>
    <x v="3"/>
    <x v="1"/>
    <n v="55.86"/>
    <n v="16"/>
    <x v="3"/>
    <n v="0"/>
    <x v="2"/>
    <x v="4"/>
  </r>
  <r>
    <n v="41861"/>
    <x v="1"/>
    <n v="23"/>
    <n v="0"/>
    <n v="0"/>
    <x v="2"/>
    <x v="1"/>
    <x v="0"/>
    <x v="1"/>
    <n v="63.73"/>
    <n v="25.6"/>
    <x v="2"/>
    <n v="0"/>
    <x v="2"/>
    <x v="3"/>
  </r>
  <r>
    <n v="954"/>
    <x v="0"/>
    <n v="18"/>
    <n v="0"/>
    <n v="0"/>
    <x v="2"/>
    <x v="1"/>
    <x v="0"/>
    <x v="1"/>
    <n v="103.94"/>
    <n v="23.3"/>
    <x v="1"/>
    <n v="0"/>
    <x v="2"/>
    <x v="2"/>
  </r>
  <r>
    <n v="37888"/>
    <x v="0"/>
    <n v="41"/>
    <n v="0"/>
    <n v="0"/>
    <x v="2"/>
    <x v="0"/>
    <x v="0"/>
    <x v="1"/>
    <n v="92.49"/>
    <n v="41.6"/>
    <x v="3"/>
    <n v="0"/>
    <x v="1"/>
    <x v="0"/>
  </r>
  <r>
    <n v="34326"/>
    <x v="0"/>
    <n v="52"/>
    <n v="0"/>
    <n v="0"/>
    <x v="2"/>
    <x v="0"/>
    <x v="0"/>
    <x v="0"/>
    <n v="229.2"/>
    <n v="35.6"/>
    <x v="0"/>
    <n v="0"/>
    <x v="1"/>
    <x v="0"/>
  </r>
  <r>
    <n v="42329"/>
    <x v="1"/>
    <n v="77"/>
    <n v="0"/>
    <n v="0"/>
    <x v="1"/>
    <x v="0"/>
    <x v="0"/>
    <x v="1"/>
    <n v="75.06"/>
    <n v="22"/>
    <x v="3"/>
    <n v="0"/>
    <x v="0"/>
    <x v="2"/>
  </r>
  <r>
    <n v="23565"/>
    <x v="0"/>
    <n v="34"/>
    <n v="0"/>
    <n v="0"/>
    <x v="2"/>
    <x v="0"/>
    <x v="0"/>
    <x v="0"/>
    <n v="85.57"/>
    <n v="26.8"/>
    <x v="3"/>
    <n v="0"/>
    <x v="2"/>
    <x v="3"/>
  </r>
  <r>
    <n v="27323"/>
    <x v="1"/>
    <n v="67"/>
    <n v="0"/>
    <n v="0"/>
    <x v="1"/>
    <x v="0"/>
    <x v="1"/>
    <x v="0"/>
    <n v="68.61"/>
    <n v="31.9"/>
    <x v="1"/>
    <n v="0"/>
    <x v="0"/>
    <x v="0"/>
  </r>
  <r>
    <n v="57854"/>
    <x v="0"/>
    <n v="1.64"/>
    <n v="0"/>
    <n v="0"/>
    <x v="2"/>
    <x v="1"/>
    <x v="3"/>
    <x v="0"/>
    <n v="56.3"/>
    <n v="19.7"/>
    <x v="3"/>
    <n v="0"/>
    <x v="2"/>
    <x v="2"/>
  </r>
  <r>
    <n v="18414"/>
    <x v="1"/>
    <n v="23"/>
    <n v="0"/>
    <n v="0"/>
    <x v="2"/>
    <x v="1"/>
    <x v="0"/>
    <x v="1"/>
    <n v="193.22"/>
    <s v="N/A"/>
    <x v="2"/>
    <n v="0"/>
    <x v="2"/>
    <x v="1"/>
  </r>
  <r>
    <n v="72836"/>
    <x v="1"/>
    <n v="59"/>
    <n v="0"/>
    <n v="0"/>
    <x v="2"/>
    <x v="0"/>
    <x v="0"/>
    <x v="0"/>
    <n v="65.98"/>
    <n v="31.1"/>
    <x v="3"/>
    <n v="0"/>
    <x v="1"/>
    <x v="0"/>
  </r>
  <r>
    <n v="17708"/>
    <x v="0"/>
    <n v="62"/>
    <n v="0"/>
    <n v="0"/>
    <x v="1"/>
    <x v="0"/>
    <x v="2"/>
    <x v="1"/>
    <n v="204.57"/>
    <n v="34.4"/>
    <x v="3"/>
    <n v="0"/>
    <x v="0"/>
    <x v="0"/>
  </r>
  <r>
    <n v="66321"/>
    <x v="0"/>
    <n v="47"/>
    <n v="0"/>
    <n v="0"/>
    <x v="2"/>
    <x v="0"/>
    <x v="2"/>
    <x v="0"/>
    <n v="64.989999999999995"/>
    <n v="33.200000000000003"/>
    <x v="1"/>
    <n v="0"/>
    <x v="1"/>
    <x v="0"/>
  </r>
  <r>
    <n v="53817"/>
    <x v="1"/>
    <n v="71"/>
    <n v="1"/>
    <n v="0"/>
    <x v="0"/>
    <x v="0"/>
    <x v="1"/>
    <x v="1"/>
    <n v="66.12"/>
    <s v="N/A"/>
    <x v="1"/>
    <n v="0"/>
    <x v="0"/>
    <x v="1"/>
  </r>
  <r>
    <n v="66678"/>
    <x v="1"/>
    <n v="22"/>
    <n v="0"/>
    <n v="0"/>
    <x v="2"/>
    <x v="1"/>
    <x v="0"/>
    <x v="0"/>
    <n v="73.400000000000006"/>
    <n v="21.6"/>
    <x v="1"/>
    <n v="0"/>
    <x v="2"/>
    <x v="2"/>
  </r>
  <r>
    <n v="56734"/>
    <x v="0"/>
    <n v="33"/>
    <n v="0"/>
    <n v="0"/>
    <x v="2"/>
    <x v="0"/>
    <x v="2"/>
    <x v="0"/>
    <n v="82.83"/>
    <n v="25.4"/>
    <x v="3"/>
    <n v="0"/>
    <x v="2"/>
    <x v="3"/>
  </r>
  <r>
    <n v="32240"/>
    <x v="1"/>
    <n v="27"/>
    <n v="0"/>
    <n v="0"/>
    <x v="2"/>
    <x v="1"/>
    <x v="0"/>
    <x v="0"/>
    <n v="93.55"/>
    <n v="41.6"/>
    <x v="1"/>
    <n v="0"/>
    <x v="2"/>
    <x v="0"/>
  </r>
  <r>
    <n v="28127"/>
    <x v="1"/>
    <n v="44"/>
    <n v="0"/>
    <n v="0"/>
    <x v="2"/>
    <x v="0"/>
    <x v="0"/>
    <x v="1"/>
    <n v="90.4"/>
    <n v="33.1"/>
    <x v="0"/>
    <n v="0"/>
    <x v="1"/>
    <x v="0"/>
  </r>
  <r>
    <n v="20347"/>
    <x v="1"/>
    <n v="18"/>
    <n v="0"/>
    <n v="0"/>
    <x v="2"/>
    <x v="1"/>
    <x v="0"/>
    <x v="1"/>
    <n v="98.1"/>
    <n v="21.8"/>
    <x v="1"/>
    <n v="0"/>
    <x v="2"/>
    <x v="2"/>
  </r>
  <r>
    <n v="40824"/>
    <x v="0"/>
    <n v="47"/>
    <n v="0"/>
    <n v="0"/>
    <x v="2"/>
    <x v="0"/>
    <x v="0"/>
    <x v="1"/>
    <n v="142.02000000000001"/>
    <n v="30"/>
    <x v="3"/>
    <n v="0"/>
    <x v="1"/>
    <x v="0"/>
  </r>
  <r>
    <n v="38678"/>
    <x v="1"/>
    <n v="66"/>
    <n v="0"/>
    <n v="0"/>
    <x v="1"/>
    <x v="0"/>
    <x v="1"/>
    <x v="1"/>
    <n v="251.46"/>
    <n v="35.200000000000003"/>
    <x v="2"/>
    <n v="0"/>
    <x v="0"/>
    <x v="0"/>
  </r>
  <r>
    <n v="29380"/>
    <x v="1"/>
    <n v="42"/>
    <n v="1"/>
    <n v="0"/>
    <x v="2"/>
    <x v="0"/>
    <x v="0"/>
    <x v="1"/>
    <n v="89.96"/>
    <n v="35.6"/>
    <x v="1"/>
    <n v="0"/>
    <x v="1"/>
    <x v="0"/>
  </r>
  <r>
    <n v="809"/>
    <x v="0"/>
    <n v="13"/>
    <n v="0"/>
    <n v="0"/>
    <x v="2"/>
    <x v="1"/>
    <x v="3"/>
    <x v="0"/>
    <n v="71.73"/>
    <s v="N/A"/>
    <x v="3"/>
    <n v="0"/>
    <x v="2"/>
    <x v="1"/>
  </r>
  <r>
    <n v="65453"/>
    <x v="1"/>
    <n v="56"/>
    <n v="1"/>
    <n v="0"/>
    <x v="2"/>
    <x v="0"/>
    <x v="2"/>
    <x v="0"/>
    <n v="82.44"/>
    <n v="27.8"/>
    <x v="2"/>
    <n v="0"/>
    <x v="1"/>
    <x v="3"/>
  </r>
  <r>
    <n v="9415"/>
    <x v="1"/>
    <n v="69"/>
    <n v="0"/>
    <n v="0"/>
    <x v="1"/>
    <x v="0"/>
    <x v="1"/>
    <x v="0"/>
    <n v="80.849999999999994"/>
    <n v="29.3"/>
    <x v="0"/>
    <n v="0"/>
    <x v="0"/>
    <x v="3"/>
  </r>
  <r>
    <n v="30989"/>
    <x v="1"/>
    <n v="65"/>
    <n v="0"/>
    <n v="0"/>
    <x v="1"/>
    <x v="0"/>
    <x v="1"/>
    <x v="1"/>
    <n v="220.52"/>
    <n v="37.200000000000003"/>
    <x v="2"/>
    <n v="0"/>
    <x v="0"/>
    <x v="0"/>
  </r>
  <r>
    <n v="65258"/>
    <x v="0"/>
    <n v="53"/>
    <n v="0"/>
    <n v="0"/>
    <x v="2"/>
    <x v="0"/>
    <x v="0"/>
    <x v="0"/>
    <n v="86.73"/>
    <n v="26.1"/>
    <x v="3"/>
    <n v="0"/>
    <x v="1"/>
    <x v="3"/>
  </r>
  <r>
    <n v="67052"/>
    <x v="1"/>
    <n v="36"/>
    <n v="0"/>
    <n v="0"/>
    <x v="2"/>
    <x v="0"/>
    <x v="0"/>
    <x v="0"/>
    <n v="76.930000000000007"/>
    <n v="21.6"/>
    <x v="1"/>
    <n v="0"/>
    <x v="2"/>
    <x v="2"/>
  </r>
  <r>
    <n v="62756"/>
    <x v="1"/>
    <n v="69"/>
    <n v="0"/>
    <n v="0"/>
    <x v="1"/>
    <x v="0"/>
    <x v="1"/>
    <x v="0"/>
    <n v="113.1"/>
    <n v="22.7"/>
    <x v="1"/>
    <n v="0"/>
    <x v="0"/>
    <x v="2"/>
  </r>
  <r>
    <n v="69224"/>
    <x v="0"/>
    <n v="19"/>
    <n v="0"/>
    <n v="0"/>
    <x v="2"/>
    <x v="1"/>
    <x v="0"/>
    <x v="1"/>
    <n v="96.84"/>
    <n v="30.2"/>
    <x v="0"/>
    <n v="0"/>
    <x v="2"/>
    <x v="0"/>
  </r>
  <r>
    <n v="13323"/>
    <x v="0"/>
    <n v="3"/>
    <n v="0"/>
    <n v="0"/>
    <x v="2"/>
    <x v="1"/>
    <x v="3"/>
    <x v="0"/>
    <n v="100.91"/>
    <n v="18"/>
    <x v="3"/>
    <n v="0"/>
    <x v="2"/>
    <x v="4"/>
  </r>
  <r>
    <n v="59940"/>
    <x v="0"/>
    <n v="15"/>
    <n v="0"/>
    <n v="0"/>
    <x v="2"/>
    <x v="1"/>
    <x v="3"/>
    <x v="0"/>
    <n v="116.5"/>
    <n v="27.8"/>
    <x v="3"/>
    <n v="0"/>
    <x v="2"/>
    <x v="3"/>
  </r>
  <r>
    <n v="49042"/>
    <x v="1"/>
    <n v="59"/>
    <n v="1"/>
    <n v="0"/>
    <x v="2"/>
    <x v="1"/>
    <x v="0"/>
    <x v="1"/>
    <n v="57.26"/>
    <n v="23.5"/>
    <x v="1"/>
    <n v="0"/>
    <x v="1"/>
    <x v="2"/>
  </r>
  <r>
    <n v="66362"/>
    <x v="1"/>
    <n v="61"/>
    <n v="0"/>
    <n v="0"/>
    <x v="1"/>
    <x v="0"/>
    <x v="0"/>
    <x v="0"/>
    <n v="129.31"/>
    <n v="41.2"/>
    <x v="3"/>
    <n v="0"/>
    <x v="0"/>
    <x v="0"/>
  </r>
  <r>
    <n v="46093"/>
    <x v="1"/>
    <n v="28"/>
    <n v="0"/>
    <n v="0"/>
    <x v="2"/>
    <x v="0"/>
    <x v="0"/>
    <x v="1"/>
    <n v="56.47"/>
    <n v="22.7"/>
    <x v="1"/>
    <n v="0"/>
    <x v="2"/>
    <x v="2"/>
  </r>
  <r>
    <n v="10370"/>
    <x v="0"/>
    <n v="52"/>
    <n v="0"/>
    <n v="0"/>
    <x v="2"/>
    <x v="0"/>
    <x v="2"/>
    <x v="0"/>
    <n v="86.06"/>
    <n v="29.2"/>
    <x v="0"/>
    <n v="0"/>
    <x v="1"/>
    <x v="3"/>
  </r>
  <r>
    <n v="156"/>
    <x v="1"/>
    <n v="33"/>
    <n v="0"/>
    <n v="0"/>
    <x v="2"/>
    <x v="0"/>
    <x v="0"/>
    <x v="1"/>
    <n v="86.97"/>
    <n v="42.2"/>
    <x v="1"/>
    <n v="0"/>
    <x v="2"/>
    <x v="0"/>
  </r>
  <r>
    <n v="11105"/>
    <x v="0"/>
    <n v="80"/>
    <n v="0"/>
    <n v="0"/>
    <x v="1"/>
    <x v="0"/>
    <x v="0"/>
    <x v="0"/>
    <n v="78.78"/>
    <n v="24"/>
    <x v="0"/>
    <n v="0"/>
    <x v="0"/>
    <x v="2"/>
  </r>
  <r>
    <n v="22363"/>
    <x v="1"/>
    <n v="47"/>
    <n v="0"/>
    <n v="0"/>
    <x v="2"/>
    <x v="0"/>
    <x v="0"/>
    <x v="1"/>
    <n v="195.04"/>
    <n v="45.5"/>
    <x v="1"/>
    <n v="0"/>
    <x v="1"/>
    <x v="0"/>
  </r>
  <r>
    <n v="46072"/>
    <x v="0"/>
    <n v="2"/>
    <n v="0"/>
    <n v="0"/>
    <x v="2"/>
    <x v="1"/>
    <x v="3"/>
    <x v="1"/>
    <n v="103.25"/>
    <n v="19.399999999999999"/>
    <x v="3"/>
    <n v="0"/>
    <x v="2"/>
    <x v="2"/>
  </r>
  <r>
    <n v="65667"/>
    <x v="1"/>
    <n v="48"/>
    <n v="0"/>
    <n v="0"/>
    <x v="2"/>
    <x v="0"/>
    <x v="0"/>
    <x v="1"/>
    <n v="134.59"/>
    <n v="28.2"/>
    <x v="2"/>
    <n v="0"/>
    <x v="1"/>
    <x v="3"/>
  </r>
  <r>
    <n v="47848"/>
    <x v="0"/>
    <n v="1.56"/>
    <n v="0"/>
    <n v="0"/>
    <x v="2"/>
    <x v="1"/>
    <x v="3"/>
    <x v="1"/>
    <n v="93.74"/>
    <n v="20.100000000000001"/>
    <x v="3"/>
    <n v="0"/>
    <x v="2"/>
    <x v="2"/>
  </r>
  <r>
    <n v="71440"/>
    <x v="1"/>
    <n v="26"/>
    <n v="0"/>
    <n v="0"/>
    <x v="2"/>
    <x v="0"/>
    <x v="0"/>
    <x v="0"/>
    <n v="90.66"/>
    <n v="27.2"/>
    <x v="3"/>
    <n v="0"/>
    <x v="2"/>
    <x v="3"/>
  </r>
  <r>
    <n v="35231"/>
    <x v="0"/>
    <n v="62"/>
    <n v="0"/>
    <n v="0"/>
    <x v="1"/>
    <x v="0"/>
    <x v="2"/>
    <x v="0"/>
    <n v="91.68"/>
    <n v="26.5"/>
    <x v="3"/>
    <n v="0"/>
    <x v="0"/>
    <x v="3"/>
  </r>
  <r>
    <n v="59734"/>
    <x v="0"/>
    <n v="1.72"/>
    <n v="0"/>
    <n v="0"/>
    <x v="2"/>
    <x v="1"/>
    <x v="3"/>
    <x v="0"/>
    <n v="75.790000000000006"/>
    <n v="17.600000000000001"/>
    <x v="3"/>
    <n v="0"/>
    <x v="2"/>
    <x v="4"/>
  </r>
  <r>
    <n v="1893"/>
    <x v="1"/>
    <n v="38"/>
    <n v="0"/>
    <n v="0"/>
    <x v="2"/>
    <x v="0"/>
    <x v="0"/>
    <x v="0"/>
    <n v="91.68"/>
    <n v="42.8"/>
    <x v="0"/>
    <n v="0"/>
    <x v="2"/>
    <x v="0"/>
  </r>
  <r>
    <n v="32733"/>
    <x v="1"/>
    <n v="28"/>
    <n v="0"/>
    <n v="0"/>
    <x v="2"/>
    <x v="0"/>
    <x v="0"/>
    <x v="1"/>
    <n v="106.68"/>
    <n v="29.3"/>
    <x v="1"/>
    <n v="0"/>
    <x v="2"/>
    <x v="3"/>
  </r>
  <r>
    <n v="34728"/>
    <x v="1"/>
    <n v="67"/>
    <n v="0"/>
    <n v="0"/>
    <x v="1"/>
    <x v="0"/>
    <x v="0"/>
    <x v="1"/>
    <n v="82.31"/>
    <n v="21.3"/>
    <x v="1"/>
    <n v="0"/>
    <x v="0"/>
    <x v="2"/>
  </r>
  <r>
    <n v="30352"/>
    <x v="0"/>
    <n v="57"/>
    <n v="0"/>
    <n v="0"/>
    <x v="2"/>
    <x v="0"/>
    <x v="0"/>
    <x v="1"/>
    <n v="90.06"/>
    <n v="29.8"/>
    <x v="3"/>
    <n v="0"/>
    <x v="1"/>
    <x v="3"/>
  </r>
  <r>
    <n v="61338"/>
    <x v="1"/>
    <n v="40"/>
    <n v="0"/>
    <n v="0"/>
    <x v="2"/>
    <x v="0"/>
    <x v="0"/>
    <x v="1"/>
    <n v="65.47"/>
    <n v="24.1"/>
    <x v="2"/>
    <n v="0"/>
    <x v="1"/>
    <x v="2"/>
  </r>
  <r>
    <n v="59275"/>
    <x v="0"/>
    <n v="10"/>
    <n v="0"/>
    <n v="0"/>
    <x v="2"/>
    <x v="1"/>
    <x v="3"/>
    <x v="1"/>
    <n v="58.03"/>
    <n v="35.200000000000003"/>
    <x v="3"/>
    <n v="0"/>
    <x v="2"/>
    <x v="0"/>
  </r>
  <r>
    <n v="45497"/>
    <x v="1"/>
    <n v="55"/>
    <n v="0"/>
    <n v="0"/>
    <x v="2"/>
    <x v="1"/>
    <x v="0"/>
    <x v="1"/>
    <n v="83.09"/>
    <n v="18.8"/>
    <x v="1"/>
    <n v="0"/>
    <x v="1"/>
    <x v="2"/>
  </r>
  <r>
    <n v="19996"/>
    <x v="1"/>
    <n v="7"/>
    <n v="0"/>
    <n v="0"/>
    <x v="2"/>
    <x v="1"/>
    <x v="3"/>
    <x v="0"/>
    <n v="88.6"/>
    <n v="17.399999999999999"/>
    <x v="3"/>
    <n v="0"/>
    <x v="2"/>
    <x v="4"/>
  </r>
  <r>
    <n v="50371"/>
    <x v="0"/>
    <n v="56"/>
    <n v="0"/>
    <n v="0"/>
    <x v="2"/>
    <x v="0"/>
    <x v="0"/>
    <x v="0"/>
    <n v="63.18"/>
    <n v="31.5"/>
    <x v="3"/>
    <n v="0"/>
    <x v="1"/>
    <x v="0"/>
  </r>
  <r>
    <n v="32687"/>
    <x v="0"/>
    <n v="37"/>
    <n v="0"/>
    <n v="0"/>
    <x v="2"/>
    <x v="0"/>
    <x v="0"/>
    <x v="1"/>
    <n v="78.42"/>
    <n v="29.9"/>
    <x v="1"/>
    <n v="0"/>
    <x v="2"/>
    <x v="3"/>
  </r>
  <r>
    <n v="35295"/>
    <x v="0"/>
    <n v="69"/>
    <n v="0"/>
    <n v="0"/>
    <x v="1"/>
    <x v="0"/>
    <x v="0"/>
    <x v="0"/>
    <n v="65.08"/>
    <n v="27.3"/>
    <x v="0"/>
    <n v="0"/>
    <x v="0"/>
    <x v="3"/>
  </r>
  <r>
    <n v="15746"/>
    <x v="1"/>
    <n v="45"/>
    <n v="0"/>
    <n v="0"/>
    <x v="2"/>
    <x v="0"/>
    <x v="2"/>
    <x v="0"/>
    <n v="79.47"/>
    <n v="28.1"/>
    <x v="1"/>
    <n v="0"/>
    <x v="1"/>
    <x v="3"/>
  </r>
  <r>
    <n v="31517"/>
    <x v="1"/>
    <n v="28"/>
    <n v="0"/>
    <n v="0"/>
    <x v="2"/>
    <x v="0"/>
    <x v="0"/>
    <x v="1"/>
    <n v="95.52"/>
    <n v="28.9"/>
    <x v="1"/>
    <n v="0"/>
    <x v="2"/>
    <x v="3"/>
  </r>
  <r>
    <n v="43268"/>
    <x v="1"/>
    <n v="52"/>
    <n v="1"/>
    <n v="0"/>
    <x v="2"/>
    <x v="1"/>
    <x v="0"/>
    <x v="0"/>
    <n v="73"/>
    <n v="25.2"/>
    <x v="2"/>
    <n v="0"/>
    <x v="1"/>
    <x v="3"/>
  </r>
  <r>
    <n v="54540"/>
    <x v="0"/>
    <n v="46"/>
    <n v="0"/>
    <n v="0"/>
    <x v="2"/>
    <x v="0"/>
    <x v="0"/>
    <x v="1"/>
    <n v="138.07"/>
    <n v="24.3"/>
    <x v="1"/>
    <n v="0"/>
    <x v="1"/>
    <x v="2"/>
  </r>
  <r>
    <n v="20973"/>
    <x v="0"/>
    <n v="45"/>
    <n v="0"/>
    <n v="0"/>
    <x v="2"/>
    <x v="0"/>
    <x v="2"/>
    <x v="1"/>
    <n v="86.99"/>
    <n v="37.9"/>
    <x v="1"/>
    <n v="0"/>
    <x v="1"/>
    <x v="0"/>
  </r>
  <r>
    <n v="56245"/>
    <x v="1"/>
    <n v="21"/>
    <n v="0"/>
    <n v="0"/>
    <x v="2"/>
    <x v="1"/>
    <x v="0"/>
    <x v="0"/>
    <n v="112.07"/>
    <n v="28.2"/>
    <x v="1"/>
    <n v="0"/>
    <x v="2"/>
    <x v="3"/>
  </r>
  <r>
    <n v="9225"/>
    <x v="0"/>
    <n v="4"/>
    <n v="0"/>
    <n v="0"/>
    <x v="2"/>
    <x v="1"/>
    <x v="3"/>
    <x v="1"/>
    <n v="105.76"/>
    <n v="18.399999999999999"/>
    <x v="3"/>
    <n v="0"/>
    <x v="2"/>
    <x v="4"/>
  </r>
  <r>
    <n v="45955"/>
    <x v="1"/>
    <n v="45"/>
    <n v="0"/>
    <n v="0"/>
    <x v="2"/>
    <x v="0"/>
    <x v="0"/>
    <x v="0"/>
    <n v="55.67"/>
    <n v="23.1"/>
    <x v="2"/>
    <n v="0"/>
    <x v="1"/>
    <x v="2"/>
  </r>
  <r>
    <n v="3532"/>
    <x v="1"/>
    <n v="71"/>
    <n v="0"/>
    <n v="0"/>
    <x v="1"/>
    <x v="0"/>
    <x v="0"/>
    <x v="0"/>
    <n v="90.55"/>
    <n v="39.4"/>
    <x v="0"/>
    <n v="0"/>
    <x v="0"/>
    <x v="0"/>
  </r>
  <r>
    <n v="41291"/>
    <x v="1"/>
    <n v="46"/>
    <n v="0"/>
    <n v="0"/>
    <x v="2"/>
    <x v="0"/>
    <x v="0"/>
    <x v="1"/>
    <n v="218.65"/>
    <n v="29.5"/>
    <x v="1"/>
    <n v="0"/>
    <x v="1"/>
    <x v="3"/>
  </r>
  <r>
    <n v="53943"/>
    <x v="1"/>
    <n v="3"/>
    <n v="0"/>
    <n v="0"/>
    <x v="2"/>
    <x v="1"/>
    <x v="3"/>
    <x v="1"/>
    <n v="111.21"/>
    <n v="18.3"/>
    <x v="3"/>
    <n v="0"/>
    <x v="2"/>
    <x v="4"/>
  </r>
  <r>
    <n v="52550"/>
    <x v="1"/>
    <n v="79"/>
    <n v="0"/>
    <n v="0"/>
    <x v="1"/>
    <x v="0"/>
    <x v="2"/>
    <x v="0"/>
    <n v="83.56"/>
    <n v="28.7"/>
    <x v="2"/>
    <n v="0"/>
    <x v="0"/>
    <x v="3"/>
  </r>
  <r>
    <n v="47414"/>
    <x v="1"/>
    <n v="71"/>
    <n v="1"/>
    <n v="0"/>
    <x v="0"/>
    <x v="0"/>
    <x v="0"/>
    <x v="0"/>
    <n v="116.76"/>
    <n v="32.9"/>
    <x v="0"/>
    <n v="0"/>
    <x v="0"/>
    <x v="0"/>
  </r>
  <r>
    <n v="38804"/>
    <x v="0"/>
    <n v="74"/>
    <n v="0"/>
    <n v="0"/>
    <x v="1"/>
    <x v="0"/>
    <x v="0"/>
    <x v="1"/>
    <n v="83.5"/>
    <n v="26.7"/>
    <x v="3"/>
    <n v="0"/>
    <x v="0"/>
    <x v="3"/>
  </r>
  <r>
    <n v="72861"/>
    <x v="1"/>
    <n v="52"/>
    <n v="0"/>
    <n v="0"/>
    <x v="2"/>
    <x v="0"/>
    <x v="0"/>
    <x v="0"/>
    <n v="69.3"/>
    <n v="20.100000000000001"/>
    <x v="1"/>
    <n v="0"/>
    <x v="1"/>
    <x v="2"/>
  </r>
  <r>
    <n v="53276"/>
    <x v="1"/>
    <n v="49"/>
    <n v="0"/>
    <n v="0"/>
    <x v="2"/>
    <x v="0"/>
    <x v="0"/>
    <x v="0"/>
    <n v="67.55"/>
    <n v="17.600000000000001"/>
    <x v="0"/>
    <n v="0"/>
    <x v="1"/>
    <x v="4"/>
  </r>
  <r>
    <n v="30944"/>
    <x v="1"/>
    <n v="32"/>
    <n v="0"/>
    <n v="0"/>
    <x v="2"/>
    <x v="0"/>
    <x v="0"/>
    <x v="1"/>
    <n v="80.28"/>
    <n v="43.7"/>
    <x v="1"/>
    <n v="0"/>
    <x v="2"/>
    <x v="0"/>
  </r>
  <r>
    <n v="33622"/>
    <x v="0"/>
    <n v="62"/>
    <n v="1"/>
    <n v="0"/>
    <x v="0"/>
    <x v="0"/>
    <x v="0"/>
    <x v="0"/>
    <n v="211.49"/>
    <n v="41.1"/>
    <x v="3"/>
    <n v="0"/>
    <x v="0"/>
    <x v="0"/>
  </r>
  <r>
    <n v="26191"/>
    <x v="1"/>
    <n v="78"/>
    <n v="0"/>
    <n v="0"/>
    <x v="1"/>
    <x v="1"/>
    <x v="0"/>
    <x v="0"/>
    <n v="67.959999999999994"/>
    <n v="26.8"/>
    <x v="3"/>
    <n v="0"/>
    <x v="0"/>
    <x v="3"/>
  </r>
  <r>
    <n v="69312"/>
    <x v="1"/>
    <n v="48"/>
    <n v="0"/>
    <n v="0"/>
    <x v="2"/>
    <x v="0"/>
    <x v="1"/>
    <x v="0"/>
    <n v="99.29"/>
    <n v="31.2"/>
    <x v="1"/>
    <n v="0"/>
    <x v="1"/>
    <x v="0"/>
  </r>
  <r>
    <n v="39661"/>
    <x v="0"/>
    <n v="18"/>
    <n v="0"/>
    <n v="0"/>
    <x v="2"/>
    <x v="0"/>
    <x v="0"/>
    <x v="1"/>
    <n v="140.52000000000001"/>
    <n v="27.4"/>
    <x v="1"/>
    <n v="0"/>
    <x v="2"/>
    <x v="3"/>
  </r>
  <r>
    <n v="20162"/>
    <x v="1"/>
    <n v="80"/>
    <n v="0"/>
    <n v="0"/>
    <x v="1"/>
    <x v="0"/>
    <x v="0"/>
    <x v="1"/>
    <n v="75.62"/>
    <n v="25.1"/>
    <x v="2"/>
    <n v="0"/>
    <x v="0"/>
    <x v="3"/>
  </r>
  <r>
    <n v="48989"/>
    <x v="1"/>
    <n v="34"/>
    <n v="0"/>
    <n v="0"/>
    <x v="2"/>
    <x v="1"/>
    <x v="2"/>
    <x v="1"/>
    <n v="120.06"/>
    <n v="33"/>
    <x v="1"/>
    <n v="0"/>
    <x v="2"/>
    <x v="0"/>
  </r>
  <r>
    <n v="30411"/>
    <x v="1"/>
    <n v="40"/>
    <n v="0"/>
    <n v="0"/>
    <x v="2"/>
    <x v="1"/>
    <x v="0"/>
    <x v="1"/>
    <n v="117.45"/>
    <n v="30.7"/>
    <x v="2"/>
    <n v="0"/>
    <x v="1"/>
    <x v="0"/>
  </r>
  <r>
    <n v="47735"/>
    <x v="1"/>
    <n v="59"/>
    <n v="0"/>
    <n v="0"/>
    <x v="2"/>
    <x v="0"/>
    <x v="0"/>
    <x v="1"/>
    <n v="224.71"/>
    <n v="42.9"/>
    <x v="1"/>
    <n v="0"/>
    <x v="1"/>
    <x v="0"/>
  </r>
  <r>
    <n v="51162"/>
    <x v="1"/>
    <n v="11"/>
    <n v="0"/>
    <n v="0"/>
    <x v="2"/>
    <x v="1"/>
    <x v="3"/>
    <x v="1"/>
    <n v="122.75"/>
    <n v="14.3"/>
    <x v="3"/>
    <n v="0"/>
    <x v="2"/>
    <x v="4"/>
  </r>
  <r>
    <n v="8598"/>
    <x v="1"/>
    <n v="35"/>
    <n v="0"/>
    <n v="0"/>
    <x v="2"/>
    <x v="0"/>
    <x v="2"/>
    <x v="0"/>
    <n v="82.39"/>
    <n v="33.200000000000003"/>
    <x v="1"/>
    <n v="0"/>
    <x v="2"/>
    <x v="0"/>
  </r>
  <r>
    <n v="57347"/>
    <x v="1"/>
    <n v="29"/>
    <n v="0"/>
    <n v="0"/>
    <x v="2"/>
    <x v="1"/>
    <x v="2"/>
    <x v="1"/>
    <n v="57.02"/>
    <n v="43"/>
    <x v="0"/>
    <n v="0"/>
    <x v="2"/>
    <x v="0"/>
  </r>
  <r>
    <n v="4683"/>
    <x v="0"/>
    <n v="23"/>
    <n v="0"/>
    <n v="0"/>
    <x v="2"/>
    <x v="1"/>
    <x v="0"/>
    <x v="0"/>
    <n v="115.98"/>
    <n v="22.3"/>
    <x v="1"/>
    <n v="0"/>
    <x v="2"/>
    <x v="2"/>
  </r>
  <r>
    <n v="55775"/>
    <x v="1"/>
    <n v="59"/>
    <n v="0"/>
    <n v="0"/>
    <x v="2"/>
    <x v="0"/>
    <x v="0"/>
    <x v="1"/>
    <n v="226.11"/>
    <n v="32.799999999999997"/>
    <x v="0"/>
    <n v="0"/>
    <x v="1"/>
    <x v="0"/>
  </r>
  <r>
    <n v="32645"/>
    <x v="1"/>
    <n v="44"/>
    <n v="0"/>
    <n v="0"/>
    <x v="2"/>
    <x v="0"/>
    <x v="0"/>
    <x v="1"/>
    <n v="97.59"/>
    <n v="30.5"/>
    <x v="2"/>
    <n v="0"/>
    <x v="1"/>
    <x v="0"/>
  </r>
  <r>
    <n v="46643"/>
    <x v="1"/>
    <n v="62"/>
    <n v="0"/>
    <n v="0"/>
    <x v="1"/>
    <x v="0"/>
    <x v="0"/>
    <x v="1"/>
    <n v="82.57"/>
    <n v="36"/>
    <x v="0"/>
    <n v="0"/>
    <x v="0"/>
    <x v="0"/>
  </r>
  <r>
    <n v="782"/>
    <x v="1"/>
    <n v="32"/>
    <n v="0"/>
    <n v="0"/>
    <x v="2"/>
    <x v="1"/>
    <x v="0"/>
    <x v="0"/>
    <n v="79.34"/>
    <n v="26.5"/>
    <x v="0"/>
    <n v="0"/>
    <x v="2"/>
    <x v="3"/>
  </r>
  <r>
    <n v="63565"/>
    <x v="1"/>
    <n v="2"/>
    <n v="0"/>
    <n v="0"/>
    <x v="2"/>
    <x v="1"/>
    <x v="3"/>
    <x v="1"/>
    <n v="125.68"/>
    <n v="20.100000000000001"/>
    <x v="3"/>
    <n v="0"/>
    <x v="2"/>
    <x v="2"/>
  </r>
  <r>
    <n v="13602"/>
    <x v="0"/>
    <n v="73"/>
    <n v="1"/>
    <n v="0"/>
    <x v="0"/>
    <x v="0"/>
    <x v="1"/>
    <x v="1"/>
    <n v="102.06"/>
    <s v="N/A"/>
    <x v="3"/>
    <n v="0"/>
    <x v="0"/>
    <x v="1"/>
  </r>
  <r>
    <n v="28326"/>
    <x v="1"/>
    <n v="79"/>
    <n v="0"/>
    <n v="0"/>
    <x v="1"/>
    <x v="0"/>
    <x v="0"/>
    <x v="0"/>
    <n v="65.59"/>
    <n v="28.1"/>
    <x v="1"/>
    <n v="0"/>
    <x v="0"/>
    <x v="3"/>
  </r>
  <r>
    <n v="26389"/>
    <x v="1"/>
    <n v="2"/>
    <n v="0"/>
    <n v="0"/>
    <x v="2"/>
    <x v="1"/>
    <x v="3"/>
    <x v="0"/>
    <n v="120.85"/>
    <n v="16.2"/>
    <x v="3"/>
    <n v="0"/>
    <x v="2"/>
    <x v="4"/>
  </r>
  <r>
    <n v="16906"/>
    <x v="0"/>
    <n v="43"/>
    <n v="0"/>
    <n v="0"/>
    <x v="2"/>
    <x v="0"/>
    <x v="2"/>
    <x v="0"/>
    <n v="101.65"/>
    <n v="30"/>
    <x v="1"/>
    <n v="0"/>
    <x v="1"/>
    <x v="0"/>
  </r>
  <r>
    <n v="35140"/>
    <x v="0"/>
    <n v="43"/>
    <n v="0"/>
    <n v="0"/>
    <x v="2"/>
    <x v="0"/>
    <x v="2"/>
    <x v="0"/>
    <n v="210.94"/>
    <n v="31.3"/>
    <x v="1"/>
    <n v="0"/>
    <x v="1"/>
    <x v="0"/>
  </r>
  <r>
    <n v="16837"/>
    <x v="0"/>
    <n v="62"/>
    <n v="1"/>
    <n v="0"/>
    <x v="0"/>
    <x v="0"/>
    <x v="0"/>
    <x v="1"/>
    <n v="77.92"/>
    <n v="26.7"/>
    <x v="1"/>
    <n v="0"/>
    <x v="0"/>
    <x v="3"/>
  </r>
  <r>
    <n v="2750"/>
    <x v="0"/>
    <n v="73"/>
    <n v="1"/>
    <n v="1"/>
    <x v="0"/>
    <x v="0"/>
    <x v="1"/>
    <x v="1"/>
    <n v="230.68"/>
    <n v="37.700000000000003"/>
    <x v="3"/>
    <n v="0"/>
    <x v="0"/>
    <x v="0"/>
  </r>
  <r>
    <n v="47585"/>
    <x v="1"/>
    <n v="31"/>
    <n v="0"/>
    <n v="0"/>
    <x v="2"/>
    <x v="1"/>
    <x v="1"/>
    <x v="0"/>
    <n v="62.68"/>
    <n v="35.799999999999997"/>
    <x v="1"/>
    <n v="0"/>
    <x v="2"/>
    <x v="0"/>
  </r>
  <r>
    <n v="37404"/>
    <x v="0"/>
    <n v="42"/>
    <n v="0"/>
    <n v="0"/>
    <x v="2"/>
    <x v="0"/>
    <x v="0"/>
    <x v="0"/>
    <n v="55.22"/>
    <n v="27"/>
    <x v="1"/>
    <n v="0"/>
    <x v="1"/>
    <x v="3"/>
  </r>
  <r>
    <n v="39518"/>
    <x v="1"/>
    <n v="20"/>
    <n v="0"/>
    <n v="0"/>
    <x v="2"/>
    <x v="1"/>
    <x v="0"/>
    <x v="1"/>
    <n v="78.94"/>
    <n v="20.7"/>
    <x v="1"/>
    <n v="0"/>
    <x v="2"/>
    <x v="2"/>
  </r>
  <r>
    <n v="70678"/>
    <x v="1"/>
    <n v="55"/>
    <n v="0"/>
    <n v="1"/>
    <x v="2"/>
    <x v="1"/>
    <x v="0"/>
    <x v="1"/>
    <n v="109.69"/>
    <n v="22.2"/>
    <x v="2"/>
    <n v="0"/>
    <x v="1"/>
    <x v="2"/>
  </r>
  <r>
    <n v="542"/>
    <x v="1"/>
    <n v="3"/>
    <n v="0"/>
    <n v="0"/>
    <x v="2"/>
    <x v="1"/>
    <x v="3"/>
    <x v="0"/>
    <n v="79.63"/>
    <s v="N/A"/>
    <x v="3"/>
    <n v="0"/>
    <x v="2"/>
    <x v="1"/>
  </r>
  <r>
    <n v="38649"/>
    <x v="1"/>
    <n v="23"/>
    <n v="0"/>
    <n v="0"/>
    <x v="2"/>
    <x v="1"/>
    <x v="0"/>
    <x v="1"/>
    <n v="79.33"/>
    <n v="41.5"/>
    <x v="1"/>
    <n v="0"/>
    <x v="2"/>
    <x v="0"/>
  </r>
  <r>
    <n v="53266"/>
    <x v="1"/>
    <n v="33"/>
    <n v="0"/>
    <n v="0"/>
    <x v="2"/>
    <x v="0"/>
    <x v="0"/>
    <x v="0"/>
    <n v="79.91"/>
    <n v="33.5"/>
    <x v="1"/>
    <n v="0"/>
    <x v="2"/>
    <x v="0"/>
  </r>
  <r>
    <n v="26031"/>
    <x v="1"/>
    <n v="14"/>
    <n v="0"/>
    <n v="0"/>
    <x v="2"/>
    <x v="1"/>
    <x v="0"/>
    <x v="1"/>
    <n v="84.46"/>
    <n v="21.8"/>
    <x v="3"/>
    <n v="0"/>
    <x v="2"/>
    <x v="2"/>
  </r>
  <r>
    <n v="1191"/>
    <x v="1"/>
    <n v="79"/>
    <n v="0"/>
    <n v="1"/>
    <x v="0"/>
    <x v="0"/>
    <x v="0"/>
    <x v="0"/>
    <n v="68.400000000000006"/>
    <n v="22.1"/>
    <x v="0"/>
    <n v="0"/>
    <x v="0"/>
    <x v="2"/>
  </r>
  <r>
    <n v="36820"/>
    <x v="0"/>
    <n v="64"/>
    <n v="1"/>
    <n v="0"/>
    <x v="0"/>
    <x v="0"/>
    <x v="0"/>
    <x v="1"/>
    <n v="78.430000000000007"/>
    <n v="30.2"/>
    <x v="2"/>
    <n v="0"/>
    <x v="0"/>
    <x v="0"/>
  </r>
  <r>
    <n v="62783"/>
    <x v="1"/>
    <n v="76"/>
    <n v="0"/>
    <n v="0"/>
    <x v="1"/>
    <x v="0"/>
    <x v="0"/>
    <x v="0"/>
    <n v="198.02"/>
    <n v="38.700000000000003"/>
    <x v="3"/>
    <n v="0"/>
    <x v="0"/>
    <x v="0"/>
  </r>
  <r>
    <n v="10133"/>
    <x v="0"/>
    <n v="46"/>
    <n v="0"/>
    <n v="0"/>
    <x v="2"/>
    <x v="0"/>
    <x v="0"/>
    <x v="0"/>
    <n v="85.35"/>
    <n v="32.1"/>
    <x v="2"/>
    <n v="0"/>
    <x v="1"/>
    <x v="0"/>
  </r>
  <r>
    <n v="19778"/>
    <x v="0"/>
    <n v="80"/>
    <n v="0"/>
    <n v="0"/>
    <x v="1"/>
    <x v="1"/>
    <x v="1"/>
    <x v="1"/>
    <n v="204.17"/>
    <n v="41.3"/>
    <x v="0"/>
    <n v="0"/>
    <x v="0"/>
    <x v="0"/>
  </r>
  <r>
    <n v="38255"/>
    <x v="0"/>
    <n v="21"/>
    <n v="0"/>
    <n v="0"/>
    <x v="2"/>
    <x v="1"/>
    <x v="0"/>
    <x v="0"/>
    <n v="82.71"/>
    <n v="20.100000000000001"/>
    <x v="0"/>
    <n v="0"/>
    <x v="2"/>
    <x v="2"/>
  </r>
  <r>
    <n v="41565"/>
    <x v="1"/>
    <n v="33"/>
    <n v="0"/>
    <n v="0"/>
    <x v="2"/>
    <x v="1"/>
    <x v="0"/>
    <x v="0"/>
    <n v="121.19"/>
    <n v="22.1"/>
    <x v="1"/>
    <n v="0"/>
    <x v="2"/>
    <x v="2"/>
  </r>
  <r>
    <n v="39423"/>
    <x v="1"/>
    <n v="32"/>
    <n v="0"/>
    <n v="0"/>
    <x v="2"/>
    <x v="0"/>
    <x v="0"/>
    <x v="1"/>
    <n v="106.02"/>
    <n v="24.9"/>
    <x v="2"/>
    <n v="0"/>
    <x v="2"/>
    <x v="2"/>
  </r>
  <r>
    <n v="68908"/>
    <x v="1"/>
    <n v="0.72"/>
    <n v="0"/>
    <n v="0"/>
    <x v="2"/>
    <x v="1"/>
    <x v="3"/>
    <x v="0"/>
    <n v="66.36"/>
    <n v="23"/>
    <x v="3"/>
    <n v="0"/>
    <x v="2"/>
    <x v="2"/>
  </r>
  <r>
    <n v="22440"/>
    <x v="1"/>
    <n v="49"/>
    <n v="0"/>
    <n v="0"/>
    <x v="2"/>
    <x v="0"/>
    <x v="0"/>
    <x v="0"/>
    <n v="267.76"/>
    <n v="29.3"/>
    <x v="0"/>
    <n v="0"/>
    <x v="1"/>
    <x v="3"/>
  </r>
  <r>
    <n v="28418"/>
    <x v="1"/>
    <n v="41"/>
    <n v="0"/>
    <n v="0"/>
    <x v="2"/>
    <x v="0"/>
    <x v="0"/>
    <x v="1"/>
    <n v="107.18"/>
    <n v="22.8"/>
    <x v="1"/>
    <n v="0"/>
    <x v="1"/>
    <x v="2"/>
  </r>
  <r>
    <n v="22566"/>
    <x v="0"/>
    <n v="37"/>
    <n v="0"/>
    <n v="0"/>
    <x v="2"/>
    <x v="0"/>
    <x v="0"/>
    <x v="1"/>
    <n v="74.58"/>
    <n v="31.6"/>
    <x v="3"/>
    <n v="0"/>
    <x v="2"/>
    <x v="0"/>
  </r>
  <r>
    <n v="7055"/>
    <x v="1"/>
    <n v="58"/>
    <n v="0"/>
    <n v="0"/>
    <x v="2"/>
    <x v="0"/>
    <x v="0"/>
    <x v="0"/>
    <n v="80.92"/>
    <n v="19.399999999999999"/>
    <x v="3"/>
    <n v="0"/>
    <x v="1"/>
    <x v="2"/>
  </r>
  <r>
    <n v="69177"/>
    <x v="1"/>
    <n v="79"/>
    <n v="0"/>
    <n v="0"/>
    <x v="1"/>
    <x v="0"/>
    <x v="0"/>
    <x v="1"/>
    <n v="90.77"/>
    <n v="22.5"/>
    <x v="1"/>
    <n v="0"/>
    <x v="0"/>
    <x v="2"/>
  </r>
  <r>
    <n v="33162"/>
    <x v="1"/>
    <n v="23"/>
    <n v="0"/>
    <n v="0"/>
    <x v="2"/>
    <x v="1"/>
    <x v="0"/>
    <x v="1"/>
    <n v="90.84"/>
    <n v="31.6"/>
    <x v="1"/>
    <n v="0"/>
    <x v="2"/>
    <x v="0"/>
  </r>
  <r>
    <n v="44764"/>
    <x v="1"/>
    <n v="78"/>
    <n v="1"/>
    <n v="0"/>
    <x v="0"/>
    <x v="0"/>
    <x v="1"/>
    <x v="1"/>
    <n v="59.2"/>
    <n v="29.1"/>
    <x v="3"/>
    <n v="0"/>
    <x v="0"/>
    <x v="3"/>
  </r>
  <r>
    <n v="32157"/>
    <x v="0"/>
    <n v="51"/>
    <n v="0"/>
    <n v="0"/>
    <x v="2"/>
    <x v="0"/>
    <x v="0"/>
    <x v="1"/>
    <n v="217.71"/>
    <s v="N/A"/>
    <x v="0"/>
    <n v="0"/>
    <x v="1"/>
    <x v="1"/>
  </r>
  <r>
    <n v="61983"/>
    <x v="1"/>
    <n v="41"/>
    <n v="0"/>
    <n v="0"/>
    <x v="2"/>
    <x v="0"/>
    <x v="0"/>
    <x v="0"/>
    <n v="133.76"/>
    <n v="43.4"/>
    <x v="2"/>
    <n v="0"/>
    <x v="1"/>
    <x v="0"/>
  </r>
  <r>
    <n v="72268"/>
    <x v="0"/>
    <n v="68"/>
    <n v="0"/>
    <n v="0"/>
    <x v="1"/>
    <x v="0"/>
    <x v="1"/>
    <x v="0"/>
    <n v="61.36"/>
    <n v="26.5"/>
    <x v="0"/>
    <n v="0"/>
    <x v="0"/>
    <x v="3"/>
  </r>
  <r>
    <n v="39467"/>
    <x v="1"/>
    <n v="30"/>
    <n v="0"/>
    <n v="0"/>
    <x v="2"/>
    <x v="1"/>
    <x v="0"/>
    <x v="1"/>
    <n v="118.62"/>
    <n v="29.7"/>
    <x v="3"/>
    <n v="0"/>
    <x v="2"/>
    <x v="3"/>
  </r>
  <r>
    <n v="20282"/>
    <x v="0"/>
    <n v="1.88"/>
    <n v="0"/>
    <n v="0"/>
    <x v="2"/>
    <x v="1"/>
    <x v="3"/>
    <x v="1"/>
    <n v="77.91"/>
    <n v="21.8"/>
    <x v="3"/>
    <n v="0"/>
    <x v="2"/>
    <x v="2"/>
  </r>
  <r>
    <n v="51159"/>
    <x v="1"/>
    <n v="32"/>
    <n v="0"/>
    <n v="0"/>
    <x v="2"/>
    <x v="1"/>
    <x v="2"/>
    <x v="0"/>
    <n v="68.98"/>
    <n v="23.4"/>
    <x v="0"/>
    <n v="0"/>
    <x v="2"/>
    <x v="2"/>
  </r>
  <r>
    <n v="7167"/>
    <x v="1"/>
    <n v="20"/>
    <n v="0"/>
    <n v="0"/>
    <x v="2"/>
    <x v="1"/>
    <x v="0"/>
    <x v="1"/>
    <n v="112.08"/>
    <n v="23"/>
    <x v="1"/>
    <n v="0"/>
    <x v="2"/>
    <x v="2"/>
  </r>
  <r>
    <n v="59147"/>
    <x v="0"/>
    <n v="20"/>
    <n v="0"/>
    <n v="0"/>
    <x v="2"/>
    <x v="1"/>
    <x v="0"/>
    <x v="0"/>
    <n v="96.2"/>
    <n v="21.5"/>
    <x v="1"/>
    <n v="0"/>
    <x v="2"/>
    <x v="2"/>
  </r>
  <r>
    <n v="18192"/>
    <x v="0"/>
    <n v="10"/>
    <n v="0"/>
    <n v="0"/>
    <x v="2"/>
    <x v="1"/>
    <x v="3"/>
    <x v="1"/>
    <n v="93.11"/>
    <n v="14.6"/>
    <x v="3"/>
    <n v="0"/>
    <x v="2"/>
    <x v="4"/>
  </r>
  <r>
    <n v="14049"/>
    <x v="0"/>
    <n v="8"/>
    <n v="0"/>
    <n v="0"/>
    <x v="2"/>
    <x v="1"/>
    <x v="3"/>
    <x v="1"/>
    <n v="115.54"/>
    <n v="28.5"/>
    <x v="3"/>
    <n v="0"/>
    <x v="2"/>
    <x v="3"/>
  </r>
  <r>
    <n v="35927"/>
    <x v="0"/>
    <n v="65"/>
    <n v="0"/>
    <n v="0"/>
    <x v="1"/>
    <x v="0"/>
    <x v="0"/>
    <x v="0"/>
    <n v="88.57"/>
    <n v="29"/>
    <x v="2"/>
    <n v="0"/>
    <x v="0"/>
    <x v="3"/>
  </r>
  <r>
    <n v="28150"/>
    <x v="1"/>
    <n v="65"/>
    <n v="1"/>
    <n v="0"/>
    <x v="0"/>
    <x v="0"/>
    <x v="0"/>
    <x v="0"/>
    <n v="180.76"/>
    <n v="26.9"/>
    <x v="3"/>
    <n v="0"/>
    <x v="0"/>
    <x v="3"/>
  </r>
  <r>
    <n v="8727"/>
    <x v="0"/>
    <n v="46"/>
    <n v="0"/>
    <n v="0"/>
    <x v="2"/>
    <x v="0"/>
    <x v="1"/>
    <x v="0"/>
    <n v="83.12"/>
    <n v="29.6"/>
    <x v="0"/>
    <n v="0"/>
    <x v="1"/>
    <x v="3"/>
  </r>
  <r>
    <n v="7516"/>
    <x v="0"/>
    <n v="53"/>
    <n v="0"/>
    <n v="0"/>
    <x v="2"/>
    <x v="0"/>
    <x v="1"/>
    <x v="0"/>
    <n v="94.89"/>
    <n v="28.5"/>
    <x v="1"/>
    <n v="0"/>
    <x v="1"/>
    <x v="3"/>
  </r>
  <r>
    <n v="6419"/>
    <x v="1"/>
    <n v="79"/>
    <n v="0"/>
    <n v="0"/>
    <x v="1"/>
    <x v="1"/>
    <x v="0"/>
    <x v="1"/>
    <n v="239.52"/>
    <n v="25.5"/>
    <x v="1"/>
    <n v="0"/>
    <x v="0"/>
    <x v="3"/>
  </r>
  <r>
    <n v="20425"/>
    <x v="0"/>
    <n v="43"/>
    <n v="0"/>
    <n v="0"/>
    <x v="2"/>
    <x v="0"/>
    <x v="1"/>
    <x v="1"/>
    <n v="99.15"/>
    <n v="30.5"/>
    <x v="0"/>
    <n v="0"/>
    <x v="1"/>
    <x v="0"/>
  </r>
  <r>
    <n v="59878"/>
    <x v="1"/>
    <n v="56"/>
    <n v="0"/>
    <n v="0"/>
    <x v="2"/>
    <x v="0"/>
    <x v="1"/>
    <x v="0"/>
    <n v="124.16"/>
    <n v="23"/>
    <x v="1"/>
    <n v="0"/>
    <x v="1"/>
    <x v="2"/>
  </r>
  <r>
    <n v="69355"/>
    <x v="0"/>
    <n v="3"/>
    <n v="0"/>
    <n v="0"/>
    <x v="2"/>
    <x v="1"/>
    <x v="3"/>
    <x v="1"/>
    <n v="86.38"/>
    <n v="22.8"/>
    <x v="3"/>
    <n v="0"/>
    <x v="2"/>
    <x v="2"/>
  </r>
  <r>
    <n v="5858"/>
    <x v="0"/>
    <n v="32"/>
    <n v="0"/>
    <n v="0"/>
    <x v="2"/>
    <x v="1"/>
    <x v="0"/>
    <x v="1"/>
    <n v="93.68"/>
    <n v="31.4"/>
    <x v="1"/>
    <n v="0"/>
    <x v="2"/>
    <x v="0"/>
  </r>
  <r>
    <n v="39823"/>
    <x v="1"/>
    <n v="41"/>
    <n v="0"/>
    <n v="0"/>
    <x v="2"/>
    <x v="0"/>
    <x v="2"/>
    <x v="1"/>
    <n v="229.86"/>
    <n v="35.200000000000003"/>
    <x v="2"/>
    <n v="0"/>
    <x v="1"/>
    <x v="0"/>
  </r>
  <r>
    <n v="37053"/>
    <x v="0"/>
    <n v="53"/>
    <n v="0"/>
    <n v="0"/>
    <x v="2"/>
    <x v="0"/>
    <x v="2"/>
    <x v="1"/>
    <n v="78.73"/>
    <n v="23.3"/>
    <x v="1"/>
    <n v="0"/>
    <x v="1"/>
    <x v="2"/>
  </r>
  <r>
    <n v="2082"/>
    <x v="0"/>
    <n v="35"/>
    <n v="0"/>
    <n v="0"/>
    <x v="2"/>
    <x v="0"/>
    <x v="0"/>
    <x v="1"/>
    <n v="115.92"/>
    <s v="N/A"/>
    <x v="0"/>
    <n v="0"/>
    <x v="2"/>
    <x v="1"/>
  </r>
  <r>
    <n v="48073"/>
    <x v="0"/>
    <n v="67"/>
    <n v="0"/>
    <n v="0"/>
    <x v="1"/>
    <x v="0"/>
    <x v="2"/>
    <x v="1"/>
    <n v="93.71"/>
    <n v="31.2"/>
    <x v="0"/>
    <n v="0"/>
    <x v="0"/>
    <x v="0"/>
  </r>
  <r>
    <n v="16449"/>
    <x v="1"/>
    <n v="33"/>
    <n v="0"/>
    <n v="0"/>
    <x v="2"/>
    <x v="0"/>
    <x v="2"/>
    <x v="1"/>
    <n v="76.66"/>
    <n v="24.8"/>
    <x v="1"/>
    <n v="0"/>
    <x v="2"/>
    <x v="2"/>
  </r>
  <r>
    <n v="5447"/>
    <x v="1"/>
    <n v="21"/>
    <n v="0"/>
    <n v="0"/>
    <x v="2"/>
    <x v="1"/>
    <x v="0"/>
    <x v="1"/>
    <n v="112.38"/>
    <n v="25.8"/>
    <x v="3"/>
    <n v="0"/>
    <x v="2"/>
    <x v="3"/>
  </r>
  <r>
    <n v="27145"/>
    <x v="1"/>
    <n v="26"/>
    <n v="0"/>
    <n v="0"/>
    <x v="2"/>
    <x v="1"/>
    <x v="0"/>
    <x v="1"/>
    <n v="89.3"/>
    <n v="48.4"/>
    <x v="2"/>
    <n v="0"/>
    <x v="2"/>
    <x v="0"/>
  </r>
  <r>
    <n v="30328"/>
    <x v="1"/>
    <n v="69"/>
    <n v="1"/>
    <n v="0"/>
    <x v="0"/>
    <x v="0"/>
    <x v="2"/>
    <x v="1"/>
    <n v="103.44"/>
    <n v="43.1"/>
    <x v="0"/>
    <n v="0"/>
    <x v="0"/>
    <x v="0"/>
  </r>
  <r>
    <n v="739"/>
    <x v="1"/>
    <n v="73"/>
    <n v="0"/>
    <n v="0"/>
    <x v="1"/>
    <x v="0"/>
    <x v="1"/>
    <x v="1"/>
    <n v="79.69"/>
    <s v="N/A"/>
    <x v="0"/>
    <n v="0"/>
    <x v="0"/>
    <x v="1"/>
  </r>
  <r>
    <n v="44224"/>
    <x v="0"/>
    <n v="15"/>
    <n v="0"/>
    <n v="0"/>
    <x v="2"/>
    <x v="1"/>
    <x v="0"/>
    <x v="1"/>
    <n v="61.61"/>
    <n v="27.8"/>
    <x v="1"/>
    <n v="0"/>
    <x v="2"/>
    <x v="3"/>
  </r>
  <r>
    <n v="533"/>
    <x v="1"/>
    <n v="3"/>
    <n v="0"/>
    <n v="0"/>
    <x v="2"/>
    <x v="1"/>
    <x v="3"/>
    <x v="1"/>
    <n v="94.12"/>
    <n v="21.4"/>
    <x v="3"/>
    <n v="0"/>
    <x v="2"/>
    <x v="2"/>
  </r>
  <r>
    <n v="45554"/>
    <x v="1"/>
    <n v="1.24"/>
    <n v="0"/>
    <n v="0"/>
    <x v="2"/>
    <x v="1"/>
    <x v="3"/>
    <x v="0"/>
    <n v="62.4"/>
    <n v="22.1"/>
    <x v="3"/>
    <n v="0"/>
    <x v="2"/>
    <x v="2"/>
  </r>
  <r>
    <n v="32884"/>
    <x v="1"/>
    <n v="80"/>
    <n v="1"/>
    <n v="0"/>
    <x v="0"/>
    <x v="0"/>
    <x v="0"/>
    <x v="0"/>
    <n v="210.96"/>
    <n v="31.8"/>
    <x v="1"/>
    <n v="0"/>
    <x v="0"/>
    <x v="0"/>
  </r>
  <r>
    <n v="55744"/>
    <x v="0"/>
    <n v="2"/>
    <n v="0"/>
    <n v="0"/>
    <x v="2"/>
    <x v="1"/>
    <x v="3"/>
    <x v="0"/>
    <n v="76.25"/>
    <n v="20.100000000000001"/>
    <x v="3"/>
    <n v="0"/>
    <x v="2"/>
    <x v="2"/>
  </r>
  <r>
    <n v="28414"/>
    <x v="0"/>
    <n v="50"/>
    <n v="0"/>
    <n v="0"/>
    <x v="2"/>
    <x v="0"/>
    <x v="0"/>
    <x v="0"/>
    <n v="103.48"/>
    <n v="29.1"/>
    <x v="2"/>
    <n v="0"/>
    <x v="1"/>
    <x v="3"/>
  </r>
  <r>
    <n v="25767"/>
    <x v="1"/>
    <n v="30"/>
    <n v="0"/>
    <n v="0"/>
    <x v="2"/>
    <x v="1"/>
    <x v="0"/>
    <x v="0"/>
    <n v="96.42"/>
    <n v="22.6"/>
    <x v="3"/>
    <n v="0"/>
    <x v="2"/>
    <x v="2"/>
  </r>
  <r>
    <n v="71319"/>
    <x v="0"/>
    <n v="15"/>
    <n v="0"/>
    <n v="0"/>
    <x v="2"/>
    <x v="1"/>
    <x v="0"/>
    <x v="1"/>
    <n v="78.59"/>
    <n v="25.1"/>
    <x v="3"/>
    <n v="0"/>
    <x v="2"/>
    <x v="3"/>
  </r>
  <r>
    <n v="70031"/>
    <x v="1"/>
    <n v="71"/>
    <n v="1"/>
    <n v="0"/>
    <x v="0"/>
    <x v="0"/>
    <x v="0"/>
    <x v="1"/>
    <n v="195.25"/>
    <n v="33.299999999999997"/>
    <x v="1"/>
    <n v="0"/>
    <x v="0"/>
    <x v="0"/>
  </r>
  <r>
    <n v="23604"/>
    <x v="0"/>
    <n v="4"/>
    <n v="0"/>
    <n v="0"/>
    <x v="2"/>
    <x v="1"/>
    <x v="3"/>
    <x v="1"/>
    <n v="103.76"/>
    <n v="15.9"/>
    <x v="3"/>
    <n v="0"/>
    <x v="2"/>
    <x v="4"/>
  </r>
  <r>
    <n v="46576"/>
    <x v="0"/>
    <n v="2"/>
    <n v="0"/>
    <n v="0"/>
    <x v="2"/>
    <x v="1"/>
    <x v="3"/>
    <x v="1"/>
    <n v="68.52"/>
    <n v="20.8"/>
    <x v="3"/>
    <n v="0"/>
    <x v="2"/>
    <x v="2"/>
  </r>
  <r>
    <n v="31293"/>
    <x v="0"/>
    <n v="11"/>
    <n v="0"/>
    <n v="0"/>
    <x v="2"/>
    <x v="1"/>
    <x v="3"/>
    <x v="0"/>
    <n v="92.17"/>
    <n v="19.5"/>
    <x v="3"/>
    <n v="0"/>
    <x v="2"/>
    <x v="2"/>
  </r>
  <r>
    <n v="70610"/>
    <x v="1"/>
    <n v="45"/>
    <n v="0"/>
    <n v="0"/>
    <x v="2"/>
    <x v="0"/>
    <x v="0"/>
    <x v="1"/>
    <n v="81.02"/>
    <n v="39"/>
    <x v="1"/>
    <n v="0"/>
    <x v="1"/>
    <x v="0"/>
  </r>
  <r>
    <n v="6044"/>
    <x v="0"/>
    <n v="22"/>
    <n v="0"/>
    <n v="0"/>
    <x v="2"/>
    <x v="1"/>
    <x v="2"/>
    <x v="1"/>
    <n v="94.33"/>
    <n v="23.1"/>
    <x v="1"/>
    <n v="0"/>
    <x v="2"/>
    <x v="2"/>
  </r>
  <r>
    <n v="62284"/>
    <x v="0"/>
    <n v="63"/>
    <n v="0"/>
    <n v="0"/>
    <x v="1"/>
    <x v="0"/>
    <x v="1"/>
    <x v="1"/>
    <n v="78.430000000000007"/>
    <n v="18.8"/>
    <x v="1"/>
    <n v="0"/>
    <x v="0"/>
    <x v="2"/>
  </r>
  <r>
    <n v="5821"/>
    <x v="1"/>
    <n v="50"/>
    <n v="0"/>
    <n v="0"/>
    <x v="2"/>
    <x v="0"/>
    <x v="0"/>
    <x v="1"/>
    <n v="217.39"/>
    <n v="50.6"/>
    <x v="3"/>
    <n v="0"/>
    <x v="1"/>
    <x v="0"/>
  </r>
  <r>
    <n v="22295"/>
    <x v="1"/>
    <n v="25"/>
    <n v="0"/>
    <n v="0"/>
    <x v="2"/>
    <x v="1"/>
    <x v="0"/>
    <x v="0"/>
    <n v="82.77"/>
    <n v="36.299999999999997"/>
    <x v="3"/>
    <n v="0"/>
    <x v="2"/>
    <x v="0"/>
  </r>
  <r>
    <n v="27583"/>
    <x v="0"/>
    <n v="49"/>
    <n v="0"/>
    <n v="0"/>
    <x v="2"/>
    <x v="0"/>
    <x v="0"/>
    <x v="1"/>
    <n v="88.13"/>
    <n v="32.799999999999997"/>
    <x v="1"/>
    <n v="0"/>
    <x v="1"/>
    <x v="0"/>
  </r>
  <r>
    <n v="9696"/>
    <x v="0"/>
    <n v="39"/>
    <n v="0"/>
    <n v="0"/>
    <x v="2"/>
    <x v="0"/>
    <x v="0"/>
    <x v="0"/>
    <n v="102.77"/>
    <n v="35.799999999999997"/>
    <x v="2"/>
    <n v="0"/>
    <x v="2"/>
    <x v="0"/>
  </r>
  <r>
    <n v="1164"/>
    <x v="1"/>
    <n v="43"/>
    <n v="0"/>
    <n v="0"/>
    <x v="2"/>
    <x v="1"/>
    <x v="0"/>
    <x v="1"/>
    <n v="101.75"/>
    <n v="26.7"/>
    <x v="2"/>
    <n v="0"/>
    <x v="1"/>
    <x v="3"/>
  </r>
  <r>
    <n v="48781"/>
    <x v="0"/>
    <n v="67"/>
    <n v="0"/>
    <n v="0"/>
    <x v="1"/>
    <x v="0"/>
    <x v="0"/>
    <x v="1"/>
    <n v="113.34"/>
    <n v="26.3"/>
    <x v="0"/>
    <n v="0"/>
    <x v="0"/>
    <x v="3"/>
  </r>
  <r>
    <n v="50947"/>
    <x v="0"/>
    <n v="48"/>
    <n v="0"/>
    <n v="0"/>
    <x v="2"/>
    <x v="0"/>
    <x v="0"/>
    <x v="0"/>
    <n v="63.33"/>
    <n v="26.5"/>
    <x v="2"/>
    <n v="0"/>
    <x v="1"/>
    <x v="3"/>
  </r>
  <r>
    <n v="47844"/>
    <x v="1"/>
    <n v="38"/>
    <n v="0"/>
    <n v="0"/>
    <x v="2"/>
    <x v="0"/>
    <x v="0"/>
    <x v="0"/>
    <n v="69.34"/>
    <n v="43.7"/>
    <x v="1"/>
    <n v="0"/>
    <x v="2"/>
    <x v="0"/>
  </r>
  <r>
    <n v="45209"/>
    <x v="1"/>
    <n v="14"/>
    <n v="0"/>
    <n v="0"/>
    <x v="2"/>
    <x v="1"/>
    <x v="0"/>
    <x v="1"/>
    <n v="118.81"/>
    <n v="24.7"/>
    <x v="3"/>
    <n v="0"/>
    <x v="2"/>
    <x v="2"/>
  </r>
  <r>
    <n v="49412"/>
    <x v="0"/>
    <n v="63"/>
    <n v="0"/>
    <n v="0"/>
    <x v="1"/>
    <x v="0"/>
    <x v="2"/>
    <x v="0"/>
    <n v="66.13"/>
    <n v="46.2"/>
    <x v="1"/>
    <n v="0"/>
    <x v="0"/>
    <x v="0"/>
  </r>
  <r>
    <n v="43088"/>
    <x v="0"/>
    <n v="37"/>
    <n v="0"/>
    <n v="0"/>
    <x v="2"/>
    <x v="1"/>
    <x v="0"/>
    <x v="0"/>
    <n v="67.53"/>
    <n v="49.5"/>
    <x v="0"/>
    <n v="0"/>
    <x v="2"/>
    <x v="0"/>
  </r>
  <r>
    <n v="16355"/>
    <x v="0"/>
    <n v="20"/>
    <n v="0"/>
    <n v="0"/>
    <x v="2"/>
    <x v="1"/>
    <x v="0"/>
    <x v="0"/>
    <n v="96.58"/>
    <n v="43.3"/>
    <x v="1"/>
    <n v="0"/>
    <x v="2"/>
    <x v="0"/>
  </r>
  <r>
    <n v="43172"/>
    <x v="1"/>
    <n v="60"/>
    <n v="0"/>
    <n v="0"/>
    <x v="1"/>
    <x v="0"/>
    <x v="0"/>
    <x v="0"/>
    <n v="57.89"/>
    <n v="30.9"/>
    <x v="0"/>
    <n v="0"/>
    <x v="0"/>
    <x v="0"/>
  </r>
  <r>
    <n v="43155"/>
    <x v="1"/>
    <n v="13"/>
    <n v="0"/>
    <n v="0"/>
    <x v="2"/>
    <x v="1"/>
    <x v="3"/>
    <x v="1"/>
    <n v="78.38"/>
    <n v="38.700000000000003"/>
    <x v="3"/>
    <n v="0"/>
    <x v="2"/>
    <x v="0"/>
  </r>
  <r>
    <n v="11882"/>
    <x v="0"/>
    <n v="34"/>
    <n v="0"/>
    <n v="0"/>
    <x v="2"/>
    <x v="1"/>
    <x v="0"/>
    <x v="0"/>
    <n v="94.15"/>
    <n v="28.6"/>
    <x v="1"/>
    <n v="0"/>
    <x v="2"/>
    <x v="3"/>
  </r>
  <r>
    <n v="45669"/>
    <x v="0"/>
    <n v="22"/>
    <n v="0"/>
    <n v="0"/>
    <x v="2"/>
    <x v="1"/>
    <x v="0"/>
    <x v="0"/>
    <n v="89.53"/>
    <n v="30.2"/>
    <x v="3"/>
    <n v="0"/>
    <x v="2"/>
    <x v="0"/>
  </r>
  <r>
    <n v="65339"/>
    <x v="1"/>
    <n v="46"/>
    <n v="0"/>
    <n v="0"/>
    <x v="2"/>
    <x v="0"/>
    <x v="0"/>
    <x v="0"/>
    <n v="127.75"/>
    <n v="30.5"/>
    <x v="1"/>
    <n v="0"/>
    <x v="1"/>
    <x v="0"/>
  </r>
  <r>
    <n v="60399"/>
    <x v="0"/>
    <n v="53"/>
    <n v="0"/>
    <n v="0"/>
    <x v="2"/>
    <x v="0"/>
    <x v="1"/>
    <x v="1"/>
    <n v="76.790000000000006"/>
    <n v="33.9"/>
    <x v="3"/>
    <n v="0"/>
    <x v="1"/>
    <x v="0"/>
  </r>
  <r>
    <n v="59604"/>
    <x v="1"/>
    <n v="28"/>
    <n v="0"/>
    <n v="0"/>
    <x v="2"/>
    <x v="0"/>
    <x v="0"/>
    <x v="1"/>
    <n v="141.15"/>
    <n v="28.6"/>
    <x v="1"/>
    <n v="0"/>
    <x v="2"/>
    <x v="3"/>
  </r>
  <r>
    <n v="22488"/>
    <x v="1"/>
    <n v="62"/>
    <n v="0"/>
    <n v="0"/>
    <x v="1"/>
    <x v="0"/>
    <x v="2"/>
    <x v="0"/>
    <n v="88.63"/>
    <n v="24.5"/>
    <x v="1"/>
    <n v="0"/>
    <x v="0"/>
    <x v="2"/>
  </r>
  <r>
    <n v="33187"/>
    <x v="1"/>
    <n v="6"/>
    <n v="0"/>
    <n v="0"/>
    <x v="2"/>
    <x v="1"/>
    <x v="3"/>
    <x v="0"/>
    <n v="201.25"/>
    <s v="N/A"/>
    <x v="3"/>
    <n v="0"/>
    <x v="2"/>
    <x v="1"/>
  </r>
  <r>
    <n v="44192"/>
    <x v="1"/>
    <n v="11"/>
    <n v="0"/>
    <n v="0"/>
    <x v="2"/>
    <x v="1"/>
    <x v="3"/>
    <x v="0"/>
    <n v="130.15"/>
    <n v="17.2"/>
    <x v="3"/>
    <n v="0"/>
    <x v="2"/>
    <x v="4"/>
  </r>
  <r>
    <n v="16114"/>
    <x v="0"/>
    <n v="66"/>
    <n v="0"/>
    <n v="0"/>
    <x v="1"/>
    <x v="1"/>
    <x v="0"/>
    <x v="0"/>
    <n v="108.03"/>
    <n v="27.2"/>
    <x v="1"/>
    <n v="0"/>
    <x v="0"/>
    <x v="3"/>
  </r>
  <r>
    <n v="35293"/>
    <x v="1"/>
    <n v="80"/>
    <n v="0"/>
    <n v="0"/>
    <x v="1"/>
    <x v="0"/>
    <x v="1"/>
    <x v="1"/>
    <n v="104.07"/>
    <n v="19.3"/>
    <x v="0"/>
    <n v="0"/>
    <x v="0"/>
    <x v="2"/>
  </r>
  <r>
    <n v="728"/>
    <x v="0"/>
    <n v="8"/>
    <n v="0"/>
    <n v="0"/>
    <x v="2"/>
    <x v="1"/>
    <x v="3"/>
    <x v="0"/>
    <n v="88.83"/>
    <n v="18.5"/>
    <x v="3"/>
    <n v="0"/>
    <x v="2"/>
    <x v="2"/>
  </r>
  <r>
    <n v="45788"/>
    <x v="0"/>
    <n v="53"/>
    <n v="0"/>
    <n v="1"/>
    <x v="2"/>
    <x v="0"/>
    <x v="0"/>
    <x v="1"/>
    <n v="197.79"/>
    <n v="32"/>
    <x v="3"/>
    <n v="0"/>
    <x v="1"/>
    <x v="0"/>
  </r>
  <r>
    <n v="52150"/>
    <x v="0"/>
    <n v="63"/>
    <n v="1"/>
    <n v="1"/>
    <x v="0"/>
    <x v="0"/>
    <x v="0"/>
    <x v="0"/>
    <n v="150.44999999999999"/>
    <n v="44.5"/>
    <x v="0"/>
    <n v="0"/>
    <x v="0"/>
    <x v="0"/>
  </r>
  <r>
    <n v="26172"/>
    <x v="0"/>
    <n v="31"/>
    <n v="0"/>
    <n v="0"/>
    <x v="2"/>
    <x v="0"/>
    <x v="0"/>
    <x v="1"/>
    <n v="100.39"/>
    <n v="37"/>
    <x v="1"/>
    <n v="0"/>
    <x v="2"/>
    <x v="0"/>
  </r>
  <r>
    <n v="67814"/>
    <x v="0"/>
    <n v="43"/>
    <n v="0"/>
    <n v="0"/>
    <x v="2"/>
    <x v="0"/>
    <x v="2"/>
    <x v="1"/>
    <n v="79.92"/>
    <n v="30.8"/>
    <x v="0"/>
    <n v="0"/>
    <x v="1"/>
    <x v="0"/>
  </r>
  <r>
    <n v="12618"/>
    <x v="0"/>
    <n v="79"/>
    <n v="0"/>
    <n v="1"/>
    <x v="0"/>
    <x v="0"/>
    <x v="1"/>
    <x v="0"/>
    <n v="96.79"/>
    <n v="24.7"/>
    <x v="3"/>
    <n v="0"/>
    <x v="0"/>
    <x v="2"/>
  </r>
  <r>
    <n v="28952"/>
    <x v="0"/>
    <n v="8"/>
    <n v="0"/>
    <n v="0"/>
    <x v="2"/>
    <x v="1"/>
    <x v="3"/>
    <x v="1"/>
    <n v="86.84"/>
    <n v="18.3"/>
    <x v="3"/>
    <n v="0"/>
    <x v="2"/>
    <x v="4"/>
  </r>
  <r>
    <n v="39123"/>
    <x v="0"/>
    <n v="38"/>
    <n v="0"/>
    <n v="0"/>
    <x v="2"/>
    <x v="0"/>
    <x v="0"/>
    <x v="1"/>
    <n v="61.27"/>
    <n v="44"/>
    <x v="3"/>
    <n v="0"/>
    <x v="2"/>
    <x v="0"/>
  </r>
  <r>
    <n v="53967"/>
    <x v="1"/>
    <n v="80"/>
    <n v="0"/>
    <n v="0"/>
    <x v="1"/>
    <x v="0"/>
    <x v="1"/>
    <x v="1"/>
    <n v="72.61"/>
    <n v="27.6"/>
    <x v="1"/>
    <n v="0"/>
    <x v="0"/>
    <x v="3"/>
  </r>
  <r>
    <n v="34772"/>
    <x v="1"/>
    <n v="49"/>
    <n v="0"/>
    <n v="0"/>
    <x v="2"/>
    <x v="0"/>
    <x v="0"/>
    <x v="1"/>
    <n v="82.41"/>
    <n v="45.4"/>
    <x v="2"/>
    <n v="0"/>
    <x v="1"/>
    <x v="0"/>
  </r>
  <r>
    <n v="43124"/>
    <x v="1"/>
    <n v="50"/>
    <n v="0"/>
    <n v="0"/>
    <x v="2"/>
    <x v="0"/>
    <x v="2"/>
    <x v="0"/>
    <n v="74.72"/>
    <n v="28.5"/>
    <x v="1"/>
    <n v="0"/>
    <x v="1"/>
    <x v="3"/>
  </r>
  <r>
    <n v="51916"/>
    <x v="0"/>
    <n v="13"/>
    <n v="0"/>
    <n v="0"/>
    <x v="2"/>
    <x v="1"/>
    <x v="3"/>
    <x v="1"/>
    <n v="57.37"/>
    <n v="17.600000000000001"/>
    <x v="3"/>
    <n v="0"/>
    <x v="2"/>
    <x v="4"/>
  </r>
  <r>
    <n v="68003"/>
    <x v="0"/>
    <n v="46"/>
    <n v="1"/>
    <n v="0"/>
    <x v="2"/>
    <x v="0"/>
    <x v="0"/>
    <x v="1"/>
    <n v="73.72"/>
    <s v="N/A"/>
    <x v="2"/>
    <n v="0"/>
    <x v="1"/>
    <x v="1"/>
  </r>
  <r>
    <n v="59157"/>
    <x v="0"/>
    <n v="73"/>
    <n v="1"/>
    <n v="0"/>
    <x v="0"/>
    <x v="0"/>
    <x v="0"/>
    <x v="0"/>
    <n v="88.34"/>
    <n v="27.5"/>
    <x v="1"/>
    <n v="0"/>
    <x v="0"/>
    <x v="3"/>
  </r>
  <r>
    <n v="54383"/>
    <x v="0"/>
    <n v="60"/>
    <n v="0"/>
    <n v="0"/>
    <x v="1"/>
    <x v="0"/>
    <x v="0"/>
    <x v="1"/>
    <n v="101.34"/>
    <n v="32.799999999999997"/>
    <x v="1"/>
    <n v="0"/>
    <x v="0"/>
    <x v="0"/>
  </r>
  <r>
    <n v="6928"/>
    <x v="0"/>
    <n v="44"/>
    <n v="0"/>
    <n v="0"/>
    <x v="2"/>
    <x v="0"/>
    <x v="0"/>
    <x v="1"/>
    <n v="119.01"/>
    <n v="29.5"/>
    <x v="1"/>
    <n v="0"/>
    <x v="1"/>
    <x v="3"/>
  </r>
  <r>
    <n v="321"/>
    <x v="1"/>
    <n v="79"/>
    <n v="0"/>
    <n v="0"/>
    <x v="1"/>
    <x v="1"/>
    <x v="1"/>
    <x v="1"/>
    <n v="71.98"/>
    <n v="36.4"/>
    <x v="1"/>
    <n v="0"/>
    <x v="0"/>
    <x v="0"/>
  </r>
  <r>
    <n v="21857"/>
    <x v="1"/>
    <n v="5"/>
    <n v="0"/>
    <n v="0"/>
    <x v="2"/>
    <x v="1"/>
    <x v="3"/>
    <x v="0"/>
    <n v="84.91"/>
    <n v="26.1"/>
    <x v="3"/>
    <n v="0"/>
    <x v="2"/>
    <x v="3"/>
  </r>
  <r>
    <n v="33526"/>
    <x v="1"/>
    <n v="51"/>
    <n v="0"/>
    <n v="0"/>
    <x v="2"/>
    <x v="0"/>
    <x v="1"/>
    <x v="1"/>
    <n v="91.63"/>
    <n v="35.299999999999997"/>
    <x v="3"/>
    <n v="0"/>
    <x v="1"/>
    <x v="0"/>
  </r>
  <r>
    <n v="37327"/>
    <x v="1"/>
    <n v="71"/>
    <n v="0"/>
    <n v="0"/>
    <x v="1"/>
    <x v="0"/>
    <x v="0"/>
    <x v="0"/>
    <n v="214.77"/>
    <s v="N/A"/>
    <x v="3"/>
    <n v="0"/>
    <x v="0"/>
    <x v="1"/>
  </r>
  <r>
    <n v="55976"/>
    <x v="0"/>
    <n v="5"/>
    <n v="0"/>
    <n v="0"/>
    <x v="2"/>
    <x v="1"/>
    <x v="3"/>
    <x v="1"/>
    <n v="145.71"/>
    <n v="18.100000000000001"/>
    <x v="3"/>
    <n v="0"/>
    <x v="2"/>
    <x v="4"/>
  </r>
  <r>
    <n v="56090"/>
    <x v="1"/>
    <n v="65"/>
    <n v="0"/>
    <n v="0"/>
    <x v="1"/>
    <x v="0"/>
    <x v="1"/>
    <x v="1"/>
    <n v="167.31"/>
    <n v="27.1"/>
    <x v="1"/>
    <n v="0"/>
    <x v="0"/>
    <x v="3"/>
  </r>
  <r>
    <n v="38350"/>
    <x v="1"/>
    <n v="81"/>
    <n v="0"/>
    <n v="0"/>
    <x v="1"/>
    <x v="0"/>
    <x v="1"/>
    <x v="0"/>
    <n v="63.65"/>
    <n v="23"/>
    <x v="3"/>
    <n v="0"/>
    <x v="0"/>
    <x v="2"/>
  </r>
  <r>
    <n v="6040"/>
    <x v="1"/>
    <n v="46"/>
    <n v="0"/>
    <n v="0"/>
    <x v="2"/>
    <x v="1"/>
    <x v="0"/>
    <x v="1"/>
    <n v="79.63"/>
    <n v="55"/>
    <x v="3"/>
    <n v="0"/>
    <x v="1"/>
    <x v="0"/>
  </r>
  <r>
    <n v="17639"/>
    <x v="0"/>
    <n v="44"/>
    <n v="0"/>
    <n v="0"/>
    <x v="2"/>
    <x v="0"/>
    <x v="2"/>
    <x v="1"/>
    <n v="87.49"/>
    <n v="26.6"/>
    <x v="1"/>
    <n v="0"/>
    <x v="1"/>
    <x v="3"/>
  </r>
  <r>
    <n v="1678"/>
    <x v="1"/>
    <n v="54"/>
    <n v="1"/>
    <n v="0"/>
    <x v="2"/>
    <x v="0"/>
    <x v="0"/>
    <x v="1"/>
    <n v="98.74"/>
    <s v="N/A"/>
    <x v="1"/>
    <n v="0"/>
    <x v="1"/>
    <x v="1"/>
  </r>
  <r>
    <n v="27572"/>
    <x v="1"/>
    <n v="25"/>
    <n v="0"/>
    <n v="0"/>
    <x v="2"/>
    <x v="1"/>
    <x v="0"/>
    <x v="1"/>
    <n v="92.82"/>
    <n v="24.1"/>
    <x v="1"/>
    <n v="0"/>
    <x v="2"/>
    <x v="2"/>
  </r>
  <r>
    <n v="57668"/>
    <x v="0"/>
    <n v="49"/>
    <n v="0"/>
    <n v="0"/>
    <x v="2"/>
    <x v="0"/>
    <x v="2"/>
    <x v="0"/>
    <n v="72.2"/>
    <n v="30.3"/>
    <x v="0"/>
    <n v="0"/>
    <x v="1"/>
    <x v="0"/>
  </r>
  <r>
    <n v="22001"/>
    <x v="0"/>
    <n v="80"/>
    <n v="0"/>
    <n v="1"/>
    <x v="0"/>
    <x v="0"/>
    <x v="2"/>
    <x v="1"/>
    <n v="181.23"/>
    <n v="32.200000000000003"/>
    <x v="0"/>
    <n v="0"/>
    <x v="0"/>
    <x v="0"/>
  </r>
  <r>
    <n v="54184"/>
    <x v="1"/>
    <n v="22"/>
    <n v="0"/>
    <n v="0"/>
    <x v="2"/>
    <x v="1"/>
    <x v="0"/>
    <x v="0"/>
    <n v="63.37"/>
    <n v="26.5"/>
    <x v="1"/>
    <n v="0"/>
    <x v="2"/>
    <x v="3"/>
  </r>
  <r>
    <n v="27966"/>
    <x v="1"/>
    <n v="61"/>
    <n v="0"/>
    <n v="0"/>
    <x v="1"/>
    <x v="0"/>
    <x v="0"/>
    <x v="0"/>
    <n v="74.819999999999993"/>
    <n v="30.6"/>
    <x v="1"/>
    <n v="0"/>
    <x v="0"/>
    <x v="0"/>
  </r>
  <r>
    <n v="4702"/>
    <x v="1"/>
    <n v="3"/>
    <n v="0"/>
    <n v="0"/>
    <x v="2"/>
    <x v="1"/>
    <x v="3"/>
    <x v="1"/>
    <n v="97.6"/>
    <n v="25.8"/>
    <x v="3"/>
    <n v="0"/>
    <x v="2"/>
    <x v="3"/>
  </r>
  <r>
    <n v="38123"/>
    <x v="0"/>
    <n v="50"/>
    <n v="0"/>
    <n v="0"/>
    <x v="2"/>
    <x v="0"/>
    <x v="0"/>
    <x v="1"/>
    <n v="93.04"/>
    <n v="41.9"/>
    <x v="2"/>
    <n v="0"/>
    <x v="1"/>
    <x v="0"/>
  </r>
  <r>
    <n v="47345"/>
    <x v="0"/>
    <n v="45"/>
    <n v="0"/>
    <n v="0"/>
    <x v="2"/>
    <x v="0"/>
    <x v="0"/>
    <x v="1"/>
    <n v="97.12"/>
    <n v="29.2"/>
    <x v="1"/>
    <n v="0"/>
    <x v="1"/>
    <x v="3"/>
  </r>
  <r>
    <n v="17222"/>
    <x v="0"/>
    <n v="55"/>
    <n v="1"/>
    <n v="0"/>
    <x v="2"/>
    <x v="0"/>
    <x v="1"/>
    <x v="1"/>
    <n v="82.81"/>
    <n v="44.3"/>
    <x v="1"/>
    <n v="0"/>
    <x v="1"/>
    <x v="0"/>
  </r>
  <r>
    <n v="45048"/>
    <x v="1"/>
    <n v="21"/>
    <n v="0"/>
    <n v="0"/>
    <x v="2"/>
    <x v="1"/>
    <x v="0"/>
    <x v="0"/>
    <n v="134.44999999999999"/>
    <n v="29.1"/>
    <x v="1"/>
    <n v="0"/>
    <x v="2"/>
    <x v="3"/>
  </r>
  <r>
    <n v="30084"/>
    <x v="0"/>
    <n v="0.8"/>
    <n v="0"/>
    <n v="0"/>
    <x v="2"/>
    <x v="1"/>
    <x v="3"/>
    <x v="1"/>
    <n v="98.67"/>
    <n v="17.5"/>
    <x v="3"/>
    <n v="0"/>
    <x v="2"/>
    <x v="4"/>
  </r>
  <r>
    <n v="7195"/>
    <x v="0"/>
    <n v="50"/>
    <n v="0"/>
    <n v="1"/>
    <x v="2"/>
    <x v="1"/>
    <x v="0"/>
    <x v="0"/>
    <n v="85.82"/>
    <n v="31.9"/>
    <x v="1"/>
    <n v="0"/>
    <x v="1"/>
    <x v="0"/>
  </r>
  <r>
    <n v="16260"/>
    <x v="0"/>
    <n v="73"/>
    <n v="0"/>
    <n v="1"/>
    <x v="0"/>
    <x v="0"/>
    <x v="1"/>
    <x v="1"/>
    <n v="189.45"/>
    <n v="32.200000000000003"/>
    <x v="1"/>
    <n v="0"/>
    <x v="0"/>
    <x v="0"/>
  </r>
  <r>
    <n v="52457"/>
    <x v="1"/>
    <n v="58"/>
    <n v="0"/>
    <n v="1"/>
    <x v="2"/>
    <x v="0"/>
    <x v="0"/>
    <x v="1"/>
    <n v="144.16"/>
    <n v="26"/>
    <x v="2"/>
    <n v="0"/>
    <x v="1"/>
    <x v="3"/>
  </r>
  <r>
    <n v="50650"/>
    <x v="0"/>
    <n v="30"/>
    <n v="0"/>
    <n v="0"/>
    <x v="2"/>
    <x v="1"/>
    <x v="0"/>
    <x v="1"/>
    <n v="82.56"/>
    <n v="25.4"/>
    <x v="0"/>
    <n v="0"/>
    <x v="2"/>
    <x v="3"/>
  </r>
  <r>
    <n v="35913"/>
    <x v="1"/>
    <n v="55"/>
    <n v="1"/>
    <n v="0"/>
    <x v="2"/>
    <x v="0"/>
    <x v="0"/>
    <x v="0"/>
    <n v="206.4"/>
    <n v="54.8"/>
    <x v="1"/>
    <n v="0"/>
    <x v="1"/>
    <x v="0"/>
  </r>
  <r>
    <n v="52306"/>
    <x v="0"/>
    <n v="57"/>
    <n v="0"/>
    <n v="0"/>
    <x v="2"/>
    <x v="0"/>
    <x v="1"/>
    <x v="0"/>
    <n v="67.97"/>
    <n v="27.9"/>
    <x v="1"/>
    <n v="0"/>
    <x v="1"/>
    <x v="3"/>
  </r>
  <r>
    <n v="132"/>
    <x v="1"/>
    <n v="80"/>
    <n v="0"/>
    <n v="0"/>
    <x v="1"/>
    <x v="0"/>
    <x v="2"/>
    <x v="0"/>
    <n v="84.86"/>
    <s v="N/A"/>
    <x v="3"/>
    <n v="0"/>
    <x v="0"/>
    <x v="1"/>
  </r>
  <r>
    <n v="8951"/>
    <x v="1"/>
    <n v="77"/>
    <n v="1"/>
    <n v="0"/>
    <x v="0"/>
    <x v="0"/>
    <x v="1"/>
    <x v="0"/>
    <n v="71.7"/>
    <n v="32.799999999999997"/>
    <x v="1"/>
    <n v="0"/>
    <x v="0"/>
    <x v="0"/>
  </r>
  <r>
    <n v="64752"/>
    <x v="1"/>
    <n v="29"/>
    <n v="0"/>
    <n v="0"/>
    <x v="2"/>
    <x v="1"/>
    <x v="0"/>
    <x v="0"/>
    <n v="72.02"/>
    <n v="34"/>
    <x v="0"/>
    <n v="0"/>
    <x v="2"/>
    <x v="0"/>
  </r>
  <r>
    <n v="51285"/>
    <x v="1"/>
    <n v="46"/>
    <n v="0"/>
    <n v="0"/>
    <x v="2"/>
    <x v="0"/>
    <x v="0"/>
    <x v="0"/>
    <n v="61.81"/>
    <n v="25.5"/>
    <x v="3"/>
    <n v="0"/>
    <x v="1"/>
    <x v="3"/>
  </r>
  <r>
    <n v="14349"/>
    <x v="1"/>
    <n v="40"/>
    <n v="0"/>
    <n v="0"/>
    <x v="2"/>
    <x v="0"/>
    <x v="0"/>
    <x v="0"/>
    <n v="103.09"/>
    <n v="35.6"/>
    <x v="3"/>
    <n v="0"/>
    <x v="1"/>
    <x v="0"/>
  </r>
  <r>
    <n v="40571"/>
    <x v="0"/>
    <n v="29"/>
    <n v="0"/>
    <n v="0"/>
    <x v="2"/>
    <x v="1"/>
    <x v="0"/>
    <x v="0"/>
    <n v="73.75"/>
    <n v="28.3"/>
    <x v="1"/>
    <n v="0"/>
    <x v="2"/>
    <x v="3"/>
  </r>
  <r>
    <n v="40624"/>
    <x v="1"/>
    <n v="37"/>
    <n v="0"/>
    <n v="0"/>
    <x v="2"/>
    <x v="0"/>
    <x v="0"/>
    <x v="1"/>
    <n v="156.69999999999999"/>
    <n v="36.9"/>
    <x v="1"/>
    <n v="0"/>
    <x v="2"/>
    <x v="0"/>
  </r>
  <r>
    <n v="13072"/>
    <x v="1"/>
    <n v="35"/>
    <n v="0"/>
    <n v="0"/>
    <x v="2"/>
    <x v="0"/>
    <x v="1"/>
    <x v="0"/>
    <n v="70.87"/>
    <n v="22.1"/>
    <x v="0"/>
    <n v="0"/>
    <x v="2"/>
    <x v="2"/>
  </r>
  <r>
    <n v="66310"/>
    <x v="0"/>
    <n v="54"/>
    <n v="0"/>
    <n v="0"/>
    <x v="2"/>
    <x v="0"/>
    <x v="1"/>
    <x v="1"/>
    <n v="138.47"/>
    <n v="31.5"/>
    <x v="1"/>
    <n v="0"/>
    <x v="1"/>
    <x v="0"/>
  </r>
  <r>
    <n v="58101"/>
    <x v="1"/>
    <n v="56"/>
    <n v="0"/>
    <n v="1"/>
    <x v="2"/>
    <x v="0"/>
    <x v="0"/>
    <x v="1"/>
    <n v="64.66"/>
    <n v="26.7"/>
    <x v="0"/>
    <n v="0"/>
    <x v="1"/>
    <x v="3"/>
  </r>
  <r>
    <n v="22969"/>
    <x v="1"/>
    <n v="26"/>
    <n v="0"/>
    <n v="0"/>
    <x v="2"/>
    <x v="0"/>
    <x v="0"/>
    <x v="1"/>
    <n v="91.88"/>
    <n v="24.9"/>
    <x v="0"/>
    <n v="0"/>
    <x v="2"/>
    <x v="2"/>
  </r>
  <r>
    <n v="28904"/>
    <x v="1"/>
    <n v="75"/>
    <n v="0"/>
    <n v="0"/>
    <x v="1"/>
    <x v="0"/>
    <x v="1"/>
    <x v="1"/>
    <n v="74.790000000000006"/>
    <n v="32.4"/>
    <x v="1"/>
    <n v="0"/>
    <x v="0"/>
    <x v="0"/>
  </r>
  <r>
    <n v="6563"/>
    <x v="1"/>
    <n v="44"/>
    <n v="0"/>
    <n v="0"/>
    <x v="2"/>
    <x v="1"/>
    <x v="0"/>
    <x v="1"/>
    <n v="78.180000000000007"/>
    <n v="32.200000000000003"/>
    <x v="1"/>
    <n v="0"/>
    <x v="1"/>
    <x v="0"/>
  </r>
  <r>
    <n v="55315"/>
    <x v="0"/>
    <n v="63"/>
    <n v="0"/>
    <n v="0"/>
    <x v="1"/>
    <x v="0"/>
    <x v="0"/>
    <x v="1"/>
    <n v="77.819999999999993"/>
    <n v="30.3"/>
    <x v="3"/>
    <n v="0"/>
    <x v="0"/>
    <x v="0"/>
  </r>
  <r>
    <n v="47537"/>
    <x v="1"/>
    <n v="17"/>
    <n v="0"/>
    <n v="0"/>
    <x v="2"/>
    <x v="1"/>
    <x v="0"/>
    <x v="1"/>
    <n v="112.23"/>
    <n v="28.7"/>
    <x v="1"/>
    <n v="0"/>
    <x v="2"/>
    <x v="3"/>
  </r>
  <r>
    <n v="45945"/>
    <x v="0"/>
    <n v="46"/>
    <n v="0"/>
    <n v="1"/>
    <x v="2"/>
    <x v="0"/>
    <x v="0"/>
    <x v="0"/>
    <n v="178.76"/>
    <n v="24.1"/>
    <x v="1"/>
    <n v="0"/>
    <x v="1"/>
    <x v="2"/>
  </r>
  <r>
    <n v="65849"/>
    <x v="1"/>
    <n v="47"/>
    <n v="0"/>
    <n v="0"/>
    <x v="2"/>
    <x v="0"/>
    <x v="0"/>
    <x v="1"/>
    <n v="121.43"/>
    <n v="25.3"/>
    <x v="1"/>
    <n v="0"/>
    <x v="1"/>
    <x v="3"/>
  </r>
  <r>
    <n v="31125"/>
    <x v="1"/>
    <n v="50"/>
    <n v="0"/>
    <n v="0"/>
    <x v="2"/>
    <x v="0"/>
    <x v="0"/>
    <x v="1"/>
    <n v="94.22"/>
    <n v="24.8"/>
    <x v="1"/>
    <n v="0"/>
    <x v="1"/>
    <x v="2"/>
  </r>
  <r>
    <n v="5103"/>
    <x v="1"/>
    <n v="49"/>
    <n v="0"/>
    <n v="0"/>
    <x v="2"/>
    <x v="0"/>
    <x v="0"/>
    <x v="1"/>
    <n v="67.27"/>
    <s v="N/A"/>
    <x v="0"/>
    <n v="0"/>
    <x v="1"/>
    <x v="1"/>
  </r>
  <r>
    <n v="54526"/>
    <x v="0"/>
    <n v="76"/>
    <n v="1"/>
    <n v="0"/>
    <x v="0"/>
    <x v="0"/>
    <x v="1"/>
    <x v="1"/>
    <n v="197.58"/>
    <n v="34.799999999999997"/>
    <x v="0"/>
    <n v="0"/>
    <x v="0"/>
    <x v="0"/>
  </r>
  <r>
    <n v="67309"/>
    <x v="0"/>
    <n v="47"/>
    <n v="0"/>
    <n v="0"/>
    <x v="2"/>
    <x v="0"/>
    <x v="0"/>
    <x v="1"/>
    <n v="86.37"/>
    <n v="39.200000000000003"/>
    <x v="2"/>
    <n v="0"/>
    <x v="1"/>
    <x v="0"/>
  </r>
  <r>
    <n v="2275"/>
    <x v="1"/>
    <n v="47"/>
    <n v="0"/>
    <n v="0"/>
    <x v="2"/>
    <x v="0"/>
    <x v="0"/>
    <x v="0"/>
    <n v="112.09"/>
    <n v="24.7"/>
    <x v="2"/>
    <n v="0"/>
    <x v="1"/>
    <x v="2"/>
  </r>
  <r>
    <n v="29869"/>
    <x v="0"/>
    <n v="49"/>
    <n v="0"/>
    <n v="0"/>
    <x v="2"/>
    <x v="0"/>
    <x v="0"/>
    <x v="0"/>
    <n v="199.96"/>
    <n v="28.6"/>
    <x v="1"/>
    <n v="0"/>
    <x v="1"/>
    <x v="3"/>
  </r>
  <r>
    <n v="15757"/>
    <x v="0"/>
    <n v="71"/>
    <n v="0"/>
    <n v="0"/>
    <x v="1"/>
    <x v="0"/>
    <x v="0"/>
    <x v="0"/>
    <n v="85.33"/>
    <n v="27.7"/>
    <x v="1"/>
    <n v="0"/>
    <x v="0"/>
    <x v="3"/>
  </r>
  <r>
    <n v="38523"/>
    <x v="1"/>
    <n v="65"/>
    <n v="0"/>
    <n v="0"/>
    <x v="1"/>
    <x v="1"/>
    <x v="1"/>
    <x v="1"/>
    <n v="86.33"/>
    <n v="33.1"/>
    <x v="1"/>
    <n v="0"/>
    <x v="0"/>
    <x v="0"/>
  </r>
  <r>
    <n v="65388"/>
    <x v="1"/>
    <n v="40"/>
    <n v="0"/>
    <n v="0"/>
    <x v="2"/>
    <x v="1"/>
    <x v="0"/>
    <x v="0"/>
    <n v="80.47"/>
    <n v="27.3"/>
    <x v="2"/>
    <n v="0"/>
    <x v="1"/>
    <x v="3"/>
  </r>
  <r>
    <n v="60816"/>
    <x v="1"/>
    <n v="82"/>
    <n v="1"/>
    <n v="0"/>
    <x v="0"/>
    <x v="0"/>
    <x v="0"/>
    <x v="0"/>
    <n v="62.46"/>
    <n v="20.3"/>
    <x v="0"/>
    <n v="0"/>
    <x v="0"/>
    <x v="2"/>
  </r>
  <r>
    <n v="67350"/>
    <x v="1"/>
    <n v="64"/>
    <n v="0"/>
    <n v="0"/>
    <x v="1"/>
    <x v="0"/>
    <x v="2"/>
    <x v="1"/>
    <n v="78.849999999999994"/>
    <n v="33.9"/>
    <x v="1"/>
    <n v="0"/>
    <x v="0"/>
    <x v="0"/>
  </r>
  <r>
    <n v="40124"/>
    <x v="0"/>
    <n v="72"/>
    <n v="0"/>
    <n v="0"/>
    <x v="1"/>
    <x v="0"/>
    <x v="1"/>
    <x v="1"/>
    <n v="72.09"/>
    <s v="N/A"/>
    <x v="2"/>
    <n v="0"/>
    <x v="0"/>
    <x v="1"/>
  </r>
  <r>
    <n v="20370"/>
    <x v="1"/>
    <n v="50"/>
    <n v="0"/>
    <n v="0"/>
    <x v="2"/>
    <x v="0"/>
    <x v="1"/>
    <x v="1"/>
    <n v="103.81"/>
    <n v="28.3"/>
    <x v="1"/>
    <n v="0"/>
    <x v="1"/>
    <x v="3"/>
  </r>
  <r>
    <n v="35188"/>
    <x v="1"/>
    <n v="40"/>
    <n v="0"/>
    <n v="0"/>
    <x v="2"/>
    <x v="1"/>
    <x v="0"/>
    <x v="0"/>
    <n v="78.040000000000006"/>
    <n v="32.4"/>
    <x v="2"/>
    <n v="0"/>
    <x v="1"/>
    <x v="0"/>
  </r>
  <r>
    <n v="28716"/>
    <x v="1"/>
    <n v="74"/>
    <n v="0"/>
    <n v="0"/>
    <x v="1"/>
    <x v="0"/>
    <x v="1"/>
    <x v="1"/>
    <n v="94.67"/>
    <n v="19.7"/>
    <x v="3"/>
    <n v="0"/>
    <x v="0"/>
    <x v="2"/>
  </r>
  <r>
    <n v="56166"/>
    <x v="1"/>
    <n v="30"/>
    <n v="0"/>
    <n v="0"/>
    <x v="2"/>
    <x v="0"/>
    <x v="2"/>
    <x v="1"/>
    <n v="62.25"/>
    <n v="33.700000000000003"/>
    <x v="1"/>
    <n v="0"/>
    <x v="2"/>
    <x v="0"/>
  </r>
  <r>
    <n v="47159"/>
    <x v="0"/>
    <n v="68"/>
    <n v="0"/>
    <n v="0"/>
    <x v="1"/>
    <x v="0"/>
    <x v="0"/>
    <x v="0"/>
    <n v="155.16999999999999"/>
    <n v="35.5"/>
    <x v="1"/>
    <n v="0"/>
    <x v="0"/>
    <x v="0"/>
  </r>
  <r>
    <n v="26242"/>
    <x v="0"/>
    <n v="6"/>
    <n v="0"/>
    <n v="0"/>
    <x v="2"/>
    <x v="1"/>
    <x v="3"/>
    <x v="0"/>
    <n v="83.28"/>
    <n v="20"/>
    <x v="3"/>
    <n v="0"/>
    <x v="2"/>
    <x v="2"/>
  </r>
  <r>
    <n v="36226"/>
    <x v="0"/>
    <n v="4"/>
    <n v="0"/>
    <n v="0"/>
    <x v="2"/>
    <x v="1"/>
    <x v="3"/>
    <x v="0"/>
    <n v="132.41"/>
    <n v="16.3"/>
    <x v="3"/>
    <n v="0"/>
    <x v="2"/>
    <x v="4"/>
  </r>
  <r>
    <n v="47357"/>
    <x v="1"/>
    <n v="60"/>
    <n v="0"/>
    <n v="0"/>
    <x v="1"/>
    <x v="0"/>
    <x v="0"/>
    <x v="1"/>
    <n v="62.78"/>
    <n v="36.4"/>
    <x v="3"/>
    <n v="0"/>
    <x v="0"/>
    <x v="0"/>
  </r>
  <r>
    <n v="33167"/>
    <x v="1"/>
    <n v="59"/>
    <n v="0"/>
    <n v="0"/>
    <x v="2"/>
    <x v="0"/>
    <x v="0"/>
    <x v="0"/>
    <n v="89.96"/>
    <n v="28.1"/>
    <x v="3"/>
    <n v="0"/>
    <x v="1"/>
    <x v="3"/>
  </r>
  <r>
    <n v="21042"/>
    <x v="1"/>
    <n v="72"/>
    <n v="0"/>
    <n v="0"/>
    <x v="1"/>
    <x v="0"/>
    <x v="1"/>
    <x v="1"/>
    <n v="103.25"/>
    <n v="26.9"/>
    <x v="0"/>
    <n v="0"/>
    <x v="0"/>
    <x v="3"/>
  </r>
  <r>
    <n v="71062"/>
    <x v="1"/>
    <n v="62"/>
    <n v="0"/>
    <n v="0"/>
    <x v="1"/>
    <x v="0"/>
    <x v="0"/>
    <x v="1"/>
    <n v="126.99"/>
    <n v="29.4"/>
    <x v="0"/>
    <n v="0"/>
    <x v="0"/>
    <x v="3"/>
  </r>
  <r>
    <n v="32723"/>
    <x v="1"/>
    <n v="13"/>
    <n v="0"/>
    <n v="0"/>
    <x v="2"/>
    <x v="1"/>
    <x v="3"/>
    <x v="1"/>
    <n v="102.27"/>
    <n v="17.2"/>
    <x v="1"/>
    <n v="0"/>
    <x v="2"/>
    <x v="4"/>
  </r>
  <r>
    <n v="49646"/>
    <x v="0"/>
    <n v="72"/>
    <n v="0"/>
    <n v="1"/>
    <x v="0"/>
    <x v="0"/>
    <x v="1"/>
    <x v="1"/>
    <n v="113.63"/>
    <n v="26.5"/>
    <x v="3"/>
    <n v="0"/>
    <x v="0"/>
    <x v="3"/>
  </r>
  <r>
    <n v="35737"/>
    <x v="0"/>
    <n v="1.08"/>
    <n v="0"/>
    <n v="0"/>
    <x v="2"/>
    <x v="1"/>
    <x v="3"/>
    <x v="0"/>
    <n v="86.09"/>
    <n v="19.5"/>
    <x v="3"/>
    <n v="0"/>
    <x v="2"/>
    <x v="2"/>
  </r>
  <r>
    <n v="24256"/>
    <x v="0"/>
    <n v="35"/>
    <n v="0"/>
    <n v="0"/>
    <x v="2"/>
    <x v="0"/>
    <x v="0"/>
    <x v="1"/>
    <n v="108.08"/>
    <n v="30.6"/>
    <x v="0"/>
    <n v="0"/>
    <x v="2"/>
    <x v="0"/>
  </r>
  <r>
    <n v="62340"/>
    <x v="0"/>
    <n v="54"/>
    <n v="0"/>
    <n v="0"/>
    <x v="2"/>
    <x v="0"/>
    <x v="0"/>
    <x v="0"/>
    <n v="108.34"/>
    <n v="31.9"/>
    <x v="1"/>
    <n v="0"/>
    <x v="1"/>
    <x v="0"/>
  </r>
  <r>
    <n v="39927"/>
    <x v="0"/>
    <n v="40"/>
    <n v="0"/>
    <n v="0"/>
    <x v="2"/>
    <x v="0"/>
    <x v="0"/>
    <x v="1"/>
    <n v="56.07"/>
    <n v="26.6"/>
    <x v="1"/>
    <n v="0"/>
    <x v="1"/>
    <x v="3"/>
  </r>
  <r>
    <n v="30677"/>
    <x v="1"/>
    <n v="3"/>
    <n v="0"/>
    <n v="0"/>
    <x v="2"/>
    <x v="1"/>
    <x v="3"/>
    <x v="0"/>
    <n v="82.91"/>
    <n v="19.899999999999999"/>
    <x v="3"/>
    <n v="0"/>
    <x v="2"/>
    <x v="2"/>
  </r>
  <r>
    <n v="50453"/>
    <x v="0"/>
    <n v="2"/>
    <n v="0"/>
    <n v="0"/>
    <x v="2"/>
    <x v="1"/>
    <x v="3"/>
    <x v="0"/>
    <n v="94.75"/>
    <n v="18"/>
    <x v="3"/>
    <n v="0"/>
    <x v="2"/>
    <x v="4"/>
  </r>
  <r>
    <n v="17398"/>
    <x v="0"/>
    <n v="41"/>
    <n v="0"/>
    <n v="0"/>
    <x v="2"/>
    <x v="0"/>
    <x v="0"/>
    <x v="1"/>
    <n v="101.79"/>
    <n v="26.7"/>
    <x v="3"/>
    <n v="0"/>
    <x v="1"/>
    <x v="3"/>
  </r>
  <r>
    <n v="20938"/>
    <x v="1"/>
    <n v="61"/>
    <n v="0"/>
    <n v="0"/>
    <x v="1"/>
    <x v="0"/>
    <x v="0"/>
    <x v="1"/>
    <n v="88.41"/>
    <n v="25.3"/>
    <x v="0"/>
    <n v="0"/>
    <x v="0"/>
    <x v="3"/>
  </r>
  <r>
    <n v="21850"/>
    <x v="0"/>
    <n v="58"/>
    <n v="0"/>
    <n v="0"/>
    <x v="2"/>
    <x v="0"/>
    <x v="2"/>
    <x v="0"/>
    <n v="101.05"/>
    <n v="31.4"/>
    <x v="3"/>
    <n v="0"/>
    <x v="1"/>
    <x v="0"/>
  </r>
  <r>
    <n v="14241"/>
    <x v="0"/>
    <n v="17"/>
    <n v="0"/>
    <n v="0"/>
    <x v="2"/>
    <x v="1"/>
    <x v="0"/>
    <x v="0"/>
    <n v="85.07"/>
    <n v="21.1"/>
    <x v="1"/>
    <n v="0"/>
    <x v="2"/>
    <x v="2"/>
  </r>
  <r>
    <n v="43905"/>
    <x v="1"/>
    <n v="64"/>
    <n v="0"/>
    <n v="0"/>
    <x v="1"/>
    <x v="1"/>
    <x v="2"/>
    <x v="1"/>
    <n v="108.1"/>
    <n v="17.899999999999999"/>
    <x v="1"/>
    <n v="0"/>
    <x v="0"/>
    <x v="4"/>
  </r>
  <r>
    <n v="40144"/>
    <x v="1"/>
    <n v="32"/>
    <n v="0"/>
    <n v="0"/>
    <x v="2"/>
    <x v="1"/>
    <x v="1"/>
    <x v="1"/>
    <n v="93.17"/>
    <n v="27.5"/>
    <x v="2"/>
    <n v="0"/>
    <x v="2"/>
    <x v="3"/>
  </r>
  <r>
    <n v="7806"/>
    <x v="1"/>
    <n v="42"/>
    <n v="0"/>
    <n v="0"/>
    <x v="2"/>
    <x v="0"/>
    <x v="0"/>
    <x v="0"/>
    <n v="158.88999999999999"/>
    <n v="37.6"/>
    <x v="2"/>
    <n v="0"/>
    <x v="1"/>
    <x v="0"/>
  </r>
  <r>
    <n v="63984"/>
    <x v="0"/>
    <n v="39"/>
    <n v="0"/>
    <n v="0"/>
    <x v="2"/>
    <x v="0"/>
    <x v="0"/>
    <x v="1"/>
    <n v="205.77"/>
    <n v="24.1"/>
    <x v="1"/>
    <n v="0"/>
    <x v="2"/>
    <x v="2"/>
  </r>
  <r>
    <n v="13504"/>
    <x v="1"/>
    <n v="10"/>
    <n v="0"/>
    <n v="0"/>
    <x v="2"/>
    <x v="1"/>
    <x v="3"/>
    <x v="0"/>
    <n v="112.34"/>
    <n v="18.100000000000001"/>
    <x v="3"/>
    <n v="0"/>
    <x v="2"/>
    <x v="4"/>
  </r>
  <r>
    <n v="62272"/>
    <x v="1"/>
    <n v="78"/>
    <n v="0"/>
    <n v="0"/>
    <x v="1"/>
    <x v="0"/>
    <x v="0"/>
    <x v="0"/>
    <n v="119.03"/>
    <n v="31"/>
    <x v="1"/>
    <n v="0"/>
    <x v="0"/>
    <x v="0"/>
  </r>
  <r>
    <n v="5878"/>
    <x v="1"/>
    <n v="68"/>
    <n v="0"/>
    <n v="0"/>
    <x v="1"/>
    <x v="0"/>
    <x v="0"/>
    <x v="0"/>
    <n v="237.21"/>
    <n v="26.6"/>
    <x v="2"/>
    <n v="0"/>
    <x v="0"/>
    <x v="3"/>
  </r>
  <r>
    <n v="62767"/>
    <x v="1"/>
    <n v="24"/>
    <n v="0"/>
    <n v="0"/>
    <x v="2"/>
    <x v="0"/>
    <x v="0"/>
    <x v="0"/>
    <n v="89.68"/>
    <n v="38.700000000000003"/>
    <x v="1"/>
    <n v="0"/>
    <x v="2"/>
    <x v="0"/>
  </r>
  <r>
    <n v="239"/>
    <x v="0"/>
    <n v="59"/>
    <n v="1"/>
    <n v="1"/>
    <x v="2"/>
    <x v="0"/>
    <x v="0"/>
    <x v="1"/>
    <n v="246.53"/>
    <n v="27.2"/>
    <x v="0"/>
    <n v="0"/>
    <x v="1"/>
    <x v="3"/>
  </r>
  <r>
    <n v="3184"/>
    <x v="1"/>
    <n v="45"/>
    <n v="0"/>
    <n v="0"/>
    <x v="2"/>
    <x v="0"/>
    <x v="0"/>
    <x v="0"/>
    <n v="89.05"/>
    <n v="27.8"/>
    <x v="0"/>
    <n v="0"/>
    <x v="1"/>
    <x v="3"/>
  </r>
  <r>
    <n v="51959"/>
    <x v="0"/>
    <n v="12"/>
    <n v="0"/>
    <n v="0"/>
    <x v="2"/>
    <x v="1"/>
    <x v="3"/>
    <x v="1"/>
    <n v="81.739999999999995"/>
    <n v="28.3"/>
    <x v="3"/>
    <n v="0"/>
    <x v="2"/>
    <x v="3"/>
  </r>
  <r>
    <n v="2092"/>
    <x v="1"/>
    <n v="37"/>
    <n v="0"/>
    <n v="0"/>
    <x v="2"/>
    <x v="0"/>
    <x v="0"/>
    <x v="1"/>
    <n v="98.12"/>
    <n v="27.5"/>
    <x v="1"/>
    <n v="0"/>
    <x v="2"/>
    <x v="3"/>
  </r>
  <r>
    <n v="69239"/>
    <x v="1"/>
    <n v="43"/>
    <n v="0"/>
    <n v="0"/>
    <x v="2"/>
    <x v="0"/>
    <x v="1"/>
    <x v="1"/>
    <n v="105.59"/>
    <n v="43.3"/>
    <x v="2"/>
    <n v="0"/>
    <x v="1"/>
    <x v="0"/>
  </r>
  <r>
    <n v="68235"/>
    <x v="0"/>
    <n v="12"/>
    <n v="0"/>
    <n v="0"/>
    <x v="2"/>
    <x v="1"/>
    <x v="3"/>
    <x v="1"/>
    <n v="86"/>
    <n v="20.100000000000001"/>
    <x v="0"/>
    <n v="0"/>
    <x v="2"/>
    <x v="2"/>
  </r>
  <r>
    <n v="3956"/>
    <x v="0"/>
    <n v="13"/>
    <n v="0"/>
    <n v="0"/>
    <x v="2"/>
    <x v="1"/>
    <x v="3"/>
    <x v="0"/>
    <n v="65.510000000000005"/>
    <n v="25.9"/>
    <x v="3"/>
    <n v="0"/>
    <x v="2"/>
    <x v="3"/>
  </r>
  <r>
    <n v="42703"/>
    <x v="0"/>
    <n v="74"/>
    <n v="0"/>
    <n v="0"/>
    <x v="1"/>
    <x v="0"/>
    <x v="1"/>
    <x v="0"/>
    <n v="61.78"/>
    <n v="25.8"/>
    <x v="3"/>
    <n v="0"/>
    <x v="0"/>
    <x v="3"/>
  </r>
  <r>
    <n v="34436"/>
    <x v="1"/>
    <n v="2"/>
    <n v="0"/>
    <n v="0"/>
    <x v="2"/>
    <x v="1"/>
    <x v="3"/>
    <x v="1"/>
    <n v="109.56"/>
    <n v="16.399999999999999"/>
    <x v="3"/>
    <n v="0"/>
    <x v="2"/>
    <x v="4"/>
  </r>
  <r>
    <n v="39258"/>
    <x v="1"/>
    <n v="59"/>
    <n v="0"/>
    <n v="0"/>
    <x v="2"/>
    <x v="0"/>
    <x v="1"/>
    <x v="0"/>
    <n v="65.819999999999993"/>
    <n v="29.4"/>
    <x v="1"/>
    <n v="0"/>
    <x v="1"/>
    <x v="3"/>
  </r>
  <r>
    <n v="40513"/>
    <x v="1"/>
    <n v="21"/>
    <n v="0"/>
    <n v="0"/>
    <x v="2"/>
    <x v="1"/>
    <x v="0"/>
    <x v="0"/>
    <n v="90.16"/>
    <n v="28.9"/>
    <x v="2"/>
    <n v="0"/>
    <x v="2"/>
    <x v="3"/>
  </r>
  <r>
    <n v="48648"/>
    <x v="1"/>
    <n v="55"/>
    <n v="0"/>
    <n v="0"/>
    <x v="2"/>
    <x v="0"/>
    <x v="0"/>
    <x v="0"/>
    <n v="64.45"/>
    <n v="26.7"/>
    <x v="1"/>
    <n v="0"/>
    <x v="1"/>
    <x v="3"/>
  </r>
  <r>
    <n v="48836"/>
    <x v="1"/>
    <n v="14"/>
    <n v="0"/>
    <n v="0"/>
    <x v="2"/>
    <x v="1"/>
    <x v="3"/>
    <x v="0"/>
    <n v="91.85"/>
    <n v="27.8"/>
    <x v="1"/>
    <n v="0"/>
    <x v="2"/>
    <x v="3"/>
  </r>
  <r>
    <n v="71444"/>
    <x v="1"/>
    <n v="53"/>
    <n v="0"/>
    <n v="0"/>
    <x v="2"/>
    <x v="0"/>
    <x v="0"/>
    <x v="1"/>
    <n v="97.89"/>
    <n v="38.700000000000003"/>
    <x v="0"/>
    <n v="0"/>
    <x v="1"/>
    <x v="0"/>
  </r>
  <r>
    <n v="33983"/>
    <x v="0"/>
    <n v="75"/>
    <n v="0"/>
    <n v="0"/>
    <x v="1"/>
    <x v="0"/>
    <x v="2"/>
    <x v="1"/>
    <n v="206.33"/>
    <n v="26.8"/>
    <x v="1"/>
    <n v="0"/>
    <x v="0"/>
    <x v="3"/>
  </r>
  <r>
    <n v="35372"/>
    <x v="0"/>
    <n v="37"/>
    <n v="0"/>
    <n v="0"/>
    <x v="2"/>
    <x v="0"/>
    <x v="2"/>
    <x v="1"/>
    <n v="74.290000000000006"/>
    <n v="36.1"/>
    <x v="1"/>
    <n v="0"/>
    <x v="2"/>
    <x v="0"/>
  </r>
  <r>
    <n v="31849"/>
    <x v="1"/>
    <n v="49"/>
    <n v="0"/>
    <n v="0"/>
    <x v="2"/>
    <x v="0"/>
    <x v="0"/>
    <x v="1"/>
    <n v="107.4"/>
    <n v="26.7"/>
    <x v="2"/>
    <n v="0"/>
    <x v="1"/>
    <x v="3"/>
  </r>
  <r>
    <n v="2772"/>
    <x v="0"/>
    <n v="55"/>
    <n v="0"/>
    <n v="0"/>
    <x v="2"/>
    <x v="0"/>
    <x v="0"/>
    <x v="0"/>
    <n v="87.72"/>
    <n v="27"/>
    <x v="3"/>
    <n v="0"/>
    <x v="1"/>
    <x v="3"/>
  </r>
  <r>
    <n v="11148"/>
    <x v="0"/>
    <n v="57"/>
    <n v="0"/>
    <n v="0"/>
    <x v="2"/>
    <x v="0"/>
    <x v="0"/>
    <x v="1"/>
    <n v="85.99"/>
    <n v="21.2"/>
    <x v="3"/>
    <n v="0"/>
    <x v="1"/>
    <x v="2"/>
  </r>
  <r>
    <n v="62387"/>
    <x v="1"/>
    <n v="45"/>
    <n v="0"/>
    <n v="0"/>
    <x v="2"/>
    <x v="0"/>
    <x v="0"/>
    <x v="0"/>
    <n v="100.84"/>
    <n v="21"/>
    <x v="1"/>
    <n v="0"/>
    <x v="1"/>
    <x v="2"/>
  </r>
  <r>
    <n v="50775"/>
    <x v="0"/>
    <n v="46"/>
    <n v="0"/>
    <n v="0"/>
    <x v="2"/>
    <x v="1"/>
    <x v="0"/>
    <x v="0"/>
    <n v="124.61"/>
    <n v="37.4"/>
    <x v="3"/>
    <n v="0"/>
    <x v="1"/>
    <x v="0"/>
  </r>
  <r>
    <n v="3807"/>
    <x v="1"/>
    <n v="12"/>
    <n v="0"/>
    <n v="0"/>
    <x v="2"/>
    <x v="1"/>
    <x v="3"/>
    <x v="0"/>
    <n v="86.55"/>
    <n v="26.5"/>
    <x v="3"/>
    <n v="0"/>
    <x v="2"/>
    <x v="3"/>
  </r>
  <r>
    <n v="51339"/>
    <x v="0"/>
    <n v="12"/>
    <n v="0"/>
    <n v="0"/>
    <x v="2"/>
    <x v="1"/>
    <x v="3"/>
    <x v="1"/>
    <n v="90.42"/>
    <n v="28.9"/>
    <x v="3"/>
    <n v="0"/>
    <x v="2"/>
    <x v="3"/>
  </r>
  <r>
    <n v="69259"/>
    <x v="1"/>
    <n v="77"/>
    <n v="0"/>
    <n v="0"/>
    <x v="1"/>
    <x v="0"/>
    <x v="0"/>
    <x v="1"/>
    <n v="100.85"/>
    <n v="29.5"/>
    <x v="2"/>
    <n v="0"/>
    <x v="0"/>
    <x v="3"/>
  </r>
  <r>
    <n v="32826"/>
    <x v="0"/>
    <n v="6"/>
    <n v="0"/>
    <n v="0"/>
    <x v="2"/>
    <x v="1"/>
    <x v="3"/>
    <x v="0"/>
    <n v="87.74"/>
    <n v="17.7"/>
    <x v="3"/>
    <n v="0"/>
    <x v="2"/>
    <x v="4"/>
  </r>
  <r>
    <n v="12414"/>
    <x v="0"/>
    <n v="76"/>
    <n v="1"/>
    <n v="0"/>
    <x v="0"/>
    <x v="0"/>
    <x v="0"/>
    <x v="1"/>
    <n v="80.150000000000006"/>
    <n v="34.9"/>
    <x v="0"/>
    <n v="0"/>
    <x v="0"/>
    <x v="0"/>
  </r>
  <r>
    <n v="21381"/>
    <x v="1"/>
    <n v="52"/>
    <n v="0"/>
    <n v="0"/>
    <x v="2"/>
    <x v="0"/>
    <x v="0"/>
    <x v="0"/>
    <n v="107.29"/>
    <n v="28.1"/>
    <x v="1"/>
    <n v="0"/>
    <x v="1"/>
    <x v="3"/>
  </r>
  <r>
    <n v="29375"/>
    <x v="0"/>
    <n v="62"/>
    <n v="0"/>
    <n v="0"/>
    <x v="1"/>
    <x v="0"/>
    <x v="0"/>
    <x v="0"/>
    <n v="206.98"/>
    <n v="36.799999999999997"/>
    <x v="2"/>
    <n v="0"/>
    <x v="0"/>
    <x v="0"/>
  </r>
  <r>
    <n v="62452"/>
    <x v="0"/>
    <n v="82"/>
    <n v="1"/>
    <n v="0"/>
    <x v="0"/>
    <x v="0"/>
    <x v="0"/>
    <x v="1"/>
    <n v="227.28"/>
    <n v="33.299999999999997"/>
    <x v="1"/>
    <n v="0"/>
    <x v="0"/>
    <x v="0"/>
  </r>
  <r>
    <n v="68650"/>
    <x v="0"/>
    <n v="69"/>
    <n v="0"/>
    <n v="1"/>
    <x v="0"/>
    <x v="0"/>
    <x v="0"/>
    <x v="1"/>
    <n v="80.430000000000007"/>
    <n v="29.2"/>
    <x v="3"/>
    <n v="0"/>
    <x v="0"/>
    <x v="3"/>
  </r>
  <r>
    <n v="47622"/>
    <x v="0"/>
    <n v="78"/>
    <n v="0"/>
    <n v="1"/>
    <x v="0"/>
    <x v="0"/>
    <x v="1"/>
    <x v="0"/>
    <n v="228.7"/>
    <n v="34"/>
    <x v="3"/>
    <n v="0"/>
    <x v="0"/>
    <x v="0"/>
  </r>
  <r>
    <n v="57124"/>
    <x v="0"/>
    <n v="37"/>
    <n v="0"/>
    <n v="0"/>
    <x v="2"/>
    <x v="0"/>
    <x v="0"/>
    <x v="0"/>
    <n v="120.07"/>
    <n v="33.9"/>
    <x v="2"/>
    <n v="0"/>
    <x v="2"/>
    <x v="0"/>
  </r>
  <r>
    <n v="19382"/>
    <x v="1"/>
    <n v="50"/>
    <n v="0"/>
    <n v="0"/>
    <x v="2"/>
    <x v="0"/>
    <x v="0"/>
    <x v="1"/>
    <n v="93.47"/>
    <n v="28.7"/>
    <x v="1"/>
    <n v="0"/>
    <x v="1"/>
    <x v="3"/>
  </r>
  <r>
    <n v="44179"/>
    <x v="1"/>
    <n v="41"/>
    <n v="0"/>
    <n v="0"/>
    <x v="2"/>
    <x v="0"/>
    <x v="0"/>
    <x v="0"/>
    <n v="80.77"/>
    <n v="21.1"/>
    <x v="1"/>
    <n v="0"/>
    <x v="1"/>
    <x v="2"/>
  </r>
  <r>
    <n v="50098"/>
    <x v="0"/>
    <n v="54"/>
    <n v="0"/>
    <n v="0"/>
    <x v="2"/>
    <x v="0"/>
    <x v="0"/>
    <x v="1"/>
    <n v="150.27000000000001"/>
    <n v="38.200000000000003"/>
    <x v="2"/>
    <n v="0"/>
    <x v="1"/>
    <x v="0"/>
  </r>
  <r>
    <n v="24674"/>
    <x v="0"/>
    <n v="43"/>
    <n v="0"/>
    <n v="0"/>
    <x v="2"/>
    <x v="0"/>
    <x v="0"/>
    <x v="0"/>
    <n v="81.94"/>
    <n v="27.7"/>
    <x v="2"/>
    <n v="0"/>
    <x v="1"/>
    <x v="3"/>
  </r>
  <r>
    <n v="72361"/>
    <x v="1"/>
    <n v="37"/>
    <n v="0"/>
    <n v="0"/>
    <x v="2"/>
    <x v="0"/>
    <x v="0"/>
    <x v="0"/>
    <n v="70.75"/>
    <n v="35.799999999999997"/>
    <x v="3"/>
    <n v="0"/>
    <x v="2"/>
    <x v="0"/>
  </r>
  <r>
    <n v="14563"/>
    <x v="0"/>
    <n v="9"/>
    <n v="0"/>
    <n v="0"/>
    <x v="2"/>
    <x v="1"/>
    <x v="3"/>
    <x v="0"/>
    <n v="83.83"/>
    <n v="27.1"/>
    <x v="3"/>
    <n v="0"/>
    <x v="2"/>
    <x v="3"/>
  </r>
  <r>
    <n v="40237"/>
    <x v="1"/>
    <n v="11"/>
    <n v="0"/>
    <n v="0"/>
    <x v="2"/>
    <x v="1"/>
    <x v="3"/>
    <x v="0"/>
    <n v="73.66"/>
    <n v="20.5"/>
    <x v="1"/>
    <n v="0"/>
    <x v="2"/>
    <x v="2"/>
  </r>
  <r>
    <n v="36523"/>
    <x v="0"/>
    <n v="56"/>
    <n v="1"/>
    <n v="0"/>
    <x v="2"/>
    <x v="0"/>
    <x v="0"/>
    <x v="0"/>
    <n v="102.37"/>
    <n v="35.6"/>
    <x v="1"/>
    <n v="0"/>
    <x v="1"/>
    <x v="0"/>
  </r>
  <r>
    <n v="65970"/>
    <x v="1"/>
    <n v="5"/>
    <n v="0"/>
    <n v="0"/>
    <x v="2"/>
    <x v="1"/>
    <x v="3"/>
    <x v="1"/>
    <n v="77.83"/>
    <n v="15.6"/>
    <x v="3"/>
    <n v="0"/>
    <x v="2"/>
    <x v="4"/>
  </r>
  <r>
    <n v="1577"/>
    <x v="1"/>
    <n v="17"/>
    <n v="0"/>
    <n v="0"/>
    <x v="2"/>
    <x v="1"/>
    <x v="0"/>
    <x v="0"/>
    <n v="70.010000000000005"/>
    <n v="43"/>
    <x v="3"/>
    <n v="0"/>
    <x v="2"/>
    <x v="0"/>
  </r>
  <r>
    <n v="51109"/>
    <x v="1"/>
    <n v="6"/>
    <n v="0"/>
    <n v="0"/>
    <x v="2"/>
    <x v="1"/>
    <x v="3"/>
    <x v="1"/>
    <n v="119.88"/>
    <n v="17.8"/>
    <x v="3"/>
    <n v="0"/>
    <x v="2"/>
    <x v="4"/>
  </r>
  <r>
    <n v="5984"/>
    <x v="0"/>
    <n v="25"/>
    <n v="0"/>
    <n v="0"/>
    <x v="2"/>
    <x v="0"/>
    <x v="0"/>
    <x v="1"/>
    <n v="78.290000000000006"/>
    <s v="N/A"/>
    <x v="2"/>
    <n v="0"/>
    <x v="2"/>
    <x v="1"/>
  </r>
  <r>
    <n v="46373"/>
    <x v="1"/>
    <n v="57"/>
    <n v="0"/>
    <n v="0"/>
    <x v="2"/>
    <x v="0"/>
    <x v="0"/>
    <x v="1"/>
    <n v="169.97"/>
    <n v="25.8"/>
    <x v="1"/>
    <n v="0"/>
    <x v="1"/>
    <x v="3"/>
  </r>
  <r>
    <n v="13062"/>
    <x v="0"/>
    <n v="18"/>
    <n v="0"/>
    <n v="0"/>
    <x v="2"/>
    <x v="1"/>
    <x v="0"/>
    <x v="1"/>
    <n v="123.79"/>
    <n v="20.5"/>
    <x v="3"/>
    <n v="0"/>
    <x v="2"/>
    <x v="2"/>
  </r>
  <r>
    <n v="47770"/>
    <x v="0"/>
    <n v="2"/>
    <n v="0"/>
    <n v="0"/>
    <x v="2"/>
    <x v="1"/>
    <x v="3"/>
    <x v="0"/>
    <n v="80.98"/>
    <n v="19.899999999999999"/>
    <x v="3"/>
    <n v="0"/>
    <x v="2"/>
    <x v="2"/>
  </r>
  <r>
    <n v="32459"/>
    <x v="1"/>
    <n v="76"/>
    <n v="0"/>
    <n v="0"/>
    <x v="1"/>
    <x v="0"/>
    <x v="2"/>
    <x v="1"/>
    <n v="84.21"/>
    <n v="24.4"/>
    <x v="1"/>
    <n v="0"/>
    <x v="0"/>
    <x v="2"/>
  </r>
  <r>
    <n v="12687"/>
    <x v="0"/>
    <n v="1"/>
    <n v="0"/>
    <n v="0"/>
    <x v="2"/>
    <x v="1"/>
    <x v="3"/>
    <x v="0"/>
    <n v="101.31"/>
    <n v="18.3"/>
    <x v="3"/>
    <n v="0"/>
    <x v="2"/>
    <x v="4"/>
  </r>
  <r>
    <n v="7725"/>
    <x v="0"/>
    <n v="54"/>
    <n v="0"/>
    <n v="0"/>
    <x v="2"/>
    <x v="0"/>
    <x v="0"/>
    <x v="0"/>
    <n v="86.26"/>
    <n v="35.1"/>
    <x v="0"/>
    <n v="0"/>
    <x v="1"/>
    <x v="0"/>
  </r>
  <r>
    <n v="67217"/>
    <x v="1"/>
    <n v="45"/>
    <n v="0"/>
    <n v="0"/>
    <x v="2"/>
    <x v="0"/>
    <x v="0"/>
    <x v="0"/>
    <n v="92.86"/>
    <n v="35.1"/>
    <x v="0"/>
    <n v="0"/>
    <x v="1"/>
    <x v="0"/>
  </r>
  <r>
    <n v="49976"/>
    <x v="1"/>
    <n v="54"/>
    <n v="0"/>
    <n v="1"/>
    <x v="2"/>
    <x v="0"/>
    <x v="0"/>
    <x v="0"/>
    <n v="140.28"/>
    <n v="37.1"/>
    <x v="0"/>
    <n v="0"/>
    <x v="1"/>
    <x v="0"/>
  </r>
  <r>
    <n v="71318"/>
    <x v="0"/>
    <n v="67"/>
    <n v="0"/>
    <n v="0"/>
    <x v="1"/>
    <x v="0"/>
    <x v="2"/>
    <x v="1"/>
    <n v="244.28"/>
    <n v="29.4"/>
    <x v="0"/>
    <n v="0"/>
    <x v="0"/>
    <x v="3"/>
  </r>
  <r>
    <n v="42201"/>
    <x v="0"/>
    <n v="53"/>
    <n v="0"/>
    <n v="0"/>
    <x v="2"/>
    <x v="0"/>
    <x v="0"/>
    <x v="0"/>
    <n v="124.16"/>
    <n v="31.7"/>
    <x v="1"/>
    <n v="0"/>
    <x v="1"/>
    <x v="0"/>
  </r>
  <r>
    <n v="11232"/>
    <x v="0"/>
    <n v="47"/>
    <n v="0"/>
    <n v="0"/>
    <x v="2"/>
    <x v="0"/>
    <x v="0"/>
    <x v="1"/>
    <n v="93.55"/>
    <n v="31.4"/>
    <x v="1"/>
    <n v="0"/>
    <x v="1"/>
    <x v="0"/>
  </r>
  <r>
    <n v="14709"/>
    <x v="0"/>
    <n v="44"/>
    <n v="0"/>
    <n v="0"/>
    <x v="2"/>
    <x v="0"/>
    <x v="0"/>
    <x v="0"/>
    <n v="99.34"/>
    <n v="33.1"/>
    <x v="1"/>
    <n v="0"/>
    <x v="1"/>
    <x v="0"/>
  </r>
  <r>
    <n v="57137"/>
    <x v="0"/>
    <n v="65"/>
    <n v="0"/>
    <n v="0"/>
    <x v="1"/>
    <x v="0"/>
    <x v="0"/>
    <x v="0"/>
    <n v="59.87"/>
    <n v="28.5"/>
    <x v="2"/>
    <n v="0"/>
    <x v="0"/>
    <x v="3"/>
  </r>
  <r>
    <n v="36858"/>
    <x v="1"/>
    <n v="40"/>
    <n v="0"/>
    <n v="0"/>
    <x v="2"/>
    <x v="0"/>
    <x v="0"/>
    <x v="1"/>
    <n v="72.760000000000005"/>
    <n v="24"/>
    <x v="0"/>
    <n v="0"/>
    <x v="1"/>
    <x v="2"/>
  </r>
  <r>
    <n v="50373"/>
    <x v="1"/>
    <n v="3"/>
    <n v="0"/>
    <n v="0"/>
    <x v="2"/>
    <x v="1"/>
    <x v="3"/>
    <x v="1"/>
    <n v="68.34"/>
    <n v="18"/>
    <x v="3"/>
    <n v="0"/>
    <x v="2"/>
    <x v="4"/>
  </r>
  <r>
    <n v="51124"/>
    <x v="0"/>
    <n v="81"/>
    <n v="0"/>
    <n v="0"/>
    <x v="1"/>
    <x v="0"/>
    <x v="1"/>
    <x v="0"/>
    <n v="61.1"/>
    <n v="27.6"/>
    <x v="2"/>
    <n v="0"/>
    <x v="0"/>
    <x v="3"/>
  </r>
  <r>
    <n v="13191"/>
    <x v="1"/>
    <n v="24"/>
    <n v="0"/>
    <n v="0"/>
    <x v="2"/>
    <x v="1"/>
    <x v="0"/>
    <x v="1"/>
    <n v="120.77"/>
    <n v="16.899999999999999"/>
    <x v="1"/>
    <n v="0"/>
    <x v="2"/>
    <x v="4"/>
  </r>
  <r>
    <n v="47330"/>
    <x v="0"/>
    <n v="9"/>
    <n v="0"/>
    <n v="0"/>
    <x v="2"/>
    <x v="1"/>
    <x v="3"/>
    <x v="1"/>
    <n v="60.39"/>
    <n v="16.399999999999999"/>
    <x v="3"/>
    <n v="0"/>
    <x v="2"/>
    <x v="4"/>
  </r>
  <r>
    <n v="42191"/>
    <x v="1"/>
    <n v="52"/>
    <n v="0"/>
    <n v="0"/>
    <x v="2"/>
    <x v="0"/>
    <x v="2"/>
    <x v="0"/>
    <n v="126.34"/>
    <n v="35.1"/>
    <x v="1"/>
    <n v="0"/>
    <x v="1"/>
    <x v="0"/>
  </r>
  <r>
    <n v="35332"/>
    <x v="1"/>
    <n v="63"/>
    <n v="0"/>
    <n v="0"/>
    <x v="1"/>
    <x v="0"/>
    <x v="0"/>
    <x v="1"/>
    <n v="93.24"/>
    <n v="28.8"/>
    <x v="1"/>
    <n v="0"/>
    <x v="0"/>
    <x v="3"/>
  </r>
  <r>
    <n v="49341"/>
    <x v="1"/>
    <n v="78"/>
    <n v="0"/>
    <n v="0"/>
    <x v="1"/>
    <x v="0"/>
    <x v="0"/>
    <x v="1"/>
    <n v="154.75"/>
    <n v="17.600000000000001"/>
    <x v="1"/>
    <n v="0"/>
    <x v="0"/>
    <x v="4"/>
  </r>
  <r>
    <n v="64750"/>
    <x v="1"/>
    <n v="22"/>
    <n v="0"/>
    <n v="0"/>
    <x v="2"/>
    <x v="1"/>
    <x v="0"/>
    <x v="1"/>
    <n v="62.81"/>
    <n v="21.3"/>
    <x v="1"/>
    <n v="0"/>
    <x v="2"/>
    <x v="2"/>
  </r>
  <r>
    <n v="70259"/>
    <x v="1"/>
    <n v="2"/>
    <n v="0"/>
    <n v="0"/>
    <x v="2"/>
    <x v="1"/>
    <x v="3"/>
    <x v="1"/>
    <n v="65.959999999999994"/>
    <n v="19.7"/>
    <x v="3"/>
    <n v="0"/>
    <x v="2"/>
    <x v="2"/>
  </r>
  <r>
    <n v="36960"/>
    <x v="1"/>
    <n v="79"/>
    <n v="0"/>
    <n v="0"/>
    <x v="1"/>
    <x v="0"/>
    <x v="0"/>
    <x v="1"/>
    <n v="79.53"/>
    <n v="37.299999999999997"/>
    <x v="1"/>
    <n v="0"/>
    <x v="0"/>
    <x v="0"/>
  </r>
  <r>
    <n v="12992"/>
    <x v="1"/>
    <n v="49"/>
    <n v="0"/>
    <n v="0"/>
    <x v="2"/>
    <x v="0"/>
    <x v="0"/>
    <x v="1"/>
    <n v="96.85"/>
    <n v="35.5"/>
    <x v="1"/>
    <n v="0"/>
    <x v="1"/>
    <x v="0"/>
  </r>
  <r>
    <n v="4692"/>
    <x v="1"/>
    <n v="74"/>
    <n v="0"/>
    <n v="0"/>
    <x v="1"/>
    <x v="0"/>
    <x v="2"/>
    <x v="0"/>
    <n v="251.99"/>
    <n v="25.5"/>
    <x v="1"/>
    <n v="0"/>
    <x v="0"/>
    <x v="3"/>
  </r>
  <r>
    <n v="62460"/>
    <x v="0"/>
    <n v="62"/>
    <n v="0"/>
    <n v="0"/>
    <x v="1"/>
    <x v="0"/>
    <x v="0"/>
    <x v="1"/>
    <n v="115.13"/>
    <n v="30"/>
    <x v="2"/>
    <n v="0"/>
    <x v="0"/>
    <x v="0"/>
  </r>
  <r>
    <n v="72132"/>
    <x v="0"/>
    <n v="16"/>
    <n v="0"/>
    <n v="0"/>
    <x v="2"/>
    <x v="1"/>
    <x v="3"/>
    <x v="0"/>
    <n v="102.3"/>
    <n v="21.9"/>
    <x v="3"/>
    <n v="0"/>
    <x v="2"/>
    <x v="2"/>
  </r>
  <r>
    <n v="41402"/>
    <x v="0"/>
    <n v="62"/>
    <n v="0"/>
    <n v="0"/>
    <x v="1"/>
    <x v="0"/>
    <x v="1"/>
    <x v="0"/>
    <n v="78.989999999999995"/>
    <n v="45.5"/>
    <x v="1"/>
    <n v="0"/>
    <x v="0"/>
    <x v="0"/>
  </r>
  <r>
    <n v="40253"/>
    <x v="0"/>
    <n v="27"/>
    <n v="0"/>
    <n v="0"/>
    <x v="2"/>
    <x v="1"/>
    <x v="0"/>
    <x v="1"/>
    <n v="191.79"/>
    <s v="N/A"/>
    <x v="2"/>
    <n v="0"/>
    <x v="2"/>
    <x v="1"/>
  </r>
  <r>
    <n v="63577"/>
    <x v="1"/>
    <n v="50"/>
    <n v="1"/>
    <n v="0"/>
    <x v="2"/>
    <x v="0"/>
    <x v="1"/>
    <x v="1"/>
    <n v="68.8"/>
    <n v="34.9"/>
    <x v="1"/>
    <n v="0"/>
    <x v="1"/>
    <x v="0"/>
  </r>
  <r>
    <n v="11726"/>
    <x v="1"/>
    <n v="49"/>
    <n v="0"/>
    <n v="0"/>
    <x v="2"/>
    <x v="0"/>
    <x v="2"/>
    <x v="1"/>
    <n v="83.84"/>
    <n v="19.3"/>
    <x v="0"/>
    <n v="0"/>
    <x v="1"/>
    <x v="2"/>
  </r>
  <r>
    <n v="13736"/>
    <x v="0"/>
    <n v="24"/>
    <n v="0"/>
    <n v="0"/>
    <x v="2"/>
    <x v="0"/>
    <x v="0"/>
    <x v="0"/>
    <n v="94.66"/>
    <n v="32.1"/>
    <x v="0"/>
    <n v="0"/>
    <x v="2"/>
    <x v="0"/>
  </r>
  <r>
    <n v="43913"/>
    <x v="1"/>
    <n v="21"/>
    <n v="0"/>
    <n v="0"/>
    <x v="2"/>
    <x v="1"/>
    <x v="0"/>
    <x v="1"/>
    <n v="107.98"/>
    <n v="26.9"/>
    <x v="1"/>
    <n v="0"/>
    <x v="2"/>
    <x v="3"/>
  </r>
  <r>
    <n v="41870"/>
    <x v="0"/>
    <n v="17"/>
    <n v="0"/>
    <n v="0"/>
    <x v="2"/>
    <x v="1"/>
    <x v="4"/>
    <x v="1"/>
    <n v="61.01"/>
    <n v="32.5"/>
    <x v="3"/>
    <n v="0"/>
    <x v="2"/>
    <x v="0"/>
  </r>
  <r>
    <n v="37907"/>
    <x v="1"/>
    <n v="22"/>
    <n v="0"/>
    <n v="0"/>
    <x v="2"/>
    <x v="1"/>
    <x v="0"/>
    <x v="0"/>
    <n v="135.63999999999999"/>
    <n v="19.5"/>
    <x v="1"/>
    <n v="0"/>
    <x v="2"/>
    <x v="2"/>
  </r>
  <r>
    <n v="15987"/>
    <x v="0"/>
    <n v="13"/>
    <n v="0"/>
    <n v="0"/>
    <x v="2"/>
    <x v="1"/>
    <x v="3"/>
    <x v="0"/>
    <n v="92.65"/>
    <n v="31.7"/>
    <x v="1"/>
    <n v="0"/>
    <x v="2"/>
    <x v="0"/>
  </r>
  <r>
    <n v="57166"/>
    <x v="1"/>
    <n v="21"/>
    <n v="0"/>
    <n v="0"/>
    <x v="2"/>
    <x v="1"/>
    <x v="0"/>
    <x v="1"/>
    <n v="121.11"/>
    <n v="21"/>
    <x v="3"/>
    <n v="0"/>
    <x v="2"/>
    <x v="2"/>
  </r>
  <r>
    <n v="44950"/>
    <x v="0"/>
    <n v="51"/>
    <n v="1"/>
    <n v="0"/>
    <x v="2"/>
    <x v="0"/>
    <x v="0"/>
    <x v="1"/>
    <n v="163.56"/>
    <s v="N/A"/>
    <x v="0"/>
    <n v="0"/>
    <x v="1"/>
    <x v="1"/>
  </r>
  <r>
    <n v="47627"/>
    <x v="0"/>
    <n v="8"/>
    <n v="0"/>
    <n v="0"/>
    <x v="2"/>
    <x v="1"/>
    <x v="3"/>
    <x v="0"/>
    <n v="107.69"/>
    <n v="20.3"/>
    <x v="3"/>
    <n v="0"/>
    <x v="2"/>
    <x v="2"/>
  </r>
  <r>
    <n v="42460"/>
    <x v="0"/>
    <n v="48"/>
    <n v="0"/>
    <n v="0"/>
    <x v="2"/>
    <x v="0"/>
    <x v="1"/>
    <x v="1"/>
    <n v="216.88"/>
    <s v="N/A"/>
    <x v="2"/>
    <n v="0"/>
    <x v="1"/>
    <x v="1"/>
  </r>
  <r>
    <n v="8723"/>
    <x v="1"/>
    <n v="16"/>
    <n v="0"/>
    <n v="0"/>
    <x v="2"/>
    <x v="1"/>
    <x v="0"/>
    <x v="1"/>
    <n v="70.150000000000006"/>
    <n v="21.5"/>
    <x v="3"/>
    <n v="0"/>
    <x v="2"/>
    <x v="2"/>
  </r>
  <r>
    <n v="52559"/>
    <x v="0"/>
    <n v="18"/>
    <n v="0"/>
    <n v="0"/>
    <x v="2"/>
    <x v="1"/>
    <x v="0"/>
    <x v="0"/>
    <n v="83.02"/>
    <n v="40.4"/>
    <x v="3"/>
    <n v="0"/>
    <x v="2"/>
    <x v="0"/>
  </r>
  <r>
    <n v="937"/>
    <x v="0"/>
    <n v="7"/>
    <n v="0"/>
    <n v="0"/>
    <x v="2"/>
    <x v="1"/>
    <x v="3"/>
    <x v="0"/>
    <n v="87.94"/>
    <s v="N/A"/>
    <x v="3"/>
    <n v="0"/>
    <x v="2"/>
    <x v="1"/>
  </r>
  <r>
    <n v="41271"/>
    <x v="0"/>
    <n v="68"/>
    <n v="1"/>
    <n v="0"/>
    <x v="0"/>
    <x v="0"/>
    <x v="2"/>
    <x v="0"/>
    <n v="222.29"/>
    <n v="30.1"/>
    <x v="1"/>
    <n v="0"/>
    <x v="0"/>
    <x v="0"/>
  </r>
  <r>
    <n v="66893"/>
    <x v="0"/>
    <n v="49"/>
    <n v="1"/>
    <n v="0"/>
    <x v="2"/>
    <x v="0"/>
    <x v="2"/>
    <x v="0"/>
    <n v="139.43"/>
    <n v="40.200000000000003"/>
    <x v="0"/>
    <n v="0"/>
    <x v="1"/>
    <x v="0"/>
  </r>
  <r>
    <n v="21491"/>
    <x v="1"/>
    <n v="80"/>
    <n v="0"/>
    <n v="0"/>
    <x v="1"/>
    <x v="0"/>
    <x v="0"/>
    <x v="0"/>
    <n v="213.11"/>
    <n v="34.700000000000003"/>
    <x v="1"/>
    <n v="0"/>
    <x v="0"/>
    <x v="0"/>
  </r>
  <r>
    <n v="51806"/>
    <x v="0"/>
    <n v="31"/>
    <n v="0"/>
    <n v="0"/>
    <x v="2"/>
    <x v="0"/>
    <x v="0"/>
    <x v="1"/>
    <n v="77.23"/>
    <n v="25.9"/>
    <x v="2"/>
    <n v="0"/>
    <x v="2"/>
    <x v="3"/>
  </r>
  <r>
    <n v="59412"/>
    <x v="1"/>
    <n v="25"/>
    <n v="0"/>
    <n v="0"/>
    <x v="2"/>
    <x v="0"/>
    <x v="0"/>
    <x v="0"/>
    <n v="58.48"/>
    <n v="23.7"/>
    <x v="1"/>
    <n v="0"/>
    <x v="2"/>
    <x v="2"/>
  </r>
  <r>
    <n v="742"/>
    <x v="1"/>
    <n v="39"/>
    <n v="0"/>
    <n v="0"/>
    <x v="2"/>
    <x v="1"/>
    <x v="2"/>
    <x v="1"/>
    <n v="87.33"/>
    <n v="34.299999999999997"/>
    <x v="1"/>
    <n v="0"/>
    <x v="2"/>
    <x v="0"/>
  </r>
  <r>
    <n v="42902"/>
    <x v="0"/>
    <n v="35"/>
    <n v="0"/>
    <n v="0"/>
    <x v="2"/>
    <x v="0"/>
    <x v="0"/>
    <x v="1"/>
    <n v="102.34"/>
    <n v="34.299999999999997"/>
    <x v="1"/>
    <n v="0"/>
    <x v="2"/>
    <x v="0"/>
  </r>
  <r>
    <n v="43059"/>
    <x v="1"/>
    <n v="71"/>
    <n v="0"/>
    <n v="0"/>
    <x v="1"/>
    <x v="0"/>
    <x v="1"/>
    <x v="1"/>
    <n v="151.30000000000001"/>
    <n v="26.3"/>
    <x v="1"/>
    <n v="0"/>
    <x v="0"/>
    <x v="3"/>
  </r>
  <r>
    <n v="61512"/>
    <x v="1"/>
    <n v="71"/>
    <n v="0"/>
    <n v="0"/>
    <x v="1"/>
    <x v="0"/>
    <x v="1"/>
    <x v="0"/>
    <n v="144.22999999999999"/>
    <n v="22.1"/>
    <x v="0"/>
    <n v="0"/>
    <x v="0"/>
    <x v="2"/>
  </r>
  <r>
    <n v="10943"/>
    <x v="1"/>
    <n v="40"/>
    <n v="0"/>
    <n v="0"/>
    <x v="2"/>
    <x v="0"/>
    <x v="2"/>
    <x v="1"/>
    <n v="110.6"/>
    <n v="33.299999999999997"/>
    <x v="0"/>
    <n v="0"/>
    <x v="1"/>
    <x v="0"/>
  </r>
  <r>
    <n v="11447"/>
    <x v="1"/>
    <n v="41"/>
    <n v="0"/>
    <n v="0"/>
    <x v="2"/>
    <x v="0"/>
    <x v="2"/>
    <x v="0"/>
    <n v="80.28"/>
    <n v="37.299999999999997"/>
    <x v="1"/>
    <n v="0"/>
    <x v="1"/>
    <x v="0"/>
  </r>
  <r>
    <n v="29233"/>
    <x v="0"/>
    <n v="2"/>
    <n v="0"/>
    <n v="0"/>
    <x v="2"/>
    <x v="1"/>
    <x v="3"/>
    <x v="1"/>
    <n v="111.02"/>
    <n v="20.5"/>
    <x v="3"/>
    <n v="0"/>
    <x v="2"/>
    <x v="2"/>
  </r>
  <r>
    <n v="17762"/>
    <x v="1"/>
    <n v="3"/>
    <n v="0"/>
    <n v="0"/>
    <x v="2"/>
    <x v="1"/>
    <x v="3"/>
    <x v="1"/>
    <n v="114.88"/>
    <n v="19.100000000000001"/>
    <x v="3"/>
    <n v="0"/>
    <x v="2"/>
    <x v="2"/>
  </r>
  <r>
    <n v="46284"/>
    <x v="0"/>
    <n v="53"/>
    <n v="1"/>
    <n v="0"/>
    <x v="2"/>
    <x v="0"/>
    <x v="1"/>
    <x v="0"/>
    <n v="227.51"/>
    <n v="34.700000000000003"/>
    <x v="0"/>
    <n v="0"/>
    <x v="1"/>
    <x v="0"/>
  </r>
  <r>
    <n v="1405"/>
    <x v="0"/>
    <n v="1.88"/>
    <n v="0"/>
    <n v="0"/>
    <x v="2"/>
    <x v="1"/>
    <x v="3"/>
    <x v="0"/>
    <n v="111.65"/>
    <n v="16.3"/>
    <x v="3"/>
    <n v="0"/>
    <x v="2"/>
    <x v="4"/>
  </r>
  <r>
    <n v="38493"/>
    <x v="0"/>
    <n v="60"/>
    <n v="1"/>
    <n v="1"/>
    <x v="0"/>
    <x v="0"/>
    <x v="0"/>
    <x v="0"/>
    <n v="201.01"/>
    <n v="28"/>
    <x v="1"/>
    <n v="0"/>
    <x v="0"/>
    <x v="3"/>
  </r>
  <r>
    <n v="57953"/>
    <x v="1"/>
    <n v="5"/>
    <n v="0"/>
    <n v="0"/>
    <x v="2"/>
    <x v="1"/>
    <x v="3"/>
    <x v="0"/>
    <n v="129.01"/>
    <n v="17.2"/>
    <x v="3"/>
    <n v="0"/>
    <x v="2"/>
    <x v="4"/>
  </r>
  <r>
    <n v="30746"/>
    <x v="1"/>
    <n v="30"/>
    <n v="0"/>
    <n v="0"/>
    <x v="2"/>
    <x v="0"/>
    <x v="0"/>
    <x v="1"/>
    <n v="124.08"/>
    <n v="41.1"/>
    <x v="3"/>
    <n v="0"/>
    <x v="2"/>
    <x v="0"/>
  </r>
  <r>
    <n v="16949"/>
    <x v="1"/>
    <n v="49"/>
    <n v="1"/>
    <n v="0"/>
    <x v="2"/>
    <x v="0"/>
    <x v="2"/>
    <x v="1"/>
    <n v="107.91"/>
    <n v="25"/>
    <x v="3"/>
    <n v="0"/>
    <x v="1"/>
    <x v="3"/>
  </r>
  <r>
    <n v="45297"/>
    <x v="0"/>
    <n v="68"/>
    <n v="1"/>
    <n v="0"/>
    <x v="0"/>
    <x v="0"/>
    <x v="0"/>
    <x v="1"/>
    <n v="95.4"/>
    <n v="27.5"/>
    <x v="1"/>
    <n v="0"/>
    <x v="0"/>
    <x v="3"/>
  </r>
  <r>
    <n v="40251"/>
    <x v="1"/>
    <n v="23"/>
    <n v="0"/>
    <n v="0"/>
    <x v="2"/>
    <x v="1"/>
    <x v="0"/>
    <x v="1"/>
    <n v="65.900000000000006"/>
    <n v="21.5"/>
    <x v="1"/>
    <n v="0"/>
    <x v="2"/>
    <x v="2"/>
  </r>
  <r>
    <n v="27013"/>
    <x v="0"/>
    <n v="2"/>
    <n v="0"/>
    <n v="0"/>
    <x v="2"/>
    <x v="1"/>
    <x v="3"/>
    <x v="0"/>
    <n v="78.98"/>
    <n v="15.1"/>
    <x v="3"/>
    <n v="0"/>
    <x v="2"/>
    <x v="4"/>
  </r>
  <r>
    <n v="7586"/>
    <x v="0"/>
    <n v="24"/>
    <n v="0"/>
    <n v="0"/>
    <x v="2"/>
    <x v="1"/>
    <x v="1"/>
    <x v="1"/>
    <n v="111.33"/>
    <n v="29.6"/>
    <x v="0"/>
    <n v="0"/>
    <x v="2"/>
    <x v="3"/>
  </r>
  <r>
    <n v="26452"/>
    <x v="1"/>
    <n v="41"/>
    <n v="0"/>
    <n v="0"/>
    <x v="2"/>
    <x v="0"/>
    <x v="0"/>
    <x v="1"/>
    <n v="104.36"/>
    <n v="30.2"/>
    <x v="1"/>
    <n v="0"/>
    <x v="1"/>
    <x v="0"/>
  </r>
  <r>
    <n v="16378"/>
    <x v="1"/>
    <n v="63"/>
    <n v="0"/>
    <n v="0"/>
    <x v="1"/>
    <x v="0"/>
    <x v="2"/>
    <x v="0"/>
    <n v="123.87"/>
    <n v="34.9"/>
    <x v="3"/>
    <n v="0"/>
    <x v="0"/>
    <x v="0"/>
  </r>
  <r>
    <n v="5137"/>
    <x v="0"/>
    <n v="64"/>
    <n v="0"/>
    <n v="0"/>
    <x v="1"/>
    <x v="0"/>
    <x v="1"/>
    <x v="1"/>
    <n v="210"/>
    <n v="30.7"/>
    <x v="0"/>
    <n v="0"/>
    <x v="0"/>
    <x v="0"/>
  </r>
  <r>
    <n v="4559"/>
    <x v="0"/>
    <n v="38"/>
    <n v="0"/>
    <n v="0"/>
    <x v="2"/>
    <x v="1"/>
    <x v="0"/>
    <x v="1"/>
    <n v="86.86"/>
    <n v="36.5"/>
    <x v="3"/>
    <n v="0"/>
    <x v="2"/>
    <x v="0"/>
  </r>
  <r>
    <n v="45357"/>
    <x v="1"/>
    <n v="1.24"/>
    <n v="0"/>
    <n v="0"/>
    <x v="2"/>
    <x v="1"/>
    <x v="3"/>
    <x v="1"/>
    <n v="113.96"/>
    <n v="21.5"/>
    <x v="3"/>
    <n v="0"/>
    <x v="2"/>
    <x v="2"/>
  </r>
  <r>
    <n v="45257"/>
    <x v="1"/>
    <n v="38"/>
    <n v="0"/>
    <n v="0"/>
    <x v="2"/>
    <x v="0"/>
    <x v="0"/>
    <x v="1"/>
    <n v="81.28"/>
    <n v="33.200000000000003"/>
    <x v="2"/>
    <n v="0"/>
    <x v="2"/>
    <x v="0"/>
  </r>
  <r>
    <n v="34386"/>
    <x v="1"/>
    <n v="43"/>
    <n v="0"/>
    <n v="0"/>
    <x v="2"/>
    <x v="0"/>
    <x v="0"/>
    <x v="1"/>
    <n v="102.5"/>
    <n v="50.2"/>
    <x v="1"/>
    <n v="0"/>
    <x v="1"/>
    <x v="0"/>
  </r>
  <r>
    <n v="15219"/>
    <x v="1"/>
    <n v="27"/>
    <n v="0"/>
    <n v="0"/>
    <x v="2"/>
    <x v="1"/>
    <x v="0"/>
    <x v="1"/>
    <n v="78.05"/>
    <n v="22.3"/>
    <x v="1"/>
    <n v="0"/>
    <x v="2"/>
    <x v="2"/>
  </r>
  <r>
    <n v="39202"/>
    <x v="1"/>
    <n v="61"/>
    <n v="1"/>
    <n v="1"/>
    <x v="0"/>
    <x v="0"/>
    <x v="0"/>
    <x v="0"/>
    <n v="237.58"/>
    <s v="N/A"/>
    <x v="0"/>
    <n v="0"/>
    <x v="0"/>
    <x v="1"/>
  </r>
  <r>
    <n v="9076"/>
    <x v="0"/>
    <n v="42"/>
    <n v="0"/>
    <n v="0"/>
    <x v="2"/>
    <x v="0"/>
    <x v="1"/>
    <x v="0"/>
    <n v="86.07"/>
    <n v="27.3"/>
    <x v="3"/>
    <n v="0"/>
    <x v="1"/>
    <x v="3"/>
  </r>
  <r>
    <n v="72824"/>
    <x v="0"/>
    <n v="46"/>
    <n v="0"/>
    <n v="0"/>
    <x v="2"/>
    <x v="0"/>
    <x v="0"/>
    <x v="1"/>
    <n v="59.05"/>
    <n v="28.3"/>
    <x v="0"/>
    <n v="0"/>
    <x v="1"/>
    <x v="3"/>
  </r>
  <r>
    <n v="64132"/>
    <x v="0"/>
    <n v="67"/>
    <n v="0"/>
    <n v="1"/>
    <x v="0"/>
    <x v="0"/>
    <x v="1"/>
    <x v="1"/>
    <n v="95.88"/>
    <n v="31.9"/>
    <x v="3"/>
    <n v="0"/>
    <x v="0"/>
    <x v="0"/>
  </r>
  <r>
    <n v="52987"/>
    <x v="1"/>
    <n v="34"/>
    <n v="0"/>
    <n v="0"/>
    <x v="2"/>
    <x v="0"/>
    <x v="2"/>
    <x v="1"/>
    <n v="70.180000000000007"/>
    <n v="24.9"/>
    <x v="3"/>
    <n v="0"/>
    <x v="2"/>
    <x v="2"/>
  </r>
  <r>
    <n v="17827"/>
    <x v="0"/>
    <n v="51"/>
    <n v="0"/>
    <n v="0"/>
    <x v="2"/>
    <x v="0"/>
    <x v="0"/>
    <x v="1"/>
    <n v="111.13"/>
    <n v="32.700000000000003"/>
    <x v="0"/>
    <n v="0"/>
    <x v="1"/>
    <x v="0"/>
  </r>
  <r>
    <n v="29378"/>
    <x v="1"/>
    <n v="77"/>
    <n v="0"/>
    <n v="0"/>
    <x v="1"/>
    <x v="0"/>
    <x v="0"/>
    <x v="0"/>
    <n v="79.3"/>
    <n v="26.4"/>
    <x v="3"/>
    <n v="0"/>
    <x v="0"/>
    <x v="3"/>
  </r>
  <r>
    <n v="29327"/>
    <x v="1"/>
    <n v="30"/>
    <n v="0"/>
    <n v="0"/>
    <x v="2"/>
    <x v="1"/>
    <x v="1"/>
    <x v="0"/>
    <n v="65.84"/>
    <n v="24.8"/>
    <x v="2"/>
    <n v="0"/>
    <x v="2"/>
    <x v="2"/>
  </r>
  <r>
    <n v="48609"/>
    <x v="1"/>
    <n v="81"/>
    <n v="0"/>
    <n v="1"/>
    <x v="0"/>
    <x v="0"/>
    <x v="0"/>
    <x v="1"/>
    <n v="123.49"/>
    <n v="30.7"/>
    <x v="2"/>
    <n v="0"/>
    <x v="0"/>
    <x v="0"/>
  </r>
  <r>
    <n v="4833"/>
    <x v="1"/>
    <n v="12"/>
    <n v="0"/>
    <n v="0"/>
    <x v="2"/>
    <x v="1"/>
    <x v="3"/>
    <x v="1"/>
    <n v="207.45"/>
    <n v="25.4"/>
    <x v="2"/>
    <n v="0"/>
    <x v="2"/>
    <x v="3"/>
  </r>
  <r>
    <n v="8085"/>
    <x v="0"/>
    <n v="18"/>
    <n v="0"/>
    <n v="0"/>
    <x v="2"/>
    <x v="1"/>
    <x v="0"/>
    <x v="1"/>
    <n v="143.44999999999999"/>
    <n v="32"/>
    <x v="2"/>
    <n v="0"/>
    <x v="2"/>
    <x v="0"/>
  </r>
  <r>
    <n v="41820"/>
    <x v="1"/>
    <n v="35"/>
    <n v="0"/>
    <n v="0"/>
    <x v="2"/>
    <x v="0"/>
    <x v="2"/>
    <x v="1"/>
    <n v="89.11"/>
    <n v="24.4"/>
    <x v="1"/>
    <n v="0"/>
    <x v="2"/>
    <x v="2"/>
  </r>
  <r>
    <n v="72474"/>
    <x v="1"/>
    <n v="82"/>
    <n v="0"/>
    <n v="0"/>
    <x v="1"/>
    <x v="0"/>
    <x v="2"/>
    <x v="1"/>
    <n v="58.3"/>
    <n v="20.399999999999999"/>
    <x v="1"/>
    <n v="0"/>
    <x v="0"/>
    <x v="2"/>
  </r>
  <r>
    <n v="32094"/>
    <x v="0"/>
    <n v="53"/>
    <n v="1"/>
    <n v="0"/>
    <x v="2"/>
    <x v="0"/>
    <x v="1"/>
    <x v="0"/>
    <n v="78.680000000000007"/>
    <n v="29.5"/>
    <x v="1"/>
    <n v="0"/>
    <x v="1"/>
    <x v="3"/>
  </r>
  <r>
    <n v="66818"/>
    <x v="0"/>
    <n v="75"/>
    <n v="0"/>
    <n v="0"/>
    <x v="1"/>
    <x v="0"/>
    <x v="2"/>
    <x v="0"/>
    <n v="98.91"/>
    <n v="24.4"/>
    <x v="1"/>
    <n v="0"/>
    <x v="0"/>
    <x v="2"/>
  </r>
  <r>
    <n v="49057"/>
    <x v="1"/>
    <n v="32"/>
    <n v="0"/>
    <n v="0"/>
    <x v="2"/>
    <x v="1"/>
    <x v="0"/>
    <x v="1"/>
    <n v="67.92"/>
    <n v="22.8"/>
    <x v="2"/>
    <n v="0"/>
    <x v="2"/>
    <x v="2"/>
  </r>
  <r>
    <n v="18070"/>
    <x v="1"/>
    <n v="27"/>
    <n v="0"/>
    <n v="0"/>
    <x v="2"/>
    <x v="1"/>
    <x v="0"/>
    <x v="1"/>
    <n v="73"/>
    <n v="20"/>
    <x v="1"/>
    <n v="0"/>
    <x v="2"/>
    <x v="2"/>
  </r>
  <r>
    <n v="17860"/>
    <x v="0"/>
    <n v="56"/>
    <n v="0"/>
    <n v="0"/>
    <x v="2"/>
    <x v="0"/>
    <x v="0"/>
    <x v="1"/>
    <n v="97.5"/>
    <n v="36.299999999999997"/>
    <x v="0"/>
    <n v="0"/>
    <x v="1"/>
    <x v="0"/>
  </r>
  <r>
    <n v="17078"/>
    <x v="0"/>
    <n v="71"/>
    <n v="0"/>
    <n v="0"/>
    <x v="1"/>
    <x v="0"/>
    <x v="0"/>
    <x v="0"/>
    <n v="108.43"/>
    <n v="32.799999999999997"/>
    <x v="2"/>
    <n v="0"/>
    <x v="0"/>
    <x v="0"/>
  </r>
  <r>
    <n v="23836"/>
    <x v="0"/>
    <n v="78"/>
    <n v="0"/>
    <n v="0"/>
    <x v="1"/>
    <x v="0"/>
    <x v="0"/>
    <x v="0"/>
    <n v="90.43"/>
    <n v="34.4"/>
    <x v="0"/>
    <n v="0"/>
    <x v="0"/>
    <x v="0"/>
  </r>
  <r>
    <n v="5296"/>
    <x v="1"/>
    <n v="44"/>
    <n v="0"/>
    <n v="0"/>
    <x v="2"/>
    <x v="1"/>
    <x v="0"/>
    <x v="0"/>
    <n v="76.3"/>
    <n v="30.5"/>
    <x v="1"/>
    <n v="0"/>
    <x v="1"/>
    <x v="0"/>
  </r>
  <r>
    <n v="48184"/>
    <x v="0"/>
    <n v="62"/>
    <n v="0"/>
    <n v="0"/>
    <x v="1"/>
    <x v="0"/>
    <x v="0"/>
    <x v="1"/>
    <n v="121.27"/>
    <n v="29.7"/>
    <x v="2"/>
    <n v="0"/>
    <x v="0"/>
    <x v="3"/>
  </r>
  <r>
    <n v="9511"/>
    <x v="0"/>
    <n v="27"/>
    <n v="0"/>
    <n v="0"/>
    <x v="2"/>
    <x v="1"/>
    <x v="0"/>
    <x v="0"/>
    <n v="119.67"/>
    <n v="36.9"/>
    <x v="3"/>
    <n v="0"/>
    <x v="2"/>
    <x v="0"/>
  </r>
  <r>
    <n v="19389"/>
    <x v="1"/>
    <n v="42"/>
    <n v="0"/>
    <n v="1"/>
    <x v="2"/>
    <x v="0"/>
    <x v="2"/>
    <x v="0"/>
    <n v="226.93"/>
    <n v="34.200000000000003"/>
    <x v="2"/>
    <n v="0"/>
    <x v="1"/>
    <x v="0"/>
  </r>
  <r>
    <n v="25559"/>
    <x v="1"/>
    <n v="66"/>
    <n v="0"/>
    <n v="1"/>
    <x v="0"/>
    <x v="0"/>
    <x v="2"/>
    <x v="1"/>
    <n v="76.11"/>
    <n v="37"/>
    <x v="3"/>
    <n v="0"/>
    <x v="0"/>
    <x v="0"/>
  </r>
  <r>
    <n v="11770"/>
    <x v="1"/>
    <n v="25"/>
    <n v="0"/>
    <n v="0"/>
    <x v="2"/>
    <x v="0"/>
    <x v="2"/>
    <x v="0"/>
    <n v="93.23"/>
    <s v="N/A"/>
    <x v="2"/>
    <n v="0"/>
    <x v="2"/>
    <x v="1"/>
  </r>
  <r>
    <n v="34496"/>
    <x v="1"/>
    <n v="82"/>
    <n v="0"/>
    <n v="0"/>
    <x v="1"/>
    <x v="0"/>
    <x v="0"/>
    <x v="0"/>
    <n v="253.16"/>
    <n v="47.5"/>
    <x v="3"/>
    <n v="0"/>
    <x v="0"/>
    <x v="0"/>
  </r>
  <r>
    <n v="8096"/>
    <x v="1"/>
    <n v="49"/>
    <n v="0"/>
    <n v="0"/>
    <x v="2"/>
    <x v="0"/>
    <x v="0"/>
    <x v="0"/>
    <n v="101.02"/>
    <n v="24.2"/>
    <x v="2"/>
    <n v="0"/>
    <x v="1"/>
    <x v="2"/>
  </r>
  <r>
    <n v="49709"/>
    <x v="1"/>
    <n v="77"/>
    <n v="1"/>
    <n v="0"/>
    <x v="0"/>
    <x v="0"/>
    <x v="1"/>
    <x v="1"/>
    <n v="238.53"/>
    <n v="30.6"/>
    <x v="1"/>
    <n v="0"/>
    <x v="0"/>
    <x v="0"/>
  </r>
  <r>
    <n v="19735"/>
    <x v="1"/>
    <n v="59"/>
    <n v="0"/>
    <n v="0"/>
    <x v="2"/>
    <x v="0"/>
    <x v="0"/>
    <x v="1"/>
    <n v="79.180000000000007"/>
    <n v="52.8"/>
    <x v="0"/>
    <n v="0"/>
    <x v="1"/>
    <x v="0"/>
  </r>
  <r>
    <n v="31415"/>
    <x v="1"/>
    <n v="54"/>
    <n v="0"/>
    <n v="0"/>
    <x v="2"/>
    <x v="0"/>
    <x v="0"/>
    <x v="0"/>
    <n v="207.79"/>
    <n v="38.6"/>
    <x v="1"/>
    <n v="0"/>
    <x v="1"/>
    <x v="0"/>
  </r>
  <r>
    <n v="71322"/>
    <x v="1"/>
    <n v="38"/>
    <n v="0"/>
    <n v="0"/>
    <x v="2"/>
    <x v="0"/>
    <x v="0"/>
    <x v="1"/>
    <n v="196.2"/>
    <n v="32.799999999999997"/>
    <x v="1"/>
    <n v="0"/>
    <x v="2"/>
    <x v="0"/>
  </r>
  <r>
    <n v="72337"/>
    <x v="1"/>
    <n v="55"/>
    <n v="0"/>
    <n v="0"/>
    <x v="2"/>
    <x v="0"/>
    <x v="0"/>
    <x v="0"/>
    <n v="231.76"/>
    <n v="42.9"/>
    <x v="1"/>
    <n v="0"/>
    <x v="1"/>
    <x v="0"/>
  </r>
  <r>
    <n v="25454"/>
    <x v="1"/>
    <n v="13"/>
    <n v="0"/>
    <n v="0"/>
    <x v="2"/>
    <x v="1"/>
    <x v="3"/>
    <x v="1"/>
    <n v="93.3"/>
    <n v="25.9"/>
    <x v="3"/>
    <n v="0"/>
    <x v="2"/>
    <x v="3"/>
  </r>
  <r>
    <n v="15310"/>
    <x v="1"/>
    <n v="45"/>
    <n v="0"/>
    <n v="0"/>
    <x v="2"/>
    <x v="0"/>
    <x v="0"/>
    <x v="0"/>
    <n v="110.47"/>
    <n v="24.7"/>
    <x v="2"/>
    <n v="0"/>
    <x v="1"/>
    <x v="2"/>
  </r>
  <r>
    <n v="10245"/>
    <x v="1"/>
    <n v="54"/>
    <n v="0"/>
    <n v="0"/>
    <x v="2"/>
    <x v="0"/>
    <x v="1"/>
    <x v="1"/>
    <n v="77.52"/>
    <n v="35.799999999999997"/>
    <x v="1"/>
    <n v="0"/>
    <x v="1"/>
    <x v="0"/>
  </r>
  <r>
    <n v="29224"/>
    <x v="0"/>
    <n v="30"/>
    <n v="0"/>
    <n v="0"/>
    <x v="2"/>
    <x v="0"/>
    <x v="0"/>
    <x v="0"/>
    <n v="91.23"/>
    <s v="N/A"/>
    <x v="2"/>
    <n v="0"/>
    <x v="2"/>
    <x v="1"/>
  </r>
  <r>
    <n v="7550"/>
    <x v="1"/>
    <n v="51"/>
    <n v="0"/>
    <n v="0"/>
    <x v="2"/>
    <x v="0"/>
    <x v="0"/>
    <x v="1"/>
    <n v="216.92"/>
    <n v="31.2"/>
    <x v="3"/>
    <n v="0"/>
    <x v="1"/>
    <x v="0"/>
  </r>
  <r>
    <n v="57917"/>
    <x v="1"/>
    <n v="47"/>
    <n v="0"/>
    <n v="0"/>
    <x v="2"/>
    <x v="0"/>
    <x v="0"/>
    <x v="0"/>
    <n v="157.01"/>
    <n v="26.1"/>
    <x v="2"/>
    <n v="0"/>
    <x v="1"/>
    <x v="3"/>
  </r>
  <r>
    <n v="24219"/>
    <x v="0"/>
    <n v="25"/>
    <n v="0"/>
    <n v="0"/>
    <x v="2"/>
    <x v="0"/>
    <x v="0"/>
    <x v="0"/>
    <n v="93.51"/>
    <n v="30.8"/>
    <x v="1"/>
    <n v="0"/>
    <x v="2"/>
    <x v="0"/>
  </r>
  <r>
    <n v="49023"/>
    <x v="0"/>
    <n v="61"/>
    <n v="1"/>
    <n v="0"/>
    <x v="0"/>
    <x v="0"/>
    <x v="1"/>
    <x v="1"/>
    <n v="102.54"/>
    <n v="40.5"/>
    <x v="1"/>
    <n v="0"/>
    <x v="0"/>
    <x v="0"/>
  </r>
  <r>
    <n v="51020"/>
    <x v="1"/>
    <n v="55"/>
    <n v="0"/>
    <n v="0"/>
    <x v="2"/>
    <x v="0"/>
    <x v="0"/>
    <x v="1"/>
    <n v="87.78"/>
    <n v="25.2"/>
    <x v="0"/>
    <n v="0"/>
    <x v="1"/>
    <x v="3"/>
  </r>
  <r>
    <n v="52089"/>
    <x v="1"/>
    <n v="23"/>
    <n v="0"/>
    <n v="0"/>
    <x v="2"/>
    <x v="1"/>
    <x v="0"/>
    <x v="0"/>
    <n v="126.67"/>
    <n v="28.7"/>
    <x v="2"/>
    <n v="0"/>
    <x v="2"/>
    <x v="3"/>
  </r>
  <r>
    <n v="29095"/>
    <x v="0"/>
    <n v="71"/>
    <n v="1"/>
    <n v="0"/>
    <x v="0"/>
    <x v="0"/>
    <x v="1"/>
    <x v="1"/>
    <n v="93.6"/>
    <s v="N/A"/>
    <x v="1"/>
    <n v="0"/>
    <x v="0"/>
    <x v="1"/>
  </r>
  <r>
    <n v="41424"/>
    <x v="0"/>
    <n v="59"/>
    <n v="0"/>
    <n v="1"/>
    <x v="2"/>
    <x v="0"/>
    <x v="1"/>
    <x v="1"/>
    <n v="194.98"/>
    <n v="30.4"/>
    <x v="3"/>
    <n v="0"/>
    <x v="1"/>
    <x v="0"/>
  </r>
  <r>
    <n v="7297"/>
    <x v="0"/>
    <n v="4"/>
    <n v="0"/>
    <n v="0"/>
    <x v="2"/>
    <x v="1"/>
    <x v="3"/>
    <x v="1"/>
    <n v="99.96"/>
    <n v="15.2"/>
    <x v="3"/>
    <n v="0"/>
    <x v="2"/>
    <x v="4"/>
  </r>
  <r>
    <n v="68994"/>
    <x v="0"/>
    <n v="65"/>
    <n v="0"/>
    <n v="0"/>
    <x v="1"/>
    <x v="0"/>
    <x v="0"/>
    <x v="0"/>
    <n v="58.87"/>
    <n v="36.6"/>
    <x v="1"/>
    <n v="0"/>
    <x v="0"/>
    <x v="0"/>
  </r>
  <r>
    <n v="25935"/>
    <x v="1"/>
    <n v="50"/>
    <n v="0"/>
    <n v="0"/>
    <x v="2"/>
    <x v="1"/>
    <x v="1"/>
    <x v="0"/>
    <n v="77.67"/>
    <n v="34.5"/>
    <x v="3"/>
    <n v="0"/>
    <x v="1"/>
    <x v="0"/>
  </r>
  <r>
    <n v="29910"/>
    <x v="0"/>
    <n v="42"/>
    <n v="0"/>
    <n v="0"/>
    <x v="2"/>
    <x v="0"/>
    <x v="0"/>
    <x v="0"/>
    <n v="83.14"/>
    <n v="23.7"/>
    <x v="1"/>
    <n v="0"/>
    <x v="1"/>
    <x v="2"/>
  </r>
  <r>
    <n v="24567"/>
    <x v="0"/>
    <n v="51"/>
    <n v="0"/>
    <n v="0"/>
    <x v="2"/>
    <x v="0"/>
    <x v="1"/>
    <x v="0"/>
    <n v="69.180000000000007"/>
    <n v="35.700000000000003"/>
    <x v="2"/>
    <n v="0"/>
    <x v="1"/>
    <x v="0"/>
  </r>
  <r>
    <n v="54858"/>
    <x v="0"/>
    <n v="66"/>
    <n v="0"/>
    <n v="0"/>
    <x v="1"/>
    <x v="0"/>
    <x v="2"/>
    <x v="1"/>
    <n v="218.54"/>
    <n v="38.9"/>
    <x v="2"/>
    <n v="0"/>
    <x v="0"/>
    <x v="0"/>
  </r>
  <r>
    <n v="36679"/>
    <x v="1"/>
    <n v="22"/>
    <n v="1"/>
    <n v="0"/>
    <x v="2"/>
    <x v="1"/>
    <x v="0"/>
    <x v="0"/>
    <n v="71.22"/>
    <n v="40"/>
    <x v="1"/>
    <n v="0"/>
    <x v="2"/>
    <x v="0"/>
  </r>
  <r>
    <n v="59339"/>
    <x v="0"/>
    <n v="5"/>
    <n v="0"/>
    <n v="0"/>
    <x v="2"/>
    <x v="1"/>
    <x v="3"/>
    <x v="0"/>
    <n v="82.41"/>
    <n v="18.399999999999999"/>
    <x v="3"/>
    <n v="0"/>
    <x v="2"/>
    <x v="4"/>
  </r>
  <r>
    <n v="18754"/>
    <x v="0"/>
    <n v="19"/>
    <n v="0"/>
    <n v="0"/>
    <x v="2"/>
    <x v="1"/>
    <x v="1"/>
    <x v="1"/>
    <n v="82.07"/>
    <n v="29"/>
    <x v="1"/>
    <n v="0"/>
    <x v="2"/>
    <x v="3"/>
  </r>
  <r>
    <n v="34312"/>
    <x v="1"/>
    <n v="47"/>
    <n v="0"/>
    <n v="0"/>
    <x v="2"/>
    <x v="0"/>
    <x v="1"/>
    <x v="0"/>
    <n v="73"/>
    <n v="20.6"/>
    <x v="1"/>
    <n v="0"/>
    <x v="1"/>
    <x v="2"/>
  </r>
  <r>
    <n v="57798"/>
    <x v="0"/>
    <n v="12"/>
    <n v="0"/>
    <n v="0"/>
    <x v="2"/>
    <x v="1"/>
    <x v="3"/>
    <x v="1"/>
    <n v="127.25"/>
    <n v="28.2"/>
    <x v="3"/>
    <n v="0"/>
    <x v="2"/>
    <x v="3"/>
  </r>
  <r>
    <n v="37759"/>
    <x v="1"/>
    <n v="53"/>
    <n v="0"/>
    <n v="0"/>
    <x v="2"/>
    <x v="0"/>
    <x v="0"/>
    <x v="1"/>
    <n v="72.63"/>
    <n v="66.8"/>
    <x v="3"/>
    <n v="0"/>
    <x v="1"/>
    <x v="0"/>
  </r>
  <r>
    <n v="11605"/>
    <x v="1"/>
    <n v="26"/>
    <n v="0"/>
    <n v="0"/>
    <x v="2"/>
    <x v="1"/>
    <x v="0"/>
    <x v="1"/>
    <n v="108.2"/>
    <n v="26.2"/>
    <x v="1"/>
    <n v="0"/>
    <x v="2"/>
    <x v="3"/>
  </r>
  <r>
    <n v="47558"/>
    <x v="0"/>
    <n v="62"/>
    <n v="1"/>
    <n v="1"/>
    <x v="0"/>
    <x v="0"/>
    <x v="0"/>
    <x v="0"/>
    <n v="123.95"/>
    <n v="34.799999999999997"/>
    <x v="0"/>
    <n v="0"/>
    <x v="0"/>
    <x v="0"/>
  </r>
  <r>
    <n v="54264"/>
    <x v="1"/>
    <n v="81"/>
    <n v="1"/>
    <n v="0"/>
    <x v="0"/>
    <x v="0"/>
    <x v="0"/>
    <x v="0"/>
    <n v="58.71"/>
    <n v="34.5"/>
    <x v="1"/>
    <n v="0"/>
    <x v="0"/>
    <x v="0"/>
  </r>
  <r>
    <n v="47893"/>
    <x v="0"/>
    <n v="63"/>
    <n v="0"/>
    <n v="0"/>
    <x v="1"/>
    <x v="0"/>
    <x v="0"/>
    <x v="1"/>
    <n v="98.46"/>
    <n v="30.6"/>
    <x v="1"/>
    <n v="0"/>
    <x v="0"/>
    <x v="0"/>
  </r>
  <r>
    <n v="3178"/>
    <x v="1"/>
    <n v="25"/>
    <n v="0"/>
    <n v="0"/>
    <x v="2"/>
    <x v="0"/>
    <x v="0"/>
    <x v="1"/>
    <n v="68.78"/>
    <n v="55.1"/>
    <x v="0"/>
    <n v="0"/>
    <x v="2"/>
    <x v="0"/>
  </r>
  <r>
    <n v="61924"/>
    <x v="0"/>
    <n v="8"/>
    <n v="0"/>
    <n v="0"/>
    <x v="2"/>
    <x v="1"/>
    <x v="3"/>
    <x v="1"/>
    <n v="133.63"/>
    <n v="18.8"/>
    <x v="3"/>
    <n v="0"/>
    <x v="2"/>
    <x v="2"/>
  </r>
  <r>
    <n v="18141"/>
    <x v="0"/>
    <n v="76"/>
    <n v="0"/>
    <n v="1"/>
    <x v="0"/>
    <x v="0"/>
    <x v="1"/>
    <x v="1"/>
    <n v="101.43"/>
    <n v="29.1"/>
    <x v="3"/>
    <n v="0"/>
    <x v="0"/>
    <x v="3"/>
  </r>
  <r>
    <n v="58015"/>
    <x v="1"/>
    <n v="44"/>
    <n v="0"/>
    <n v="0"/>
    <x v="2"/>
    <x v="1"/>
    <x v="0"/>
    <x v="1"/>
    <n v="65.3"/>
    <n v="22.1"/>
    <x v="2"/>
    <n v="0"/>
    <x v="1"/>
    <x v="2"/>
  </r>
  <r>
    <n v="354"/>
    <x v="1"/>
    <n v="65"/>
    <n v="0"/>
    <n v="0"/>
    <x v="1"/>
    <x v="0"/>
    <x v="0"/>
    <x v="0"/>
    <n v="72.489999999999995"/>
    <n v="28.9"/>
    <x v="2"/>
    <n v="0"/>
    <x v="0"/>
    <x v="3"/>
  </r>
  <r>
    <n v="5777"/>
    <x v="1"/>
    <n v="54"/>
    <n v="0"/>
    <n v="0"/>
    <x v="2"/>
    <x v="0"/>
    <x v="0"/>
    <x v="0"/>
    <n v="65.489999999999995"/>
    <n v="34.700000000000003"/>
    <x v="3"/>
    <n v="0"/>
    <x v="1"/>
    <x v="0"/>
  </r>
  <r>
    <n v="43271"/>
    <x v="1"/>
    <n v="24"/>
    <n v="0"/>
    <n v="0"/>
    <x v="2"/>
    <x v="1"/>
    <x v="2"/>
    <x v="0"/>
    <n v="63.4"/>
    <n v="20.3"/>
    <x v="2"/>
    <n v="0"/>
    <x v="2"/>
    <x v="2"/>
  </r>
  <r>
    <n v="46210"/>
    <x v="1"/>
    <n v="65"/>
    <n v="0"/>
    <n v="0"/>
    <x v="1"/>
    <x v="0"/>
    <x v="1"/>
    <x v="1"/>
    <n v="105.29"/>
    <n v="25.1"/>
    <x v="0"/>
    <n v="0"/>
    <x v="0"/>
    <x v="3"/>
  </r>
  <r>
    <n v="39714"/>
    <x v="0"/>
    <n v="12"/>
    <n v="0"/>
    <n v="0"/>
    <x v="2"/>
    <x v="1"/>
    <x v="3"/>
    <x v="0"/>
    <n v="64.08"/>
    <n v="18.2"/>
    <x v="3"/>
    <n v="0"/>
    <x v="2"/>
    <x v="4"/>
  </r>
  <r>
    <n v="21785"/>
    <x v="1"/>
    <n v="33"/>
    <n v="0"/>
    <n v="0"/>
    <x v="2"/>
    <x v="1"/>
    <x v="0"/>
    <x v="0"/>
    <n v="78.34"/>
    <n v="25.5"/>
    <x v="1"/>
    <n v="0"/>
    <x v="2"/>
    <x v="3"/>
  </r>
  <r>
    <n v="36620"/>
    <x v="1"/>
    <n v="74"/>
    <n v="0"/>
    <n v="0"/>
    <x v="1"/>
    <x v="0"/>
    <x v="0"/>
    <x v="1"/>
    <n v="66.319999999999993"/>
    <n v="34.4"/>
    <x v="0"/>
    <n v="0"/>
    <x v="0"/>
    <x v="0"/>
  </r>
  <r>
    <n v="49495"/>
    <x v="1"/>
    <n v="18"/>
    <n v="0"/>
    <n v="0"/>
    <x v="2"/>
    <x v="1"/>
    <x v="0"/>
    <x v="1"/>
    <n v="168.15"/>
    <n v="48.5"/>
    <x v="1"/>
    <n v="0"/>
    <x v="2"/>
    <x v="0"/>
  </r>
  <r>
    <n v="21720"/>
    <x v="1"/>
    <n v="77"/>
    <n v="0"/>
    <n v="0"/>
    <x v="1"/>
    <x v="0"/>
    <x v="0"/>
    <x v="1"/>
    <n v="93.48"/>
    <n v="25.2"/>
    <x v="0"/>
    <n v="0"/>
    <x v="0"/>
    <x v="3"/>
  </r>
  <r>
    <n v="6304"/>
    <x v="0"/>
    <n v="48"/>
    <n v="1"/>
    <n v="0"/>
    <x v="2"/>
    <x v="0"/>
    <x v="1"/>
    <x v="0"/>
    <n v="79.2"/>
    <n v="32.5"/>
    <x v="1"/>
    <n v="0"/>
    <x v="1"/>
    <x v="0"/>
  </r>
  <r>
    <n v="18887"/>
    <x v="0"/>
    <n v="52"/>
    <n v="0"/>
    <n v="0"/>
    <x v="2"/>
    <x v="0"/>
    <x v="0"/>
    <x v="1"/>
    <n v="107.45"/>
    <n v="42.1"/>
    <x v="0"/>
    <n v="0"/>
    <x v="1"/>
    <x v="0"/>
  </r>
  <r>
    <n v="30214"/>
    <x v="0"/>
    <n v="23"/>
    <n v="0"/>
    <n v="0"/>
    <x v="2"/>
    <x v="1"/>
    <x v="0"/>
    <x v="1"/>
    <n v="83.86"/>
    <n v="19.5"/>
    <x v="1"/>
    <n v="0"/>
    <x v="2"/>
    <x v="2"/>
  </r>
  <r>
    <n v="66419"/>
    <x v="0"/>
    <n v="25"/>
    <n v="0"/>
    <n v="0"/>
    <x v="2"/>
    <x v="0"/>
    <x v="0"/>
    <x v="1"/>
    <n v="119.96"/>
    <n v="27.7"/>
    <x v="1"/>
    <n v="0"/>
    <x v="2"/>
    <x v="3"/>
  </r>
  <r>
    <n v="57468"/>
    <x v="1"/>
    <n v="44"/>
    <n v="0"/>
    <n v="0"/>
    <x v="2"/>
    <x v="0"/>
    <x v="0"/>
    <x v="1"/>
    <n v="70.58"/>
    <n v="25.1"/>
    <x v="1"/>
    <n v="0"/>
    <x v="1"/>
    <x v="3"/>
  </r>
  <r>
    <n v="24218"/>
    <x v="1"/>
    <n v="78"/>
    <n v="0"/>
    <n v="0"/>
    <x v="1"/>
    <x v="1"/>
    <x v="0"/>
    <x v="1"/>
    <n v="87.7"/>
    <n v="29.6"/>
    <x v="1"/>
    <n v="0"/>
    <x v="0"/>
    <x v="3"/>
  </r>
  <r>
    <n v="69792"/>
    <x v="1"/>
    <n v="37"/>
    <n v="0"/>
    <n v="0"/>
    <x v="2"/>
    <x v="0"/>
    <x v="2"/>
    <x v="0"/>
    <n v="65.290000000000006"/>
    <n v="32.9"/>
    <x v="1"/>
    <n v="0"/>
    <x v="2"/>
    <x v="0"/>
  </r>
  <r>
    <n v="6372"/>
    <x v="1"/>
    <n v="32"/>
    <n v="0"/>
    <n v="0"/>
    <x v="2"/>
    <x v="0"/>
    <x v="0"/>
    <x v="0"/>
    <n v="97.14"/>
    <n v="55.9"/>
    <x v="1"/>
    <n v="0"/>
    <x v="2"/>
    <x v="0"/>
  </r>
  <r>
    <n v="34664"/>
    <x v="0"/>
    <n v="67"/>
    <n v="0"/>
    <n v="0"/>
    <x v="1"/>
    <x v="0"/>
    <x v="0"/>
    <x v="0"/>
    <n v="110.68"/>
    <n v="25.1"/>
    <x v="0"/>
    <n v="0"/>
    <x v="0"/>
    <x v="3"/>
  </r>
  <r>
    <n v="40931"/>
    <x v="1"/>
    <n v="41"/>
    <n v="0"/>
    <n v="0"/>
    <x v="2"/>
    <x v="0"/>
    <x v="2"/>
    <x v="0"/>
    <n v="91.93"/>
    <n v="24.7"/>
    <x v="2"/>
    <n v="0"/>
    <x v="1"/>
    <x v="2"/>
  </r>
  <r>
    <n v="28559"/>
    <x v="0"/>
    <n v="2"/>
    <n v="0"/>
    <n v="0"/>
    <x v="2"/>
    <x v="1"/>
    <x v="3"/>
    <x v="0"/>
    <n v="88.54"/>
    <n v="17.5"/>
    <x v="3"/>
    <n v="0"/>
    <x v="2"/>
    <x v="4"/>
  </r>
  <r>
    <n v="15166"/>
    <x v="1"/>
    <n v="75"/>
    <n v="1"/>
    <n v="0"/>
    <x v="0"/>
    <x v="0"/>
    <x v="0"/>
    <x v="0"/>
    <n v="183"/>
    <n v="20.8"/>
    <x v="3"/>
    <n v="0"/>
    <x v="0"/>
    <x v="2"/>
  </r>
  <r>
    <n v="49815"/>
    <x v="1"/>
    <n v="17"/>
    <n v="0"/>
    <n v="0"/>
    <x v="2"/>
    <x v="1"/>
    <x v="2"/>
    <x v="1"/>
    <n v="115.93"/>
    <n v="23.3"/>
    <x v="1"/>
    <n v="0"/>
    <x v="2"/>
    <x v="2"/>
  </r>
  <r>
    <n v="1625"/>
    <x v="1"/>
    <n v="13"/>
    <n v="0"/>
    <n v="0"/>
    <x v="2"/>
    <x v="1"/>
    <x v="3"/>
    <x v="0"/>
    <n v="99.13"/>
    <n v="22.8"/>
    <x v="3"/>
    <n v="0"/>
    <x v="2"/>
    <x v="2"/>
  </r>
  <r>
    <n v="56309"/>
    <x v="1"/>
    <n v="25"/>
    <n v="0"/>
    <n v="0"/>
    <x v="2"/>
    <x v="0"/>
    <x v="0"/>
    <x v="1"/>
    <n v="69.239999999999995"/>
    <n v="26.6"/>
    <x v="1"/>
    <n v="0"/>
    <x v="2"/>
    <x v="3"/>
  </r>
  <r>
    <n v="30116"/>
    <x v="1"/>
    <n v="57"/>
    <n v="0"/>
    <n v="0"/>
    <x v="2"/>
    <x v="0"/>
    <x v="0"/>
    <x v="1"/>
    <n v="102.28"/>
    <n v="25.5"/>
    <x v="1"/>
    <n v="0"/>
    <x v="1"/>
    <x v="3"/>
  </r>
  <r>
    <n v="52034"/>
    <x v="0"/>
    <n v="31"/>
    <n v="0"/>
    <n v="0"/>
    <x v="2"/>
    <x v="0"/>
    <x v="0"/>
    <x v="0"/>
    <n v="71.31"/>
    <n v="25.8"/>
    <x v="1"/>
    <n v="0"/>
    <x v="2"/>
    <x v="3"/>
  </r>
  <r>
    <n v="35584"/>
    <x v="0"/>
    <n v="61"/>
    <n v="0"/>
    <n v="0"/>
    <x v="1"/>
    <x v="0"/>
    <x v="0"/>
    <x v="1"/>
    <n v="89.75"/>
    <n v="25.4"/>
    <x v="1"/>
    <n v="0"/>
    <x v="0"/>
    <x v="3"/>
  </r>
  <r>
    <n v="2898"/>
    <x v="0"/>
    <n v="46"/>
    <n v="0"/>
    <n v="0"/>
    <x v="2"/>
    <x v="0"/>
    <x v="0"/>
    <x v="0"/>
    <n v="87.66"/>
    <n v="57.3"/>
    <x v="1"/>
    <n v="0"/>
    <x v="1"/>
    <x v="0"/>
  </r>
  <r>
    <n v="16593"/>
    <x v="0"/>
    <n v="47"/>
    <n v="0"/>
    <n v="0"/>
    <x v="2"/>
    <x v="1"/>
    <x v="0"/>
    <x v="1"/>
    <n v="237.17"/>
    <s v="N/A"/>
    <x v="3"/>
    <n v="0"/>
    <x v="1"/>
    <x v="1"/>
  </r>
  <r>
    <n v="17175"/>
    <x v="1"/>
    <n v="15"/>
    <n v="0"/>
    <n v="0"/>
    <x v="2"/>
    <x v="1"/>
    <x v="3"/>
    <x v="0"/>
    <n v="81.11"/>
    <n v="20.2"/>
    <x v="3"/>
    <n v="0"/>
    <x v="2"/>
    <x v="2"/>
  </r>
  <r>
    <n v="63663"/>
    <x v="0"/>
    <n v="47"/>
    <n v="0"/>
    <n v="0"/>
    <x v="2"/>
    <x v="0"/>
    <x v="0"/>
    <x v="0"/>
    <n v="178.33"/>
    <n v="27.7"/>
    <x v="1"/>
    <n v="0"/>
    <x v="1"/>
    <x v="3"/>
  </r>
  <r>
    <n v="10603"/>
    <x v="1"/>
    <n v="68"/>
    <n v="0"/>
    <n v="0"/>
    <x v="1"/>
    <x v="0"/>
    <x v="0"/>
    <x v="1"/>
    <n v="81.38"/>
    <n v="23.1"/>
    <x v="3"/>
    <n v="0"/>
    <x v="0"/>
    <x v="2"/>
  </r>
  <r>
    <n v="40544"/>
    <x v="0"/>
    <n v="0.4"/>
    <n v="0"/>
    <n v="0"/>
    <x v="2"/>
    <x v="1"/>
    <x v="3"/>
    <x v="0"/>
    <n v="109.56"/>
    <n v="14.3"/>
    <x v="3"/>
    <n v="0"/>
    <x v="2"/>
    <x v="4"/>
  </r>
  <r>
    <n v="49152"/>
    <x v="1"/>
    <n v="40"/>
    <n v="0"/>
    <n v="0"/>
    <x v="2"/>
    <x v="1"/>
    <x v="0"/>
    <x v="1"/>
    <n v="70.45"/>
    <n v="23.3"/>
    <x v="2"/>
    <n v="0"/>
    <x v="1"/>
    <x v="2"/>
  </r>
  <r>
    <n v="1231"/>
    <x v="1"/>
    <n v="62"/>
    <n v="0"/>
    <n v="0"/>
    <x v="1"/>
    <x v="0"/>
    <x v="2"/>
    <x v="1"/>
    <n v="73.44"/>
    <n v="23.4"/>
    <x v="3"/>
    <n v="0"/>
    <x v="0"/>
    <x v="2"/>
  </r>
  <r>
    <n v="43672"/>
    <x v="1"/>
    <n v="45"/>
    <n v="0"/>
    <n v="0"/>
    <x v="2"/>
    <x v="0"/>
    <x v="0"/>
    <x v="0"/>
    <n v="146.44"/>
    <n v="22.8"/>
    <x v="0"/>
    <n v="0"/>
    <x v="1"/>
    <x v="2"/>
  </r>
  <r>
    <n v="25107"/>
    <x v="1"/>
    <n v="47"/>
    <n v="0"/>
    <n v="0"/>
    <x v="2"/>
    <x v="0"/>
    <x v="0"/>
    <x v="0"/>
    <n v="65.040000000000006"/>
    <n v="30.9"/>
    <x v="1"/>
    <n v="0"/>
    <x v="1"/>
    <x v="0"/>
  </r>
  <r>
    <n v="39286"/>
    <x v="1"/>
    <n v="35"/>
    <n v="0"/>
    <n v="0"/>
    <x v="2"/>
    <x v="0"/>
    <x v="1"/>
    <x v="1"/>
    <n v="151.25"/>
    <n v="28.4"/>
    <x v="3"/>
    <n v="0"/>
    <x v="2"/>
    <x v="3"/>
  </r>
  <r>
    <n v="32766"/>
    <x v="0"/>
    <n v="51"/>
    <n v="0"/>
    <n v="0"/>
    <x v="2"/>
    <x v="1"/>
    <x v="0"/>
    <x v="1"/>
    <n v="106.41"/>
    <n v="41.9"/>
    <x v="2"/>
    <n v="0"/>
    <x v="1"/>
    <x v="0"/>
  </r>
  <r>
    <n v="15988"/>
    <x v="0"/>
    <n v="60"/>
    <n v="1"/>
    <n v="0"/>
    <x v="0"/>
    <x v="0"/>
    <x v="0"/>
    <x v="0"/>
    <n v="197.09"/>
    <n v="34.299999999999997"/>
    <x v="3"/>
    <n v="0"/>
    <x v="0"/>
    <x v="0"/>
  </r>
  <r>
    <n v="9011"/>
    <x v="0"/>
    <n v="59"/>
    <n v="0"/>
    <n v="0"/>
    <x v="2"/>
    <x v="0"/>
    <x v="0"/>
    <x v="0"/>
    <n v="93.58"/>
    <n v="25.1"/>
    <x v="2"/>
    <n v="0"/>
    <x v="1"/>
    <x v="3"/>
  </r>
  <r>
    <n v="38043"/>
    <x v="1"/>
    <n v="1.24"/>
    <n v="0"/>
    <n v="0"/>
    <x v="2"/>
    <x v="1"/>
    <x v="3"/>
    <x v="1"/>
    <n v="122.04"/>
    <n v="10.3"/>
    <x v="3"/>
    <n v="0"/>
    <x v="2"/>
    <x v="4"/>
  </r>
  <r>
    <n v="71721"/>
    <x v="1"/>
    <n v="18"/>
    <n v="0"/>
    <n v="0"/>
    <x v="2"/>
    <x v="1"/>
    <x v="0"/>
    <x v="1"/>
    <n v="80.06"/>
    <n v="31.8"/>
    <x v="3"/>
    <n v="0"/>
    <x v="2"/>
    <x v="0"/>
  </r>
  <r>
    <n v="14832"/>
    <x v="1"/>
    <n v="81"/>
    <n v="0"/>
    <n v="1"/>
    <x v="0"/>
    <x v="0"/>
    <x v="0"/>
    <x v="0"/>
    <n v="84.93"/>
    <n v="31.8"/>
    <x v="3"/>
    <n v="0"/>
    <x v="0"/>
    <x v="0"/>
  </r>
  <r>
    <n v="38094"/>
    <x v="0"/>
    <n v="15"/>
    <n v="0"/>
    <n v="0"/>
    <x v="2"/>
    <x v="1"/>
    <x v="1"/>
    <x v="0"/>
    <n v="68.400000000000006"/>
    <n v="23"/>
    <x v="1"/>
    <n v="0"/>
    <x v="2"/>
    <x v="2"/>
  </r>
  <r>
    <n v="49789"/>
    <x v="1"/>
    <n v="73"/>
    <n v="0"/>
    <n v="0"/>
    <x v="1"/>
    <x v="1"/>
    <x v="2"/>
    <x v="0"/>
    <n v="62.99"/>
    <n v="25.4"/>
    <x v="0"/>
    <n v="0"/>
    <x v="0"/>
    <x v="3"/>
  </r>
  <r>
    <n v="47350"/>
    <x v="1"/>
    <n v="0.08"/>
    <n v="0"/>
    <n v="0"/>
    <x v="2"/>
    <x v="1"/>
    <x v="3"/>
    <x v="0"/>
    <n v="139.66999999999999"/>
    <n v="14.1"/>
    <x v="3"/>
    <n v="0"/>
    <x v="2"/>
    <x v="4"/>
  </r>
  <r>
    <n v="33525"/>
    <x v="0"/>
    <n v="53"/>
    <n v="0"/>
    <n v="0"/>
    <x v="2"/>
    <x v="0"/>
    <x v="2"/>
    <x v="0"/>
    <n v="113.4"/>
    <n v="35.1"/>
    <x v="2"/>
    <n v="0"/>
    <x v="1"/>
    <x v="0"/>
  </r>
  <r>
    <n v="12318"/>
    <x v="0"/>
    <n v="45"/>
    <n v="0"/>
    <n v="0"/>
    <x v="2"/>
    <x v="0"/>
    <x v="1"/>
    <x v="0"/>
    <n v="101.92"/>
    <n v="26.9"/>
    <x v="3"/>
    <n v="0"/>
    <x v="1"/>
    <x v="3"/>
  </r>
  <r>
    <n v="54553"/>
    <x v="0"/>
    <n v="70"/>
    <n v="1"/>
    <n v="0"/>
    <x v="0"/>
    <x v="0"/>
    <x v="0"/>
    <x v="0"/>
    <n v="65.98"/>
    <n v="33"/>
    <x v="0"/>
    <n v="0"/>
    <x v="0"/>
    <x v="0"/>
  </r>
  <r>
    <n v="45976"/>
    <x v="0"/>
    <n v="56"/>
    <n v="0"/>
    <n v="0"/>
    <x v="2"/>
    <x v="0"/>
    <x v="0"/>
    <x v="0"/>
    <n v="84.3"/>
    <n v="22.1"/>
    <x v="3"/>
    <n v="0"/>
    <x v="1"/>
    <x v="2"/>
  </r>
  <r>
    <n v="43675"/>
    <x v="1"/>
    <n v="7"/>
    <n v="0"/>
    <n v="0"/>
    <x v="2"/>
    <x v="1"/>
    <x v="3"/>
    <x v="0"/>
    <n v="61.42"/>
    <n v="20.8"/>
    <x v="3"/>
    <n v="0"/>
    <x v="2"/>
    <x v="2"/>
  </r>
  <r>
    <n v="12915"/>
    <x v="1"/>
    <n v="66"/>
    <n v="0"/>
    <n v="0"/>
    <x v="1"/>
    <x v="0"/>
    <x v="2"/>
    <x v="1"/>
    <n v="85.52"/>
    <n v="30"/>
    <x v="1"/>
    <n v="0"/>
    <x v="0"/>
    <x v="0"/>
  </r>
  <r>
    <n v="4542"/>
    <x v="1"/>
    <n v="53"/>
    <n v="0"/>
    <n v="0"/>
    <x v="2"/>
    <x v="0"/>
    <x v="2"/>
    <x v="0"/>
    <n v="83.79"/>
    <n v="44"/>
    <x v="3"/>
    <n v="0"/>
    <x v="1"/>
    <x v="0"/>
  </r>
  <r>
    <n v="65801"/>
    <x v="1"/>
    <n v="20"/>
    <n v="0"/>
    <n v="0"/>
    <x v="2"/>
    <x v="1"/>
    <x v="0"/>
    <x v="0"/>
    <n v="73.83"/>
    <n v="16.600000000000001"/>
    <x v="3"/>
    <n v="0"/>
    <x v="2"/>
    <x v="4"/>
  </r>
  <r>
    <n v="59953"/>
    <x v="1"/>
    <n v="15"/>
    <n v="0"/>
    <n v="0"/>
    <x v="2"/>
    <x v="1"/>
    <x v="0"/>
    <x v="1"/>
    <n v="69.38"/>
    <n v="28.4"/>
    <x v="1"/>
    <n v="0"/>
    <x v="2"/>
    <x v="3"/>
  </r>
  <r>
    <n v="60973"/>
    <x v="0"/>
    <n v="51"/>
    <n v="0"/>
    <n v="0"/>
    <x v="2"/>
    <x v="0"/>
    <x v="0"/>
    <x v="0"/>
    <n v="66.11"/>
    <n v="26.3"/>
    <x v="1"/>
    <n v="0"/>
    <x v="1"/>
    <x v="3"/>
  </r>
  <r>
    <n v="68739"/>
    <x v="0"/>
    <n v="34"/>
    <n v="0"/>
    <n v="0"/>
    <x v="2"/>
    <x v="0"/>
    <x v="0"/>
    <x v="0"/>
    <n v="149.62"/>
    <n v="39.4"/>
    <x v="0"/>
    <n v="0"/>
    <x v="2"/>
    <x v="0"/>
  </r>
  <r>
    <n v="35829"/>
    <x v="1"/>
    <n v="33"/>
    <n v="0"/>
    <n v="0"/>
    <x v="2"/>
    <x v="0"/>
    <x v="0"/>
    <x v="0"/>
    <n v="242.84"/>
    <n v="15.7"/>
    <x v="2"/>
    <n v="0"/>
    <x v="2"/>
    <x v="4"/>
  </r>
  <r>
    <n v="53909"/>
    <x v="1"/>
    <n v="53"/>
    <n v="1"/>
    <n v="0"/>
    <x v="2"/>
    <x v="0"/>
    <x v="0"/>
    <x v="0"/>
    <n v="202.66"/>
    <n v="34.1"/>
    <x v="2"/>
    <n v="0"/>
    <x v="1"/>
    <x v="0"/>
  </r>
  <r>
    <n v="5799"/>
    <x v="0"/>
    <n v="69"/>
    <n v="0"/>
    <n v="1"/>
    <x v="0"/>
    <x v="0"/>
    <x v="0"/>
    <x v="1"/>
    <n v="216.9"/>
    <n v="29.8"/>
    <x v="0"/>
    <n v="0"/>
    <x v="0"/>
    <x v="3"/>
  </r>
  <r>
    <n v="43772"/>
    <x v="1"/>
    <n v="28"/>
    <n v="0"/>
    <n v="0"/>
    <x v="2"/>
    <x v="1"/>
    <x v="0"/>
    <x v="0"/>
    <n v="103.78"/>
    <n v="23.6"/>
    <x v="3"/>
    <n v="0"/>
    <x v="2"/>
    <x v="2"/>
  </r>
  <r>
    <n v="3154"/>
    <x v="1"/>
    <n v="81"/>
    <n v="0"/>
    <n v="0"/>
    <x v="1"/>
    <x v="0"/>
    <x v="1"/>
    <x v="1"/>
    <n v="114.88"/>
    <n v="18.3"/>
    <x v="0"/>
    <n v="0"/>
    <x v="0"/>
    <x v="4"/>
  </r>
  <r>
    <n v="45754"/>
    <x v="1"/>
    <n v="20"/>
    <n v="0"/>
    <n v="0"/>
    <x v="2"/>
    <x v="1"/>
    <x v="0"/>
    <x v="0"/>
    <n v="75.94"/>
    <n v="28.3"/>
    <x v="1"/>
    <n v="0"/>
    <x v="2"/>
    <x v="3"/>
  </r>
  <r>
    <n v="57485"/>
    <x v="1"/>
    <n v="1.48"/>
    <n v="0"/>
    <n v="0"/>
    <x v="2"/>
    <x v="1"/>
    <x v="3"/>
    <x v="1"/>
    <n v="55.51"/>
    <n v="18.5"/>
    <x v="3"/>
    <n v="0"/>
    <x v="2"/>
    <x v="2"/>
  </r>
  <r>
    <n v="6128"/>
    <x v="0"/>
    <n v="2"/>
    <n v="0"/>
    <n v="0"/>
    <x v="2"/>
    <x v="1"/>
    <x v="3"/>
    <x v="1"/>
    <n v="93.74"/>
    <n v="18.399999999999999"/>
    <x v="3"/>
    <n v="0"/>
    <x v="2"/>
    <x v="4"/>
  </r>
  <r>
    <n v="22623"/>
    <x v="0"/>
    <n v="77"/>
    <n v="0"/>
    <n v="0"/>
    <x v="1"/>
    <x v="0"/>
    <x v="0"/>
    <x v="0"/>
    <n v="71.44"/>
    <n v="24.1"/>
    <x v="2"/>
    <n v="0"/>
    <x v="0"/>
    <x v="2"/>
  </r>
  <r>
    <n v="37082"/>
    <x v="1"/>
    <n v="38"/>
    <n v="0"/>
    <n v="0"/>
    <x v="2"/>
    <x v="0"/>
    <x v="2"/>
    <x v="0"/>
    <n v="58.29"/>
    <n v="25.5"/>
    <x v="0"/>
    <n v="0"/>
    <x v="2"/>
    <x v="3"/>
  </r>
  <r>
    <n v="64541"/>
    <x v="0"/>
    <n v="23"/>
    <n v="0"/>
    <n v="0"/>
    <x v="2"/>
    <x v="0"/>
    <x v="0"/>
    <x v="0"/>
    <n v="115.83"/>
    <n v="25.3"/>
    <x v="1"/>
    <n v="0"/>
    <x v="2"/>
    <x v="3"/>
  </r>
  <r>
    <n v="47037"/>
    <x v="1"/>
    <n v="67"/>
    <n v="0"/>
    <n v="0"/>
    <x v="1"/>
    <x v="0"/>
    <x v="0"/>
    <x v="0"/>
    <n v="102.71"/>
    <n v="39.9"/>
    <x v="0"/>
    <n v="0"/>
    <x v="0"/>
    <x v="0"/>
  </r>
  <r>
    <n v="48614"/>
    <x v="0"/>
    <n v="59"/>
    <n v="0"/>
    <n v="0"/>
    <x v="2"/>
    <x v="0"/>
    <x v="2"/>
    <x v="0"/>
    <n v="99.69"/>
    <n v="28.8"/>
    <x v="2"/>
    <n v="0"/>
    <x v="1"/>
    <x v="3"/>
  </r>
  <r>
    <n v="15969"/>
    <x v="1"/>
    <n v="41"/>
    <n v="0"/>
    <n v="0"/>
    <x v="2"/>
    <x v="0"/>
    <x v="1"/>
    <x v="1"/>
    <n v="102.89"/>
    <n v="37.200000000000003"/>
    <x v="0"/>
    <n v="0"/>
    <x v="1"/>
    <x v="0"/>
  </r>
  <r>
    <n v="17752"/>
    <x v="0"/>
    <n v="76"/>
    <n v="0"/>
    <n v="1"/>
    <x v="0"/>
    <x v="0"/>
    <x v="0"/>
    <x v="0"/>
    <n v="79.05"/>
    <s v="N/A"/>
    <x v="3"/>
    <n v="0"/>
    <x v="0"/>
    <x v="1"/>
  </r>
  <r>
    <n v="50889"/>
    <x v="1"/>
    <n v="21"/>
    <n v="0"/>
    <n v="0"/>
    <x v="2"/>
    <x v="1"/>
    <x v="2"/>
    <x v="1"/>
    <n v="56.63"/>
    <n v="49.8"/>
    <x v="1"/>
    <n v="0"/>
    <x v="2"/>
    <x v="0"/>
  </r>
  <r>
    <n v="56459"/>
    <x v="0"/>
    <n v="41"/>
    <n v="0"/>
    <n v="0"/>
    <x v="2"/>
    <x v="0"/>
    <x v="0"/>
    <x v="1"/>
    <n v="87.34"/>
    <n v="34.299999999999997"/>
    <x v="0"/>
    <n v="0"/>
    <x v="1"/>
    <x v="0"/>
  </r>
  <r>
    <n v="34163"/>
    <x v="0"/>
    <n v="54"/>
    <n v="0"/>
    <n v="0"/>
    <x v="2"/>
    <x v="0"/>
    <x v="0"/>
    <x v="1"/>
    <n v="109.51"/>
    <n v="29"/>
    <x v="1"/>
    <n v="0"/>
    <x v="1"/>
    <x v="3"/>
  </r>
  <r>
    <n v="4538"/>
    <x v="1"/>
    <n v="29"/>
    <n v="0"/>
    <n v="0"/>
    <x v="2"/>
    <x v="1"/>
    <x v="0"/>
    <x v="0"/>
    <n v="81.430000000000007"/>
    <s v="N/A"/>
    <x v="0"/>
    <n v="0"/>
    <x v="2"/>
    <x v="1"/>
  </r>
  <r>
    <n v="14222"/>
    <x v="1"/>
    <n v="25"/>
    <n v="0"/>
    <n v="0"/>
    <x v="2"/>
    <x v="1"/>
    <x v="0"/>
    <x v="0"/>
    <n v="78.59"/>
    <n v="37.200000000000003"/>
    <x v="1"/>
    <n v="0"/>
    <x v="2"/>
    <x v="0"/>
  </r>
  <r>
    <n v="31461"/>
    <x v="1"/>
    <n v="48"/>
    <n v="0"/>
    <n v="1"/>
    <x v="2"/>
    <x v="0"/>
    <x v="1"/>
    <x v="0"/>
    <n v="101.22"/>
    <s v="N/A"/>
    <x v="0"/>
    <n v="0"/>
    <x v="1"/>
    <x v="1"/>
  </r>
  <r>
    <n v="34001"/>
    <x v="1"/>
    <n v="6"/>
    <n v="0"/>
    <n v="0"/>
    <x v="2"/>
    <x v="1"/>
    <x v="3"/>
    <x v="0"/>
    <n v="78.260000000000005"/>
    <n v="19.399999999999999"/>
    <x v="3"/>
    <n v="0"/>
    <x v="2"/>
    <x v="2"/>
  </r>
  <r>
    <n v="48964"/>
    <x v="0"/>
    <n v="21"/>
    <n v="0"/>
    <n v="0"/>
    <x v="2"/>
    <x v="1"/>
    <x v="0"/>
    <x v="1"/>
    <n v="105.47"/>
    <n v="26.2"/>
    <x v="1"/>
    <n v="0"/>
    <x v="2"/>
    <x v="3"/>
  </r>
  <r>
    <n v="40393"/>
    <x v="1"/>
    <n v="32"/>
    <n v="0"/>
    <n v="0"/>
    <x v="2"/>
    <x v="1"/>
    <x v="0"/>
    <x v="0"/>
    <n v="68.19"/>
    <n v="21.1"/>
    <x v="1"/>
    <n v="0"/>
    <x v="2"/>
    <x v="2"/>
  </r>
  <r>
    <n v="16488"/>
    <x v="1"/>
    <n v="57"/>
    <n v="1"/>
    <n v="0"/>
    <x v="2"/>
    <x v="0"/>
    <x v="0"/>
    <x v="0"/>
    <n v="210"/>
    <s v="N/A"/>
    <x v="1"/>
    <n v="0"/>
    <x v="1"/>
    <x v="1"/>
  </r>
  <r>
    <n v="47947"/>
    <x v="1"/>
    <n v="64"/>
    <n v="0"/>
    <n v="0"/>
    <x v="1"/>
    <x v="0"/>
    <x v="1"/>
    <x v="1"/>
    <n v="114.47"/>
    <n v="31.6"/>
    <x v="2"/>
    <n v="0"/>
    <x v="0"/>
    <x v="0"/>
  </r>
  <r>
    <n v="51149"/>
    <x v="0"/>
    <n v="70"/>
    <n v="0"/>
    <n v="0"/>
    <x v="1"/>
    <x v="0"/>
    <x v="0"/>
    <x v="0"/>
    <n v="66.849999999999994"/>
    <n v="29.3"/>
    <x v="3"/>
    <n v="0"/>
    <x v="0"/>
    <x v="3"/>
  </r>
  <r>
    <n v="17079"/>
    <x v="0"/>
    <n v="44"/>
    <n v="0"/>
    <n v="0"/>
    <x v="2"/>
    <x v="0"/>
    <x v="0"/>
    <x v="1"/>
    <n v="94.71"/>
    <n v="28.4"/>
    <x v="2"/>
    <n v="0"/>
    <x v="1"/>
    <x v="3"/>
  </r>
  <r>
    <n v="44781"/>
    <x v="1"/>
    <n v="60"/>
    <n v="0"/>
    <n v="1"/>
    <x v="0"/>
    <x v="0"/>
    <x v="0"/>
    <x v="0"/>
    <n v="208.05"/>
    <n v="35.299999999999997"/>
    <x v="2"/>
    <n v="0"/>
    <x v="0"/>
    <x v="0"/>
  </r>
  <r>
    <n v="29385"/>
    <x v="1"/>
    <n v="56"/>
    <n v="0"/>
    <n v="0"/>
    <x v="2"/>
    <x v="0"/>
    <x v="0"/>
    <x v="1"/>
    <n v="222.6"/>
    <n v="40.1"/>
    <x v="2"/>
    <n v="0"/>
    <x v="1"/>
    <x v="0"/>
  </r>
  <r>
    <n v="53610"/>
    <x v="0"/>
    <n v="53"/>
    <n v="0"/>
    <n v="0"/>
    <x v="2"/>
    <x v="0"/>
    <x v="0"/>
    <x v="0"/>
    <n v="80.81"/>
    <n v="39"/>
    <x v="0"/>
    <n v="0"/>
    <x v="1"/>
    <x v="0"/>
  </r>
  <r>
    <n v="48210"/>
    <x v="0"/>
    <n v="59"/>
    <n v="0"/>
    <n v="0"/>
    <x v="2"/>
    <x v="0"/>
    <x v="0"/>
    <x v="1"/>
    <n v="64.510000000000005"/>
    <n v="31.5"/>
    <x v="1"/>
    <n v="0"/>
    <x v="1"/>
    <x v="0"/>
  </r>
  <r>
    <n v="48072"/>
    <x v="1"/>
    <n v="53"/>
    <n v="1"/>
    <n v="0"/>
    <x v="2"/>
    <x v="0"/>
    <x v="0"/>
    <x v="0"/>
    <n v="151.56"/>
    <n v="28.5"/>
    <x v="3"/>
    <n v="0"/>
    <x v="1"/>
    <x v="3"/>
  </r>
  <r>
    <n v="32776"/>
    <x v="0"/>
    <n v="63"/>
    <n v="0"/>
    <n v="0"/>
    <x v="1"/>
    <x v="0"/>
    <x v="0"/>
    <x v="0"/>
    <n v="199.14"/>
    <n v="28.5"/>
    <x v="1"/>
    <n v="0"/>
    <x v="0"/>
    <x v="3"/>
  </r>
  <r>
    <n v="8960"/>
    <x v="1"/>
    <n v="42"/>
    <n v="0"/>
    <n v="0"/>
    <x v="2"/>
    <x v="1"/>
    <x v="1"/>
    <x v="1"/>
    <n v="73.41"/>
    <n v="56"/>
    <x v="2"/>
    <n v="0"/>
    <x v="1"/>
    <x v="0"/>
  </r>
  <r>
    <n v="63491"/>
    <x v="1"/>
    <n v="63"/>
    <n v="0"/>
    <n v="0"/>
    <x v="1"/>
    <x v="0"/>
    <x v="0"/>
    <x v="0"/>
    <n v="109.65"/>
    <n v="28.6"/>
    <x v="0"/>
    <n v="0"/>
    <x v="0"/>
    <x v="3"/>
  </r>
  <r>
    <n v="51883"/>
    <x v="1"/>
    <n v="52"/>
    <n v="0"/>
    <n v="0"/>
    <x v="2"/>
    <x v="0"/>
    <x v="2"/>
    <x v="1"/>
    <n v="69.11"/>
    <n v="35.200000000000003"/>
    <x v="1"/>
    <n v="0"/>
    <x v="1"/>
    <x v="0"/>
  </r>
  <r>
    <n v="20460"/>
    <x v="1"/>
    <n v="62"/>
    <n v="0"/>
    <n v="0"/>
    <x v="1"/>
    <x v="0"/>
    <x v="0"/>
    <x v="0"/>
    <n v="114.41"/>
    <n v="32.5"/>
    <x v="1"/>
    <n v="0"/>
    <x v="0"/>
    <x v="0"/>
  </r>
  <r>
    <n v="47181"/>
    <x v="1"/>
    <n v="68"/>
    <n v="0"/>
    <n v="0"/>
    <x v="1"/>
    <x v="0"/>
    <x v="0"/>
    <x v="0"/>
    <n v="103.46"/>
    <n v="35.9"/>
    <x v="1"/>
    <n v="0"/>
    <x v="0"/>
    <x v="0"/>
  </r>
  <r>
    <n v="35432"/>
    <x v="1"/>
    <n v="36"/>
    <n v="0"/>
    <n v="0"/>
    <x v="2"/>
    <x v="0"/>
    <x v="0"/>
    <x v="1"/>
    <n v="95.36"/>
    <n v="25.1"/>
    <x v="1"/>
    <n v="0"/>
    <x v="2"/>
    <x v="3"/>
  </r>
  <r>
    <n v="44010"/>
    <x v="1"/>
    <n v="3"/>
    <n v="0"/>
    <n v="0"/>
    <x v="2"/>
    <x v="1"/>
    <x v="3"/>
    <x v="0"/>
    <n v="57.33"/>
    <n v="16.8"/>
    <x v="3"/>
    <n v="0"/>
    <x v="2"/>
    <x v="4"/>
  </r>
  <r>
    <n v="50841"/>
    <x v="1"/>
    <n v="40"/>
    <n v="0"/>
    <n v="0"/>
    <x v="2"/>
    <x v="0"/>
    <x v="0"/>
    <x v="1"/>
    <n v="191.48"/>
    <n v="27.9"/>
    <x v="2"/>
    <n v="0"/>
    <x v="1"/>
    <x v="3"/>
  </r>
  <r>
    <n v="71044"/>
    <x v="1"/>
    <n v="8"/>
    <n v="0"/>
    <n v="0"/>
    <x v="2"/>
    <x v="1"/>
    <x v="3"/>
    <x v="1"/>
    <n v="71.63"/>
    <n v="16.3"/>
    <x v="3"/>
    <n v="0"/>
    <x v="2"/>
    <x v="4"/>
  </r>
  <r>
    <n v="1842"/>
    <x v="0"/>
    <n v="58"/>
    <n v="0"/>
    <n v="0"/>
    <x v="2"/>
    <x v="0"/>
    <x v="0"/>
    <x v="0"/>
    <n v="94"/>
    <s v="N/A"/>
    <x v="3"/>
    <n v="0"/>
    <x v="1"/>
    <x v="1"/>
  </r>
  <r>
    <n v="34720"/>
    <x v="0"/>
    <n v="45"/>
    <n v="0"/>
    <n v="1"/>
    <x v="2"/>
    <x v="0"/>
    <x v="0"/>
    <x v="1"/>
    <n v="93.77"/>
    <s v="N/A"/>
    <x v="3"/>
    <n v="0"/>
    <x v="1"/>
    <x v="1"/>
  </r>
  <r>
    <n v="9489"/>
    <x v="1"/>
    <n v="65"/>
    <n v="0"/>
    <n v="0"/>
    <x v="1"/>
    <x v="0"/>
    <x v="0"/>
    <x v="0"/>
    <n v="84.75"/>
    <n v="21.4"/>
    <x v="3"/>
    <n v="0"/>
    <x v="0"/>
    <x v="2"/>
  </r>
  <r>
    <n v="28725"/>
    <x v="1"/>
    <n v="28"/>
    <n v="0"/>
    <n v="0"/>
    <x v="2"/>
    <x v="1"/>
    <x v="0"/>
    <x v="1"/>
    <n v="89.24"/>
    <n v="32.700000000000003"/>
    <x v="0"/>
    <n v="0"/>
    <x v="2"/>
    <x v="0"/>
  </r>
  <r>
    <n v="30290"/>
    <x v="1"/>
    <n v="40"/>
    <n v="0"/>
    <n v="0"/>
    <x v="2"/>
    <x v="0"/>
    <x v="0"/>
    <x v="0"/>
    <n v="70.13"/>
    <n v="23.6"/>
    <x v="1"/>
    <n v="0"/>
    <x v="1"/>
    <x v="2"/>
  </r>
  <r>
    <n v="13723"/>
    <x v="1"/>
    <n v="65"/>
    <n v="0"/>
    <n v="0"/>
    <x v="1"/>
    <x v="0"/>
    <x v="0"/>
    <x v="0"/>
    <n v="82.26"/>
    <n v="19.8"/>
    <x v="0"/>
    <n v="0"/>
    <x v="0"/>
    <x v="2"/>
  </r>
  <r>
    <n v="26328"/>
    <x v="0"/>
    <n v="58"/>
    <n v="1"/>
    <n v="0"/>
    <x v="2"/>
    <x v="0"/>
    <x v="0"/>
    <x v="0"/>
    <n v="200.16"/>
    <n v="33.1"/>
    <x v="1"/>
    <n v="0"/>
    <x v="1"/>
    <x v="0"/>
  </r>
  <r>
    <n v="60104"/>
    <x v="0"/>
    <n v="44"/>
    <n v="0"/>
    <n v="0"/>
    <x v="2"/>
    <x v="0"/>
    <x v="0"/>
    <x v="0"/>
    <n v="80.73"/>
    <n v="28.1"/>
    <x v="2"/>
    <n v="0"/>
    <x v="1"/>
    <x v="3"/>
  </r>
  <r>
    <n v="48722"/>
    <x v="1"/>
    <n v="54"/>
    <n v="0"/>
    <n v="0"/>
    <x v="2"/>
    <x v="0"/>
    <x v="0"/>
    <x v="0"/>
    <n v="75.09"/>
    <n v="38.9"/>
    <x v="0"/>
    <n v="0"/>
    <x v="1"/>
    <x v="0"/>
  </r>
  <r>
    <n v="14481"/>
    <x v="1"/>
    <n v="79"/>
    <n v="0"/>
    <n v="0"/>
    <x v="1"/>
    <x v="0"/>
    <x v="1"/>
    <x v="0"/>
    <n v="80.569999999999993"/>
    <n v="23.8"/>
    <x v="1"/>
    <n v="0"/>
    <x v="0"/>
    <x v="2"/>
  </r>
  <r>
    <n v="67963"/>
    <x v="1"/>
    <n v="62"/>
    <n v="1"/>
    <n v="0"/>
    <x v="0"/>
    <x v="1"/>
    <x v="0"/>
    <x v="1"/>
    <n v="77.040000000000006"/>
    <n v="33.799999999999997"/>
    <x v="0"/>
    <n v="0"/>
    <x v="0"/>
    <x v="0"/>
  </r>
  <r>
    <n v="70752"/>
    <x v="0"/>
    <n v="37"/>
    <n v="0"/>
    <n v="0"/>
    <x v="2"/>
    <x v="0"/>
    <x v="0"/>
    <x v="0"/>
    <n v="145.26"/>
    <n v="26.7"/>
    <x v="3"/>
    <n v="0"/>
    <x v="2"/>
    <x v="3"/>
  </r>
  <r>
    <n v="52419"/>
    <x v="0"/>
    <n v="66"/>
    <n v="0"/>
    <n v="0"/>
    <x v="1"/>
    <x v="0"/>
    <x v="0"/>
    <x v="0"/>
    <n v="190.4"/>
    <s v="N/A"/>
    <x v="0"/>
    <n v="0"/>
    <x v="0"/>
    <x v="1"/>
  </r>
  <r>
    <n v="14711"/>
    <x v="0"/>
    <n v="63"/>
    <n v="0"/>
    <n v="0"/>
    <x v="1"/>
    <x v="0"/>
    <x v="1"/>
    <x v="0"/>
    <n v="82.08"/>
    <n v="32.200000000000003"/>
    <x v="0"/>
    <n v="0"/>
    <x v="0"/>
    <x v="0"/>
  </r>
  <r>
    <n v="26366"/>
    <x v="1"/>
    <n v="27"/>
    <n v="0"/>
    <n v="0"/>
    <x v="2"/>
    <x v="1"/>
    <x v="0"/>
    <x v="1"/>
    <n v="103.35"/>
    <n v="28.1"/>
    <x v="0"/>
    <n v="0"/>
    <x v="2"/>
    <x v="3"/>
  </r>
  <r>
    <n v="12436"/>
    <x v="0"/>
    <n v="6"/>
    <n v="0"/>
    <n v="0"/>
    <x v="2"/>
    <x v="1"/>
    <x v="3"/>
    <x v="0"/>
    <n v="97.46"/>
    <n v="21.3"/>
    <x v="3"/>
    <n v="0"/>
    <x v="2"/>
    <x v="2"/>
  </r>
  <r>
    <n v="36722"/>
    <x v="1"/>
    <n v="30"/>
    <n v="0"/>
    <n v="0"/>
    <x v="2"/>
    <x v="0"/>
    <x v="0"/>
    <x v="0"/>
    <n v="123.65"/>
    <n v="44"/>
    <x v="2"/>
    <n v="0"/>
    <x v="2"/>
    <x v="0"/>
  </r>
  <r>
    <n v="37698"/>
    <x v="1"/>
    <n v="15"/>
    <n v="0"/>
    <n v="0"/>
    <x v="2"/>
    <x v="1"/>
    <x v="3"/>
    <x v="0"/>
    <n v="87.96"/>
    <n v="21.5"/>
    <x v="0"/>
    <n v="0"/>
    <x v="2"/>
    <x v="2"/>
  </r>
  <r>
    <n v="55235"/>
    <x v="1"/>
    <n v="50"/>
    <n v="0"/>
    <n v="0"/>
    <x v="2"/>
    <x v="0"/>
    <x v="1"/>
    <x v="0"/>
    <n v="85.92"/>
    <n v="37.299999999999997"/>
    <x v="2"/>
    <n v="0"/>
    <x v="1"/>
    <x v="0"/>
  </r>
  <r>
    <n v="20468"/>
    <x v="1"/>
    <n v="32"/>
    <n v="0"/>
    <n v="0"/>
    <x v="2"/>
    <x v="0"/>
    <x v="0"/>
    <x v="0"/>
    <n v="80.8"/>
    <n v="44.8"/>
    <x v="1"/>
    <n v="0"/>
    <x v="2"/>
    <x v="0"/>
  </r>
  <r>
    <n v="14677"/>
    <x v="1"/>
    <n v="33"/>
    <n v="0"/>
    <n v="0"/>
    <x v="2"/>
    <x v="0"/>
    <x v="1"/>
    <x v="1"/>
    <n v="99.3"/>
    <n v="21.4"/>
    <x v="1"/>
    <n v="0"/>
    <x v="2"/>
    <x v="2"/>
  </r>
  <r>
    <n v="44171"/>
    <x v="0"/>
    <n v="62"/>
    <n v="0"/>
    <n v="0"/>
    <x v="1"/>
    <x v="0"/>
    <x v="0"/>
    <x v="1"/>
    <n v="62.56"/>
    <n v="32.299999999999997"/>
    <x v="1"/>
    <n v="0"/>
    <x v="0"/>
    <x v="0"/>
  </r>
  <r>
    <n v="70344"/>
    <x v="0"/>
    <n v="82"/>
    <n v="0"/>
    <n v="0"/>
    <x v="1"/>
    <x v="0"/>
    <x v="0"/>
    <x v="0"/>
    <n v="144.19999999999999"/>
    <n v="35.4"/>
    <x v="2"/>
    <n v="0"/>
    <x v="0"/>
    <x v="0"/>
  </r>
  <r>
    <n v="8470"/>
    <x v="1"/>
    <n v="71"/>
    <n v="0"/>
    <n v="0"/>
    <x v="1"/>
    <x v="0"/>
    <x v="0"/>
    <x v="0"/>
    <n v="71.38"/>
    <n v="19.7"/>
    <x v="1"/>
    <n v="0"/>
    <x v="0"/>
    <x v="2"/>
  </r>
  <r>
    <n v="42743"/>
    <x v="1"/>
    <n v="20"/>
    <n v="0"/>
    <n v="0"/>
    <x v="2"/>
    <x v="1"/>
    <x v="0"/>
    <x v="0"/>
    <n v="95.5"/>
    <n v="31.3"/>
    <x v="3"/>
    <n v="0"/>
    <x v="2"/>
    <x v="0"/>
  </r>
  <r>
    <n v="13949"/>
    <x v="1"/>
    <n v="44"/>
    <n v="0"/>
    <n v="0"/>
    <x v="2"/>
    <x v="0"/>
    <x v="2"/>
    <x v="0"/>
    <n v="67.06"/>
    <n v="35.5"/>
    <x v="1"/>
    <n v="0"/>
    <x v="1"/>
    <x v="0"/>
  </r>
  <r>
    <n v="61096"/>
    <x v="0"/>
    <n v="57"/>
    <n v="0"/>
    <n v="0"/>
    <x v="2"/>
    <x v="0"/>
    <x v="0"/>
    <x v="1"/>
    <n v="70.16"/>
    <n v="25.8"/>
    <x v="0"/>
    <n v="0"/>
    <x v="1"/>
    <x v="3"/>
  </r>
  <r>
    <n v="19239"/>
    <x v="1"/>
    <n v="50"/>
    <n v="0"/>
    <n v="0"/>
    <x v="2"/>
    <x v="0"/>
    <x v="2"/>
    <x v="0"/>
    <n v="104.24"/>
    <n v="32.799999999999997"/>
    <x v="3"/>
    <n v="0"/>
    <x v="1"/>
    <x v="0"/>
  </r>
  <r>
    <n v="70447"/>
    <x v="0"/>
    <n v="50"/>
    <n v="0"/>
    <n v="0"/>
    <x v="2"/>
    <x v="0"/>
    <x v="0"/>
    <x v="1"/>
    <n v="122.48"/>
    <n v="35.9"/>
    <x v="2"/>
    <n v="0"/>
    <x v="1"/>
    <x v="0"/>
  </r>
  <r>
    <n v="6879"/>
    <x v="1"/>
    <n v="44"/>
    <n v="0"/>
    <n v="0"/>
    <x v="2"/>
    <x v="1"/>
    <x v="2"/>
    <x v="0"/>
    <n v="215.9"/>
    <n v="41.8"/>
    <x v="2"/>
    <n v="0"/>
    <x v="1"/>
    <x v="0"/>
  </r>
  <r>
    <n v="37451"/>
    <x v="1"/>
    <n v="47"/>
    <n v="0"/>
    <n v="0"/>
    <x v="2"/>
    <x v="0"/>
    <x v="2"/>
    <x v="1"/>
    <n v="108.56"/>
    <n v="27.3"/>
    <x v="0"/>
    <n v="0"/>
    <x v="1"/>
    <x v="3"/>
  </r>
  <r>
    <n v="5686"/>
    <x v="0"/>
    <n v="35"/>
    <n v="0"/>
    <n v="0"/>
    <x v="2"/>
    <x v="0"/>
    <x v="0"/>
    <x v="0"/>
    <n v="69.88"/>
    <n v="27.7"/>
    <x v="3"/>
    <n v="0"/>
    <x v="2"/>
    <x v="3"/>
  </r>
  <r>
    <n v="4789"/>
    <x v="0"/>
    <n v="8"/>
    <n v="0"/>
    <n v="0"/>
    <x v="2"/>
    <x v="1"/>
    <x v="3"/>
    <x v="1"/>
    <n v="91.54"/>
    <n v="13.4"/>
    <x v="3"/>
    <n v="0"/>
    <x v="2"/>
    <x v="4"/>
  </r>
  <r>
    <n v="897"/>
    <x v="0"/>
    <n v="3"/>
    <n v="0"/>
    <n v="0"/>
    <x v="2"/>
    <x v="1"/>
    <x v="3"/>
    <x v="1"/>
    <n v="65.849999999999994"/>
    <n v="17"/>
    <x v="3"/>
    <n v="0"/>
    <x v="2"/>
    <x v="4"/>
  </r>
  <r>
    <n v="69553"/>
    <x v="1"/>
    <n v="29"/>
    <n v="0"/>
    <n v="0"/>
    <x v="2"/>
    <x v="0"/>
    <x v="0"/>
    <x v="1"/>
    <n v="60.74"/>
    <n v="20"/>
    <x v="1"/>
    <n v="0"/>
    <x v="2"/>
    <x v="2"/>
  </r>
  <r>
    <n v="58438"/>
    <x v="0"/>
    <n v="36"/>
    <n v="0"/>
    <n v="0"/>
    <x v="2"/>
    <x v="1"/>
    <x v="0"/>
    <x v="1"/>
    <n v="233.52"/>
    <n v="40.9"/>
    <x v="1"/>
    <n v="0"/>
    <x v="2"/>
    <x v="0"/>
  </r>
  <r>
    <n v="29104"/>
    <x v="1"/>
    <n v="19"/>
    <n v="0"/>
    <n v="0"/>
    <x v="2"/>
    <x v="1"/>
    <x v="0"/>
    <x v="0"/>
    <n v="110.7"/>
    <n v="38.5"/>
    <x v="1"/>
    <n v="0"/>
    <x v="2"/>
    <x v="0"/>
  </r>
  <r>
    <n v="26862"/>
    <x v="1"/>
    <n v="41"/>
    <n v="0"/>
    <n v="0"/>
    <x v="2"/>
    <x v="0"/>
    <x v="2"/>
    <x v="1"/>
    <n v="78.930000000000007"/>
    <n v="30.9"/>
    <x v="0"/>
    <n v="0"/>
    <x v="1"/>
    <x v="0"/>
  </r>
  <r>
    <n v="38036"/>
    <x v="1"/>
    <n v="23"/>
    <n v="0"/>
    <n v="0"/>
    <x v="2"/>
    <x v="1"/>
    <x v="0"/>
    <x v="0"/>
    <n v="124.5"/>
    <n v="33.4"/>
    <x v="3"/>
    <n v="0"/>
    <x v="2"/>
    <x v="0"/>
  </r>
  <r>
    <n v="36666"/>
    <x v="0"/>
    <n v="14"/>
    <n v="0"/>
    <n v="0"/>
    <x v="2"/>
    <x v="1"/>
    <x v="3"/>
    <x v="0"/>
    <n v="57.95"/>
    <n v="17.100000000000001"/>
    <x v="3"/>
    <n v="0"/>
    <x v="2"/>
    <x v="4"/>
  </r>
  <r>
    <n v="16316"/>
    <x v="0"/>
    <n v="35"/>
    <n v="0"/>
    <n v="0"/>
    <x v="2"/>
    <x v="0"/>
    <x v="0"/>
    <x v="1"/>
    <n v="92.82"/>
    <n v="28.6"/>
    <x v="3"/>
    <n v="0"/>
    <x v="2"/>
    <x v="3"/>
  </r>
  <r>
    <n v="61365"/>
    <x v="0"/>
    <n v="45"/>
    <n v="0"/>
    <n v="0"/>
    <x v="2"/>
    <x v="0"/>
    <x v="0"/>
    <x v="1"/>
    <n v="58.25"/>
    <n v="24"/>
    <x v="2"/>
    <n v="0"/>
    <x v="1"/>
    <x v="2"/>
  </r>
  <r>
    <n v="12512"/>
    <x v="1"/>
    <n v="52"/>
    <n v="1"/>
    <n v="0"/>
    <x v="2"/>
    <x v="0"/>
    <x v="0"/>
    <x v="1"/>
    <n v="213.54"/>
    <n v="32"/>
    <x v="1"/>
    <n v="0"/>
    <x v="1"/>
    <x v="0"/>
  </r>
  <r>
    <n v="31835"/>
    <x v="0"/>
    <n v="19"/>
    <n v="0"/>
    <n v="0"/>
    <x v="2"/>
    <x v="1"/>
    <x v="0"/>
    <x v="0"/>
    <n v="74.86"/>
    <n v="28.4"/>
    <x v="1"/>
    <n v="0"/>
    <x v="2"/>
    <x v="3"/>
  </r>
  <r>
    <n v="4099"/>
    <x v="1"/>
    <n v="21"/>
    <n v="0"/>
    <n v="0"/>
    <x v="2"/>
    <x v="1"/>
    <x v="0"/>
    <x v="0"/>
    <n v="78.349999999999994"/>
    <n v="20.3"/>
    <x v="3"/>
    <n v="0"/>
    <x v="2"/>
    <x v="2"/>
  </r>
  <r>
    <n v="26893"/>
    <x v="0"/>
    <n v="8"/>
    <n v="0"/>
    <n v="0"/>
    <x v="2"/>
    <x v="1"/>
    <x v="3"/>
    <x v="0"/>
    <n v="101.26"/>
    <n v="33.799999999999997"/>
    <x v="3"/>
    <n v="0"/>
    <x v="2"/>
    <x v="0"/>
  </r>
  <r>
    <n v="35143"/>
    <x v="1"/>
    <n v="35"/>
    <n v="0"/>
    <n v="0"/>
    <x v="2"/>
    <x v="0"/>
    <x v="0"/>
    <x v="0"/>
    <n v="86.87"/>
    <n v="43.2"/>
    <x v="3"/>
    <n v="0"/>
    <x v="2"/>
    <x v="0"/>
  </r>
  <r>
    <n v="1486"/>
    <x v="1"/>
    <n v="33"/>
    <n v="0"/>
    <n v="0"/>
    <x v="2"/>
    <x v="0"/>
    <x v="0"/>
    <x v="1"/>
    <n v="124.01"/>
    <n v="22.7"/>
    <x v="3"/>
    <n v="0"/>
    <x v="2"/>
    <x v="2"/>
  </r>
  <r>
    <n v="5043"/>
    <x v="1"/>
    <n v="53"/>
    <n v="0"/>
    <n v="0"/>
    <x v="2"/>
    <x v="0"/>
    <x v="0"/>
    <x v="0"/>
    <n v="83.41"/>
    <n v="29.9"/>
    <x v="1"/>
    <n v="0"/>
    <x v="1"/>
    <x v="3"/>
  </r>
  <r>
    <n v="2513"/>
    <x v="0"/>
    <n v="59"/>
    <n v="0"/>
    <n v="1"/>
    <x v="2"/>
    <x v="0"/>
    <x v="2"/>
    <x v="0"/>
    <n v="188.69"/>
    <s v="N/A"/>
    <x v="0"/>
    <n v="0"/>
    <x v="1"/>
    <x v="1"/>
  </r>
  <r>
    <n v="5451"/>
    <x v="0"/>
    <n v="34"/>
    <n v="0"/>
    <n v="0"/>
    <x v="2"/>
    <x v="0"/>
    <x v="0"/>
    <x v="1"/>
    <n v="86.51"/>
    <s v="N/A"/>
    <x v="0"/>
    <n v="0"/>
    <x v="2"/>
    <x v="1"/>
  </r>
  <r>
    <n v="3640"/>
    <x v="1"/>
    <n v="31"/>
    <n v="0"/>
    <n v="0"/>
    <x v="2"/>
    <x v="1"/>
    <x v="1"/>
    <x v="1"/>
    <n v="70.650000000000006"/>
    <n v="29.9"/>
    <x v="3"/>
    <n v="0"/>
    <x v="2"/>
    <x v="3"/>
  </r>
  <r>
    <n v="17835"/>
    <x v="1"/>
    <n v="43"/>
    <n v="0"/>
    <n v="0"/>
    <x v="2"/>
    <x v="1"/>
    <x v="1"/>
    <x v="1"/>
    <n v="92.4"/>
    <n v="22.7"/>
    <x v="3"/>
    <n v="0"/>
    <x v="1"/>
    <x v="2"/>
  </r>
  <r>
    <n v="26826"/>
    <x v="1"/>
    <n v="61"/>
    <n v="0"/>
    <n v="0"/>
    <x v="1"/>
    <x v="0"/>
    <x v="1"/>
    <x v="0"/>
    <n v="73.36"/>
    <n v="16.100000000000001"/>
    <x v="1"/>
    <n v="0"/>
    <x v="0"/>
    <x v="4"/>
  </r>
  <r>
    <n v="45713"/>
    <x v="1"/>
    <n v="57"/>
    <n v="0"/>
    <n v="0"/>
    <x v="2"/>
    <x v="0"/>
    <x v="2"/>
    <x v="0"/>
    <n v="219.5"/>
    <n v="33.799999999999997"/>
    <x v="0"/>
    <n v="0"/>
    <x v="1"/>
    <x v="0"/>
  </r>
  <r>
    <n v="37660"/>
    <x v="0"/>
    <n v="11"/>
    <n v="0"/>
    <n v="0"/>
    <x v="2"/>
    <x v="1"/>
    <x v="3"/>
    <x v="1"/>
    <n v="105.73"/>
    <n v="22.6"/>
    <x v="1"/>
    <n v="0"/>
    <x v="2"/>
    <x v="2"/>
  </r>
  <r>
    <n v="24782"/>
    <x v="0"/>
    <n v="36"/>
    <n v="0"/>
    <n v="0"/>
    <x v="2"/>
    <x v="0"/>
    <x v="0"/>
    <x v="1"/>
    <n v="83.79"/>
    <n v="25.5"/>
    <x v="2"/>
    <n v="0"/>
    <x v="2"/>
    <x v="3"/>
  </r>
  <r>
    <n v="63416"/>
    <x v="1"/>
    <n v="16"/>
    <n v="0"/>
    <n v="0"/>
    <x v="2"/>
    <x v="1"/>
    <x v="0"/>
    <x v="0"/>
    <n v="58.02"/>
    <n v="22.5"/>
    <x v="3"/>
    <n v="0"/>
    <x v="2"/>
    <x v="2"/>
  </r>
  <r>
    <n v="16953"/>
    <x v="1"/>
    <n v="60"/>
    <n v="0"/>
    <n v="0"/>
    <x v="1"/>
    <x v="0"/>
    <x v="2"/>
    <x v="1"/>
    <n v="61.94"/>
    <n v="27.9"/>
    <x v="0"/>
    <n v="0"/>
    <x v="0"/>
    <x v="3"/>
  </r>
  <r>
    <n v="42082"/>
    <x v="0"/>
    <n v="13"/>
    <n v="0"/>
    <n v="0"/>
    <x v="2"/>
    <x v="1"/>
    <x v="3"/>
    <x v="1"/>
    <n v="99.71"/>
    <n v="23.5"/>
    <x v="3"/>
    <n v="0"/>
    <x v="2"/>
    <x v="2"/>
  </r>
  <r>
    <n v="51660"/>
    <x v="1"/>
    <n v="69"/>
    <n v="0"/>
    <n v="0"/>
    <x v="1"/>
    <x v="0"/>
    <x v="1"/>
    <x v="1"/>
    <n v="63.19"/>
    <n v="32.200000000000003"/>
    <x v="1"/>
    <n v="0"/>
    <x v="0"/>
    <x v="0"/>
  </r>
  <r>
    <n v="27135"/>
    <x v="0"/>
    <n v="69"/>
    <n v="1"/>
    <n v="0"/>
    <x v="0"/>
    <x v="0"/>
    <x v="0"/>
    <x v="1"/>
    <n v="107.11"/>
    <s v="N/A"/>
    <x v="2"/>
    <n v="0"/>
    <x v="0"/>
    <x v="1"/>
  </r>
  <r>
    <n v="54058"/>
    <x v="1"/>
    <n v="22"/>
    <n v="0"/>
    <n v="0"/>
    <x v="2"/>
    <x v="1"/>
    <x v="0"/>
    <x v="0"/>
    <n v="56.84"/>
    <n v="29.9"/>
    <x v="2"/>
    <n v="0"/>
    <x v="2"/>
    <x v="3"/>
  </r>
  <r>
    <n v="24272"/>
    <x v="0"/>
    <n v="63"/>
    <n v="0"/>
    <n v="0"/>
    <x v="1"/>
    <x v="0"/>
    <x v="2"/>
    <x v="1"/>
    <n v="217.66"/>
    <n v="28.7"/>
    <x v="0"/>
    <n v="0"/>
    <x v="0"/>
    <x v="3"/>
  </r>
  <r>
    <n v="16028"/>
    <x v="1"/>
    <n v="45"/>
    <n v="0"/>
    <n v="0"/>
    <x v="2"/>
    <x v="0"/>
    <x v="0"/>
    <x v="1"/>
    <n v="77.19"/>
    <n v="37.200000000000003"/>
    <x v="2"/>
    <n v="0"/>
    <x v="1"/>
    <x v="0"/>
  </r>
  <r>
    <n v="49645"/>
    <x v="0"/>
    <n v="58"/>
    <n v="0"/>
    <n v="0"/>
    <x v="2"/>
    <x v="1"/>
    <x v="0"/>
    <x v="1"/>
    <n v="76.22"/>
    <n v="22.2"/>
    <x v="0"/>
    <n v="0"/>
    <x v="1"/>
    <x v="2"/>
  </r>
  <r>
    <n v="54347"/>
    <x v="0"/>
    <n v="61"/>
    <n v="0"/>
    <n v="0"/>
    <x v="1"/>
    <x v="0"/>
    <x v="1"/>
    <x v="1"/>
    <n v="155.32"/>
    <n v="26.6"/>
    <x v="0"/>
    <n v="0"/>
    <x v="0"/>
    <x v="3"/>
  </r>
  <r>
    <n v="4861"/>
    <x v="1"/>
    <n v="30"/>
    <n v="0"/>
    <n v="0"/>
    <x v="2"/>
    <x v="0"/>
    <x v="0"/>
    <x v="0"/>
    <n v="70.67"/>
    <n v="24.6"/>
    <x v="2"/>
    <n v="0"/>
    <x v="2"/>
    <x v="2"/>
  </r>
  <r>
    <n v="54353"/>
    <x v="1"/>
    <n v="78"/>
    <n v="1"/>
    <n v="1"/>
    <x v="0"/>
    <x v="0"/>
    <x v="0"/>
    <x v="0"/>
    <n v="227.16"/>
    <n v="41.7"/>
    <x v="1"/>
    <n v="0"/>
    <x v="0"/>
    <x v="0"/>
  </r>
  <r>
    <n v="71016"/>
    <x v="1"/>
    <n v="68"/>
    <n v="0"/>
    <n v="0"/>
    <x v="1"/>
    <x v="0"/>
    <x v="0"/>
    <x v="1"/>
    <n v="58.69"/>
    <n v="26.2"/>
    <x v="0"/>
    <n v="0"/>
    <x v="0"/>
    <x v="3"/>
  </r>
  <r>
    <n v="33768"/>
    <x v="1"/>
    <n v="16"/>
    <n v="0"/>
    <n v="0"/>
    <x v="2"/>
    <x v="1"/>
    <x v="1"/>
    <x v="0"/>
    <n v="88.85"/>
    <n v="27.1"/>
    <x v="3"/>
    <n v="0"/>
    <x v="2"/>
    <x v="3"/>
  </r>
  <r>
    <n v="62681"/>
    <x v="1"/>
    <n v="38"/>
    <n v="1"/>
    <n v="0"/>
    <x v="2"/>
    <x v="0"/>
    <x v="0"/>
    <x v="0"/>
    <n v="137.94"/>
    <n v="41.8"/>
    <x v="1"/>
    <n v="0"/>
    <x v="2"/>
    <x v="0"/>
  </r>
  <r>
    <n v="41007"/>
    <x v="1"/>
    <n v="39"/>
    <n v="0"/>
    <n v="0"/>
    <x v="2"/>
    <x v="0"/>
    <x v="0"/>
    <x v="0"/>
    <n v="60.6"/>
    <n v="34.200000000000003"/>
    <x v="1"/>
    <n v="0"/>
    <x v="2"/>
    <x v="0"/>
  </r>
  <r>
    <n v="35450"/>
    <x v="1"/>
    <n v="51"/>
    <n v="0"/>
    <n v="0"/>
    <x v="2"/>
    <x v="0"/>
    <x v="0"/>
    <x v="1"/>
    <n v="93.67"/>
    <n v="19.2"/>
    <x v="1"/>
    <n v="0"/>
    <x v="1"/>
    <x v="2"/>
  </r>
  <r>
    <n v="62793"/>
    <x v="0"/>
    <n v="37"/>
    <n v="0"/>
    <n v="0"/>
    <x v="2"/>
    <x v="0"/>
    <x v="0"/>
    <x v="0"/>
    <n v="79.56"/>
    <n v="25.2"/>
    <x v="1"/>
    <n v="0"/>
    <x v="2"/>
    <x v="3"/>
  </r>
  <r>
    <n v="66592"/>
    <x v="0"/>
    <n v="16"/>
    <n v="0"/>
    <n v="0"/>
    <x v="2"/>
    <x v="1"/>
    <x v="0"/>
    <x v="1"/>
    <n v="122.46"/>
    <n v="18.7"/>
    <x v="1"/>
    <n v="0"/>
    <x v="2"/>
    <x v="2"/>
  </r>
  <r>
    <n v="33462"/>
    <x v="0"/>
    <n v="39"/>
    <n v="0"/>
    <n v="0"/>
    <x v="2"/>
    <x v="0"/>
    <x v="0"/>
    <x v="0"/>
    <n v="92.32"/>
    <n v="43"/>
    <x v="1"/>
    <n v="0"/>
    <x v="2"/>
    <x v="0"/>
  </r>
  <r>
    <n v="29804"/>
    <x v="0"/>
    <n v="24"/>
    <n v="1"/>
    <n v="0"/>
    <x v="2"/>
    <x v="0"/>
    <x v="0"/>
    <x v="1"/>
    <n v="80.63"/>
    <n v="28.2"/>
    <x v="2"/>
    <n v="0"/>
    <x v="2"/>
    <x v="3"/>
  </r>
  <r>
    <n v="33906"/>
    <x v="0"/>
    <n v="51"/>
    <n v="0"/>
    <n v="0"/>
    <x v="2"/>
    <x v="0"/>
    <x v="2"/>
    <x v="0"/>
    <n v="92.32"/>
    <n v="34.700000000000003"/>
    <x v="2"/>
    <n v="0"/>
    <x v="1"/>
    <x v="0"/>
  </r>
  <r>
    <n v="43510"/>
    <x v="1"/>
    <n v="50"/>
    <n v="1"/>
    <n v="0"/>
    <x v="2"/>
    <x v="0"/>
    <x v="2"/>
    <x v="0"/>
    <n v="59.89"/>
    <n v="25.5"/>
    <x v="1"/>
    <n v="0"/>
    <x v="1"/>
    <x v="3"/>
  </r>
  <r>
    <n v="21202"/>
    <x v="1"/>
    <n v="27"/>
    <n v="0"/>
    <n v="0"/>
    <x v="2"/>
    <x v="0"/>
    <x v="0"/>
    <x v="0"/>
    <n v="80.569999999999993"/>
    <n v="39.799999999999997"/>
    <x v="2"/>
    <n v="0"/>
    <x v="2"/>
    <x v="0"/>
  </r>
  <r>
    <n v="7222"/>
    <x v="1"/>
    <n v="73"/>
    <n v="0"/>
    <n v="0"/>
    <x v="1"/>
    <x v="0"/>
    <x v="1"/>
    <x v="0"/>
    <n v="88.52"/>
    <n v="20.8"/>
    <x v="0"/>
    <n v="0"/>
    <x v="0"/>
    <x v="2"/>
  </r>
  <r>
    <n v="13561"/>
    <x v="1"/>
    <n v="65"/>
    <n v="0"/>
    <n v="0"/>
    <x v="1"/>
    <x v="0"/>
    <x v="0"/>
    <x v="0"/>
    <n v="88.82"/>
    <n v="28.2"/>
    <x v="0"/>
    <n v="0"/>
    <x v="0"/>
    <x v="3"/>
  </r>
  <r>
    <n v="29179"/>
    <x v="1"/>
    <n v="76"/>
    <n v="1"/>
    <n v="1"/>
    <x v="0"/>
    <x v="0"/>
    <x v="0"/>
    <x v="1"/>
    <n v="102.08"/>
    <n v="31"/>
    <x v="2"/>
    <n v="0"/>
    <x v="0"/>
    <x v="0"/>
  </r>
  <r>
    <n v="5511"/>
    <x v="0"/>
    <n v="66"/>
    <n v="0"/>
    <n v="0"/>
    <x v="1"/>
    <x v="0"/>
    <x v="1"/>
    <x v="0"/>
    <n v="71.38"/>
    <s v="N/A"/>
    <x v="0"/>
    <n v="0"/>
    <x v="0"/>
    <x v="1"/>
  </r>
  <r>
    <n v="20825"/>
    <x v="1"/>
    <n v="53"/>
    <n v="0"/>
    <n v="0"/>
    <x v="2"/>
    <x v="0"/>
    <x v="2"/>
    <x v="1"/>
    <n v="84.9"/>
    <n v="21.6"/>
    <x v="1"/>
    <n v="0"/>
    <x v="1"/>
    <x v="2"/>
  </r>
  <r>
    <n v="67144"/>
    <x v="1"/>
    <n v="65"/>
    <n v="0"/>
    <n v="0"/>
    <x v="1"/>
    <x v="0"/>
    <x v="1"/>
    <x v="0"/>
    <n v="82.21"/>
    <n v="26.2"/>
    <x v="3"/>
    <n v="0"/>
    <x v="0"/>
    <x v="3"/>
  </r>
  <r>
    <n v="15515"/>
    <x v="1"/>
    <n v="48"/>
    <n v="0"/>
    <n v="0"/>
    <x v="2"/>
    <x v="0"/>
    <x v="1"/>
    <x v="1"/>
    <n v="209.9"/>
    <s v="N/A"/>
    <x v="2"/>
    <n v="0"/>
    <x v="1"/>
    <x v="1"/>
  </r>
  <r>
    <n v="3753"/>
    <x v="0"/>
    <n v="31"/>
    <n v="0"/>
    <n v="0"/>
    <x v="2"/>
    <x v="0"/>
    <x v="0"/>
    <x v="0"/>
    <n v="74.05"/>
    <n v="26"/>
    <x v="3"/>
    <n v="0"/>
    <x v="2"/>
    <x v="3"/>
  </r>
  <r>
    <n v="27279"/>
    <x v="0"/>
    <n v="1.72"/>
    <n v="0"/>
    <n v="0"/>
    <x v="2"/>
    <x v="1"/>
    <x v="3"/>
    <x v="0"/>
    <n v="90.46"/>
    <n v="22.5"/>
    <x v="3"/>
    <n v="0"/>
    <x v="2"/>
    <x v="2"/>
  </r>
  <r>
    <n v="48759"/>
    <x v="1"/>
    <n v="45"/>
    <n v="0"/>
    <n v="0"/>
    <x v="2"/>
    <x v="0"/>
    <x v="0"/>
    <x v="1"/>
    <n v="176.48"/>
    <n v="24"/>
    <x v="0"/>
    <n v="0"/>
    <x v="1"/>
    <x v="2"/>
  </r>
  <r>
    <n v="69524"/>
    <x v="0"/>
    <n v="56"/>
    <n v="0"/>
    <n v="0"/>
    <x v="2"/>
    <x v="0"/>
    <x v="1"/>
    <x v="0"/>
    <n v="94.07"/>
    <n v="31.5"/>
    <x v="1"/>
    <n v="0"/>
    <x v="1"/>
    <x v="0"/>
  </r>
  <r>
    <n v="28443"/>
    <x v="0"/>
    <n v="62"/>
    <n v="0"/>
    <n v="0"/>
    <x v="1"/>
    <x v="0"/>
    <x v="1"/>
    <x v="0"/>
    <n v="85.12"/>
    <n v="36.299999999999997"/>
    <x v="0"/>
    <n v="0"/>
    <x v="0"/>
    <x v="0"/>
  </r>
  <r>
    <n v="38578"/>
    <x v="1"/>
    <n v="35"/>
    <n v="0"/>
    <n v="0"/>
    <x v="2"/>
    <x v="1"/>
    <x v="0"/>
    <x v="0"/>
    <n v="71.81"/>
    <n v="25.4"/>
    <x v="3"/>
    <n v="0"/>
    <x v="2"/>
    <x v="3"/>
  </r>
  <r>
    <n v="66502"/>
    <x v="0"/>
    <n v="16"/>
    <n v="0"/>
    <n v="0"/>
    <x v="2"/>
    <x v="1"/>
    <x v="0"/>
    <x v="1"/>
    <n v="111.93"/>
    <n v="32.200000000000003"/>
    <x v="1"/>
    <n v="0"/>
    <x v="2"/>
    <x v="0"/>
  </r>
  <r>
    <n v="50978"/>
    <x v="1"/>
    <n v="31"/>
    <n v="0"/>
    <n v="0"/>
    <x v="2"/>
    <x v="0"/>
    <x v="2"/>
    <x v="0"/>
    <n v="94.4"/>
    <n v="39.799999999999997"/>
    <x v="3"/>
    <n v="0"/>
    <x v="2"/>
    <x v="0"/>
  </r>
  <r>
    <n v="9034"/>
    <x v="0"/>
    <n v="5"/>
    <n v="0"/>
    <n v="0"/>
    <x v="2"/>
    <x v="1"/>
    <x v="3"/>
    <x v="0"/>
    <n v="70"/>
    <n v="18.600000000000001"/>
    <x v="3"/>
    <n v="0"/>
    <x v="2"/>
    <x v="2"/>
  </r>
  <r>
    <n v="16582"/>
    <x v="0"/>
    <n v="26"/>
    <n v="0"/>
    <n v="0"/>
    <x v="2"/>
    <x v="0"/>
    <x v="0"/>
    <x v="1"/>
    <n v="95.57"/>
    <n v="30.7"/>
    <x v="2"/>
    <n v="0"/>
    <x v="2"/>
    <x v="0"/>
  </r>
  <r>
    <n v="28500"/>
    <x v="0"/>
    <n v="10"/>
    <n v="0"/>
    <n v="0"/>
    <x v="2"/>
    <x v="1"/>
    <x v="3"/>
    <x v="0"/>
    <n v="91.98"/>
    <n v="16.399999999999999"/>
    <x v="3"/>
    <n v="0"/>
    <x v="2"/>
    <x v="4"/>
  </r>
  <r>
    <n v="70241"/>
    <x v="1"/>
    <n v="22"/>
    <n v="0"/>
    <n v="0"/>
    <x v="2"/>
    <x v="1"/>
    <x v="0"/>
    <x v="0"/>
    <n v="66.290000000000006"/>
    <n v="20.5"/>
    <x v="2"/>
    <n v="0"/>
    <x v="2"/>
    <x v="2"/>
  </r>
  <r>
    <n v="32452"/>
    <x v="1"/>
    <n v="82"/>
    <n v="0"/>
    <n v="1"/>
    <x v="0"/>
    <x v="0"/>
    <x v="1"/>
    <x v="1"/>
    <n v="211.88"/>
    <n v="28.7"/>
    <x v="1"/>
    <n v="0"/>
    <x v="0"/>
    <x v="3"/>
  </r>
  <r>
    <n v="45573"/>
    <x v="1"/>
    <n v="50"/>
    <n v="0"/>
    <n v="0"/>
    <x v="2"/>
    <x v="0"/>
    <x v="0"/>
    <x v="1"/>
    <n v="76.55"/>
    <n v="29"/>
    <x v="2"/>
    <n v="0"/>
    <x v="1"/>
    <x v="3"/>
  </r>
  <r>
    <n v="64412"/>
    <x v="1"/>
    <n v="47"/>
    <n v="0"/>
    <n v="0"/>
    <x v="2"/>
    <x v="0"/>
    <x v="0"/>
    <x v="0"/>
    <n v="56.67"/>
    <n v="24.4"/>
    <x v="1"/>
    <n v="0"/>
    <x v="1"/>
    <x v="2"/>
  </r>
  <r>
    <n v="66647"/>
    <x v="0"/>
    <n v="31"/>
    <n v="0"/>
    <n v="0"/>
    <x v="2"/>
    <x v="0"/>
    <x v="0"/>
    <x v="1"/>
    <n v="100.52"/>
    <n v="29.9"/>
    <x v="3"/>
    <n v="0"/>
    <x v="2"/>
    <x v="3"/>
  </r>
  <r>
    <n v="39450"/>
    <x v="0"/>
    <n v="22"/>
    <n v="0"/>
    <n v="0"/>
    <x v="2"/>
    <x v="1"/>
    <x v="0"/>
    <x v="1"/>
    <n v="58.96"/>
    <n v="25.3"/>
    <x v="3"/>
    <n v="0"/>
    <x v="2"/>
    <x v="3"/>
  </r>
  <r>
    <n v="57109"/>
    <x v="1"/>
    <n v="12"/>
    <n v="0"/>
    <n v="0"/>
    <x v="2"/>
    <x v="1"/>
    <x v="3"/>
    <x v="1"/>
    <n v="81.66"/>
    <n v="23.5"/>
    <x v="0"/>
    <n v="0"/>
    <x v="2"/>
    <x v="2"/>
  </r>
  <r>
    <n v="3591"/>
    <x v="1"/>
    <n v="63"/>
    <n v="1"/>
    <n v="0"/>
    <x v="0"/>
    <x v="0"/>
    <x v="0"/>
    <x v="1"/>
    <n v="96.77"/>
    <n v="20.5"/>
    <x v="1"/>
    <n v="0"/>
    <x v="0"/>
    <x v="2"/>
  </r>
  <r>
    <n v="25138"/>
    <x v="1"/>
    <n v="78"/>
    <n v="1"/>
    <n v="0"/>
    <x v="0"/>
    <x v="0"/>
    <x v="0"/>
    <x v="1"/>
    <n v="91.63"/>
    <n v="33.5"/>
    <x v="2"/>
    <n v="0"/>
    <x v="0"/>
    <x v="0"/>
  </r>
  <r>
    <n v="17277"/>
    <x v="0"/>
    <n v="4"/>
    <n v="0"/>
    <n v="0"/>
    <x v="2"/>
    <x v="1"/>
    <x v="3"/>
    <x v="0"/>
    <n v="97.51"/>
    <n v="22"/>
    <x v="3"/>
    <n v="0"/>
    <x v="2"/>
    <x v="2"/>
  </r>
  <r>
    <n v="35333"/>
    <x v="0"/>
    <n v="76"/>
    <n v="1"/>
    <n v="0"/>
    <x v="0"/>
    <x v="0"/>
    <x v="0"/>
    <x v="1"/>
    <n v="225.6"/>
    <n v="29"/>
    <x v="1"/>
    <n v="0"/>
    <x v="0"/>
    <x v="3"/>
  </r>
  <r>
    <n v="18861"/>
    <x v="0"/>
    <n v="32"/>
    <n v="0"/>
    <n v="0"/>
    <x v="2"/>
    <x v="1"/>
    <x v="0"/>
    <x v="1"/>
    <n v="95.58"/>
    <s v="N/A"/>
    <x v="2"/>
    <n v="0"/>
    <x v="2"/>
    <x v="1"/>
  </r>
  <r>
    <n v="15120"/>
    <x v="1"/>
    <n v="81"/>
    <n v="1"/>
    <n v="0"/>
    <x v="0"/>
    <x v="0"/>
    <x v="1"/>
    <x v="1"/>
    <n v="210.23"/>
    <n v="30.7"/>
    <x v="1"/>
    <n v="0"/>
    <x v="0"/>
    <x v="0"/>
  </r>
  <r>
    <n v="29221"/>
    <x v="1"/>
    <n v="39"/>
    <n v="0"/>
    <n v="0"/>
    <x v="2"/>
    <x v="0"/>
    <x v="0"/>
    <x v="0"/>
    <n v="92.82"/>
    <n v="37.4"/>
    <x v="1"/>
    <n v="0"/>
    <x v="2"/>
    <x v="0"/>
  </r>
  <r>
    <n v="11412"/>
    <x v="1"/>
    <n v="59"/>
    <n v="0"/>
    <n v="0"/>
    <x v="2"/>
    <x v="0"/>
    <x v="0"/>
    <x v="1"/>
    <n v="234.82"/>
    <n v="51.8"/>
    <x v="1"/>
    <n v="0"/>
    <x v="1"/>
    <x v="0"/>
  </r>
  <r>
    <n v="38858"/>
    <x v="0"/>
    <n v="2"/>
    <n v="0"/>
    <n v="0"/>
    <x v="2"/>
    <x v="1"/>
    <x v="3"/>
    <x v="1"/>
    <n v="65.67"/>
    <n v="16.600000000000001"/>
    <x v="3"/>
    <n v="0"/>
    <x v="2"/>
    <x v="4"/>
  </r>
  <r>
    <n v="6802"/>
    <x v="1"/>
    <n v="37"/>
    <n v="0"/>
    <n v="0"/>
    <x v="2"/>
    <x v="0"/>
    <x v="0"/>
    <x v="0"/>
    <n v="74.510000000000005"/>
    <n v="29.5"/>
    <x v="3"/>
    <n v="0"/>
    <x v="2"/>
    <x v="3"/>
  </r>
  <r>
    <n v="8644"/>
    <x v="1"/>
    <n v="78"/>
    <n v="0"/>
    <n v="1"/>
    <x v="0"/>
    <x v="0"/>
    <x v="0"/>
    <x v="1"/>
    <n v="81.99"/>
    <n v="27.3"/>
    <x v="0"/>
    <n v="0"/>
    <x v="0"/>
    <x v="3"/>
  </r>
  <r>
    <n v="54579"/>
    <x v="1"/>
    <n v="75"/>
    <n v="0"/>
    <n v="0"/>
    <x v="1"/>
    <x v="0"/>
    <x v="1"/>
    <x v="0"/>
    <n v="87.69"/>
    <n v="27.5"/>
    <x v="0"/>
    <n v="0"/>
    <x v="0"/>
    <x v="3"/>
  </r>
  <r>
    <n v="41935"/>
    <x v="0"/>
    <n v="34"/>
    <n v="0"/>
    <n v="0"/>
    <x v="2"/>
    <x v="1"/>
    <x v="0"/>
    <x v="1"/>
    <n v="125.29"/>
    <n v="33.9"/>
    <x v="1"/>
    <n v="0"/>
    <x v="2"/>
    <x v="0"/>
  </r>
  <r>
    <n v="17926"/>
    <x v="1"/>
    <n v="48"/>
    <n v="0"/>
    <n v="0"/>
    <x v="2"/>
    <x v="0"/>
    <x v="2"/>
    <x v="1"/>
    <n v="111.64"/>
    <n v="27.9"/>
    <x v="3"/>
    <n v="0"/>
    <x v="1"/>
    <x v="3"/>
  </r>
  <r>
    <n v="13862"/>
    <x v="1"/>
    <n v="13"/>
    <n v="0"/>
    <n v="0"/>
    <x v="2"/>
    <x v="1"/>
    <x v="4"/>
    <x v="0"/>
    <n v="70.930000000000007"/>
    <n v="22.9"/>
    <x v="1"/>
    <n v="0"/>
    <x v="2"/>
    <x v="2"/>
  </r>
  <r>
    <n v="64523"/>
    <x v="0"/>
    <n v="54"/>
    <n v="1"/>
    <n v="0"/>
    <x v="2"/>
    <x v="0"/>
    <x v="0"/>
    <x v="0"/>
    <n v="89.93"/>
    <n v="32.1"/>
    <x v="1"/>
    <n v="0"/>
    <x v="1"/>
    <x v="0"/>
  </r>
  <r>
    <n v="66065"/>
    <x v="0"/>
    <n v="13"/>
    <n v="0"/>
    <n v="0"/>
    <x v="2"/>
    <x v="1"/>
    <x v="3"/>
    <x v="1"/>
    <n v="137.44999999999999"/>
    <n v="18.2"/>
    <x v="3"/>
    <n v="0"/>
    <x v="2"/>
    <x v="4"/>
  </r>
  <r>
    <n v="71869"/>
    <x v="1"/>
    <n v="24"/>
    <n v="0"/>
    <n v="0"/>
    <x v="2"/>
    <x v="1"/>
    <x v="0"/>
    <x v="1"/>
    <n v="72.06"/>
    <n v="30.2"/>
    <x v="0"/>
    <n v="0"/>
    <x v="2"/>
    <x v="0"/>
  </r>
  <r>
    <n v="11024"/>
    <x v="1"/>
    <n v="76"/>
    <n v="0"/>
    <n v="0"/>
    <x v="1"/>
    <x v="0"/>
    <x v="0"/>
    <x v="1"/>
    <n v="97.9"/>
    <n v="31.3"/>
    <x v="0"/>
    <n v="0"/>
    <x v="0"/>
    <x v="0"/>
  </r>
  <r>
    <n v="46035"/>
    <x v="0"/>
    <n v="1"/>
    <n v="0"/>
    <n v="0"/>
    <x v="2"/>
    <x v="1"/>
    <x v="3"/>
    <x v="0"/>
    <n v="84.85"/>
    <n v="20.3"/>
    <x v="3"/>
    <n v="0"/>
    <x v="2"/>
    <x v="2"/>
  </r>
  <r>
    <n v="24630"/>
    <x v="0"/>
    <n v="57"/>
    <n v="0"/>
    <n v="0"/>
    <x v="2"/>
    <x v="0"/>
    <x v="0"/>
    <x v="1"/>
    <n v="230.59"/>
    <n v="23.2"/>
    <x v="0"/>
    <n v="0"/>
    <x v="1"/>
    <x v="2"/>
  </r>
  <r>
    <n v="11238"/>
    <x v="0"/>
    <n v="46"/>
    <n v="0"/>
    <n v="0"/>
    <x v="2"/>
    <x v="0"/>
    <x v="0"/>
    <x v="1"/>
    <n v="92.81"/>
    <n v="30.8"/>
    <x v="3"/>
    <n v="0"/>
    <x v="1"/>
    <x v="0"/>
  </r>
  <r>
    <n v="54946"/>
    <x v="1"/>
    <n v="26"/>
    <n v="0"/>
    <n v="0"/>
    <x v="2"/>
    <x v="1"/>
    <x v="0"/>
    <x v="0"/>
    <n v="168.15"/>
    <n v="22.9"/>
    <x v="1"/>
    <n v="0"/>
    <x v="2"/>
    <x v="2"/>
  </r>
  <r>
    <n v="24229"/>
    <x v="1"/>
    <n v="56"/>
    <n v="0"/>
    <n v="0"/>
    <x v="2"/>
    <x v="0"/>
    <x v="1"/>
    <x v="0"/>
    <n v="224.63"/>
    <n v="42.8"/>
    <x v="1"/>
    <n v="0"/>
    <x v="1"/>
    <x v="0"/>
  </r>
  <r>
    <n v="29934"/>
    <x v="0"/>
    <n v="34"/>
    <n v="0"/>
    <n v="0"/>
    <x v="2"/>
    <x v="0"/>
    <x v="0"/>
    <x v="0"/>
    <n v="108.12"/>
    <n v="22.2"/>
    <x v="3"/>
    <n v="0"/>
    <x v="2"/>
    <x v="2"/>
  </r>
  <r>
    <n v="28998"/>
    <x v="0"/>
    <n v="25"/>
    <n v="0"/>
    <n v="0"/>
    <x v="2"/>
    <x v="1"/>
    <x v="0"/>
    <x v="1"/>
    <n v="85.17"/>
    <n v="28.7"/>
    <x v="2"/>
    <n v="0"/>
    <x v="2"/>
    <x v="3"/>
  </r>
  <r>
    <n v="19805"/>
    <x v="0"/>
    <n v="60"/>
    <n v="0"/>
    <n v="0"/>
    <x v="1"/>
    <x v="1"/>
    <x v="0"/>
    <x v="0"/>
    <n v="84.14"/>
    <n v="32.299999999999997"/>
    <x v="1"/>
    <n v="0"/>
    <x v="0"/>
    <x v="0"/>
  </r>
  <r>
    <n v="63668"/>
    <x v="0"/>
    <n v="22"/>
    <n v="0"/>
    <n v="0"/>
    <x v="2"/>
    <x v="1"/>
    <x v="0"/>
    <x v="1"/>
    <n v="85.57"/>
    <n v="24.2"/>
    <x v="0"/>
    <n v="0"/>
    <x v="2"/>
    <x v="2"/>
  </r>
  <r>
    <n v="24876"/>
    <x v="0"/>
    <n v="35"/>
    <n v="0"/>
    <n v="0"/>
    <x v="2"/>
    <x v="0"/>
    <x v="0"/>
    <x v="0"/>
    <n v="82.81"/>
    <n v="23.9"/>
    <x v="1"/>
    <n v="0"/>
    <x v="2"/>
    <x v="2"/>
  </r>
  <r>
    <n v="34719"/>
    <x v="0"/>
    <n v="48"/>
    <n v="1"/>
    <n v="0"/>
    <x v="2"/>
    <x v="1"/>
    <x v="0"/>
    <x v="0"/>
    <n v="110.53"/>
    <n v="34.200000000000003"/>
    <x v="1"/>
    <n v="0"/>
    <x v="1"/>
    <x v="0"/>
  </r>
  <r>
    <n v="48769"/>
    <x v="1"/>
    <n v="38"/>
    <n v="0"/>
    <n v="0"/>
    <x v="2"/>
    <x v="0"/>
    <x v="0"/>
    <x v="1"/>
    <n v="61.88"/>
    <n v="29"/>
    <x v="3"/>
    <n v="0"/>
    <x v="2"/>
    <x v="3"/>
  </r>
  <r>
    <n v="22536"/>
    <x v="1"/>
    <n v="12"/>
    <n v="0"/>
    <n v="0"/>
    <x v="2"/>
    <x v="1"/>
    <x v="3"/>
    <x v="0"/>
    <n v="85.04"/>
    <n v="29.9"/>
    <x v="1"/>
    <n v="0"/>
    <x v="2"/>
    <x v="3"/>
  </r>
  <r>
    <n v="8760"/>
    <x v="1"/>
    <n v="22"/>
    <n v="0"/>
    <n v="0"/>
    <x v="2"/>
    <x v="1"/>
    <x v="0"/>
    <x v="0"/>
    <n v="140.4"/>
    <n v="23"/>
    <x v="2"/>
    <n v="0"/>
    <x v="2"/>
    <x v="2"/>
  </r>
  <r>
    <n v="53126"/>
    <x v="1"/>
    <n v="0.64"/>
    <n v="0"/>
    <n v="0"/>
    <x v="2"/>
    <x v="1"/>
    <x v="3"/>
    <x v="0"/>
    <n v="62.27"/>
    <n v="17.3"/>
    <x v="3"/>
    <n v="0"/>
    <x v="2"/>
    <x v="4"/>
  </r>
  <r>
    <n v="18179"/>
    <x v="0"/>
    <n v="13"/>
    <n v="0"/>
    <n v="0"/>
    <x v="2"/>
    <x v="1"/>
    <x v="0"/>
    <x v="1"/>
    <n v="99.44"/>
    <n v="21"/>
    <x v="1"/>
    <n v="0"/>
    <x v="2"/>
    <x v="2"/>
  </r>
  <r>
    <n v="38242"/>
    <x v="1"/>
    <n v="78"/>
    <n v="0"/>
    <n v="1"/>
    <x v="0"/>
    <x v="0"/>
    <x v="1"/>
    <x v="1"/>
    <n v="88.9"/>
    <n v="34.299999999999997"/>
    <x v="3"/>
    <n v="0"/>
    <x v="0"/>
    <x v="0"/>
  </r>
  <r>
    <n v="68708"/>
    <x v="1"/>
    <n v="23"/>
    <n v="0"/>
    <n v="0"/>
    <x v="2"/>
    <x v="1"/>
    <x v="0"/>
    <x v="0"/>
    <n v="64.099999999999994"/>
    <n v="19.8"/>
    <x v="3"/>
    <n v="0"/>
    <x v="2"/>
    <x v="2"/>
  </r>
  <r>
    <n v="12366"/>
    <x v="1"/>
    <n v="35"/>
    <n v="0"/>
    <n v="0"/>
    <x v="2"/>
    <x v="1"/>
    <x v="0"/>
    <x v="0"/>
    <n v="97.58"/>
    <n v="24.3"/>
    <x v="3"/>
    <n v="0"/>
    <x v="2"/>
    <x v="2"/>
  </r>
  <r>
    <n v="42465"/>
    <x v="1"/>
    <n v="78"/>
    <n v="1"/>
    <n v="0"/>
    <x v="0"/>
    <x v="0"/>
    <x v="0"/>
    <x v="1"/>
    <n v="58.66"/>
    <n v="16.399999999999999"/>
    <x v="1"/>
    <n v="0"/>
    <x v="0"/>
    <x v="4"/>
  </r>
  <r>
    <n v="24638"/>
    <x v="0"/>
    <n v="50"/>
    <n v="0"/>
    <n v="0"/>
    <x v="2"/>
    <x v="0"/>
    <x v="2"/>
    <x v="0"/>
    <n v="88.24"/>
    <n v="32.6"/>
    <x v="3"/>
    <n v="0"/>
    <x v="1"/>
    <x v="0"/>
  </r>
  <r>
    <n v="58587"/>
    <x v="0"/>
    <n v="61"/>
    <n v="0"/>
    <n v="0"/>
    <x v="1"/>
    <x v="0"/>
    <x v="0"/>
    <x v="0"/>
    <n v="61.32"/>
    <n v="23.7"/>
    <x v="2"/>
    <n v="0"/>
    <x v="0"/>
    <x v="2"/>
  </r>
  <r>
    <n v="9170"/>
    <x v="0"/>
    <n v="60"/>
    <n v="0"/>
    <n v="0"/>
    <x v="1"/>
    <x v="0"/>
    <x v="1"/>
    <x v="0"/>
    <n v="185.71"/>
    <s v="N/A"/>
    <x v="3"/>
    <n v="0"/>
    <x v="0"/>
    <x v="1"/>
  </r>
  <r>
    <n v="36545"/>
    <x v="0"/>
    <n v="43"/>
    <n v="0"/>
    <n v="0"/>
    <x v="2"/>
    <x v="0"/>
    <x v="0"/>
    <x v="1"/>
    <n v="62.99"/>
    <n v="27"/>
    <x v="0"/>
    <n v="0"/>
    <x v="1"/>
    <x v="3"/>
  </r>
  <r>
    <n v="19467"/>
    <x v="0"/>
    <n v="60"/>
    <n v="1"/>
    <n v="0"/>
    <x v="0"/>
    <x v="0"/>
    <x v="0"/>
    <x v="0"/>
    <n v="86.04"/>
    <n v="25.6"/>
    <x v="2"/>
    <n v="0"/>
    <x v="0"/>
    <x v="3"/>
  </r>
  <r>
    <n v="16868"/>
    <x v="1"/>
    <n v="51"/>
    <n v="0"/>
    <n v="0"/>
    <x v="2"/>
    <x v="0"/>
    <x v="0"/>
    <x v="1"/>
    <n v="83.3"/>
    <n v="34"/>
    <x v="0"/>
    <n v="0"/>
    <x v="1"/>
    <x v="0"/>
  </r>
  <r>
    <n v="47608"/>
    <x v="1"/>
    <n v="21"/>
    <n v="0"/>
    <n v="0"/>
    <x v="2"/>
    <x v="1"/>
    <x v="0"/>
    <x v="0"/>
    <n v="208.17"/>
    <n v="24.9"/>
    <x v="1"/>
    <n v="0"/>
    <x v="2"/>
    <x v="2"/>
  </r>
  <r>
    <n v="38440"/>
    <x v="0"/>
    <n v="16"/>
    <n v="0"/>
    <n v="0"/>
    <x v="2"/>
    <x v="1"/>
    <x v="0"/>
    <x v="1"/>
    <n v="133.19999999999999"/>
    <n v="26.3"/>
    <x v="3"/>
    <n v="0"/>
    <x v="2"/>
    <x v="3"/>
  </r>
  <r>
    <n v="23543"/>
    <x v="1"/>
    <n v="25"/>
    <n v="0"/>
    <n v="0"/>
    <x v="2"/>
    <x v="1"/>
    <x v="0"/>
    <x v="1"/>
    <n v="81.540000000000006"/>
    <n v="43.1"/>
    <x v="3"/>
    <n v="0"/>
    <x v="2"/>
    <x v="0"/>
  </r>
  <r>
    <n v="65396"/>
    <x v="1"/>
    <n v="36"/>
    <n v="0"/>
    <n v="0"/>
    <x v="2"/>
    <x v="0"/>
    <x v="0"/>
    <x v="1"/>
    <n v="146.61000000000001"/>
    <n v="39.6"/>
    <x v="1"/>
    <n v="0"/>
    <x v="2"/>
    <x v="0"/>
  </r>
  <r>
    <n v="34621"/>
    <x v="1"/>
    <n v="8"/>
    <n v="0"/>
    <n v="0"/>
    <x v="2"/>
    <x v="1"/>
    <x v="3"/>
    <x v="0"/>
    <n v="79.33"/>
    <n v="15.2"/>
    <x v="3"/>
    <n v="0"/>
    <x v="2"/>
    <x v="4"/>
  </r>
  <r>
    <n v="23561"/>
    <x v="1"/>
    <n v="48"/>
    <n v="0"/>
    <n v="0"/>
    <x v="2"/>
    <x v="0"/>
    <x v="0"/>
    <x v="1"/>
    <n v="84.56"/>
    <n v="41.8"/>
    <x v="1"/>
    <n v="0"/>
    <x v="1"/>
    <x v="0"/>
  </r>
  <r>
    <n v="16091"/>
    <x v="0"/>
    <n v="14"/>
    <n v="0"/>
    <n v="0"/>
    <x v="2"/>
    <x v="1"/>
    <x v="0"/>
    <x v="1"/>
    <n v="103.44"/>
    <n v="20.100000000000001"/>
    <x v="1"/>
    <n v="0"/>
    <x v="2"/>
    <x v="2"/>
  </r>
  <r>
    <n v="63597"/>
    <x v="1"/>
    <n v="60"/>
    <n v="0"/>
    <n v="0"/>
    <x v="1"/>
    <x v="0"/>
    <x v="0"/>
    <x v="0"/>
    <n v="185.31"/>
    <n v="39.299999999999997"/>
    <x v="1"/>
    <n v="0"/>
    <x v="0"/>
    <x v="0"/>
  </r>
  <r>
    <n v="57533"/>
    <x v="0"/>
    <n v="61"/>
    <n v="1"/>
    <n v="0"/>
    <x v="0"/>
    <x v="0"/>
    <x v="0"/>
    <x v="0"/>
    <n v="102.53"/>
    <n v="28.3"/>
    <x v="0"/>
    <n v="0"/>
    <x v="0"/>
    <x v="3"/>
  </r>
  <r>
    <n v="59370"/>
    <x v="1"/>
    <n v="60"/>
    <n v="0"/>
    <n v="0"/>
    <x v="1"/>
    <x v="0"/>
    <x v="0"/>
    <x v="0"/>
    <n v="65.78"/>
    <n v="27.5"/>
    <x v="3"/>
    <n v="0"/>
    <x v="0"/>
    <x v="3"/>
  </r>
  <r>
    <n v="57285"/>
    <x v="0"/>
    <n v="56"/>
    <n v="0"/>
    <n v="0"/>
    <x v="2"/>
    <x v="1"/>
    <x v="0"/>
    <x v="1"/>
    <n v="62.6"/>
    <n v="33.9"/>
    <x v="1"/>
    <n v="0"/>
    <x v="1"/>
    <x v="0"/>
  </r>
  <r>
    <n v="17515"/>
    <x v="1"/>
    <n v="9"/>
    <n v="0"/>
    <n v="0"/>
    <x v="2"/>
    <x v="1"/>
    <x v="3"/>
    <x v="1"/>
    <n v="81.180000000000007"/>
    <n v="20"/>
    <x v="3"/>
    <n v="0"/>
    <x v="2"/>
    <x v="2"/>
  </r>
  <r>
    <n v="23988"/>
    <x v="1"/>
    <n v="45"/>
    <n v="0"/>
    <n v="0"/>
    <x v="2"/>
    <x v="0"/>
    <x v="0"/>
    <x v="1"/>
    <n v="76.680000000000007"/>
    <n v="34.799999999999997"/>
    <x v="2"/>
    <n v="0"/>
    <x v="1"/>
    <x v="0"/>
  </r>
  <r>
    <n v="34958"/>
    <x v="0"/>
    <n v="14"/>
    <n v="0"/>
    <n v="0"/>
    <x v="2"/>
    <x v="1"/>
    <x v="3"/>
    <x v="0"/>
    <n v="92.86"/>
    <n v="20.7"/>
    <x v="0"/>
    <n v="0"/>
    <x v="2"/>
    <x v="2"/>
  </r>
  <r>
    <n v="30620"/>
    <x v="0"/>
    <n v="37"/>
    <n v="0"/>
    <n v="0"/>
    <x v="2"/>
    <x v="1"/>
    <x v="0"/>
    <x v="0"/>
    <n v="90.95"/>
    <n v="24.6"/>
    <x v="2"/>
    <n v="0"/>
    <x v="2"/>
    <x v="2"/>
  </r>
  <r>
    <n v="31811"/>
    <x v="1"/>
    <n v="52"/>
    <n v="0"/>
    <n v="1"/>
    <x v="2"/>
    <x v="0"/>
    <x v="0"/>
    <x v="0"/>
    <n v="85.66"/>
    <n v="39.4"/>
    <x v="1"/>
    <n v="0"/>
    <x v="1"/>
    <x v="0"/>
  </r>
  <r>
    <n v="1818"/>
    <x v="1"/>
    <n v="30"/>
    <n v="0"/>
    <n v="0"/>
    <x v="2"/>
    <x v="1"/>
    <x v="2"/>
    <x v="0"/>
    <n v="88.2"/>
    <s v="N/A"/>
    <x v="2"/>
    <n v="0"/>
    <x v="2"/>
    <x v="1"/>
  </r>
  <r>
    <n v="5478"/>
    <x v="1"/>
    <n v="60"/>
    <n v="0"/>
    <n v="0"/>
    <x v="1"/>
    <x v="0"/>
    <x v="1"/>
    <x v="0"/>
    <n v="203.04"/>
    <s v="N/A"/>
    <x v="2"/>
    <n v="0"/>
    <x v="0"/>
    <x v="1"/>
  </r>
  <r>
    <n v="26830"/>
    <x v="1"/>
    <n v="47"/>
    <n v="0"/>
    <n v="0"/>
    <x v="2"/>
    <x v="0"/>
    <x v="1"/>
    <x v="1"/>
    <n v="68.37"/>
    <n v="29.4"/>
    <x v="2"/>
    <n v="0"/>
    <x v="1"/>
    <x v="3"/>
  </r>
  <r>
    <n v="25883"/>
    <x v="1"/>
    <n v="82"/>
    <n v="1"/>
    <n v="0"/>
    <x v="0"/>
    <x v="0"/>
    <x v="1"/>
    <x v="0"/>
    <n v="77.319999999999993"/>
    <n v="24.8"/>
    <x v="3"/>
    <n v="0"/>
    <x v="0"/>
    <x v="2"/>
  </r>
  <r>
    <n v="43657"/>
    <x v="0"/>
    <n v="64"/>
    <n v="0"/>
    <n v="0"/>
    <x v="1"/>
    <x v="0"/>
    <x v="2"/>
    <x v="1"/>
    <n v="187.87"/>
    <n v="32.299999999999997"/>
    <x v="1"/>
    <n v="0"/>
    <x v="0"/>
    <x v="0"/>
  </r>
  <r>
    <n v="71917"/>
    <x v="0"/>
    <n v="12"/>
    <n v="0"/>
    <n v="0"/>
    <x v="2"/>
    <x v="1"/>
    <x v="3"/>
    <x v="1"/>
    <n v="213.87"/>
    <n v="25.3"/>
    <x v="1"/>
    <n v="0"/>
    <x v="2"/>
    <x v="3"/>
  </r>
  <r>
    <n v="61299"/>
    <x v="1"/>
    <n v="79"/>
    <n v="1"/>
    <n v="0"/>
    <x v="0"/>
    <x v="0"/>
    <x v="0"/>
    <x v="1"/>
    <n v="119.62"/>
    <n v="39"/>
    <x v="3"/>
    <n v="0"/>
    <x v="0"/>
    <x v="0"/>
  </r>
  <r>
    <n v="24603"/>
    <x v="0"/>
    <n v="77"/>
    <n v="0"/>
    <n v="0"/>
    <x v="1"/>
    <x v="0"/>
    <x v="0"/>
    <x v="0"/>
    <n v="222.85"/>
    <n v="29.4"/>
    <x v="0"/>
    <n v="0"/>
    <x v="0"/>
    <x v="3"/>
  </r>
  <r>
    <n v="70654"/>
    <x v="1"/>
    <n v="25"/>
    <n v="0"/>
    <n v="0"/>
    <x v="2"/>
    <x v="1"/>
    <x v="0"/>
    <x v="1"/>
    <n v="100.82"/>
    <n v="31.9"/>
    <x v="3"/>
    <n v="0"/>
    <x v="2"/>
    <x v="0"/>
  </r>
  <r>
    <n v="49485"/>
    <x v="1"/>
    <n v="26"/>
    <n v="0"/>
    <n v="0"/>
    <x v="2"/>
    <x v="1"/>
    <x v="0"/>
    <x v="1"/>
    <n v="136.1"/>
    <n v="26.4"/>
    <x v="3"/>
    <n v="0"/>
    <x v="2"/>
    <x v="3"/>
  </r>
  <r>
    <n v="61641"/>
    <x v="0"/>
    <n v="14"/>
    <n v="0"/>
    <n v="0"/>
    <x v="2"/>
    <x v="1"/>
    <x v="3"/>
    <x v="1"/>
    <n v="149.41999999999999"/>
    <n v="20.6"/>
    <x v="3"/>
    <n v="0"/>
    <x v="2"/>
    <x v="2"/>
  </r>
  <r>
    <n v="12600"/>
    <x v="1"/>
    <n v="42"/>
    <n v="0"/>
    <n v="0"/>
    <x v="2"/>
    <x v="0"/>
    <x v="1"/>
    <x v="1"/>
    <n v="79.989999999999995"/>
    <n v="26.3"/>
    <x v="1"/>
    <n v="0"/>
    <x v="1"/>
    <x v="3"/>
  </r>
  <r>
    <n v="11566"/>
    <x v="0"/>
    <n v="37"/>
    <n v="0"/>
    <n v="0"/>
    <x v="2"/>
    <x v="0"/>
    <x v="0"/>
    <x v="1"/>
    <n v="118.21"/>
    <n v="23.6"/>
    <x v="3"/>
    <n v="0"/>
    <x v="2"/>
    <x v="2"/>
  </r>
  <r>
    <n v="72108"/>
    <x v="0"/>
    <n v="8"/>
    <n v="0"/>
    <n v="0"/>
    <x v="2"/>
    <x v="1"/>
    <x v="3"/>
    <x v="1"/>
    <n v="56.3"/>
    <n v="18"/>
    <x v="3"/>
    <n v="0"/>
    <x v="2"/>
    <x v="4"/>
  </r>
  <r>
    <n v="35117"/>
    <x v="1"/>
    <n v="78"/>
    <n v="0"/>
    <n v="0"/>
    <x v="1"/>
    <x v="0"/>
    <x v="1"/>
    <x v="1"/>
    <n v="84.49"/>
    <n v="26.4"/>
    <x v="1"/>
    <n v="0"/>
    <x v="0"/>
    <x v="3"/>
  </r>
  <r>
    <n v="22967"/>
    <x v="0"/>
    <n v="18"/>
    <n v="0"/>
    <n v="0"/>
    <x v="2"/>
    <x v="1"/>
    <x v="0"/>
    <x v="1"/>
    <n v="89.61"/>
    <n v="22"/>
    <x v="1"/>
    <n v="0"/>
    <x v="2"/>
    <x v="2"/>
  </r>
  <r>
    <n v="28913"/>
    <x v="0"/>
    <n v="78"/>
    <n v="0"/>
    <n v="0"/>
    <x v="1"/>
    <x v="0"/>
    <x v="0"/>
    <x v="1"/>
    <n v="100.09"/>
    <n v="30.5"/>
    <x v="3"/>
    <n v="0"/>
    <x v="0"/>
    <x v="0"/>
  </r>
  <r>
    <n v="70857"/>
    <x v="1"/>
    <n v="55"/>
    <n v="0"/>
    <n v="0"/>
    <x v="2"/>
    <x v="0"/>
    <x v="2"/>
    <x v="0"/>
    <n v="198.36"/>
    <n v="29.1"/>
    <x v="2"/>
    <n v="0"/>
    <x v="1"/>
    <x v="3"/>
  </r>
  <r>
    <n v="42229"/>
    <x v="1"/>
    <n v="68"/>
    <n v="0"/>
    <n v="0"/>
    <x v="1"/>
    <x v="0"/>
    <x v="1"/>
    <x v="1"/>
    <n v="93.61"/>
    <n v="24.9"/>
    <x v="1"/>
    <n v="0"/>
    <x v="0"/>
    <x v="2"/>
  </r>
  <r>
    <n v="23459"/>
    <x v="1"/>
    <n v="47"/>
    <n v="0"/>
    <n v="0"/>
    <x v="2"/>
    <x v="0"/>
    <x v="0"/>
    <x v="1"/>
    <n v="75.430000000000007"/>
    <n v="36.4"/>
    <x v="2"/>
    <n v="0"/>
    <x v="1"/>
    <x v="0"/>
  </r>
  <r>
    <n v="2209"/>
    <x v="1"/>
    <n v="47"/>
    <n v="0"/>
    <n v="0"/>
    <x v="2"/>
    <x v="0"/>
    <x v="2"/>
    <x v="0"/>
    <n v="100.31"/>
    <n v="31.2"/>
    <x v="2"/>
    <n v="0"/>
    <x v="1"/>
    <x v="0"/>
  </r>
  <r>
    <n v="38673"/>
    <x v="1"/>
    <n v="51"/>
    <n v="0"/>
    <n v="0"/>
    <x v="2"/>
    <x v="0"/>
    <x v="0"/>
    <x v="1"/>
    <n v="105.63"/>
    <n v="32.799999999999997"/>
    <x v="1"/>
    <n v="0"/>
    <x v="1"/>
    <x v="0"/>
  </r>
  <r>
    <n v="42184"/>
    <x v="0"/>
    <n v="43"/>
    <n v="0"/>
    <n v="0"/>
    <x v="2"/>
    <x v="0"/>
    <x v="1"/>
    <x v="1"/>
    <n v="82.84"/>
    <n v="31.6"/>
    <x v="1"/>
    <n v="0"/>
    <x v="1"/>
    <x v="0"/>
  </r>
  <r>
    <n v="59250"/>
    <x v="1"/>
    <n v="78"/>
    <n v="0"/>
    <n v="0"/>
    <x v="1"/>
    <x v="0"/>
    <x v="2"/>
    <x v="0"/>
    <n v="58.88"/>
    <n v="35.799999999999997"/>
    <x v="3"/>
    <n v="0"/>
    <x v="0"/>
    <x v="0"/>
  </r>
  <r>
    <n v="29525"/>
    <x v="0"/>
    <n v="63"/>
    <n v="0"/>
    <n v="0"/>
    <x v="1"/>
    <x v="0"/>
    <x v="0"/>
    <x v="0"/>
    <n v="92.27"/>
    <n v="35.200000000000003"/>
    <x v="0"/>
    <n v="0"/>
    <x v="0"/>
    <x v="0"/>
  </r>
  <r>
    <n v="42713"/>
    <x v="1"/>
    <n v="45"/>
    <n v="0"/>
    <n v="0"/>
    <x v="2"/>
    <x v="0"/>
    <x v="0"/>
    <x v="0"/>
    <n v="115.23"/>
    <n v="28"/>
    <x v="1"/>
    <n v="0"/>
    <x v="1"/>
    <x v="3"/>
  </r>
  <r>
    <n v="16066"/>
    <x v="1"/>
    <n v="53"/>
    <n v="1"/>
    <n v="1"/>
    <x v="2"/>
    <x v="0"/>
    <x v="0"/>
    <x v="0"/>
    <n v="196.25"/>
    <n v="24.9"/>
    <x v="2"/>
    <n v="0"/>
    <x v="1"/>
    <x v="2"/>
  </r>
  <r>
    <n v="33692"/>
    <x v="1"/>
    <n v="12"/>
    <n v="0"/>
    <n v="0"/>
    <x v="2"/>
    <x v="1"/>
    <x v="3"/>
    <x v="1"/>
    <n v="85.97"/>
    <n v="35.700000000000003"/>
    <x v="3"/>
    <n v="0"/>
    <x v="2"/>
    <x v="0"/>
  </r>
  <r>
    <n v="29232"/>
    <x v="1"/>
    <n v="56"/>
    <n v="0"/>
    <n v="0"/>
    <x v="2"/>
    <x v="0"/>
    <x v="0"/>
    <x v="0"/>
    <n v="114.33"/>
    <n v="30.7"/>
    <x v="2"/>
    <n v="0"/>
    <x v="1"/>
    <x v="0"/>
  </r>
  <r>
    <n v="70122"/>
    <x v="1"/>
    <n v="29"/>
    <n v="0"/>
    <n v="0"/>
    <x v="2"/>
    <x v="0"/>
    <x v="0"/>
    <x v="1"/>
    <n v="72.52"/>
    <n v="33.9"/>
    <x v="1"/>
    <n v="0"/>
    <x v="2"/>
    <x v="0"/>
  </r>
  <r>
    <n v="25305"/>
    <x v="0"/>
    <n v="10"/>
    <n v="0"/>
    <n v="0"/>
    <x v="2"/>
    <x v="1"/>
    <x v="3"/>
    <x v="1"/>
    <n v="99.87"/>
    <s v="N/A"/>
    <x v="0"/>
    <n v="0"/>
    <x v="2"/>
    <x v="1"/>
  </r>
  <r>
    <n v="66110"/>
    <x v="1"/>
    <n v="55"/>
    <n v="0"/>
    <n v="0"/>
    <x v="2"/>
    <x v="0"/>
    <x v="0"/>
    <x v="1"/>
    <n v="63.47"/>
    <n v="27.8"/>
    <x v="3"/>
    <n v="0"/>
    <x v="1"/>
    <x v="3"/>
  </r>
  <r>
    <n v="69461"/>
    <x v="1"/>
    <n v="49"/>
    <n v="0"/>
    <n v="0"/>
    <x v="2"/>
    <x v="0"/>
    <x v="2"/>
    <x v="0"/>
    <n v="90.58"/>
    <n v="23.2"/>
    <x v="3"/>
    <n v="0"/>
    <x v="1"/>
    <x v="2"/>
  </r>
  <r>
    <n v="7885"/>
    <x v="1"/>
    <n v="23"/>
    <n v="0"/>
    <n v="0"/>
    <x v="2"/>
    <x v="1"/>
    <x v="0"/>
    <x v="1"/>
    <n v="92.26"/>
    <n v="17.100000000000001"/>
    <x v="3"/>
    <n v="0"/>
    <x v="2"/>
    <x v="4"/>
  </r>
  <r>
    <n v="60050"/>
    <x v="1"/>
    <n v="53"/>
    <n v="0"/>
    <n v="0"/>
    <x v="2"/>
    <x v="0"/>
    <x v="1"/>
    <x v="0"/>
    <n v="113.74"/>
    <n v="31.6"/>
    <x v="2"/>
    <n v="0"/>
    <x v="1"/>
    <x v="0"/>
  </r>
  <r>
    <n v="21608"/>
    <x v="0"/>
    <n v="56"/>
    <n v="1"/>
    <n v="0"/>
    <x v="2"/>
    <x v="0"/>
    <x v="2"/>
    <x v="0"/>
    <n v="72.790000000000006"/>
    <n v="23.8"/>
    <x v="2"/>
    <n v="0"/>
    <x v="1"/>
    <x v="2"/>
  </r>
  <r>
    <n v="32150"/>
    <x v="1"/>
    <n v="56"/>
    <n v="0"/>
    <n v="0"/>
    <x v="2"/>
    <x v="0"/>
    <x v="1"/>
    <x v="1"/>
    <n v="94.71"/>
    <n v="29.6"/>
    <x v="2"/>
    <n v="0"/>
    <x v="1"/>
    <x v="3"/>
  </r>
  <r>
    <n v="48069"/>
    <x v="1"/>
    <n v="61"/>
    <n v="0"/>
    <n v="0"/>
    <x v="1"/>
    <x v="0"/>
    <x v="0"/>
    <x v="1"/>
    <n v="194.53"/>
    <n v="45"/>
    <x v="1"/>
    <n v="0"/>
    <x v="0"/>
    <x v="0"/>
  </r>
  <r>
    <n v="24066"/>
    <x v="1"/>
    <n v="45"/>
    <n v="0"/>
    <n v="0"/>
    <x v="2"/>
    <x v="0"/>
    <x v="0"/>
    <x v="0"/>
    <n v="72.650000000000006"/>
    <n v="25.6"/>
    <x v="3"/>
    <n v="0"/>
    <x v="1"/>
    <x v="3"/>
  </r>
  <r>
    <n v="39242"/>
    <x v="0"/>
    <n v="80"/>
    <n v="1"/>
    <n v="1"/>
    <x v="0"/>
    <x v="0"/>
    <x v="0"/>
    <x v="0"/>
    <n v="86.68"/>
    <n v="27.7"/>
    <x v="0"/>
    <n v="0"/>
    <x v="0"/>
    <x v="3"/>
  </r>
  <r>
    <n v="57618"/>
    <x v="1"/>
    <n v="47"/>
    <n v="0"/>
    <n v="0"/>
    <x v="2"/>
    <x v="0"/>
    <x v="1"/>
    <x v="1"/>
    <n v="140.38999999999999"/>
    <n v="25.5"/>
    <x v="1"/>
    <n v="0"/>
    <x v="1"/>
    <x v="3"/>
  </r>
  <r>
    <n v="14599"/>
    <x v="1"/>
    <n v="3"/>
    <n v="0"/>
    <n v="0"/>
    <x v="2"/>
    <x v="1"/>
    <x v="3"/>
    <x v="1"/>
    <n v="77.87"/>
    <n v="18.3"/>
    <x v="3"/>
    <n v="0"/>
    <x v="2"/>
    <x v="4"/>
  </r>
  <r>
    <n v="27479"/>
    <x v="0"/>
    <n v="63"/>
    <n v="0"/>
    <n v="0"/>
    <x v="1"/>
    <x v="0"/>
    <x v="1"/>
    <x v="1"/>
    <n v="104.7"/>
    <n v="21"/>
    <x v="0"/>
    <n v="0"/>
    <x v="0"/>
    <x v="2"/>
  </r>
  <r>
    <n v="10238"/>
    <x v="1"/>
    <n v="68"/>
    <n v="1"/>
    <n v="0"/>
    <x v="0"/>
    <x v="0"/>
    <x v="0"/>
    <x v="0"/>
    <n v="95.82"/>
    <n v="28.6"/>
    <x v="1"/>
    <n v="0"/>
    <x v="0"/>
    <x v="3"/>
  </r>
  <r>
    <n v="49014"/>
    <x v="1"/>
    <n v="76"/>
    <n v="0"/>
    <n v="0"/>
    <x v="1"/>
    <x v="0"/>
    <x v="2"/>
    <x v="0"/>
    <n v="204.05"/>
    <n v="23.5"/>
    <x v="1"/>
    <n v="0"/>
    <x v="0"/>
    <x v="2"/>
  </r>
  <r>
    <n v="67063"/>
    <x v="0"/>
    <n v="62"/>
    <n v="0"/>
    <n v="0"/>
    <x v="1"/>
    <x v="0"/>
    <x v="1"/>
    <x v="0"/>
    <n v="130.56"/>
    <n v="36.1"/>
    <x v="3"/>
    <n v="0"/>
    <x v="0"/>
    <x v="0"/>
  </r>
  <r>
    <n v="38488"/>
    <x v="1"/>
    <n v="30"/>
    <n v="0"/>
    <n v="0"/>
    <x v="2"/>
    <x v="0"/>
    <x v="0"/>
    <x v="0"/>
    <n v="67.78"/>
    <n v="29.2"/>
    <x v="2"/>
    <n v="0"/>
    <x v="2"/>
    <x v="3"/>
  </r>
  <r>
    <n v="33298"/>
    <x v="1"/>
    <n v="44"/>
    <n v="0"/>
    <n v="0"/>
    <x v="2"/>
    <x v="0"/>
    <x v="0"/>
    <x v="0"/>
    <n v="105.29"/>
    <n v="27.6"/>
    <x v="0"/>
    <n v="0"/>
    <x v="1"/>
    <x v="3"/>
  </r>
  <r>
    <n v="48739"/>
    <x v="0"/>
    <n v="47"/>
    <n v="0"/>
    <n v="0"/>
    <x v="2"/>
    <x v="0"/>
    <x v="1"/>
    <x v="0"/>
    <n v="135.19"/>
    <n v="36"/>
    <x v="2"/>
    <n v="0"/>
    <x v="1"/>
    <x v="0"/>
  </r>
  <r>
    <n v="52428"/>
    <x v="0"/>
    <n v="25"/>
    <n v="0"/>
    <n v="0"/>
    <x v="2"/>
    <x v="1"/>
    <x v="0"/>
    <x v="0"/>
    <n v="116.12"/>
    <n v="20.399999999999999"/>
    <x v="2"/>
    <n v="0"/>
    <x v="2"/>
    <x v="2"/>
  </r>
  <r>
    <n v="61171"/>
    <x v="1"/>
    <n v="31"/>
    <n v="0"/>
    <n v="0"/>
    <x v="2"/>
    <x v="1"/>
    <x v="0"/>
    <x v="1"/>
    <n v="59.63"/>
    <n v="19.899999999999999"/>
    <x v="1"/>
    <n v="0"/>
    <x v="2"/>
    <x v="2"/>
  </r>
  <r>
    <n v="40878"/>
    <x v="0"/>
    <n v="71"/>
    <n v="0"/>
    <n v="0"/>
    <x v="1"/>
    <x v="0"/>
    <x v="1"/>
    <x v="1"/>
    <n v="56.43"/>
    <n v="29.2"/>
    <x v="0"/>
    <n v="0"/>
    <x v="0"/>
    <x v="3"/>
  </r>
  <r>
    <n v="61247"/>
    <x v="1"/>
    <n v="32"/>
    <n v="0"/>
    <n v="0"/>
    <x v="2"/>
    <x v="1"/>
    <x v="0"/>
    <x v="1"/>
    <n v="199.18"/>
    <n v="27.9"/>
    <x v="1"/>
    <n v="0"/>
    <x v="2"/>
    <x v="3"/>
  </r>
  <r>
    <n v="27799"/>
    <x v="0"/>
    <n v="72"/>
    <n v="0"/>
    <n v="0"/>
    <x v="1"/>
    <x v="0"/>
    <x v="0"/>
    <x v="1"/>
    <n v="209.26"/>
    <n v="38.1"/>
    <x v="0"/>
    <n v="0"/>
    <x v="0"/>
    <x v="0"/>
  </r>
  <r>
    <n v="2824"/>
    <x v="1"/>
    <n v="44"/>
    <n v="0"/>
    <n v="0"/>
    <x v="2"/>
    <x v="0"/>
    <x v="2"/>
    <x v="0"/>
    <n v="91.21"/>
    <n v="24.1"/>
    <x v="1"/>
    <n v="0"/>
    <x v="1"/>
    <x v="2"/>
  </r>
  <r>
    <n v="12376"/>
    <x v="0"/>
    <n v="63"/>
    <n v="0"/>
    <n v="0"/>
    <x v="1"/>
    <x v="0"/>
    <x v="2"/>
    <x v="0"/>
    <n v="95.16"/>
    <n v="37.799999999999997"/>
    <x v="0"/>
    <n v="0"/>
    <x v="0"/>
    <x v="0"/>
  </r>
  <r>
    <n v="72435"/>
    <x v="1"/>
    <n v="37"/>
    <n v="0"/>
    <n v="0"/>
    <x v="2"/>
    <x v="0"/>
    <x v="0"/>
    <x v="0"/>
    <n v="217.11"/>
    <n v="29.1"/>
    <x v="1"/>
    <n v="0"/>
    <x v="2"/>
    <x v="3"/>
  </r>
  <r>
    <n v="46864"/>
    <x v="0"/>
    <n v="54"/>
    <n v="0"/>
    <n v="1"/>
    <x v="2"/>
    <x v="0"/>
    <x v="2"/>
    <x v="0"/>
    <n v="222.46"/>
    <n v="35.700000000000003"/>
    <x v="1"/>
    <n v="0"/>
    <x v="1"/>
    <x v="0"/>
  </r>
  <r>
    <n v="2019"/>
    <x v="0"/>
    <n v="20"/>
    <n v="0"/>
    <n v="0"/>
    <x v="2"/>
    <x v="1"/>
    <x v="0"/>
    <x v="1"/>
    <n v="70.959999999999994"/>
    <s v="N/A"/>
    <x v="3"/>
    <n v="0"/>
    <x v="2"/>
    <x v="1"/>
  </r>
  <r>
    <n v="26154"/>
    <x v="0"/>
    <n v="56"/>
    <n v="0"/>
    <n v="0"/>
    <x v="2"/>
    <x v="0"/>
    <x v="0"/>
    <x v="1"/>
    <n v="82.44"/>
    <n v="34.5"/>
    <x v="1"/>
    <n v="0"/>
    <x v="1"/>
    <x v="0"/>
  </r>
  <r>
    <n v="47972"/>
    <x v="1"/>
    <n v="25"/>
    <n v="0"/>
    <n v="0"/>
    <x v="2"/>
    <x v="1"/>
    <x v="2"/>
    <x v="1"/>
    <n v="74.11"/>
    <n v="34.1"/>
    <x v="2"/>
    <n v="0"/>
    <x v="2"/>
    <x v="0"/>
  </r>
  <r>
    <n v="47751"/>
    <x v="1"/>
    <n v="19"/>
    <n v="0"/>
    <n v="0"/>
    <x v="2"/>
    <x v="1"/>
    <x v="0"/>
    <x v="0"/>
    <n v="131.22999999999999"/>
    <n v="21.1"/>
    <x v="3"/>
    <n v="0"/>
    <x v="2"/>
    <x v="2"/>
  </r>
  <r>
    <n v="25405"/>
    <x v="0"/>
    <n v="62"/>
    <n v="0"/>
    <n v="0"/>
    <x v="1"/>
    <x v="0"/>
    <x v="2"/>
    <x v="0"/>
    <n v="187.52"/>
    <n v="57.7"/>
    <x v="1"/>
    <n v="0"/>
    <x v="0"/>
    <x v="0"/>
  </r>
  <r>
    <n v="34525"/>
    <x v="1"/>
    <n v="27"/>
    <n v="0"/>
    <n v="0"/>
    <x v="2"/>
    <x v="1"/>
    <x v="0"/>
    <x v="1"/>
    <n v="83.26"/>
    <n v="22.2"/>
    <x v="1"/>
    <n v="0"/>
    <x v="2"/>
    <x v="2"/>
  </r>
  <r>
    <n v="13755"/>
    <x v="0"/>
    <n v="5"/>
    <n v="0"/>
    <n v="0"/>
    <x v="2"/>
    <x v="1"/>
    <x v="3"/>
    <x v="1"/>
    <n v="99.07"/>
    <n v="20.5"/>
    <x v="3"/>
    <n v="0"/>
    <x v="2"/>
    <x v="2"/>
  </r>
  <r>
    <n v="56019"/>
    <x v="1"/>
    <n v="20"/>
    <n v="0"/>
    <n v="0"/>
    <x v="2"/>
    <x v="1"/>
    <x v="0"/>
    <x v="0"/>
    <n v="76.63"/>
    <n v="26.2"/>
    <x v="1"/>
    <n v="0"/>
    <x v="2"/>
    <x v="3"/>
  </r>
  <r>
    <n v="67942"/>
    <x v="0"/>
    <n v="21"/>
    <n v="0"/>
    <n v="0"/>
    <x v="2"/>
    <x v="1"/>
    <x v="0"/>
    <x v="1"/>
    <n v="65.09"/>
    <n v="23.5"/>
    <x v="1"/>
    <n v="0"/>
    <x v="2"/>
    <x v="2"/>
  </r>
  <r>
    <n v="43806"/>
    <x v="0"/>
    <n v="44"/>
    <n v="0"/>
    <n v="0"/>
    <x v="2"/>
    <x v="0"/>
    <x v="0"/>
    <x v="0"/>
    <n v="142.31"/>
    <n v="29.1"/>
    <x v="2"/>
    <n v="0"/>
    <x v="1"/>
    <x v="3"/>
  </r>
  <r>
    <n v="39849"/>
    <x v="0"/>
    <n v="39"/>
    <n v="1"/>
    <n v="0"/>
    <x v="2"/>
    <x v="1"/>
    <x v="0"/>
    <x v="0"/>
    <n v="80.989999999999995"/>
    <n v="39.799999999999997"/>
    <x v="3"/>
    <n v="0"/>
    <x v="2"/>
    <x v="0"/>
  </r>
  <r>
    <n v="7344"/>
    <x v="0"/>
    <n v="38"/>
    <n v="0"/>
    <n v="0"/>
    <x v="2"/>
    <x v="0"/>
    <x v="2"/>
    <x v="1"/>
    <n v="237.74"/>
    <n v="21.2"/>
    <x v="1"/>
    <n v="0"/>
    <x v="2"/>
    <x v="2"/>
  </r>
  <r>
    <n v="1741"/>
    <x v="0"/>
    <n v="77"/>
    <n v="0"/>
    <n v="0"/>
    <x v="1"/>
    <x v="0"/>
    <x v="0"/>
    <x v="0"/>
    <n v="74.260000000000005"/>
    <s v="N/A"/>
    <x v="0"/>
    <n v="0"/>
    <x v="0"/>
    <x v="1"/>
  </r>
  <r>
    <n v="52220"/>
    <x v="1"/>
    <n v="26"/>
    <n v="0"/>
    <n v="0"/>
    <x v="2"/>
    <x v="1"/>
    <x v="0"/>
    <x v="1"/>
    <n v="154.08000000000001"/>
    <n v="20.2"/>
    <x v="0"/>
    <n v="0"/>
    <x v="2"/>
    <x v="2"/>
  </r>
  <r>
    <n v="20129"/>
    <x v="0"/>
    <n v="51"/>
    <n v="0"/>
    <n v="0"/>
    <x v="2"/>
    <x v="0"/>
    <x v="0"/>
    <x v="1"/>
    <n v="78.290000000000006"/>
    <n v="30.8"/>
    <x v="1"/>
    <n v="0"/>
    <x v="1"/>
    <x v="0"/>
  </r>
  <r>
    <n v="61178"/>
    <x v="0"/>
    <n v="39"/>
    <n v="0"/>
    <n v="0"/>
    <x v="2"/>
    <x v="0"/>
    <x v="0"/>
    <x v="0"/>
    <n v="164.67"/>
    <n v="33.799999999999997"/>
    <x v="3"/>
    <n v="0"/>
    <x v="2"/>
    <x v="0"/>
  </r>
  <r>
    <n v="48226"/>
    <x v="1"/>
    <n v="5"/>
    <n v="0"/>
    <n v="0"/>
    <x v="2"/>
    <x v="1"/>
    <x v="3"/>
    <x v="1"/>
    <n v="59.61"/>
    <n v="17.100000000000001"/>
    <x v="3"/>
    <n v="0"/>
    <x v="2"/>
    <x v="4"/>
  </r>
  <r>
    <n v="1151"/>
    <x v="1"/>
    <n v="59"/>
    <n v="0"/>
    <n v="0"/>
    <x v="2"/>
    <x v="0"/>
    <x v="1"/>
    <x v="0"/>
    <n v="67.75"/>
    <n v="21.3"/>
    <x v="0"/>
    <n v="0"/>
    <x v="1"/>
    <x v="2"/>
  </r>
  <r>
    <n v="6672"/>
    <x v="0"/>
    <n v="67"/>
    <n v="0"/>
    <n v="0"/>
    <x v="1"/>
    <x v="0"/>
    <x v="0"/>
    <x v="0"/>
    <n v="92.73"/>
    <s v="N/A"/>
    <x v="1"/>
    <n v="0"/>
    <x v="0"/>
    <x v="1"/>
  </r>
  <r>
    <n v="10333"/>
    <x v="1"/>
    <n v="45"/>
    <n v="0"/>
    <n v="0"/>
    <x v="2"/>
    <x v="0"/>
    <x v="0"/>
    <x v="0"/>
    <n v="90.35"/>
    <n v="22.3"/>
    <x v="1"/>
    <n v="0"/>
    <x v="1"/>
    <x v="2"/>
  </r>
  <r>
    <n v="11134"/>
    <x v="0"/>
    <n v="43"/>
    <n v="0"/>
    <n v="0"/>
    <x v="2"/>
    <x v="0"/>
    <x v="0"/>
    <x v="1"/>
    <n v="77.86"/>
    <n v="28.9"/>
    <x v="1"/>
    <n v="0"/>
    <x v="1"/>
    <x v="3"/>
  </r>
  <r>
    <n v="25199"/>
    <x v="1"/>
    <n v="80"/>
    <n v="0"/>
    <n v="0"/>
    <x v="1"/>
    <x v="0"/>
    <x v="0"/>
    <x v="1"/>
    <n v="71.88"/>
    <n v="26.7"/>
    <x v="1"/>
    <n v="0"/>
    <x v="0"/>
    <x v="3"/>
  </r>
  <r>
    <n v="66490"/>
    <x v="0"/>
    <n v="42"/>
    <n v="1"/>
    <n v="0"/>
    <x v="2"/>
    <x v="0"/>
    <x v="2"/>
    <x v="0"/>
    <n v="118.82"/>
    <n v="41"/>
    <x v="2"/>
    <n v="0"/>
    <x v="1"/>
    <x v="0"/>
  </r>
  <r>
    <n v="10390"/>
    <x v="1"/>
    <n v="8"/>
    <n v="0"/>
    <n v="0"/>
    <x v="2"/>
    <x v="1"/>
    <x v="3"/>
    <x v="0"/>
    <n v="67.33"/>
    <n v="16.7"/>
    <x v="3"/>
    <n v="0"/>
    <x v="2"/>
    <x v="4"/>
  </r>
  <r>
    <n v="33144"/>
    <x v="1"/>
    <n v="68"/>
    <n v="0"/>
    <n v="0"/>
    <x v="1"/>
    <x v="1"/>
    <x v="2"/>
    <x v="0"/>
    <n v="121.66"/>
    <n v="29.1"/>
    <x v="2"/>
    <n v="0"/>
    <x v="0"/>
    <x v="3"/>
  </r>
  <r>
    <n v="72497"/>
    <x v="1"/>
    <n v="5"/>
    <n v="0"/>
    <n v="0"/>
    <x v="2"/>
    <x v="1"/>
    <x v="3"/>
    <x v="1"/>
    <n v="111.92"/>
    <n v="23.6"/>
    <x v="3"/>
    <n v="0"/>
    <x v="2"/>
    <x v="2"/>
  </r>
  <r>
    <n v="16783"/>
    <x v="0"/>
    <n v="57"/>
    <n v="0"/>
    <n v="1"/>
    <x v="2"/>
    <x v="0"/>
    <x v="1"/>
    <x v="0"/>
    <n v="92.82"/>
    <n v="27.8"/>
    <x v="0"/>
    <n v="0"/>
    <x v="1"/>
    <x v="3"/>
  </r>
  <r>
    <n v="727"/>
    <x v="0"/>
    <n v="44"/>
    <n v="0"/>
    <n v="0"/>
    <x v="2"/>
    <x v="0"/>
    <x v="0"/>
    <x v="1"/>
    <n v="95.46"/>
    <n v="31.4"/>
    <x v="2"/>
    <n v="0"/>
    <x v="1"/>
    <x v="0"/>
  </r>
  <r>
    <n v="51935"/>
    <x v="0"/>
    <n v="16"/>
    <n v="0"/>
    <n v="0"/>
    <x v="2"/>
    <x v="1"/>
    <x v="4"/>
    <x v="0"/>
    <n v="59.99"/>
    <n v="28.2"/>
    <x v="1"/>
    <n v="0"/>
    <x v="2"/>
    <x v="3"/>
  </r>
  <r>
    <n v="44177"/>
    <x v="1"/>
    <n v="60"/>
    <n v="0"/>
    <n v="0"/>
    <x v="1"/>
    <x v="0"/>
    <x v="1"/>
    <x v="1"/>
    <n v="68.959999999999994"/>
    <n v="30.8"/>
    <x v="3"/>
    <n v="0"/>
    <x v="0"/>
    <x v="0"/>
  </r>
  <r>
    <n v="2421"/>
    <x v="1"/>
    <n v="58"/>
    <n v="0"/>
    <n v="0"/>
    <x v="2"/>
    <x v="0"/>
    <x v="0"/>
    <x v="0"/>
    <n v="90.26"/>
    <n v="36.1"/>
    <x v="1"/>
    <n v="0"/>
    <x v="1"/>
    <x v="0"/>
  </r>
  <r>
    <n v="48693"/>
    <x v="1"/>
    <n v="43"/>
    <n v="0"/>
    <n v="0"/>
    <x v="2"/>
    <x v="0"/>
    <x v="0"/>
    <x v="1"/>
    <n v="91.9"/>
    <n v="32.700000000000003"/>
    <x v="0"/>
    <n v="0"/>
    <x v="1"/>
    <x v="0"/>
  </r>
  <r>
    <n v="5723"/>
    <x v="1"/>
    <n v="50"/>
    <n v="0"/>
    <n v="0"/>
    <x v="2"/>
    <x v="0"/>
    <x v="0"/>
    <x v="0"/>
    <n v="91.08"/>
    <n v="26.4"/>
    <x v="1"/>
    <n v="0"/>
    <x v="1"/>
    <x v="3"/>
  </r>
  <r>
    <n v="29470"/>
    <x v="1"/>
    <n v="1.48"/>
    <n v="0"/>
    <n v="0"/>
    <x v="2"/>
    <x v="1"/>
    <x v="3"/>
    <x v="1"/>
    <n v="118.55"/>
    <n v="20.7"/>
    <x v="3"/>
    <n v="0"/>
    <x v="2"/>
    <x v="2"/>
  </r>
  <r>
    <n v="71590"/>
    <x v="1"/>
    <n v="5"/>
    <n v="0"/>
    <n v="0"/>
    <x v="2"/>
    <x v="1"/>
    <x v="3"/>
    <x v="1"/>
    <n v="102.04"/>
    <n v="18.5"/>
    <x v="3"/>
    <n v="0"/>
    <x v="2"/>
    <x v="2"/>
  </r>
  <r>
    <n v="16600"/>
    <x v="0"/>
    <n v="9"/>
    <n v="0"/>
    <n v="0"/>
    <x v="2"/>
    <x v="1"/>
    <x v="3"/>
    <x v="1"/>
    <n v="65.52"/>
    <n v="33.5"/>
    <x v="3"/>
    <n v="0"/>
    <x v="2"/>
    <x v="0"/>
  </r>
  <r>
    <n v="28309"/>
    <x v="1"/>
    <n v="67"/>
    <n v="0"/>
    <n v="0"/>
    <x v="1"/>
    <x v="0"/>
    <x v="0"/>
    <x v="0"/>
    <n v="82.09"/>
    <n v="14.1"/>
    <x v="1"/>
    <n v="0"/>
    <x v="0"/>
    <x v="4"/>
  </r>
  <r>
    <n v="41911"/>
    <x v="1"/>
    <n v="21"/>
    <n v="0"/>
    <n v="0"/>
    <x v="2"/>
    <x v="0"/>
    <x v="0"/>
    <x v="1"/>
    <n v="149.9"/>
    <n v="23.4"/>
    <x v="3"/>
    <n v="0"/>
    <x v="2"/>
    <x v="2"/>
  </r>
  <r>
    <n v="3390"/>
    <x v="1"/>
    <n v="36"/>
    <n v="0"/>
    <n v="0"/>
    <x v="2"/>
    <x v="0"/>
    <x v="0"/>
    <x v="1"/>
    <n v="100.33"/>
    <n v="23.2"/>
    <x v="1"/>
    <n v="0"/>
    <x v="2"/>
    <x v="2"/>
  </r>
  <r>
    <n v="31806"/>
    <x v="1"/>
    <n v="70"/>
    <n v="0"/>
    <n v="0"/>
    <x v="1"/>
    <x v="0"/>
    <x v="0"/>
    <x v="0"/>
    <n v="91.25"/>
    <n v="36"/>
    <x v="3"/>
    <n v="0"/>
    <x v="0"/>
    <x v="0"/>
  </r>
  <r>
    <n v="68750"/>
    <x v="0"/>
    <n v="57"/>
    <n v="0"/>
    <n v="0"/>
    <x v="2"/>
    <x v="0"/>
    <x v="0"/>
    <x v="1"/>
    <n v="89.81"/>
    <n v="35.6"/>
    <x v="1"/>
    <n v="0"/>
    <x v="1"/>
    <x v="0"/>
  </r>
  <r>
    <n v="32840"/>
    <x v="1"/>
    <n v="52"/>
    <n v="0"/>
    <n v="0"/>
    <x v="2"/>
    <x v="0"/>
    <x v="0"/>
    <x v="0"/>
    <n v="97.32"/>
    <n v="21.8"/>
    <x v="2"/>
    <n v="0"/>
    <x v="1"/>
    <x v="2"/>
  </r>
  <r>
    <n v="49797"/>
    <x v="1"/>
    <n v="28"/>
    <n v="0"/>
    <n v="0"/>
    <x v="2"/>
    <x v="1"/>
    <x v="0"/>
    <x v="1"/>
    <n v="75.53"/>
    <n v="34.9"/>
    <x v="1"/>
    <n v="0"/>
    <x v="2"/>
    <x v="0"/>
  </r>
  <r>
    <n v="72096"/>
    <x v="1"/>
    <n v="41"/>
    <n v="0"/>
    <n v="0"/>
    <x v="2"/>
    <x v="0"/>
    <x v="0"/>
    <x v="1"/>
    <n v="121.44"/>
    <n v="20.399999999999999"/>
    <x v="1"/>
    <n v="0"/>
    <x v="1"/>
    <x v="2"/>
  </r>
  <r>
    <n v="13503"/>
    <x v="0"/>
    <n v="81"/>
    <n v="0"/>
    <n v="0"/>
    <x v="1"/>
    <x v="0"/>
    <x v="1"/>
    <x v="0"/>
    <n v="83.52"/>
    <n v="25"/>
    <x v="1"/>
    <n v="0"/>
    <x v="0"/>
    <x v="3"/>
  </r>
  <r>
    <n v="41536"/>
    <x v="1"/>
    <n v="33"/>
    <n v="0"/>
    <n v="0"/>
    <x v="2"/>
    <x v="0"/>
    <x v="2"/>
    <x v="1"/>
    <n v="57.92"/>
    <n v="22.3"/>
    <x v="3"/>
    <n v="0"/>
    <x v="2"/>
    <x v="2"/>
  </r>
  <r>
    <n v="17441"/>
    <x v="1"/>
    <n v="31"/>
    <n v="0"/>
    <n v="0"/>
    <x v="2"/>
    <x v="1"/>
    <x v="1"/>
    <x v="1"/>
    <n v="75.27"/>
    <n v="27.3"/>
    <x v="1"/>
    <n v="0"/>
    <x v="2"/>
    <x v="3"/>
  </r>
  <r>
    <n v="62238"/>
    <x v="1"/>
    <n v="42"/>
    <n v="0"/>
    <n v="0"/>
    <x v="2"/>
    <x v="1"/>
    <x v="0"/>
    <x v="0"/>
    <n v="80.239999999999995"/>
    <n v="28.9"/>
    <x v="1"/>
    <n v="0"/>
    <x v="1"/>
    <x v="3"/>
  </r>
  <r>
    <n v="737"/>
    <x v="0"/>
    <n v="10"/>
    <n v="0"/>
    <n v="0"/>
    <x v="2"/>
    <x v="1"/>
    <x v="3"/>
    <x v="0"/>
    <n v="88.69"/>
    <n v="30.4"/>
    <x v="3"/>
    <n v="0"/>
    <x v="2"/>
    <x v="0"/>
  </r>
  <r>
    <n v="4627"/>
    <x v="0"/>
    <n v="34"/>
    <n v="0"/>
    <n v="0"/>
    <x v="2"/>
    <x v="1"/>
    <x v="0"/>
    <x v="0"/>
    <n v="69.09"/>
    <n v="36.9"/>
    <x v="0"/>
    <n v="0"/>
    <x v="2"/>
    <x v="0"/>
  </r>
  <r>
    <n v="47208"/>
    <x v="1"/>
    <n v="70"/>
    <n v="0"/>
    <n v="0"/>
    <x v="1"/>
    <x v="0"/>
    <x v="1"/>
    <x v="1"/>
    <n v="62.67"/>
    <n v="27.7"/>
    <x v="1"/>
    <n v="0"/>
    <x v="0"/>
    <x v="3"/>
  </r>
  <r>
    <n v="6844"/>
    <x v="0"/>
    <n v="33"/>
    <n v="0"/>
    <n v="0"/>
    <x v="2"/>
    <x v="0"/>
    <x v="0"/>
    <x v="0"/>
    <n v="98.74"/>
    <n v="44.4"/>
    <x v="1"/>
    <n v="0"/>
    <x v="2"/>
    <x v="0"/>
  </r>
  <r>
    <n v="60001"/>
    <x v="1"/>
    <n v="58"/>
    <n v="0"/>
    <n v="0"/>
    <x v="2"/>
    <x v="0"/>
    <x v="0"/>
    <x v="1"/>
    <n v="56.51"/>
    <n v="28.2"/>
    <x v="2"/>
    <n v="0"/>
    <x v="1"/>
    <x v="3"/>
  </r>
  <r>
    <n v="44503"/>
    <x v="1"/>
    <n v="25"/>
    <n v="0"/>
    <n v="0"/>
    <x v="2"/>
    <x v="1"/>
    <x v="0"/>
    <x v="1"/>
    <n v="65.95"/>
    <n v="35"/>
    <x v="1"/>
    <n v="0"/>
    <x v="2"/>
    <x v="0"/>
  </r>
  <r>
    <n v="44938"/>
    <x v="1"/>
    <n v="1.4"/>
    <n v="0"/>
    <n v="0"/>
    <x v="2"/>
    <x v="1"/>
    <x v="3"/>
    <x v="0"/>
    <n v="129.07"/>
    <n v="20.6"/>
    <x v="3"/>
    <n v="0"/>
    <x v="2"/>
    <x v="2"/>
  </r>
  <r>
    <n v="40371"/>
    <x v="1"/>
    <n v="47"/>
    <n v="0"/>
    <n v="0"/>
    <x v="2"/>
    <x v="0"/>
    <x v="0"/>
    <x v="0"/>
    <n v="62.47"/>
    <n v="26.5"/>
    <x v="1"/>
    <n v="0"/>
    <x v="1"/>
    <x v="3"/>
  </r>
  <r>
    <n v="39011"/>
    <x v="1"/>
    <n v="14"/>
    <n v="0"/>
    <n v="0"/>
    <x v="2"/>
    <x v="1"/>
    <x v="3"/>
    <x v="0"/>
    <n v="69.819999999999993"/>
    <n v="25.1"/>
    <x v="1"/>
    <n v="0"/>
    <x v="2"/>
    <x v="3"/>
  </r>
  <r>
    <n v="1460"/>
    <x v="1"/>
    <n v="82"/>
    <n v="0"/>
    <n v="0"/>
    <x v="1"/>
    <x v="0"/>
    <x v="0"/>
    <x v="0"/>
    <n v="99.68"/>
    <n v="22.2"/>
    <x v="3"/>
    <n v="0"/>
    <x v="0"/>
    <x v="2"/>
  </r>
  <r>
    <n v="48364"/>
    <x v="0"/>
    <n v="52"/>
    <n v="0"/>
    <n v="0"/>
    <x v="2"/>
    <x v="0"/>
    <x v="2"/>
    <x v="0"/>
    <n v="223.35"/>
    <n v="27.3"/>
    <x v="0"/>
    <n v="0"/>
    <x v="1"/>
    <x v="3"/>
  </r>
  <r>
    <n v="30285"/>
    <x v="0"/>
    <n v="72"/>
    <n v="0"/>
    <n v="1"/>
    <x v="0"/>
    <x v="0"/>
    <x v="1"/>
    <x v="1"/>
    <n v="74.36"/>
    <n v="27.3"/>
    <x v="1"/>
    <n v="0"/>
    <x v="0"/>
    <x v="3"/>
  </r>
  <r>
    <n v="21472"/>
    <x v="0"/>
    <n v="52"/>
    <n v="0"/>
    <n v="1"/>
    <x v="2"/>
    <x v="0"/>
    <x v="1"/>
    <x v="1"/>
    <n v="102.97"/>
    <n v="41.9"/>
    <x v="0"/>
    <n v="0"/>
    <x v="1"/>
    <x v="0"/>
  </r>
  <r>
    <n v="71182"/>
    <x v="1"/>
    <n v="61"/>
    <n v="1"/>
    <n v="0"/>
    <x v="0"/>
    <x v="0"/>
    <x v="2"/>
    <x v="0"/>
    <n v="153.38"/>
    <n v="38.799999999999997"/>
    <x v="1"/>
    <n v="0"/>
    <x v="0"/>
    <x v="0"/>
  </r>
  <r>
    <n v="33412"/>
    <x v="1"/>
    <n v="15"/>
    <n v="0"/>
    <n v="0"/>
    <x v="2"/>
    <x v="1"/>
    <x v="0"/>
    <x v="1"/>
    <n v="87.1"/>
    <n v="18.3"/>
    <x v="1"/>
    <n v="0"/>
    <x v="2"/>
    <x v="4"/>
  </r>
  <r>
    <n v="16061"/>
    <x v="1"/>
    <n v="1.56"/>
    <n v="0"/>
    <n v="0"/>
    <x v="2"/>
    <x v="1"/>
    <x v="3"/>
    <x v="0"/>
    <n v="113.4"/>
    <n v="19.5"/>
    <x v="3"/>
    <n v="0"/>
    <x v="2"/>
    <x v="2"/>
  </r>
  <r>
    <n v="60266"/>
    <x v="0"/>
    <n v="6"/>
    <n v="0"/>
    <n v="0"/>
    <x v="2"/>
    <x v="1"/>
    <x v="3"/>
    <x v="1"/>
    <n v="94.88"/>
    <n v="17.2"/>
    <x v="3"/>
    <n v="0"/>
    <x v="2"/>
    <x v="4"/>
  </r>
  <r>
    <n v="70965"/>
    <x v="0"/>
    <n v="3"/>
    <n v="0"/>
    <n v="0"/>
    <x v="2"/>
    <x v="1"/>
    <x v="3"/>
    <x v="0"/>
    <n v="82.73"/>
    <n v="20.8"/>
    <x v="3"/>
    <n v="0"/>
    <x v="2"/>
    <x v="2"/>
  </r>
  <r>
    <n v="56736"/>
    <x v="0"/>
    <n v="18"/>
    <n v="0"/>
    <n v="0"/>
    <x v="2"/>
    <x v="1"/>
    <x v="0"/>
    <x v="1"/>
    <n v="67.8"/>
    <n v="23.8"/>
    <x v="3"/>
    <n v="0"/>
    <x v="2"/>
    <x v="2"/>
  </r>
  <r>
    <n v="6537"/>
    <x v="1"/>
    <n v="53"/>
    <n v="0"/>
    <n v="0"/>
    <x v="2"/>
    <x v="0"/>
    <x v="1"/>
    <x v="0"/>
    <n v="84.85"/>
    <n v="24.7"/>
    <x v="1"/>
    <n v="0"/>
    <x v="1"/>
    <x v="2"/>
  </r>
  <r>
    <n v="41827"/>
    <x v="0"/>
    <n v="58"/>
    <n v="0"/>
    <n v="0"/>
    <x v="2"/>
    <x v="0"/>
    <x v="0"/>
    <x v="1"/>
    <n v="135.88999999999999"/>
    <n v="23.1"/>
    <x v="0"/>
    <n v="0"/>
    <x v="1"/>
    <x v="2"/>
  </r>
  <r>
    <n v="49480"/>
    <x v="1"/>
    <n v="31"/>
    <n v="0"/>
    <n v="0"/>
    <x v="2"/>
    <x v="1"/>
    <x v="0"/>
    <x v="0"/>
    <n v="106.13"/>
    <n v="22.4"/>
    <x v="1"/>
    <n v="0"/>
    <x v="2"/>
    <x v="2"/>
  </r>
  <r>
    <n v="36704"/>
    <x v="1"/>
    <n v="29"/>
    <n v="0"/>
    <n v="0"/>
    <x v="2"/>
    <x v="0"/>
    <x v="1"/>
    <x v="1"/>
    <n v="74.33"/>
    <n v="29.9"/>
    <x v="2"/>
    <n v="0"/>
    <x v="2"/>
    <x v="3"/>
  </r>
  <r>
    <n v="8884"/>
    <x v="1"/>
    <n v="5"/>
    <n v="0"/>
    <n v="0"/>
    <x v="2"/>
    <x v="1"/>
    <x v="3"/>
    <x v="1"/>
    <n v="109.4"/>
    <n v="20"/>
    <x v="3"/>
    <n v="0"/>
    <x v="2"/>
    <x v="2"/>
  </r>
  <r>
    <n v="49775"/>
    <x v="0"/>
    <n v="40"/>
    <n v="0"/>
    <n v="0"/>
    <x v="2"/>
    <x v="0"/>
    <x v="0"/>
    <x v="1"/>
    <n v="75.400000000000006"/>
    <n v="28.7"/>
    <x v="3"/>
    <n v="0"/>
    <x v="1"/>
    <x v="3"/>
  </r>
  <r>
    <n v="25777"/>
    <x v="0"/>
    <n v="75"/>
    <n v="0"/>
    <n v="0"/>
    <x v="1"/>
    <x v="0"/>
    <x v="0"/>
    <x v="1"/>
    <n v="87.69"/>
    <n v="26.2"/>
    <x v="0"/>
    <n v="0"/>
    <x v="0"/>
    <x v="3"/>
  </r>
  <r>
    <n v="2070"/>
    <x v="0"/>
    <n v="52"/>
    <n v="0"/>
    <n v="0"/>
    <x v="2"/>
    <x v="0"/>
    <x v="0"/>
    <x v="0"/>
    <n v="95.85"/>
    <n v="29.6"/>
    <x v="2"/>
    <n v="0"/>
    <x v="1"/>
    <x v="3"/>
  </r>
  <r>
    <n v="15752"/>
    <x v="0"/>
    <n v="39"/>
    <n v="0"/>
    <n v="0"/>
    <x v="2"/>
    <x v="0"/>
    <x v="0"/>
    <x v="0"/>
    <n v="90.36"/>
    <n v="30.8"/>
    <x v="0"/>
    <n v="0"/>
    <x v="2"/>
    <x v="0"/>
  </r>
  <r>
    <n v="45915"/>
    <x v="1"/>
    <n v="40"/>
    <n v="0"/>
    <n v="0"/>
    <x v="2"/>
    <x v="1"/>
    <x v="0"/>
    <x v="1"/>
    <n v="63.45"/>
    <n v="32.700000000000003"/>
    <x v="0"/>
    <n v="0"/>
    <x v="1"/>
    <x v="0"/>
  </r>
  <r>
    <n v="48775"/>
    <x v="1"/>
    <n v="78"/>
    <n v="1"/>
    <n v="0"/>
    <x v="0"/>
    <x v="0"/>
    <x v="1"/>
    <x v="1"/>
    <n v="201.07"/>
    <n v="21.8"/>
    <x v="3"/>
    <n v="0"/>
    <x v="0"/>
    <x v="2"/>
  </r>
  <r>
    <n v="65697"/>
    <x v="1"/>
    <n v="39"/>
    <n v="0"/>
    <n v="0"/>
    <x v="2"/>
    <x v="0"/>
    <x v="0"/>
    <x v="0"/>
    <n v="122.91"/>
    <n v="35.700000000000003"/>
    <x v="1"/>
    <n v="0"/>
    <x v="2"/>
    <x v="0"/>
  </r>
  <r>
    <n v="65229"/>
    <x v="1"/>
    <n v="17"/>
    <n v="0"/>
    <n v="0"/>
    <x v="2"/>
    <x v="1"/>
    <x v="0"/>
    <x v="1"/>
    <n v="55.41"/>
    <n v="25.4"/>
    <x v="3"/>
    <n v="0"/>
    <x v="2"/>
    <x v="3"/>
  </r>
  <r>
    <n v="56889"/>
    <x v="0"/>
    <n v="45"/>
    <n v="1"/>
    <n v="0"/>
    <x v="2"/>
    <x v="0"/>
    <x v="0"/>
    <x v="0"/>
    <n v="60.99"/>
    <n v="32.799999999999997"/>
    <x v="3"/>
    <n v="0"/>
    <x v="1"/>
    <x v="0"/>
  </r>
  <r>
    <n v="6596"/>
    <x v="0"/>
    <n v="0.56000000000000005"/>
    <n v="0"/>
    <n v="0"/>
    <x v="2"/>
    <x v="1"/>
    <x v="3"/>
    <x v="1"/>
    <n v="111.77"/>
    <n v="21.1"/>
    <x v="3"/>
    <n v="0"/>
    <x v="2"/>
    <x v="2"/>
  </r>
  <r>
    <n v="46577"/>
    <x v="1"/>
    <n v="13"/>
    <n v="0"/>
    <n v="0"/>
    <x v="2"/>
    <x v="1"/>
    <x v="0"/>
    <x v="0"/>
    <n v="77.63"/>
    <n v="31.7"/>
    <x v="1"/>
    <n v="0"/>
    <x v="2"/>
    <x v="0"/>
  </r>
  <r>
    <n v="63455"/>
    <x v="0"/>
    <n v="26"/>
    <n v="0"/>
    <n v="0"/>
    <x v="2"/>
    <x v="0"/>
    <x v="0"/>
    <x v="0"/>
    <n v="70.61"/>
    <n v="20"/>
    <x v="1"/>
    <n v="0"/>
    <x v="2"/>
    <x v="2"/>
  </r>
  <r>
    <n v="21724"/>
    <x v="1"/>
    <n v="42"/>
    <n v="0"/>
    <n v="0"/>
    <x v="2"/>
    <x v="0"/>
    <x v="1"/>
    <x v="0"/>
    <n v="124.34"/>
    <n v="34.700000000000003"/>
    <x v="0"/>
    <n v="0"/>
    <x v="1"/>
    <x v="0"/>
  </r>
  <r>
    <n v="29863"/>
    <x v="0"/>
    <n v="44"/>
    <n v="0"/>
    <n v="0"/>
    <x v="2"/>
    <x v="1"/>
    <x v="0"/>
    <x v="0"/>
    <n v="103.44"/>
    <n v="28"/>
    <x v="1"/>
    <n v="0"/>
    <x v="1"/>
    <x v="3"/>
  </r>
  <r>
    <n v="69249"/>
    <x v="1"/>
    <n v="3"/>
    <n v="0"/>
    <n v="0"/>
    <x v="2"/>
    <x v="1"/>
    <x v="3"/>
    <x v="0"/>
    <n v="124.5"/>
    <n v="16.399999999999999"/>
    <x v="3"/>
    <n v="0"/>
    <x v="2"/>
    <x v="4"/>
  </r>
  <r>
    <n v="8968"/>
    <x v="1"/>
    <n v="42"/>
    <n v="0"/>
    <n v="0"/>
    <x v="2"/>
    <x v="0"/>
    <x v="0"/>
    <x v="0"/>
    <n v="208.06"/>
    <s v="N/A"/>
    <x v="2"/>
    <n v="0"/>
    <x v="1"/>
    <x v="1"/>
  </r>
  <r>
    <n v="20310"/>
    <x v="0"/>
    <n v="25"/>
    <n v="0"/>
    <n v="0"/>
    <x v="2"/>
    <x v="1"/>
    <x v="2"/>
    <x v="0"/>
    <n v="75.5"/>
    <n v="24.6"/>
    <x v="1"/>
    <n v="0"/>
    <x v="2"/>
    <x v="2"/>
  </r>
  <r>
    <n v="11450"/>
    <x v="1"/>
    <n v="41"/>
    <n v="0"/>
    <n v="0"/>
    <x v="2"/>
    <x v="0"/>
    <x v="1"/>
    <x v="0"/>
    <n v="98.85"/>
    <n v="24.6"/>
    <x v="1"/>
    <n v="0"/>
    <x v="1"/>
    <x v="2"/>
  </r>
  <r>
    <n v="31999"/>
    <x v="0"/>
    <n v="51"/>
    <n v="0"/>
    <n v="1"/>
    <x v="2"/>
    <x v="0"/>
    <x v="0"/>
    <x v="1"/>
    <n v="96.06"/>
    <n v="30.3"/>
    <x v="3"/>
    <n v="0"/>
    <x v="1"/>
    <x v="0"/>
  </r>
  <r>
    <n v="34133"/>
    <x v="1"/>
    <n v="20"/>
    <n v="0"/>
    <n v="0"/>
    <x v="2"/>
    <x v="1"/>
    <x v="0"/>
    <x v="1"/>
    <n v="93.74"/>
    <n v="23.7"/>
    <x v="3"/>
    <n v="0"/>
    <x v="2"/>
    <x v="2"/>
  </r>
  <r>
    <n v="44202"/>
    <x v="1"/>
    <n v="25"/>
    <n v="0"/>
    <n v="0"/>
    <x v="2"/>
    <x v="0"/>
    <x v="0"/>
    <x v="0"/>
    <n v="65.599999999999994"/>
    <n v="33.5"/>
    <x v="1"/>
    <n v="0"/>
    <x v="2"/>
    <x v="0"/>
  </r>
  <r>
    <n v="72311"/>
    <x v="0"/>
    <n v="18"/>
    <n v="0"/>
    <n v="0"/>
    <x v="2"/>
    <x v="1"/>
    <x v="0"/>
    <x v="0"/>
    <n v="113.24"/>
    <n v="24.9"/>
    <x v="3"/>
    <n v="0"/>
    <x v="2"/>
    <x v="2"/>
  </r>
  <r>
    <n v="18704"/>
    <x v="1"/>
    <n v="37"/>
    <n v="0"/>
    <n v="0"/>
    <x v="2"/>
    <x v="0"/>
    <x v="0"/>
    <x v="1"/>
    <n v="94.77"/>
    <n v="48.9"/>
    <x v="3"/>
    <n v="0"/>
    <x v="2"/>
    <x v="0"/>
  </r>
  <r>
    <n v="36518"/>
    <x v="1"/>
    <n v="51"/>
    <n v="0"/>
    <n v="0"/>
    <x v="2"/>
    <x v="0"/>
    <x v="0"/>
    <x v="0"/>
    <n v="145.22"/>
    <n v="31.4"/>
    <x v="3"/>
    <n v="0"/>
    <x v="1"/>
    <x v="0"/>
  </r>
  <r>
    <n v="35651"/>
    <x v="0"/>
    <n v="2"/>
    <n v="0"/>
    <n v="0"/>
    <x v="2"/>
    <x v="1"/>
    <x v="3"/>
    <x v="0"/>
    <n v="112.92"/>
    <n v="18.399999999999999"/>
    <x v="3"/>
    <n v="0"/>
    <x v="2"/>
    <x v="4"/>
  </r>
  <r>
    <n v="13749"/>
    <x v="1"/>
    <n v="38"/>
    <n v="0"/>
    <n v="0"/>
    <x v="2"/>
    <x v="0"/>
    <x v="0"/>
    <x v="1"/>
    <n v="84.79"/>
    <n v="24.2"/>
    <x v="0"/>
    <n v="0"/>
    <x v="2"/>
    <x v="2"/>
  </r>
  <r>
    <n v="21521"/>
    <x v="0"/>
    <n v="64"/>
    <n v="0"/>
    <n v="1"/>
    <x v="0"/>
    <x v="0"/>
    <x v="0"/>
    <x v="0"/>
    <n v="103.28"/>
    <n v="34.299999999999997"/>
    <x v="2"/>
    <n v="0"/>
    <x v="0"/>
    <x v="0"/>
  </r>
  <r>
    <n v="27163"/>
    <x v="1"/>
    <n v="60"/>
    <n v="1"/>
    <n v="0"/>
    <x v="0"/>
    <x v="0"/>
    <x v="0"/>
    <x v="0"/>
    <n v="109"/>
    <s v="N/A"/>
    <x v="3"/>
    <n v="0"/>
    <x v="0"/>
    <x v="1"/>
  </r>
  <r>
    <n v="8882"/>
    <x v="0"/>
    <n v="22"/>
    <n v="0"/>
    <n v="0"/>
    <x v="2"/>
    <x v="1"/>
    <x v="2"/>
    <x v="1"/>
    <n v="96.18"/>
    <n v="25.1"/>
    <x v="1"/>
    <n v="0"/>
    <x v="2"/>
    <x v="3"/>
  </r>
  <r>
    <n v="32016"/>
    <x v="0"/>
    <n v="71"/>
    <n v="1"/>
    <n v="0"/>
    <x v="0"/>
    <x v="0"/>
    <x v="0"/>
    <x v="1"/>
    <n v="186.95"/>
    <n v="33.299999999999997"/>
    <x v="1"/>
    <n v="0"/>
    <x v="0"/>
    <x v="0"/>
  </r>
  <r>
    <n v="14287"/>
    <x v="1"/>
    <n v="32"/>
    <n v="0"/>
    <n v="0"/>
    <x v="2"/>
    <x v="0"/>
    <x v="0"/>
    <x v="0"/>
    <n v="68.66"/>
    <n v="22.6"/>
    <x v="3"/>
    <n v="0"/>
    <x v="2"/>
    <x v="2"/>
  </r>
  <r>
    <n v="60139"/>
    <x v="1"/>
    <n v="32"/>
    <n v="0"/>
    <n v="0"/>
    <x v="2"/>
    <x v="0"/>
    <x v="1"/>
    <x v="1"/>
    <n v="128.72"/>
    <n v="26.3"/>
    <x v="2"/>
    <n v="0"/>
    <x v="2"/>
    <x v="3"/>
  </r>
  <r>
    <n v="2447"/>
    <x v="1"/>
    <n v="63"/>
    <n v="0"/>
    <n v="0"/>
    <x v="1"/>
    <x v="0"/>
    <x v="0"/>
    <x v="0"/>
    <n v="85.04"/>
    <n v="29.7"/>
    <x v="0"/>
    <n v="0"/>
    <x v="0"/>
    <x v="3"/>
  </r>
  <r>
    <n v="42500"/>
    <x v="0"/>
    <n v="0.24"/>
    <n v="0"/>
    <n v="0"/>
    <x v="2"/>
    <x v="1"/>
    <x v="3"/>
    <x v="1"/>
    <n v="146.97"/>
    <n v="18.5"/>
    <x v="3"/>
    <n v="0"/>
    <x v="2"/>
    <x v="2"/>
  </r>
  <r>
    <n v="44391"/>
    <x v="0"/>
    <n v="54"/>
    <n v="0"/>
    <n v="0"/>
    <x v="2"/>
    <x v="0"/>
    <x v="0"/>
    <x v="0"/>
    <n v="65.69"/>
    <n v="21.4"/>
    <x v="1"/>
    <n v="0"/>
    <x v="1"/>
    <x v="2"/>
  </r>
  <r>
    <n v="12741"/>
    <x v="1"/>
    <n v="25"/>
    <n v="0"/>
    <n v="0"/>
    <x v="2"/>
    <x v="0"/>
    <x v="0"/>
    <x v="1"/>
    <n v="97.52"/>
    <n v="45.5"/>
    <x v="0"/>
    <n v="0"/>
    <x v="2"/>
    <x v="0"/>
  </r>
  <r>
    <n v="15418"/>
    <x v="1"/>
    <n v="80"/>
    <n v="0"/>
    <n v="0"/>
    <x v="1"/>
    <x v="0"/>
    <x v="1"/>
    <x v="1"/>
    <n v="90.43"/>
    <n v="34.200000000000003"/>
    <x v="1"/>
    <n v="0"/>
    <x v="0"/>
    <x v="0"/>
  </r>
  <r>
    <n v="69482"/>
    <x v="1"/>
    <n v="31"/>
    <n v="0"/>
    <n v="0"/>
    <x v="2"/>
    <x v="0"/>
    <x v="2"/>
    <x v="0"/>
    <n v="81.709999999999994"/>
    <n v="32.700000000000003"/>
    <x v="3"/>
    <n v="0"/>
    <x v="2"/>
    <x v="0"/>
  </r>
  <r>
    <n v="32270"/>
    <x v="0"/>
    <n v="53"/>
    <n v="0"/>
    <n v="0"/>
    <x v="2"/>
    <x v="0"/>
    <x v="0"/>
    <x v="1"/>
    <n v="198.24"/>
    <n v="38.1"/>
    <x v="1"/>
    <n v="0"/>
    <x v="1"/>
    <x v="0"/>
  </r>
  <r>
    <n v="50983"/>
    <x v="0"/>
    <n v="35"/>
    <n v="0"/>
    <n v="0"/>
    <x v="2"/>
    <x v="0"/>
    <x v="0"/>
    <x v="1"/>
    <n v="90.51"/>
    <n v="26.7"/>
    <x v="1"/>
    <n v="0"/>
    <x v="2"/>
    <x v="3"/>
  </r>
  <r>
    <n v="6493"/>
    <x v="0"/>
    <n v="31"/>
    <n v="0"/>
    <n v="0"/>
    <x v="2"/>
    <x v="1"/>
    <x v="0"/>
    <x v="0"/>
    <n v="97.78"/>
    <n v="22.6"/>
    <x v="2"/>
    <n v="0"/>
    <x v="2"/>
    <x v="2"/>
  </r>
  <r>
    <n v="45399"/>
    <x v="0"/>
    <n v="60"/>
    <n v="0"/>
    <n v="0"/>
    <x v="1"/>
    <x v="0"/>
    <x v="0"/>
    <x v="0"/>
    <n v="80.739999999999995"/>
    <n v="27.7"/>
    <x v="3"/>
    <n v="0"/>
    <x v="0"/>
    <x v="3"/>
  </r>
  <r>
    <n v="67099"/>
    <x v="0"/>
    <n v="0.56000000000000005"/>
    <n v="0"/>
    <n v="0"/>
    <x v="2"/>
    <x v="1"/>
    <x v="3"/>
    <x v="1"/>
    <n v="57.02"/>
    <n v="20.7"/>
    <x v="3"/>
    <n v="0"/>
    <x v="2"/>
    <x v="2"/>
  </r>
  <r>
    <n v="19585"/>
    <x v="1"/>
    <n v="21"/>
    <n v="0"/>
    <n v="0"/>
    <x v="2"/>
    <x v="1"/>
    <x v="0"/>
    <x v="1"/>
    <n v="93"/>
    <n v="25.7"/>
    <x v="1"/>
    <n v="0"/>
    <x v="2"/>
    <x v="3"/>
  </r>
  <r>
    <n v="26247"/>
    <x v="1"/>
    <n v="78"/>
    <n v="0"/>
    <n v="0"/>
    <x v="1"/>
    <x v="0"/>
    <x v="0"/>
    <x v="1"/>
    <n v="95.37"/>
    <n v="17.3"/>
    <x v="3"/>
    <n v="0"/>
    <x v="0"/>
    <x v="4"/>
  </r>
  <r>
    <n v="25818"/>
    <x v="0"/>
    <n v="59"/>
    <n v="0"/>
    <n v="0"/>
    <x v="2"/>
    <x v="0"/>
    <x v="2"/>
    <x v="1"/>
    <n v="96.25"/>
    <n v="23.3"/>
    <x v="0"/>
    <n v="0"/>
    <x v="1"/>
    <x v="2"/>
  </r>
  <r>
    <n v="34261"/>
    <x v="0"/>
    <n v="0.64"/>
    <n v="0"/>
    <n v="0"/>
    <x v="2"/>
    <x v="1"/>
    <x v="3"/>
    <x v="1"/>
    <n v="86.74"/>
    <n v="16.2"/>
    <x v="3"/>
    <n v="0"/>
    <x v="2"/>
    <x v="4"/>
  </r>
  <r>
    <n v="64128"/>
    <x v="0"/>
    <n v="10"/>
    <n v="0"/>
    <n v="0"/>
    <x v="2"/>
    <x v="1"/>
    <x v="3"/>
    <x v="0"/>
    <n v="63.08"/>
    <n v="20.5"/>
    <x v="2"/>
    <n v="0"/>
    <x v="2"/>
    <x v="2"/>
  </r>
  <r>
    <n v="62817"/>
    <x v="0"/>
    <n v="60"/>
    <n v="0"/>
    <n v="0"/>
    <x v="1"/>
    <x v="0"/>
    <x v="0"/>
    <x v="0"/>
    <n v="129.16"/>
    <n v="33.6"/>
    <x v="2"/>
    <n v="0"/>
    <x v="0"/>
    <x v="0"/>
  </r>
  <r>
    <n v="69339"/>
    <x v="0"/>
    <n v="11"/>
    <n v="0"/>
    <n v="0"/>
    <x v="2"/>
    <x v="1"/>
    <x v="3"/>
    <x v="0"/>
    <n v="99.79"/>
    <n v="20.2"/>
    <x v="3"/>
    <n v="0"/>
    <x v="2"/>
    <x v="2"/>
  </r>
  <r>
    <n v="25919"/>
    <x v="0"/>
    <n v="48"/>
    <n v="1"/>
    <n v="0"/>
    <x v="2"/>
    <x v="0"/>
    <x v="1"/>
    <x v="0"/>
    <n v="83.34"/>
    <n v="49.3"/>
    <x v="1"/>
    <n v="0"/>
    <x v="1"/>
    <x v="0"/>
  </r>
  <r>
    <n v="71978"/>
    <x v="1"/>
    <n v="50"/>
    <n v="0"/>
    <n v="0"/>
    <x v="2"/>
    <x v="0"/>
    <x v="0"/>
    <x v="0"/>
    <n v="95.01"/>
    <n v="26.2"/>
    <x v="0"/>
    <n v="0"/>
    <x v="1"/>
    <x v="3"/>
  </r>
  <r>
    <n v="1473"/>
    <x v="0"/>
    <n v="69"/>
    <n v="1"/>
    <n v="0"/>
    <x v="0"/>
    <x v="0"/>
    <x v="0"/>
    <x v="0"/>
    <n v="229.21"/>
    <n v="30.1"/>
    <x v="2"/>
    <n v="0"/>
    <x v="0"/>
    <x v="0"/>
  </r>
  <r>
    <n v="66546"/>
    <x v="1"/>
    <n v="20"/>
    <n v="0"/>
    <n v="0"/>
    <x v="2"/>
    <x v="1"/>
    <x v="0"/>
    <x v="0"/>
    <n v="80.08"/>
    <n v="25.1"/>
    <x v="1"/>
    <n v="0"/>
    <x v="2"/>
    <x v="3"/>
  </r>
  <r>
    <n v="56584"/>
    <x v="1"/>
    <n v="22"/>
    <n v="0"/>
    <n v="0"/>
    <x v="2"/>
    <x v="1"/>
    <x v="0"/>
    <x v="1"/>
    <n v="62"/>
    <n v="32.700000000000003"/>
    <x v="2"/>
    <n v="0"/>
    <x v="2"/>
    <x v="0"/>
  </r>
  <r>
    <n v="38316"/>
    <x v="0"/>
    <n v="55"/>
    <n v="0"/>
    <n v="0"/>
    <x v="2"/>
    <x v="0"/>
    <x v="0"/>
    <x v="1"/>
    <n v="118.69"/>
    <n v="26.4"/>
    <x v="3"/>
    <n v="0"/>
    <x v="1"/>
    <x v="3"/>
  </r>
  <r>
    <n v="15647"/>
    <x v="1"/>
    <n v="57"/>
    <n v="0"/>
    <n v="0"/>
    <x v="2"/>
    <x v="1"/>
    <x v="0"/>
    <x v="1"/>
    <n v="77.569999999999993"/>
    <n v="21"/>
    <x v="3"/>
    <n v="0"/>
    <x v="1"/>
    <x v="2"/>
  </r>
  <r>
    <n v="59933"/>
    <x v="1"/>
    <n v="29"/>
    <n v="0"/>
    <n v="0"/>
    <x v="2"/>
    <x v="1"/>
    <x v="0"/>
    <x v="1"/>
    <n v="108.75"/>
    <n v="24.1"/>
    <x v="3"/>
    <n v="0"/>
    <x v="2"/>
    <x v="2"/>
  </r>
  <r>
    <n v="3429"/>
    <x v="1"/>
    <n v="32"/>
    <n v="0"/>
    <n v="0"/>
    <x v="2"/>
    <x v="1"/>
    <x v="2"/>
    <x v="0"/>
    <n v="108.23"/>
    <n v="20.399999999999999"/>
    <x v="3"/>
    <n v="0"/>
    <x v="2"/>
    <x v="2"/>
  </r>
  <r>
    <n v="60963"/>
    <x v="1"/>
    <n v="54"/>
    <n v="0"/>
    <n v="0"/>
    <x v="2"/>
    <x v="0"/>
    <x v="0"/>
    <x v="1"/>
    <n v="151.33000000000001"/>
    <n v="30.9"/>
    <x v="0"/>
    <n v="0"/>
    <x v="1"/>
    <x v="0"/>
  </r>
  <r>
    <n v="67689"/>
    <x v="0"/>
    <n v="37"/>
    <n v="0"/>
    <n v="0"/>
    <x v="2"/>
    <x v="0"/>
    <x v="1"/>
    <x v="1"/>
    <n v="82.43"/>
    <n v="39.1"/>
    <x v="3"/>
    <n v="0"/>
    <x v="2"/>
    <x v="0"/>
  </r>
  <r>
    <n v="31689"/>
    <x v="1"/>
    <n v="58"/>
    <n v="0"/>
    <n v="0"/>
    <x v="2"/>
    <x v="0"/>
    <x v="0"/>
    <x v="1"/>
    <n v="107.17"/>
    <n v="27.7"/>
    <x v="3"/>
    <n v="0"/>
    <x v="1"/>
    <x v="3"/>
  </r>
  <r>
    <n v="23240"/>
    <x v="1"/>
    <n v="41"/>
    <n v="0"/>
    <n v="0"/>
    <x v="2"/>
    <x v="0"/>
    <x v="0"/>
    <x v="1"/>
    <n v="91.46"/>
    <n v="29.5"/>
    <x v="1"/>
    <n v="0"/>
    <x v="1"/>
    <x v="3"/>
  </r>
  <r>
    <n v="30850"/>
    <x v="0"/>
    <n v="72"/>
    <n v="0"/>
    <n v="0"/>
    <x v="1"/>
    <x v="0"/>
    <x v="0"/>
    <x v="0"/>
    <n v="81.05"/>
    <n v="30.3"/>
    <x v="3"/>
    <n v="0"/>
    <x v="0"/>
    <x v="0"/>
  </r>
  <r>
    <n v="38920"/>
    <x v="0"/>
    <n v="0.48"/>
    <n v="0"/>
    <n v="0"/>
    <x v="2"/>
    <x v="1"/>
    <x v="3"/>
    <x v="0"/>
    <n v="73.02"/>
    <s v="N/A"/>
    <x v="3"/>
    <n v="0"/>
    <x v="2"/>
    <x v="1"/>
  </r>
  <r>
    <n v="66080"/>
    <x v="1"/>
    <n v="32"/>
    <n v="0"/>
    <n v="0"/>
    <x v="2"/>
    <x v="1"/>
    <x v="0"/>
    <x v="0"/>
    <n v="114.37"/>
    <n v="37.799999999999997"/>
    <x v="3"/>
    <n v="0"/>
    <x v="2"/>
    <x v="0"/>
  </r>
  <r>
    <n v="57263"/>
    <x v="1"/>
    <n v="54"/>
    <n v="0"/>
    <n v="0"/>
    <x v="2"/>
    <x v="0"/>
    <x v="0"/>
    <x v="0"/>
    <n v="100.29"/>
    <n v="30.2"/>
    <x v="1"/>
    <n v="0"/>
    <x v="1"/>
    <x v="0"/>
  </r>
  <r>
    <n v="60126"/>
    <x v="1"/>
    <n v="79"/>
    <n v="0"/>
    <n v="0"/>
    <x v="1"/>
    <x v="0"/>
    <x v="0"/>
    <x v="0"/>
    <n v="68.37"/>
    <n v="24.2"/>
    <x v="2"/>
    <n v="0"/>
    <x v="0"/>
    <x v="2"/>
  </r>
  <r>
    <n v="64393"/>
    <x v="0"/>
    <n v="56"/>
    <n v="0"/>
    <n v="0"/>
    <x v="2"/>
    <x v="1"/>
    <x v="1"/>
    <x v="1"/>
    <n v="87.95"/>
    <n v="25.2"/>
    <x v="1"/>
    <n v="0"/>
    <x v="1"/>
    <x v="3"/>
  </r>
  <r>
    <n v="69285"/>
    <x v="1"/>
    <n v="45"/>
    <n v="0"/>
    <n v="0"/>
    <x v="2"/>
    <x v="0"/>
    <x v="0"/>
    <x v="0"/>
    <n v="73.27"/>
    <n v="22.2"/>
    <x v="2"/>
    <n v="0"/>
    <x v="1"/>
    <x v="2"/>
  </r>
  <r>
    <n v="24428"/>
    <x v="0"/>
    <n v="6"/>
    <n v="0"/>
    <n v="0"/>
    <x v="2"/>
    <x v="1"/>
    <x v="3"/>
    <x v="1"/>
    <n v="131.43"/>
    <n v="17.7"/>
    <x v="3"/>
    <n v="0"/>
    <x v="2"/>
    <x v="4"/>
  </r>
  <r>
    <n v="59642"/>
    <x v="1"/>
    <n v="45"/>
    <n v="0"/>
    <n v="0"/>
    <x v="2"/>
    <x v="0"/>
    <x v="0"/>
    <x v="0"/>
    <n v="107.29"/>
    <n v="29.6"/>
    <x v="1"/>
    <n v="0"/>
    <x v="1"/>
    <x v="3"/>
  </r>
  <r>
    <n v="12064"/>
    <x v="0"/>
    <n v="60"/>
    <n v="0"/>
    <n v="0"/>
    <x v="1"/>
    <x v="0"/>
    <x v="0"/>
    <x v="1"/>
    <n v="68.239999999999995"/>
    <n v="32.200000000000003"/>
    <x v="3"/>
    <n v="0"/>
    <x v="0"/>
    <x v="0"/>
  </r>
  <r>
    <n v="59737"/>
    <x v="1"/>
    <n v="65"/>
    <n v="0"/>
    <n v="0"/>
    <x v="1"/>
    <x v="0"/>
    <x v="0"/>
    <x v="0"/>
    <n v="74.010000000000005"/>
    <n v="28.7"/>
    <x v="2"/>
    <n v="0"/>
    <x v="0"/>
    <x v="3"/>
  </r>
  <r>
    <n v="19352"/>
    <x v="1"/>
    <n v="57"/>
    <n v="0"/>
    <n v="0"/>
    <x v="2"/>
    <x v="0"/>
    <x v="0"/>
    <x v="0"/>
    <n v="95.4"/>
    <n v="19.5"/>
    <x v="3"/>
    <n v="0"/>
    <x v="1"/>
    <x v="2"/>
  </r>
  <r>
    <n v="61903"/>
    <x v="0"/>
    <n v="58"/>
    <n v="0"/>
    <n v="0"/>
    <x v="2"/>
    <x v="1"/>
    <x v="2"/>
    <x v="1"/>
    <n v="95.75"/>
    <n v="38.5"/>
    <x v="2"/>
    <n v="0"/>
    <x v="1"/>
    <x v="0"/>
  </r>
  <r>
    <n v="47701"/>
    <x v="0"/>
    <n v="8"/>
    <n v="0"/>
    <n v="0"/>
    <x v="2"/>
    <x v="1"/>
    <x v="3"/>
    <x v="0"/>
    <n v="104.51"/>
    <n v="20.6"/>
    <x v="3"/>
    <n v="0"/>
    <x v="2"/>
    <x v="2"/>
  </r>
  <r>
    <n v="15225"/>
    <x v="0"/>
    <n v="18"/>
    <n v="0"/>
    <n v="0"/>
    <x v="2"/>
    <x v="1"/>
    <x v="0"/>
    <x v="1"/>
    <n v="108.87"/>
    <n v="21.5"/>
    <x v="3"/>
    <n v="0"/>
    <x v="2"/>
    <x v="2"/>
  </r>
  <r>
    <n v="66431"/>
    <x v="0"/>
    <n v="49"/>
    <n v="0"/>
    <n v="0"/>
    <x v="2"/>
    <x v="0"/>
    <x v="0"/>
    <x v="0"/>
    <n v="209.06"/>
    <n v="43.8"/>
    <x v="3"/>
    <n v="0"/>
    <x v="1"/>
    <x v="0"/>
  </r>
  <r>
    <n v="57236"/>
    <x v="0"/>
    <n v="2"/>
    <n v="0"/>
    <n v="0"/>
    <x v="2"/>
    <x v="1"/>
    <x v="3"/>
    <x v="1"/>
    <n v="86.57"/>
    <n v="18"/>
    <x v="3"/>
    <n v="0"/>
    <x v="2"/>
    <x v="4"/>
  </r>
  <r>
    <n v="48453"/>
    <x v="1"/>
    <n v="52"/>
    <n v="0"/>
    <n v="0"/>
    <x v="2"/>
    <x v="0"/>
    <x v="0"/>
    <x v="0"/>
    <n v="120.25"/>
    <n v="28.2"/>
    <x v="3"/>
    <n v="0"/>
    <x v="1"/>
    <x v="3"/>
  </r>
  <r>
    <n v="8031"/>
    <x v="1"/>
    <n v="63"/>
    <n v="0"/>
    <n v="0"/>
    <x v="1"/>
    <x v="0"/>
    <x v="1"/>
    <x v="1"/>
    <n v="85.51"/>
    <n v="26.6"/>
    <x v="2"/>
    <n v="0"/>
    <x v="0"/>
    <x v="3"/>
  </r>
  <r>
    <n v="39139"/>
    <x v="1"/>
    <n v="57"/>
    <n v="0"/>
    <n v="0"/>
    <x v="2"/>
    <x v="0"/>
    <x v="0"/>
    <x v="1"/>
    <n v="84.18"/>
    <n v="35.5"/>
    <x v="1"/>
    <n v="0"/>
    <x v="1"/>
    <x v="0"/>
  </r>
  <r>
    <n v="4838"/>
    <x v="1"/>
    <n v="50"/>
    <n v="0"/>
    <n v="0"/>
    <x v="2"/>
    <x v="0"/>
    <x v="2"/>
    <x v="0"/>
    <n v="82.37"/>
    <n v="30.7"/>
    <x v="1"/>
    <n v="0"/>
    <x v="1"/>
    <x v="0"/>
  </r>
  <r>
    <n v="22689"/>
    <x v="0"/>
    <n v="12"/>
    <n v="0"/>
    <n v="0"/>
    <x v="2"/>
    <x v="1"/>
    <x v="3"/>
    <x v="1"/>
    <n v="96.15"/>
    <n v="18.7"/>
    <x v="3"/>
    <n v="0"/>
    <x v="2"/>
    <x v="2"/>
  </r>
  <r>
    <n v="37752"/>
    <x v="1"/>
    <n v="35"/>
    <n v="0"/>
    <n v="0"/>
    <x v="2"/>
    <x v="0"/>
    <x v="0"/>
    <x v="1"/>
    <n v="74.55"/>
    <n v="22.4"/>
    <x v="1"/>
    <n v="0"/>
    <x v="2"/>
    <x v="2"/>
  </r>
  <r>
    <n v="32320"/>
    <x v="1"/>
    <n v="35"/>
    <n v="0"/>
    <n v="0"/>
    <x v="2"/>
    <x v="0"/>
    <x v="1"/>
    <x v="0"/>
    <n v="114.45"/>
    <n v="25.2"/>
    <x v="2"/>
    <n v="0"/>
    <x v="2"/>
    <x v="3"/>
  </r>
  <r>
    <n v="14889"/>
    <x v="0"/>
    <n v="64"/>
    <n v="0"/>
    <n v="0"/>
    <x v="1"/>
    <x v="0"/>
    <x v="2"/>
    <x v="1"/>
    <n v="113.68"/>
    <n v="24.2"/>
    <x v="1"/>
    <n v="0"/>
    <x v="0"/>
    <x v="2"/>
  </r>
  <r>
    <n v="13964"/>
    <x v="1"/>
    <n v="42"/>
    <n v="0"/>
    <n v="0"/>
    <x v="2"/>
    <x v="0"/>
    <x v="0"/>
    <x v="1"/>
    <n v="107.91"/>
    <n v="20.5"/>
    <x v="1"/>
    <n v="0"/>
    <x v="1"/>
    <x v="2"/>
  </r>
  <r>
    <n v="31746"/>
    <x v="1"/>
    <n v="62"/>
    <n v="0"/>
    <n v="0"/>
    <x v="1"/>
    <x v="0"/>
    <x v="0"/>
    <x v="1"/>
    <n v="83.85"/>
    <n v="24.5"/>
    <x v="1"/>
    <n v="0"/>
    <x v="0"/>
    <x v="2"/>
  </r>
  <r>
    <n v="17492"/>
    <x v="1"/>
    <n v="3"/>
    <n v="0"/>
    <n v="0"/>
    <x v="2"/>
    <x v="1"/>
    <x v="3"/>
    <x v="0"/>
    <n v="101.3"/>
    <n v="24.8"/>
    <x v="3"/>
    <n v="0"/>
    <x v="2"/>
    <x v="2"/>
  </r>
  <r>
    <n v="1499"/>
    <x v="1"/>
    <n v="43"/>
    <n v="0"/>
    <n v="0"/>
    <x v="2"/>
    <x v="0"/>
    <x v="2"/>
    <x v="1"/>
    <n v="72.13"/>
    <n v="42.6"/>
    <x v="1"/>
    <n v="0"/>
    <x v="1"/>
    <x v="0"/>
  </r>
  <r>
    <n v="34396"/>
    <x v="1"/>
    <n v="52"/>
    <n v="1"/>
    <n v="0"/>
    <x v="2"/>
    <x v="0"/>
    <x v="0"/>
    <x v="0"/>
    <n v="94.98"/>
    <n v="23.8"/>
    <x v="1"/>
    <n v="0"/>
    <x v="1"/>
    <x v="2"/>
  </r>
  <r>
    <n v="36750"/>
    <x v="0"/>
    <n v="64"/>
    <n v="1"/>
    <n v="0"/>
    <x v="0"/>
    <x v="0"/>
    <x v="0"/>
    <x v="1"/>
    <n v="228.42"/>
    <n v="42.3"/>
    <x v="0"/>
    <n v="0"/>
    <x v="0"/>
    <x v="0"/>
  </r>
  <r>
    <n v="68816"/>
    <x v="0"/>
    <n v="59"/>
    <n v="0"/>
    <n v="0"/>
    <x v="2"/>
    <x v="0"/>
    <x v="0"/>
    <x v="1"/>
    <n v="93.9"/>
    <n v="42.2"/>
    <x v="1"/>
    <n v="0"/>
    <x v="1"/>
    <x v="0"/>
  </r>
  <r>
    <n v="16129"/>
    <x v="1"/>
    <n v="81"/>
    <n v="0"/>
    <n v="0"/>
    <x v="1"/>
    <x v="0"/>
    <x v="1"/>
    <x v="0"/>
    <n v="93.13"/>
    <n v="26.1"/>
    <x v="3"/>
    <n v="0"/>
    <x v="0"/>
    <x v="3"/>
  </r>
  <r>
    <n v="64006"/>
    <x v="1"/>
    <n v="15"/>
    <n v="0"/>
    <n v="0"/>
    <x v="2"/>
    <x v="1"/>
    <x v="0"/>
    <x v="0"/>
    <n v="121.6"/>
    <n v="22.8"/>
    <x v="1"/>
    <n v="0"/>
    <x v="2"/>
    <x v="2"/>
  </r>
  <r>
    <n v="51845"/>
    <x v="0"/>
    <n v="50"/>
    <n v="0"/>
    <n v="0"/>
    <x v="2"/>
    <x v="0"/>
    <x v="2"/>
    <x v="1"/>
    <n v="84.4"/>
    <n v="42.3"/>
    <x v="0"/>
    <n v="0"/>
    <x v="1"/>
    <x v="0"/>
  </r>
  <r>
    <n v="30692"/>
    <x v="0"/>
    <n v="73"/>
    <n v="0"/>
    <n v="0"/>
    <x v="1"/>
    <x v="0"/>
    <x v="0"/>
    <x v="1"/>
    <n v="82.13"/>
    <n v="28.5"/>
    <x v="1"/>
    <n v="0"/>
    <x v="0"/>
    <x v="3"/>
  </r>
  <r>
    <n v="65712"/>
    <x v="0"/>
    <n v="19"/>
    <n v="0"/>
    <n v="0"/>
    <x v="2"/>
    <x v="1"/>
    <x v="0"/>
    <x v="0"/>
    <n v="73.33"/>
    <n v="23"/>
    <x v="1"/>
    <n v="0"/>
    <x v="2"/>
    <x v="2"/>
  </r>
  <r>
    <n v="42161"/>
    <x v="1"/>
    <n v="30"/>
    <n v="0"/>
    <n v="0"/>
    <x v="2"/>
    <x v="0"/>
    <x v="0"/>
    <x v="0"/>
    <n v="75.88"/>
    <n v="32.799999999999997"/>
    <x v="3"/>
    <n v="0"/>
    <x v="2"/>
    <x v="0"/>
  </r>
  <r>
    <n v="16938"/>
    <x v="1"/>
    <n v="40"/>
    <n v="0"/>
    <n v="0"/>
    <x v="2"/>
    <x v="0"/>
    <x v="1"/>
    <x v="1"/>
    <n v="212.97"/>
    <n v="49.8"/>
    <x v="0"/>
    <n v="0"/>
    <x v="1"/>
    <x v="0"/>
  </r>
  <r>
    <n v="16113"/>
    <x v="1"/>
    <n v="47"/>
    <n v="0"/>
    <n v="0"/>
    <x v="2"/>
    <x v="0"/>
    <x v="2"/>
    <x v="1"/>
    <n v="100.41"/>
    <n v="23.8"/>
    <x v="1"/>
    <n v="0"/>
    <x v="1"/>
    <x v="2"/>
  </r>
  <r>
    <n v="29388"/>
    <x v="1"/>
    <n v="66"/>
    <n v="0"/>
    <n v="0"/>
    <x v="1"/>
    <x v="0"/>
    <x v="0"/>
    <x v="0"/>
    <n v="202.05"/>
    <n v="31.7"/>
    <x v="2"/>
    <n v="0"/>
    <x v="0"/>
    <x v="0"/>
  </r>
  <r>
    <n v="65109"/>
    <x v="0"/>
    <n v="47"/>
    <n v="0"/>
    <n v="0"/>
    <x v="2"/>
    <x v="0"/>
    <x v="0"/>
    <x v="0"/>
    <n v="71.42"/>
    <n v="34.9"/>
    <x v="2"/>
    <n v="0"/>
    <x v="1"/>
    <x v="0"/>
  </r>
  <r>
    <n v="61242"/>
    <x v="1"/>
    <n v="41"/>
    <n v="1"/>
    <n v="0"/>
    <x v="2"/>
    <x v="0"/>
    <x v="2"/>
    <x v="1"/>
    <n v="107.5"/>
    <n v="54"/>
    <x v="1"/>
    <n v="0"/>
    <x v="1"/>
    <x v="0"/>
  </r>
  <r>
    <n v="65252"/>
    <x v="1"/>
    <n v="63"/>
    <n v="0"/>
    <n v="0"/>
    <x v="1"/>
    <x v="0"/>
    <x v="2"/>
    <x v="1"/>
    <n v="55.57"/>
    <n v="26.8"/>
    <x v="0"/>
    <n v="0"/>
    <x v="0"/>
    <x v="3"/>
  </r>
  <r>
    <n v="49615"/>
    <x v="1"/>
    <n v="12"/>
    <n v="0"/>
    <n v="0"/>
    <x v="2"/>
    <x v="1"/>
    <x v="3"/>
    <x v="0"/>
    <n v="58.14"/>
    <n v="21.3"/>
    <x v="1"/>
    <n v="0"/>
    <x v="2"/>
    <x v="2"/>
  </r>
  <r>
    <n v="63511"/>
    <x v="0"/>
    <n v="1.32"/>
    <n v="0"/>
    <n v="0"/>
    <x v="2"/>
    <x v="1"/>
    <x v="3"/>
    <x v="1"/>
    <n v="78.53"/>
    <n v="19.8"/>
    <x v="3"/>
    <n v="0"/>
    <x v="2"/>
    <x v="2"/>
  </r>
  <r>
    <n v="14089"/>
    <x v="1"/>
    <n v="46"/>
    <n v="0"/>
    <n v="0"/>
    <x v="2"/>
    <x v="0"/>
    <x v="0"/>
    <x v="0"/>
    <n v="78.790000000000006"/>
    <n v="42.4"/>
    <x v="2"/>
    <n v="0"/>
    <x v="1"/>
    <x v="0"/>
  </r>
  <r>
    <n v="16987"/>
    <x v="1"/>
    <n v="8"/>
    <n v="0"/>
    <n v="0"/>
    <x v="2"/>
    <x v="1"/>
    <x v="3"/>
    <x v="0"/>
    <n v="96.62"/>
    <n v="16.399999999999999"/>
    <x v="3"/>
    <n v="0"/>
    <x v="2"/>
    <x v="4"/>
  </r>
  <r>
    <n v="53399"/>
    <x v="0"/>
    <n v="74"/>
    <n v="0"/>
    <n v="0"/>
    <x v="1"/>
    <x v="0"/>
    <x v="0"/>
    <x v="1"/>
    <n v="65.28"/>
    <n v="28.2"/>
    <x v="1"/>
    <n v="0"/>
    <x v="0"/>
    <x v="3"/>
  </r>
  <r>
    <n v="36946"/>
    <x v="0"/>
    <n v="74"/>
    <n v="0"/>
    <n v="0"/>
    <x v="1"/>
    <x v="0"/>
    <x v="0"/>
    <x v="1"/>
    <n v="92.67"/>
    <n v="26.3"/>
    <x v="0"/>
    <n v="0"/>
    <x v="0"/>
    <x v="3"/>
  </r>
  <r>
    <n v="55522"/>
    <x v="1"/>
    <n v="4"/>
    <n v="0"/>
    <n v="0"/>
    <x v="2"/>
    <x v="1"/>
    <x v="3"/>
    <x v="1"/>
    <n v="206.25"/>
    <n v="17"/>
    <x v="3"/>
    <n v="0"/>
    <x v="2"/>
    <x v="4"/>
  </r>
  <r>
    <n v="27954"/>
    <x v="1"/>
    <n v="26"/>
    <n v="0"/>
    <n v="0"/>
    <x v="2"/>
    <x v="1"/>
    <x v="0"/>
    <x v="0"/>
    <n v="114.18"/>
    <n v="23.3"/>
    <x v="1"/>
    <n v="0"/>
    <x v="2"/>
    <x v="2"/>
  </r>
  <r>
    <n v="5355"/>
    <x v="0"/>
    <n v="63"/>
    <n v="0"/>
    <n v="0"/>
    <x v="1"/>
    <x v="0"/>
    <x v="2"/>
    <x v="1"/>
    <n v="231.69"/>
    <n v="56.1"/>
    <x v="0"/>
    <n v="0"/>
    <x v="0"/>
    <x v="0"/>
  </r>
  <r>
    <n v="69069"/>
    <x v="1"/>
    <n v="48"/>
    <n v="0"/>
    <n v="1"/>
    <x v="2"/>
    <x v="1"/>
    <x v="0"/>
    <x v="1"/>
    <n v="101.89"/>
    <n v="25.1"/>
    <x v="2"/>
    <n v="0"/>
    <x v="1"/>
    <x v="3"/>
  </r>
  <r>
    <n v="11539"/>
    <x v="1"/>
    <n v="24"/>
    <n v="1"/>
    <n v="0"/>
    <x v="2"/>
    <x v="1"/>
    <x v="0"/>
    <x v="0"/>
    <n v="107.22"/>
    <n v="35.299999999999997"/>
    <x v="2"/>
    <n v="0"/>
    <x v="2"/>
    <x v="0"/>
  </r>
  <r>
    <n v="16847"/>
    <x v="0"/>
    <n v="47"/>
    <n v="0"/>
    <n v="0"/>
    <x v="2"/>
    <x v="1"/>
    <x v="0"/>
    <x v="1"/>
    <n v="101.99"/>
    <n v="36.299999999999997"/>
    <x v="1"/>
    <n v="0"/>
    <x v="1"/>
    <x v="0"/>
  </r>
  <r>
    <n v="15873"/>
    <x v="0"/>
    <n v="70"/>
    <n v="0"/>
    <n v="0"/>
    <x v="1"/>
    <x v="0"/>
    <x v="0"/>
    <x v="1"/>
    <n v="72.56"/>
    <n v="30.4"/>
    <x v="0"/>
    <n v="0"/>
    <x v="0"/>
    <x v="0"/>
  </r>
  <r>
    <n v="15415"/>
    <x v="0"/>
    <n v="41"/>
    <n v="1"/>
    <n v="1"/>
    <x v="2"/>
    <x v="0"/>
    <x v="0"/>
    <x v="0"/>
    <n v="94.47"/>
    <n v="43.9"/>
    <x v="1"/>
    <n v="0"/>
    <x v="1"/>
    <x v="0"/>
  </r>
  <r>
    <n v="22891"/>
    <x v="1"/>
    <n v="42"/>
    <n v="0"/>
    <n v="0"/>
    <x v="2"/>
    <x v="0"/>
    <x v="1"/>
    <x v="0"/>
    <n v="98.76"/>
    <n v="26.4"/>
    <x v="2"/>
    <n v="0"/>
    <x v="1"/>
    <x v="3"/>
  </r>
  <r>
    <n v="7394"/>
    <x v="1"/>
    <n v="57"/>
    <n v="1"/>
    <n v="0"/>
    <x v="2"/>
    <x v="1"/>
    <x v="0"/>
    <x v="1"/>
    <n v="116.93"/>
    <n v="28.3"/>
    <x v="1"/>
    <n v="0"/>
    <x v="1"/>
    <x v="3"/>
  </r>
  <r>
    <n v="29915"/>
    <x v="1"/>
    <n v="51"/>
    <n v="0"/>
    <n v="0"/>
    <x v="2"/>
    <x v="1"/>
    <x v="0"/>
    <x v="1"/>
    <n v="219.96"/>
    <n v="42.3"/>
    <x v="1"/>
    <n v="0"/>
    <x v="1"/>
    <x v="0"/>
  </r>
  <r>
    <n v="62607"/>
    <x v="0"/>
    <n v="15"/>
    <n v="0"/>
    <n v="0"/>
    <x v="2"/>
    <x v="1"/>
    <x v="0"/>
    <x v="0"/>
    <n v="75.77"/>
    <n v="38"/>
    <x v="1"/>
    <n v="0"/>
    <x v="2"/>
    <x v="0"/>
  </r>
  <r>
    <n v="24404"/>
    <x v="0"/>
    <n v="11"/>
    <n v="0"/>
    <n v="0"/>
    <x v="2"/>
    <x v="1"/>
    <x v="3"/>
    <x v="0"/>
    <n v="124.35"/>
    <n v="32.700000000000003"/>
    <x v="3"/>
    <n v="0"/>
    <x v="2"/>
    <x v="0"/>
  </r>
  <r>
    <n v="69666"/>
    <x v="1"/>
    <n v="27"/>
    <n v="0"/>
    <n v="0"/>
    <x v="2"/>
    <x v="0"/>
    <x v="1"/>
    <x v="0"/>
    <n v="88.97"/>
    <n v="28.8"/>
    <x v="1"/>
    <n v="0"/>
    <x v="2"/>
    <x v="3"/>
  </r>
  <r>
    <n v="54997"/>
    <x v="1"/>
    <n v="53"/>
    <n v="0"/>
    <n v="0"/>
    <x v="2"/>
    <x v="0"/>
    <x v="1"/>
    <x v="1"/>
    <n v="72.489999999999995"/>
    <n v="38.5"/>
    <x v="1"/>
    <n v="0"/>
    <x v="1"/>
    <x v="0"/>
  </r>
  <r>
    <n v="6199"/>
    <x v="1"/>
    <n v="52"/>
    <n v="0"/>
    <n v="0"/>
    <x v="2"/>
    <x v="0"/>
    <x v="2"/>
    <x v="1"/>
    <n v="107.27"/>
    <n v="30.1"/>
    <x v="3"/>
    <n v="0"/>
    <x v="1"/>
    <x v="0"/>
  </r>
  <r>
    <n v="4635"/>
    <x v="1"/>
    <n v="68"/>
    <n v="0"/>
    <n v="0"/>
    <x v="1"/>
    <x v="0"/>
    <x v="0"/>
    <x v="1"/>
    <n v="97.96"/>
    <n v="31.3"/>
    <x v="1"/>
    <n v="0"/>
    <x v="0"/>
    <x v="0"/>
  </r>
  <r>
    <n v="3305"/>
    <x v="0"/>
    <n v="65"/>
    <n v="0"/>
    <n v="0"/>
    <x v="1"/>
    <x v="0"/>
    <x v="0"/>
    <x v="0"/>
    <n v="197.69"/>
    <n v="28.4"/>
    <x v="2"/>
    <n v="0"/>
    <x v="0"/>
    <x v="3"/>
  </r>
  <r>
    <n v="24342"/>
    <x v="1"/>
    <n v="23"/>
    <n v="0"/>
    <n v="0"/>
    <x v="2"/>
    <x v="1"/>
    <x v="0"/>
    <x v="1"/>
    <n v="112.3"/>
    <n v="26.6"/>
    <x v="3"/>
    <n v="0"/>
    <x v="2"/>
    <x v="3"/>
  </r>
  <r>
    <n v="65093"/>
    <x v="1"/>
    <n v="43"/>
    <n v="0"/>
    <n v="0"/>
    <x v="2"/>
    <x v="0"/>
    <x v="1"/>
    <x v="0"/>
    <n v="75.77"/>
    <n v="20.399999999999999"/>
    <x v="0"/>
    <n v="0"/>
    <x v="1"/>
    <x v="2"/>
  </r>
  <r>
    <n v="46261"/>
    <x v="0"/>
    <n v="55"/>
    <n v="0"/>
    <n v="0"/>
    <x v="2"/>
    <x v="0"/>
    <x v="0"/>
    <x v="0"/>
    <n v="76.510000000000005"/>
    <n v="34.700000000000003"/>
    <x v="3"/>
    <n v="0"/>
    <x v="1"/>
    <x v="0"/>
  </r>
  <r>
    <n v="42624"/>
    <x v="1"/>
    <n v="52"/>
    <n v="0"/>
    <n v="0"/>
    <x v="2"/>
    <x v="0"/>
    <x v="0"/>
    <x v="0"/>
    <n v="93.14"/>
    <n v="32.5"/>
    <x v="1"/>
    <n v="0"/>
    <x v="1"/>
    <x v="0"/>
  </r>
  <r>
    <n v="24735"/>
    <x v="1"/>
    <n v="21"/>
    <n v="0"/>
    <n v="0"/>
    <x v="2"/>
    <x v="1"/>
    <x v="0"/>
    <x v="1"/>
    <n v="80.84"/>
    <n v="30.7"/>
    <x v="3"/>
    <n v="0"/>
    <x v="2"/>
    <x v="0"/>
  </r>
  <r>
    <n v="50671"/>
    <x v="0"/>
    <n v="78"/>
    <n v="1"/>
    <n v="1"/>
    <x v="0"/>
    <x v="0"/>
    <x v="1"/>
    <x v="1"/>
    <n v="199.88"/>
    <n v="29.6"/>
    <x v="0"/>
    <n v="0"/>
    <x v="0"/>
    <x v="3"/>
  </r>
  <r>
    <n v="1679"/>
    <x v="0"/>
    <n v="35"/>
    <n v="0"/>
    <n v="0"/>
    <x v="2"/>
    <x v="0"/>
    <x v="0"/>
    <x v="1"/>
    <n v="77.48"/>
    <s v="N/A"/>
    <x v="0"/>
    <n v="0"/>
    <x v="2"/>
    <x v="1"/>
  </r>
  <r>
    <n v="66680"/>
    <x v="1"/>
    <n v="49"/>
    <n v="1"/>
    <n v="0"/>
    <x v="2"/>
    <x v="0"/>
    <x v="0"/>
    <x v="1"/>
    <n v="65.34"/>
    <n v="39.4"/>
    <x v="1"/>
    <n v="0"/>
    <x v="1"/>
    <x v="0"/>
  </r>
  <r>
    <n v="34248"/>
    <x v="0"/>
    <n v="50"/>
    <n v="1"/>
    <n v="0"/>
    <x v="2"/>
    <x v="1"/>
    <x v="0"/>
    <x v="0"/>
    <n v="81.96"/>
    <s v="N/A"/>
    <x v="0"/>
    <n v="0"/>
    <x v="1"/>
    <x v="1"/>
  </r>
  <r>
    <n v="65336"/>
    <x v="1"/>
    <n v="27"/>
    <n v="0"/>
    <n v="0"/>
    <x v="2"/>
    <x v="0"/>
    <x v="0"/>
    <x v="0"/>
    <n v="98.71"/>
    <n v="26.1"/>
    <x v="0"/>
    <n v="0"/>
    <x v="2"/>
    <x v="3"/>
  </r>
  <r>
    <n v="68333"/>
    <x v="1"/>
    <n v="52"/>
    <n v="1"/>
    <n v="0"/>
    <x v="2"/>
    <x v="1"/>
    <x v="0"/>
    <x v="1"/>
    <n v="170.22"/>
    <n v="27.2"/>
    <x v="0"/>
    <n v="0"/>
    <x v="1"/>
    <x v="3"/>
  </r>
  <r>
    <n v="60210"/>
    <x v="1"/>
    <n v="22"/>
    <n v="0"/>
    <n v="0"/>
    <x v="2"/>
    <x v="1"/>
    <x v="0"/>
    <x v="0"/>
    <n v="73.5"/>
    <n v="41.3"/>
    <x v="2"/>
    <n v="0"/>
    <x v="2"/>
    <x v="0"/>
  </r>
  <r>
    <n v="11573"/>
    <x v="1"/>
    <n v="19"/>
    <n v="0"/>
    <n v="0"/>
    <x v="2"/>
    <x v="1"/>
    <x v="0"/>
    <x v="1"/>
    <n v="72.39"/>
    <s v="N/A"/>
    <x v="2"/>
    <n v="0"/>
    <x v="2"/>
    <x v="1"/>
  </r>
  <r>
    <n v="67890"/>
    <x v="0"/>
    <n v="77"/>
    <n v="0"/>
    <n v="1"/>
    <x v="0"/>
    <x v="0"/>
    <x v="0"/>
    <x v="0"/>
    <n v="102.96"/>
    <n v="20.9"/>
    <x v="0"/>
    <n v="0"/>
    <x v="0"/>
    <x v="2"/>
  </r>
  <r>
    <n v="49254"/>
    <x v="0"/>
    <n v="57"/>
    <n v="1"/>
    <n v="0"/>
    <x v="2"/>
    <x v="0"/>
    <x v="0"/>
    <x v="0"/>
    <n v="80.72"/>
    <n v="41.5"/>
    <x v="0"/>
    <n v="0"/>
    <x v="1"/>
    <x v="0"/>
  </r>
  <r>
    <n v="9199"/>
    <x v="0"/>
    <n v="13"/>
    <n v="0"/>
    <n v="0"/>
    <x v="2"/>
    <x v="1"/>
    <x v="1"/>
    <x v="0"/>
    <n v="74.19"/>
    <n v="31.1"/>
    <x v="0"/>
    <n v="0"/>
    <x v="2"/>
    <x v="0"/>
  </r>
  <r>
    <n v="35402"/>
    <x v="0"/>
    <n v="14"/>
    <n v="0"/>
    <n v="0"/>
    <x v="2"/>
    <x v="1"/>
    <x v="0"/>
    <x v="0"/>
    <n v="77.12"/>
    <n v="24.5"/>
    <x v="0"/>
    <n v="0"/>
    <x v="2"/>
    <x v="2"/>
  </r>
  <r>
    <n v="25996"/>
    <x v="1"/>
    <n v="29"/>
    <n v="0"/>
    <n v="0"/>
    <x v="2"/>
    <x v="0"/>
    <x v="0"/>
    <x v="0"/>
    <n v="81.2"/>
    <n v="23"/>
    <x v="3"/>
    <n v="0"/>
    <x v="2"/>
    <x v="2"/>
  </r>
  <r>
    <n v="8345"/>
    <x v="1"/>
    <n v="49"/>
    <n v="0"/>
    <n v="0"/>
    <x v="2"/>
    <x v="0"/>
    <x v="0"/>
    <x v="1"/>
    <n v="114.76"/>
    <n v="24.7"/>
    <x v="1"/>
    <n v="0"/>
    <x v="1"/>
    <x v="2"/>
  </r>
  <r>
    <n v="63219"/>
    <x v="0"/>
    <n v="1.24"/>
    <n v="0"/>
    <n v="0"/>
    <x v="2"/>
    <x v="1"/>
    <x v="3"/>
    <x v="0"/>
    <n v="109.97"/>
    <n v="19.3"/>
    <x v="3"/>
    <n v="0"/>
    <x v="2"/>
    <x v="2"/>
  </r>
  <r>
    <n v="8770"/>
    <x v="0"/>
    <n v="21"/>
    <n v="0"/>
    <n v="0"/>
    <x v="2"/>
    <x v="1"/>
    <x v="1"/>
    <x v="0"/>
    <n v="92.87"/>
    <n v="37"/>
    <x v="1"/>
    <n v="0"/>
    <x v="2"/>
    <x v="0"/>
  </r>
  <r>
    <n v="22370"/>
    <x v="0"/>
    <n v="36"/>
    <n v="1"/>
    <n v="0"/>
    <x v="2"/>
    <x v="1"/>
    <x v="2"/>
    <x v="0"/>
    <n v="113.05"/>
    <n v="31"/>
    <x v="2"/>
    <n v="0"/>
    <x v="2"/>
    <x v="0"/>
  </r>
  <r>
    <n v="25930"/>
    <x v="0"/>
    <n v="42"/>
    <n v="0"/>
    <n v="0"/>
    <x v="2"/>
    <x v="0"/>
    <x v="0"/>
    <x v="0"/>
    <n v="68.239999999999995"/>
    <n v="33.1"/>
    <x v="0"/>
    <n v="0"/>
    <x v="1"/>
    <x v="0"/>
  </r>
  <r>
    <n v="33478"/>
    <x v="1"/>
    <n v="56"/>
    <n v="0"/>
    <n v="0"/>
    <x v="2"/>
    <x v="1"/>
    <x v="0"/>
    <x v="1"/>
    <n v="74.349999999999994"/>
    <n v="26.6"/>
    <x v="2"/>
    <n v="0"/>
    <x v="1"/>
    <x v="3"/>
  </r>
  <r>
    <n v="23009"/>
    <x v="0"/>
    <n v="46"/>
    <n v="0"/>
    <n v="0"/>
    <x v="2"/>
    <x v="0"/>
    <x v="0"/>
    <x v="0"/>
    <n v="91.08"/>
    <n v="27.7"/>
    <x v="1"/>
    <n v="0"/>
    <x v="1"/>
    <x v="3"/>
  </r>
  <r>
    <n v="24885"/>
    <x v="0"/>
    <n v="79"/>
    <n v="0"/>
    <n v="1"/>
    <x v="0"/>
    <x v="0"/>
    <x v="1"/>
    <x v="0"/>
    <n v="88.83"/>
    <n v="40.299999999999997"/>
    <x v="2"/>
    <n v="0"/>
    <x v="0"/>
    <x v="0"/>
  </r>
  <r>
    <n v="58591"/>
    <x v="1"/>
    <n v="25"/>
    <n v="0"/>
    <n v="0"/>
    <x v="2"/>
    <x v="1"/>
    <x v="0"/>
    <x v="1"/>
    <n v="134.33000000000001"/>
    <n v="19.5"/>
    <x v="3"/>
    <n v="0"/>
    <x v="2"/>
    <x v="2"/>
  </r>
  <r>
    <n v="44777"/>
    <x v="0"/>
    <n v="67"/>
    <n v="0"/>
    <n v="0"/>
    <x v="1"/>
    <x v="0"/>
    <x v="0"/>
    <x v="1"/>
    <n v="208.78"/>
    <n v="26.7"/>
    <x v="3"/>
    <n v="0"/>
    <x v="0"/>
    <x v="3"/>
  </r>
  <r>
    <n v="46363"/>
    <x v="0"/>
    <n v="37"/>
    <n v="0"/>
    <n v="0"/>
    <x v="2"/>
    <x v="0"/>
    <x v="0"/>
    <x v="1"/>
    <n v="66.17"/>
    <n v="26.1"/>
    <x v="1"/>
    <n v="0"/>
    <x v="2"/>
    <x v="3"/>
  </r>
  <r>
    <n v="36377"/>
    <x v="1"/>
    <n v="44"/>
    <n v="0"/>
    <n v="0"/>
    <x v="2"/>
    <x v="0"/>
    <x v="0"/>
    <x v="1"/>
    <n v="222.29"/>
    <n v="38.200000000000003"/>
    <x v="1"/>
    <n v="0"/>
    <x v="1"/>
    <x v="0"/>
  </r>
  <r>
    <n v="15440"/>
    <x v="1"/>
    <n v="36"/>
    <n v="0"/>
    <n v="0"/>
    <x v="2"/>
    <x v="0"/>
    <x v="0"/>
    <x v="1"/>
    <n v="114.16"/>
    <n v="21.3"/>
    <x v="2"/>
    <n v="0"/>
    <x v="2"/>
    <x v="2"/>
  </r>
  <r>
    <n v="56420"/>
    <x v="0"/>
    <n v="17"/>
    <n v="1"/>
    <n v="0"/>
    <x v="2"/>
    <x v="1"/>
    <x v="0"/>
    <x v="1"/>
    <n v="61.67"/>
    <n v="97.6"/>
    <x v="3"/>
    <n v="0"/>
    <x v="2"/>
    <x v="0"/>
  </r>
  <r>
    <n v="39531"/>
    <x v="0"/>
    <n v="50"/>
    <n v="1"/>
    <n v="0"/>
    <x v="2"/>
    <x v="0"/>
    <x v="0"/>
    <x v="1"/>
    <n v="220.36"/>
    <n v="40.9"/>
    <x v="0"/>
    <n v="0"/>
    <x v="1"/>
    <x v="0"/>
  </r>
  <r>
    <n v="55220"/>
    <x v="0"/>
    <n v="53"/>
    <n v="0"/>
    <n v="0"/>
    <x v="2"/>
    <x v="0"/>
    <x v="0"/>
    <x v="0"/>
    <n v="76.03"/>
    <n v="27.3"/>
    <x v="1"/>
    <n v="0"/>
    <x v="1"/>
    <x v="3"/>
  </r>
  <r>
    <n v="30731"/>
    <x v="1"/>
    <n v="39"/>
    <n v="0"/>
    <n v="0"/>
    <x v="2"/>
    <x v="1"/>
    <x v="1"/>
    <x v="0"/>
    <n v="73.06"/>
    <n v="20.9"/>
    <x v="1"/>
    <n v="0"/>
    <x v="2"/>
    <x v="2"/>
  </r>
  <r>
    <n v="14479"/>
    <x v="1"/>
    <n v="71"/>
    <n v="0"/>
    <n v="1"/>
    <x v="0"/>
    <x v="0"/>
    <x v="0"/>
    <x v="0"/>
    <n v="187.88"/>
    <n v="29.2"/>
    <x v="0"/>
    <n v="0"/>
    <x v="0"/>
    <x v="3"/>
  </r>
  <r>
    <n v="40471"/>
    <x v="1"/>
    <n v="18"/>
    <n v="0"/>
    <n v="0"/>
    <x v="2"/>
    <x v="1"/>
    <x v="0"/>
    <x v="0"/>
    <n v="79.89"/>
    <n v="17.899999999999999"/>
    <x v="3"/>
    <n v="0"/>
    <x v="2"/>
    <x v="4"/>
  </r>
  <r>
    <n v="7384"/>
    <x v="0"/>
    <n v="55"/>
    <n v="0"/>
    <n v="0"/>
    <x v="2"/>
    <x v="1"/>
    <x v="1"/>
    <x v="1"/>
    <n v="79.02"/>
    <n v="38"/>
    <x v="3"/>
    <n v="0"/>
    <x v="1"/>
    <x v="0"/>
  </r>
  <r>
    <n v="53422"/>
    <x v="0"/>
    <n v="52"/>
    <n v="0"/>
    <n v="0"/>
    <x v="2"/>
    <x v="0"/>
    <x v="0"/>
    <x v="1"/>
    <n v="191.66"/>
    <n v="26.1"/>
    <x v="2"/>
    <n v="0"/>
    <x v="1"/>
    <x v="3"/>
  </r>
  <r>
    <n v="59745"/>
    <x v="1"/>
    <n v="27"/>
    <n v="0"/>
    <n v="0"/>
    <x v="2"/>
    <x v="0"/>
    <x v="0"/>
    <x v="0"/>
    <n v="76.739999999999995"/>
    <n v="53.9"/>
    <x v="3"/>
    <n v="0"/>
    <x v="2"/>
    <x v="0"/>
  </r>
  <r>
    <n v="24721"/>
    <x v="0"/>
    <n v="24"/>
    <n v="0"/>
    <n v="0"/>
    <x v="2"/>
    <x v="1"/>
    <x v="0"/>
    <x v="0"/>
    <n v="72.290000000000006"/>
    <n v="22.2"/>
    <x v="3"/>
    <n v="0"/>
    <x v="2"/>
    <x v="2"/>
  </r>
  <r>
    <n v="9644"/>
    <x v="0"/>
    <n v="72"/>
    <n v="0"/>
    <n v="0"/>
    <x v="1"/>
    <x v="0"/>
    <x v="0"/>
    <x v="0"/>
    <n v="92.59"/>
    <n v="24.6"/>
    <x v="0"/>
    <n v="0"/>
    <x v="0"/>
    <x v="2"/>
  </r>
  <r>
    <n v="50837"/>
    <x v="0"/>
    <n v="41"/>
    <n v="0"/>
    <n v="0"/>
    <x v="2"/>
    <x v="0"/>
    <x v="1"/>
    <x v="1"/>
    <n v="80.42"/>
    <n v="33.4"/>
    <x v="0"/>
    <n v="0"/>
    <x v="1"/>
    <x v="0"/>
  </r>
  <r>
    <n v="67941"/>
    <x v="1"/>
    <n v="29"/>
    <n v="0"/>
    <n v="0"/>
    <x v="2"/>
    <x v="1"/>
    <x v="1"/>
    <x v="1"/>
    <n v="62.47"/>
    <n v="34.4"/>
    <x v="0"/>
    <n v="0"/>
    <x v="2"/>
    <x v="0"/>
  </r>
  <r>
    <n v="43590"/>
    <x v="1"/>
    <n v="26"/>
    <n v="0"/>
    <n v="0"/>
    <x v="2"/>
    <x v="0"/>
    <x v="0"/>
    <x v="1"/>
    <n v="63.94"/>
    <n v="17.600000000000001"/>
    <x v="1"/>
    <n v="0"/>
    <x v="2"/>
    <x v="4"/>
  </r>
  <r>
    <n v="29014"/>
    <x v="1"/>
    <n v="23"/>
    <n v="0"/>
    <n v="0"/>
    <x v="2"/>
    <x v="0"/>
    <x v="0"/>
    <x v="1"/>
    <n v="77.73"/>
    <n v="19.2"/>
    <x v="1"/>
    <n v="0"/>
    <x v="2"/>
    <x v="2"/>
  </r>
  <r>
    <n v="66051"/>
    <x v="0"/>
    <n v="43"/>
    <n v="0"/>
    <n v="0"/>
    <x v="2"/>
    <x v="0"/>
    <x v="1"/>
    <x v="1"/>
    <n v="115.79"/>
    <n v="31.8"/>
    <x v="3"/>
    <n v="0"/>
    <x v="1"/>
    <x v="0"/>
  </r>
  <r>
    <n v="70783"/>
    <x v="1"/>
    <n v="43"/>
    <n v="0"/>
    <n v="0"/>
    <x v="2"/>
    <x v="0"/>
    <x v="0"/>
    <x v="0"/>
    <n v="96.3"/>
    <n v="28.1"/>
    <x v="2"/>
    <n v="0"/>
    <x v="1"/>
    <x v="3"/>
  </r>
  <r>
    <n v="10716"/>
    <x v="1"/>
    <n v="49"/>
    <n v="0"/>
    <n v="0"/>
    <x v="2"/>
    <x v="0"/>
    <x v="0"/>
    <x v="1"/>
    <n v="107.46"/>
    <n v="32.1"/>
    <x v="1"/>
    <n v="0"/>
    <x v="1"/>
    <x v="0"/>
  </r>
  <r>
    <n v="7868"/>
    <x v="0"/>
    <n v="13"/>
    <n v="0"/>
    <n v="0"/>
    <x v="2"/>
    <x v="1"/>
    <x v="3"/>
    <x v="1"/>
    <n v="108.33"/>
    <n v="17.399999999999999"/>
    <x v="1"/>
    <n v="0"/>
    <x v="2"/>
    <x v="4"/>
  </r>
  <r>
    <n v="58350"/>
    <x v="1"/>
    <n v="26"/>
    <n v="0"/>
    <n v="0"/>
    <x v="2"/>
    <x v="1"/>
    <x v="2"/>
    <x v="1"/>
    <n v="89.37"/>
    <n v="20.2"/>
    <x v="1"/>
    <n v="0"/>
    <x v="2"/>
    <x v="2"/>
  </r>
  <r>
    <n v="18927"/>
    <x v="1"/>
    <n v="10"/>
    <n v="0"/>
    <n v="0"/>
    <x v="2"/>
    <x v="1"/>
    <x v="3"/>
    <x v="0"/>
    <n v="93.64"/>
    <n v="23.4"/>
    <x v="3"/>
    <n v="0"/>
    <x v="2"/>
    <x v="2"/>
  </r>
  <r>
    <n v="19550"/>
    <x v="0"/>
    <n v="39"/>
    <n v="0"/>
    <n v="0"/>
    <x v="2"/>
    <x v="0"/>
    <x v="0"/>
    <x v="0"/>
    <n v="217.75"/>
    <n v="39.5"/>
    <x v="1"/>
    <n v="0"/>
    <x v="2"/>
    <x v="0"/>
  </r>
  <r>
    <n v="31372"/>
    <x v="1"/>
    <n v="41"/>
    <n v="0"/>
    <n v="0"/>
    <x v="2"/>
    <x v="0"/>
    <x v="0"/>
    <x v="1"/>
    <n v="83.44"/>
    <n v="21.5"/>
    <x v="3"/>
    <n v="0"/>
    <x v="1"/>
    <x v="2"/>
  </r>
  <r>
    <n v="55262"/>
    <x v="0"/>
    <n v="25"/>
    <n v="0"/>
    <n v="0"/>
    <x v="2"/>
    <x v="0"/>
    <x v="0"/>
    <x v="1"/>
    <n v="93.88"/>
    <n v="24.3"/>
    <x v="2"/>
    <n v="0"/>
    <x v="2"/>
    <x v="2"/>
  </r>
  <r>
    <n v="50238"/>
    <x v="0"/>
    <n v="10"/>
    <n v="0"/>
    <n v="0"/>
    <x v="2"/>
    <x v="1"/>
    <x v="3"/>
    <x v="0"/>
    <n v="55.34"/>
    <n v="15.3"/>
    <x v="3"/>
    <n v="0"/>
    <x v="2"/>
    <x v="4"/>
  </r>
  <r>
    <n v="2868"/>
    <x v="1"/>
    <n v="54"/>
    <n v="0"/>
    <n v="0"/>
    <x v="2"/>
    <x v="0"/>
    <x v="2"/>
    <x v="1"/>
    <n v="102.61"/>
    <n v="32.4"/>
    <x v="3"/>
    <n v="0"/>
    <x v="1"/>
    <x v="0"/>
  </r>
  <r>
    <n v="51343"/>
    <x v="0"/>
    <n v="7"/>
    <n v="0"/>
    <n v="0"/>
    <x v="2"/>
    <x v="1"/>
    <x v="3"/>
    <x v="1"/>
    <n v="62.08"/>
    <n v="16.100000000000001"/>
    <x v="3"/>
    <n v="0"/>
    <x v="2"/>
    <x v="4"/>
  </r>
  <r>
    <n v="56324"/>
    <x v="1"/>
    <n v="53"/>
    <n v="0"/>
    <n v="0"/>
    <x v="2"/>
    <x v="0"/>
    <x v="1"/>
    <x v="1"/>
    <n v="81.760000000000005"/>
    <n v="34.299999999999997"/>
    <x v="0"/>
    <n v="0"/>
    <x v="1"/>
    <x v="0"/>
  </r>
  <r>
    <n v="42047"/>
    <x v="1"/>
    <n v="55"/>
    <n v="0"/>
    <n v="0"/>
    <x v="2"/>
    <x v="0"/>
    <x v="1"/>
    <x v="0"/>
    <n v="59.2"/>
    <n v="43.8"/>
    <x v="1"/>
    <n v="0"/>
    <x v="1"/>
    <x v="0"/>
  </r>
  <r>
    <n v="36486"/>
    <x v="0"/>
    <n v="6"/>
    <n v="0"/>
    <n v="0"/>
    <x v="2"/>
    <x v="1"/>
    <x v="3"/>
    <x v="0"/>
    <n v="55.61"/>
    <n v="19.600000000000001"/>
    <x v="3"/>
    <n v="0"/>
    <x v="2"/>
    <x v="2"/>
  </r>
  <r>
    <n v="62456"/>
    <x v="1"/>
    <n v="72"/>
    <n v="0"/>
    <n v="0"/>
    <x v="1"/>
    <x v="0"/>
    <x v="1"/>
    <x v="0"/>
    <n v="226.88"/>
    <n v="36.700000000000003"/>
    <x v="0"/>
    <n v="0"/>
    <x v="0"/>
    <x v="0"/>
  </r>
  <r>
    <n v="64980"/>
    <x v="1"/>
    <n v="42"/>
    <n v="0"/>
    <n v="0"/>
    <x v="2"/>
    <x v="0"/>
    <x v="2"/>
    <x v="0"/>
    <n v="65.66"/>
    <n v="33.700000000000003"/>
    <x v="1"/>
    <n v="0"/>
    <x v="1"/>
    <x v="0"/>
  </r>
  <r>
    <n v="65962"/>
    <x v="0"/>
    <n v="50"/>
    <n v="0"/>
    <n v="0"/>
    <x v="2"/>
    <x v="0"/>
    <x v="0"/>
    <x v="0"/>
    <n v="58.7"/>
    <n v="38.9"/>
    <x v="2"/>
    <n v="0"/>
    <x v="1"/>
    <x v="0"/>
  </r>
  <r>
    <n v="47521"/>
    <x v="1"/>
    <n v="55"/>
    <n v="1"/>
    <n v="0"/>
    <x v="2"/>
    <x v="0"/>
    <x v="2"/>
    <x v="0"/>
    <n v="186.4"/>
    <n v="28"/>
    <x v="1"/>
    <n v="0"/>
    <x v="1"/>
    <x v="3"/>
  </r>
  <r>
    <n v="41501"/>
    <x v="1"/>
    <n v="47"/>
    <n v="0"/>
    <n v="0"/>
    <x v="2"/>
    <x v="0"/>
    <x v="2"/>
    <x v="0"/>
    <n v="122.32"/>
    <n v="23.9"/>
    <x v="3"/>
    <n v="0"/>
    <x v="1"/>
    <x v="2"/>
  </r>
  <r>
    <n v="47582"/>
    <x v="0"/>
    <n v="3"/>
    <n v="0"/>
    <n v="0"/>
    <x v="2"/>
    <x v="1"/>
    <x v="3"/>
    <x v="0"/>
    <n v="59.05"/>
    <n v="16.600000000000001"/>
    <x v="3"/>
    <n v="0"/>
    <x v="2"/>
    <x v="4"/>
  </r>
  <r>
    <n v="63938"/>
    <x v="1"/>
    <n v="49"/>
    <n v="0"/>
    <n v="0"/>
    <x v="2"/>
    <x v="0"/>
    <x v="1"/>
    <x v="0"/>
    <n v="149.13"/>
    <n v="42.9"/>
    <x v="2"/>
    <n v="0"/>
    <x v="1"/>
    <x v="0"/>
  </r>
  <r>
    <n v="49627"/>
    <x v="1"/>
    <n v="12"/>
    <n v="0"/>
    <n v="0"/>
    <x v="2"/>
    <x v="1"/>
    <x v="3"/>
    <x v="0"/>
    <n v="82.39"/>
    <n v="17.100000000000001"/>
    <x v="1"/>
    <n v="0"/>
    <x v="2"/>
    <x v="4"/>
  </r>
  <r>
    <n v="61291"/>
    <x v="0"/>
    <n v="28"/>
    <n v="0"/>
    <n v="0"/>
    <x v="2"/>
    <x v="0"/>
    <x v="0"/>
    <x v="1"/>
    <n v="169.49"/>
    <n v="27.2"/>
    <x v="3"/>
    <n v="0"/>
    <x v="2"/>
    <x v="3"/>
  </r>
  <r>
    <n v="53032"/>
    <x v="0"/>
    <n v="40"/>
    <n v="0"/>
    <n v="0"/>
    <x v="2"/>
    <x v="0"/>
    <x v="0"/>
    <x v="1"/>
    <n v="80.25"/>
    <n v="30.3"/>
    <x v="0"/>
    <n v="0"/>
    <x v="1"/>
    <x v="0"/>
  </r>
  <r>
    <n v="45040"/>
    <x v="0"/>
    <n v="55"/>
    <n v="0"/>
    <n v="0"/>
    <x v="2"/>
    <x v="0"/>
    <x v="0"/>
    <x v="0"/>
    <n v="203.81"/>
    <n v="33.9"/>
    <x v="0"/>
    <n v="0"/>
    <x v="1"/>
    <x v="0"/>
  </r>
  <r>
    <n v="56791"/>
    <x v="0"/>
    <n v="9"/>
    <n v="0"/>
    <n v="0"/>
    <x v="2"/>
    <x v="1"/>
    <x v="3"/>
    <x v="0"/>
    <n v="170.76"/>
    <n v="20"/>
    <x v="3"/>
    <n v="0"/>
    <x v="2"/>
    <x v="2"/>
  </r>
  <r>
    <n v="37320"/>
    <x v="1"/>
    <n v="77"/>
    <n v="0"/>
    <n v="0"/>
    <x v="1"/>
    <x v="0"/>
    <x v="0"/>
    <x v="1"/>
    <n v="80.849999999999994"/>
    <n v="19.399999999999999"/>
    <x v="3"/>
    <n v="0"/>
    <x v="0"/>
    <x v="2"/>
  </r>
  <r>
    <n v="72514"/>
    <x v="0"/>
    <n v="18"/>
    <n v="0"/>
    <n v="0"/>
    <x v="2"/>
    <x v="1"/>
    <x v="0"/>
    <x v="1"/>
    <n v="120.58"/>
    <n v="21.5"/>
    <x v="1"/>
    <n v="0"/>
    <x v="2"/>
    <x v="2"/>
  </r>
  <r>
    <n v="3842"/>
    <x v="0"/>
    <n v="73"/>
    <n v="0"/>
    <n v="0"/>
    <x v="1"/>
    <x v="0"/>
    <x v="0"/>
    <x v="1"/>
    <n v="86.57"/>
    <n v="28.5"/>
    <x v="0"/>
    <n v="0"/>
    <x v="0"/>
    <x v="3"/>
  </r>
  <r>
    <n v="38143"/>
    <x v="1"/>
    <n v="67"/>
    <n v="1"/>
    <n v="0"/>
    <x v="0"/>
    <x v="0"/>
    <x v="0"/>
    <x v="0"/>
    <n v="90.01"/>
    <n v="34.4"/>
    <x v="2"/>
    <n v="0"/>
    <x v="0"/>
    <x v="0"/>
  </r>
  <r>
    <n v="54296"/>
    <x v="0"/>
    <n v="58"/>
    <n v="0"/>
    <n v="0"/>
    <x v="2"/>
    <x v="0"/>
    <x v="1"/>
    <x v="1"/>
    <n v="68.84"/>
    <n v="43.7"/>
    <x v="0"/>
    <n v="0"/>
    <x v="1"/>
    <x v="0"/>
  </r>
  <r>
    <n v="48435"/>
    <x v="1"/>
    <n v="2"/>
    <n v="0"/>
    <n v="0"/>
    <x v="2"/>
    <x v="1"/>
    <x v="3"/>
    <x v="1"/>
    <n v="155.13999999999999"/>
    <n v="13.7"/>
    <x v="3"/>
    <n v="0"/>
    <x v="2"/>
    <x v="4"/>
  </r>
  <r>
    <n v="42212"/>
    <x v="1"/>
    <n v="38"/>
    <n v="0"/>
    <n v="0"/>
    <x v="2"/>
    <x v="0"/>
    <x v="0"/>
    <x v="0"/>
    <n v="158.47999999999999"/>
    <n v="33.700000000000003"/>
    <x v="0"/>
    <n v="0"/>
    <x v="2"/>
    <x v="0"/>
  </r>
  <r>
    <n v="47607"/>
    <x v="0"/>
    <n v="5"/>
    <n v="0"/>
    <n v="0"/>
    <x v="2"/>
    <x v="1"/>
    <x v="3"/>
    <x v="1"/>
    <n v="92.56"/>
    <n v="18"/>
    <x v="3"/>
    <n v="0"/>
    <x v="2"/>
    <x v="4"/>
  </r>
  <r>
    <n v="16535"/>
    <x v="1"/>
    <n v="34"/>
    <n v="0"/>
    <n v="0"/>
    <x v="2"/>
    <x v="1"/>
    <x v="0"/>
    <x v="1"/>
    <n v="90.15"/>
    <n v="27.9"/>
    <x v="0"/>
    <n v="0"/>
    <x v="2"/>
    <x v="3"/>
  </r>
  <r>
    <n v="66677"/>
    <x v="0"/>
    <n v="78"/>
    <n v="0"/>
    <n v="0"/>
    <x v="1"/>
    <x v="0"/>
    <x v="0"/>
    <x v="1"/>
    <n v="80.09"/>
    <n v="21.8"/>
    <x v="1"/>
    <n v="0"/>
    <x v="0"/>
    <x v="2"/>
  </r>
  <r>
    <n v="57270"/>
    <x v="1"/>
    <n v="57"/>
    <n v="0"/>
    <n v="0"/>
    <x v="2"/>
    <x v="0"/>
    <x v="0"/>
    <x v="1"/>
    <n v="189.44"/>
    <n v="35.799999999999997"/>
    <x v="1"/>
    <n v="0"/>
    <x v="1"/>
    <x v="0"/>
  </r>
  <r>
    <n v="22414"/>
    <x v="1"/>
    <n v="17"/>
    <n v="0"/>
    <n v="0"/>
    <x v="2"/>
    <x v="1"/>
    <x v="0"/>
    <x v="1"/>
    <n v="70.03"/>
    <n v="23.1"/>
    <x v="2"/>
    <n v="0"/>
    <x v="2"/>
    <x v="2"/>
  </r>
  <r>
    <n v="63401"/>
    <x v="1"/>
    <n v="71"/>
    <n v="0"/>
    <n v="0"/>
    <x v="1"/>
    <x v="0"/>
    <x v="1"/>
    <x v="1"/>
    <n v="249.29"/>
    <n v="30.3"/>
    <x v="2"/>
    <n v="0"/>
    <x v="0"/>
    <x v="0"/>
  </r>
  <r>
    <n v="32252"/>
    <x v="1"/>
    <n v="19"/>
    <n v="0"/>
    <n v="0"/>
    <x v="2"/>
    <x v="1"/>
    <x v="0"/>
    <x v="1"/>
    <n v="72.52"/>
    <n v="32"/>
    <x v="3"/>
    <n v="0"/>
    <x v="2"/>
    <x v="0"/>
  </r>
  <r>
    <n v="17950"/>
    <x v="0"/>
    <n v="56"/>
    <n v="0"/>
    <n v="0"/>
    <x v="2"/>
    <x v="0"/>
    <x v="0"/>
    <x v="0"/>
    <n v="96.93"/>
    <n v="25"/>
    <x v="2"/>
    <n v="0"/>
    <x v="1"/>
    <x v="3"/>
  </r>
  <r>
    <n v="53990"/>
    <x v="0"/>
    <n v="64"/>
    <n v="0"/>
    <n v="1"/>
    <x v="0"/>
    <x v="0"/>
    <x v="0"/>
    <x v="0"/>
    <n v="211.35"/>
    <n v="30.7"/>
    <x v="0"/>
    <n v="0"/>
    <x v="0"/>
    <x v="0"/>
  </r>
  <r>
    <n v="20565"/>
    <x v="0"/>
    <n v="13"/>
    <n v="0"/>
    <n v="0"/>
    <x v="2"/>
    <x v="1"/>
    <x v="3"/>
    <x v="1"/>
    <n v="85.87"/>
    <n v="24.3"/>
    <x v="3"/>
    <n v="0"/>
    <x v="2"/>
    <x v="2"/>
  </r>
  <r>
    <n v="59993"/>
    <x v="0"/>
    <n v="40"/>
    <n v="0"/>
    <n v="0"/>
    <x v="2"/>
    <x v="0"/>
    <x v="0"/>
    <x v="1"/>
    <n v="60.96"/>
    <n v="11.5"/>
    <x v="1"/>
    <n v="0"/>
    <x v="1"/>
    <x v="4"/>
  </r>
  <r>
    <n v="42830"/>
    <x v="0"/>
    <n v="80"/>
    <n v="0"/>
    <n v="1"/>
    <x v="0"/>
    <x v="0"/>
    <x v="0"/>
    <x v="0"/>
    <n v="120.09"/>
    <n v="30.7"/>
    <x v="1"/>
    <n v="0"/>
    <x v="0"/>
    <x v="0"/>
  </r>
  <r>
    <n v="34721"/>
    <x v="1"/>
    <n v="62"/>
    <n v="1"/>
    <n v="0"/>
    <x v="0"/>
    <x v="0"/>
    <x v="2"/>
    <x v="0"/>
    <n v="92.13"/>
    <n v="33.700000000000003"/>
    <x v="1"/>
    <n v="0"/>
    <x v="0"/>
    <x v="0"/>
  </r>
  <r>
    <n v="5157"/>
    <x v="0"/>
    <n v="79"/>
    <n v="1"/>
    <n v="0"/>
    <x v="0"/>
    <x v="0"/>
    <x v="1"/>
    <x v="0"/>
    <n v="83.07"/>
    <n v="26.5"/>
    <x v="2"/>
    <n v="0"/>
    <x v="0"/>
    <x v="3"/>
  </r>
  <r>
    <n v="48851"/>
    <x v="1"/>
    <n v="9"/>
    <n v="0"/>
    <n v="0"/>
    <x v="2"/>
    <x v="1"/>
    <x v="3"/>
    <x v="1"/>
    <n v="77.67"/>
    <n v="17.600000000000001"/>
    <x v="3"/>
    <n v="0"/>
    <x v="2"/>
    <x v="4"/>
  </r>
  <r>
    <n v="26084"/>
    <x v="1"/>
    <n v="77"/>
    <n v="1"/>
    <n v="0"/>
    <x v="0"/>
    <x v="0"/>
    <x v="1"/>
    <x v="0"/>
    <n v="109.51"/>
    <s v="N/A"/>
    <x v="1"/>
    <n v="0"/>
    <x v="0"/>
    <x v="1"/>
  </r>
  <r>
    <n v="23413"/>
    <x v="1"/>
    <n v="26"/>
    <n v="0"/>
    <n v="0"/>
    <x v="2"/>
    <x v="1"/>
    <x v="0"/>
    <x v="0"/>
    <n v="97.24"/>
    <n v="22.5"/>
    <x v="1"/>
    <n v="0"/>
    <x v="2"/>
    <x v="2"/>
  </r>
  <r>
    <n v="49970"/>
    <x v="0"/>
    <n v="1.72"/>
    <n v="0"/>
    <n v="0"/>
    <x v="2"/>
    <x v="1"/>
    <x v="3"/>
    <x v="1"/>
    <n v="127.29"/>
    <n v="18.5"/>
    <x v="3"/>
    <n v="0"/>
    <x v="2"/>
    <x v="2"/>
  </r>
  <r>
    <n v="72414"/>
    <x v="0"/>
    <n v="16"/>
    <n v="0"/>
    <n v="0"/>
    <x v="2"/>
    <x v="1"/>
    <x v="0"/>
    <x v="0"/>
    <n v="134.80000000000001"/>
    <n v="22.4"/>
    <x v="1"/>
    <n v="0"/>
    <x v="2"/>
    <x v="2"/>
  </r>
  <r>
    <n v="21374"/>
    <x v="1"/>
    <n v="40"/>
    <n v="0"/>
    <n v="0"/>
    <x v="2"/>
    <x v="0"/>
    <x v="0"/>
    <x v="0"/>
    <n v="74.650000000000006"/>
    <n v="25.3"/>
    <x v="0"/>
    <n v="0"/>
    <x v="1"/>
    <x v="3"/>
  </r>
  <r>
    <n v="69623"/>
    <x v="0"/>
    <n v="46"/>
    <n v="0"/>
    <n v="0"/>
    <x v="2"/>
    <x v="0"/>
    <x v="0"/>
    <x v="0"/>
    <n v="85.84"/>
    <n v="37.299999999999997"/>
    <x v="1"/>
    <n v="0"/>
    <x v="1"/>
    <x v="0"/>
  </r>
  <r>
    <n v="40378"/>
    <x v="0"/>
    <n v="45"/>
    <n v="1"/>
    <n v="0"/>
    <x v="2"/>
    <x v="0"/>
    <x v="1"/>
    <x v="0"/>
    <n v="90.43"/>
    <n v="39.700000000000003"/>
    <x v="2"/>
    <n v="0"/>
    <x v="1"/>
    <x v="0"/>
  </r>
  <r>
    <n v="4671"/>
    <x v="1"/>
    <n v="59"/>
    <n v="0"/>
    <n v="0"/>
    <x v="2"/>
    <x v="1"/>
    <x v="0"/>
    <x v="0"/>
    <n v="74.349999999999994"/>
    <n v="28"/>
    <x v="1"/>
    <n v="0"/>
    <x v="1"/>
    <x v="3"/>
  </r>
  <r>
    <n v="17295"/>
    <x v="1"/>
    <n v="31"/>
    <n v="0"/>
    <n v="0"/>
    <x v="2"/>
    <x v="0"/>
    <x v="1"/>
    <x v="0"/>
    <n v="206.59"/>
    <n v="41.4"/>
    <x v="2"/>
    <n v="0"/>
    <x v="2"/>
    <x v="0"/>
  </r>
  <r>
    <n v="55466"/>
    <x v="1"/>
    <n v="69"/>
    <n v="0"/>
    <n v="1"/>
    <x v="0"/>
    <x v="0"/>
    <x v="0"/>
    <x v="0"/>
    <n v="196.33"/>
    <n v="25.3"/>
    <x v="1"/>
    <n v="0"/>
    <x v="0"/>
    <x v="3"/>
  </r>
  <r>
    <n v="65419"/>
    <x v="0"/>
    <n v="73"/>
    <n v="0"/>
    <n v="1"/>
    <x v="0"/>
    <x v="0"/>
    <x v="2"/>
    <x v="1"/>
    <n v="70.23"/>
    <n v="28.1"/>
    <x v="1"/>
    <n v="0"/>
    <x v="0"/>
    <x v="3"/>
  </r>
  <r>
    <n v="34448"/>
    <x v="1"/>
    <n v="56"/>
    <n v="0"/>
    <n v="0"/>
    <x v="2"/>
    <x v="0"/>
    <x v="1"/>
    <x v="0"/>
    <n v="242.94"/>
    <n v="41.2"/>
    <x v="1"/>
    <n v="0"/>
    <x v="1"/>
    <x v="0"/>
  </r>
  <r>
    <n v="14406"/>
    <x v="1"/>
    <n v="80"/>
    <n v="0"/>
    <n v="1"/>
    <x v="0"/>
    <x v="0"/>
    <x v="1"/>
    <x v="1"/>
    <n v="103.06"/>
    <n v="28.8"/>
    <x v="1"/>
    <n v="0"/>
    <x v="0"/>
    <x v="3"/>
  </r>
  <r>
    <n v="924"/>
    <x v="1"/>
    <n v="60"/>
    <n v="0"/>
    <n v="0"/>
    <x v="1"/>
    <x v="0"/>
    <x v="2"/>
    <x v="0"/>
    <n v="80.86"/>
    <n v="31"/>
    <x v="2"/>
    <n v="0"/>
    <x v="0"/>
    <x v="0"/>
  </r>
  <r>
    <n v="71339"/>
    <x v="1"/>
    <n v="40"/>
    <n v="0"/>
    <n v="0"/>
    <x v="2"/>
    <x v="0"/>
    <x v="2"/>
    <x v="0"/>
    <n v="114.32"/>
    <n v="28.3"/>
    <x v="2"/>
    <n v="0"/>
    <x v="1"/>
    <x v="3"/>
  </r>
  <r>
    <n v="31443"/>
    <x v="1"/>
    <n v="30"/>
    <n v="0"/>
    <n v="0"/>
    <x v="2"/>
    <x v="0"/>
    <x v="2"/>
    <x v="0"/>
    <n v="83.91"/>
    <n v="23.9"/>
    <x v="3"/>
    <n v="0"/>
    <x v="2"/>
    <x v="2"/>
  </r>
  <r>
    <n v="49672"/>
    <x v="1"/>
    <n v="66"/>
    <n v="0"/>
    <n v="0"/>
    <x v="1"/>
    <x v="0"/>
    <x v="2"/>
    <x v="1"/>
    <n v="152.02000000000001"/>
    <n v="44.2"/>
    <x v="0"/>
    <n v="0"/>
    <x v="0"/>
    <x v="0"/>
  </r>
  <r>
    <n v="394"/>
    <x v="0"/>
    <n v="78"/>
    <n v="1"/>
    <n v="0"/>
    <x v="0"/>
    <x v="0"/>
    <x v="1"/>
    <x v="1"/>
    <n v="75.19"/>
    <n v="27.6"/>
    <x v="1"/>
    <n v="0"/>
    <x v="0"/>
    <x v="3"/>
  </r>
  <r>
    <n v="63362"/>
    <x v="1"/>
    <n v="37"/>
    <n v="0"/>
    <n v="0"/>
    <x v="2"/>
    <x v="0"/>
    <x v="0"/>
    <x v="0"/>
    <n v="60.61"/>
    <n v="35.700000000000003"/>
    <x v="0"/>
    <n v="0"/>
    <x v="2"/>
    <x v="0"/>
  </r>
  <r>
    <n v="59928"/>
    <x v="1"/>
    <n v="41"/>
    <n v="0"/>
    <n v="0"/>
    <x v="2"/>
    <x v="0"/>
    <x v="1"/>
    <x v="1"/>
    <n v="89.14"/>
    <n v="37.4"/>
    <x v="0"/>
    <n v="0"/>
    <x v="1"/>
    <x v="0"/>
  </r>
  <r>
    <n v="62289"/>
    <x v="1"/>
    <n v="34"/>
    <n v="0"/>
    <n v="0"/>
    <x v="2"/>
    <x v="0"/>
    <x v="0"/>
    <x v="0"/>
    <n v="97.23"/>
    <n v="27.5"/>
    <x v="3"/>
    <n v="0"/>
    <x v="2"/>
    <x v="3"/>
  </r>
  <r>
    <n v="59464"/>
    <x v="1"/>
    <n v="18"/>
    <n v="0"/>
    <n v="0"/>
    <x v="2"/>
    <x v="1"/>
    <x v="0"/>
    <x v="1"/>
    <n v="135.19"/>
    <n v="23.4"/>
    <x v="1"/>
    <n v="0"/>
    <x v="2"/>
    <x v="2"/>
  </r>
  <r>
    <n v="18680"/>
    <x v="0"/>
    <n v="69"/>
    <n v="0"/>
    <n v="0"/>
    <x v="1"/>
    <x v="0"/>
    <x v="1"/>
    <x v="0"/>
    <n v="78.48"/>
    <n v="25.8"/>
    <x v="0"/>
    <n v="0"/>
    <x v="0"/>
    <x v="3"/>
  </r>
  <r>
    <n v="19439"/>
    <x v="0"/>
    <n v="67"/>
    <n v="0"/>
    <n v="1"/>
    <x v="0"/>
    <x v="0"/>
    <x v="0"/>
    <x v="1"/>
    <n v="97.24"/>
    <s v="N/A"/>
    <x v="3"/>
    <n v="0"/>
    <x v="0"/>
    <x v="1"/>
  </r>
  <r>
    <n v="27017"/>
    <x v="0"/>
    <n v="28"/>
    <n v="0"/>
    <n v="0"/>
    <x v="2"/>
    <x v="1"/>
    <x v="0"/>
    <x v="0"/>
    <n v="75.92"/>
    <n v="22.8"/>
    <x v="1"/>
    <n v="0"/>
    <x v="2"/>
    <x v="2"/>
  </r>
  <r>
    <n v="8277"/>
    <x v="1"/>
    <n v="3"/>
    <n v="0"/>
    <n v="0"/>
    <x v="2"/>
    <x v="1"/>
    <x v="3"/>
    <x v="0"/>
    <n v="93.3"/>
    <n v="19.5"/>
    <x v="3"/>
    <n v="0"/>
    <x v="2"/>
    <x v="2"/>
  </r>
  <r>
    <n v="14099"/>
    <x v="1"/>
    <n v="57"/>
    <n v="0"/>
    <n v="0"/>
    <x v="2"/>
    <x v="0"/>
    <x v="2"/>
    <x v="0"/>
    <n v="97.39"/>
    <n v="38"/>
    <x v="3"/>
    <n v="0"/>
    <x v="1"/>
    <x v="0"/>
  </r>
  <r>
    <n v="37128"/>
    <x v="0"/>
    <n v="34"/>
    <n v="0"/>
    <n v="0"/>
    <x v="2"/>
    <x v="0"/>
    <x v="0"/>
    <x v="1"/>
    <n v="134.61000000000001"/>
    <n v="23.4"/>
    <x v="1"/>
    <n v="0"/>
    <x v="2"/>
    <x v="2"/>
  </r>
  <r>
    <n v="57774"/>
    <x v="0"/>
    <n v="50"/>
    <n v="0"/>
    <n v="0"/>
    <x v="2"/>
    <x v="0"/>
    <x v="0"/>
    <x v="1"/>
    <n v="104.02"/>
    <n v="29.5"/>
    <x v="1"/>
    <n v="0"/>
    <x v="1"/>
    <x v="3"/>
  </r>
  <r>
    <n v="64033"/>
    <x v="0"/>
    <n v="55"/>
    <n v="0"/>
    <n v="1"/>
    <x v="2"/>
    <x v="1"/>
    <x v="0"/>
    <x v="0"/>
    <n v="56.9"/>
    <n v="28.2"/>
    <x v="1"/>
    <n v="0"/>
    <x v="1"/>
    <x v="3"/>
  </r>
  <r>
    <n v="72701"/>
    <x v="0"/>
    <n v="2"/>
    <n v="0"/>
    <n v="0"/>
    <x v="2"/>
    <x v="1"/>
    <x v="3"/>
    <x v="1"/>
    <n v="112.66"/>
    <n v="14.2"/>
    <x v="3"/>
    <n v="0"/>
    <x v="2"/>
    <x v="4"/>
  </r>
  <r>
    <n v="59130"/>
    <x v="1"/>
    <n v="27"/>
    <n v="0"/>
    <n v="0"/>
    <x v="2"/>
    <x v="1"/>
    <x v="0"/>
    <x v="1"/>
    <n v="226.75"/>
    <n v="28.9"/>
    <x v="3"/>
    <n v="0"/>
    <x v="2"/>
    <x v="3"/>
  </r>
  <r>
    <n v="48472"/>
    <x v="0"/>
    <n v="57"/>
    <n v="0"/>
    <n v="0"/>
    <x v="2"/>
    <x v="0"/>
    <x v="0"/>
    <x v="1"/>
    <n v="76.28"/>
    <n v="31.4"/>
    <x v="0"/>
    <n v="0"/>
    <x v="1"/>
    <x v="0"/>
  </r>
  <r>
    <n v="67956"/>
    <x v="1"/>
    <n v="73"/>
    <n v="0"/>
    <n v="0"/>
    <x v="1"/>
    <x v="0"/>
    <x v="0"/>
    <x v="0"/>
    <n v="90.01"/>
    <n v="32.4"/>
    <x v="0"/>
    <n v="0"/>
    <x v="0"/>
    <x v="0"/>
  </r>
  <r>
    <n v="35602"/>
    <x v="1"/>
    <n v="52"/>
    <n v="0"/>
    <n v="0"/>
    <x v="2"/>
    <x v="0"/>
    <x v="2"/>
    <x v="1"/>
    <n v="107.84"/>
    <n v="22"/>
    <x v="0"/>
    <n v="0"/>
    <x v="1"/>
    <x v="2"/>
  </r>
  <r>
    <n v="13818"/>
    <x v="1"/>
    <n v="65"/>
    <n v="0"/>
    <n v="0"/>
    <x v="1"/>
    <x v="0"/>
    <x v="0"/>
    <x v="1"/>
    <n v="71.06"/>
    <n v="26.4"/>
    <x v="1"/>
    <n v="0"/>
    <x v="0"/>
    <x v="3"/>
  </r>
  <r>
    <n v="34661"/>
    <x v="0"/>
    <n v="48"/>
    <n v="1"/>
    <n v="0"/>
    <x v="2"/>
    <x v="0"/>
    <x v="0"/>
    <x v="0"/>
    <n v="185"/>
    <n v="26.1"/>
    <x v="1"/>
    <n v="0"/>
    <x v="1"/>
    <x v="3"/>
  </r>
  <r>
    <n v="64895"/>
    <x v="0"/>
    <n v="54"/>
    <n v="1"/>
    <n v="0"/>
    <x v="2"/>
    <x v="0"/>
    <x v="1"/>
    <x v="1"/>
    <n v="104.42"/>
    <n v="37.6"/>
    <x v="2"/>
    <n v="0"/>
    <x v="1"/>
    <x v="0"/>
  </r>
  <r>
    <n v="21969"/>
    <x v="0"/>
    <n v="8"/>
    <n v="0"/>
    <n v="0"/>
    <x v="2"/>
    <x v="1"/>
    <x v="3"/>
    <x v="0"/>
    <n v="89.57"/>
    <n v="18.8"/>
    <x v="3"/>
    <n v="0"/>
    <x v="2"/>
    <x v="2"/>
  </r>
  <r>
    <n v="38320"/>
    <x v="0"/>
    <n v="45"/>
    <n v="1"/>
    <n v="0"/>
    <x v="2"/>
    <x v="0"/>
    <x v="0"/>
    <x v="1"/>
    <n v="136.19999999999999"/>
    <n v="23.8"/>
    <x v="3"/>
    <n v="0"/>
    <x v="1"/>
    <x v="2"/>
  </r>
  <r>
    <n v="42040"/>
    <x v="1"/>
    <n v="48"/>
    <n v="0"/>
    <n v="0"/>
    <x v="2"/>
    <x v="0"/>
    <x v="2"/>
    <x v="0"/>
    <n v="128.22999999999999"/>
    <n v="49.4"/>
    <x v="1"/>
    <n v="0"/>
    <x v="1"/>
    <x v="0"/>
  </r>
  <r>
    <n v="31857"/>
    <x v="1"/>
    <n v="77"/>
    <n v="0"/>
    <n v="0"/>
    <x v="1"/>
    <x v="0"/>
    <x v="1"/>
    <x v="1"/>
    <n v="104.23"/>
    <n v="23.8"/>
    <x v="2"/>
    <n v="0"/>
    <x v="0"/>
    <x v="2"/>
  </r>
  <r>
    <n v="64494"/>
    <x v="1"/>
    <n v="34"/>
    <n v="0"/>
    <n v="0"/>
    <x v="2"/>
    <x v="0"/>
    <x v="0"/>
    <x v="0"/>
    <n v="133.82"/>
    <n v="20.399999999999999"/>
    <x v="1"/>
    <n v="0"/>
    <x v="2"/>
    <x v="2"/>
  </r>
  <r>
    <n v="34764"/>
    <x v="1"/>
    <n v="33"/>
    <n v="0"/>
    <n v="0"/>
    <x v="2"/>
    <x v="0"/>
    <x v="0"/>
    <x v="1"/>
    <n v="80.819999999999993"/>
    <n v="40.299999999999997"/>
    <x v="1"/>
    <n v="0"/>
    <x v="2"/>
    <x v="0"/>
  </r>
  <r>
    <n v="20673"/>
    <x v="0"/>
    <n v="39"/>
    <n v="0"/>
    <n v="0"/>
    <x v="2"/>
    <x v="0"/>
    <x v="0"/>
    <x v="1"/>
    <n v="102.35"/>
    <n v="23.6"/>
    <x v="1"/>
    <n v="0"/>
    <x v="2"/>
    <x v="2"/>
  </r>
  <r>
    <n v="64817"/>
    <x v="0"/>
    <n v="39"/>
    <n v="0"/>
    <n v="0"/>
    <x v="2"/>
    <x v="0"/>
    <x v="1"/>
    <x v="1"/>
    <n v="88.48"/>
    <n v="34.299999999999997"/>
    <x v="1"/>
    <n v="0"/>
    <x v="2"/>
    <x v="0"/>
  </r>
  <r>
    <n v="72450"/>
    <x v="0"/>
    <n v="40"/>
    <n v="0"/>
    <n v="0"/>
    <x v="2"/>
    <x v="0"/>
    <x v="0"/>
    <x v="1"/>
    <n v="88.81"/>
    <n v="32.700000000000003"/>
    <x v="3"/>
    <n v="0"/>
    <x v="1"/>
    <x v="0"/>
  </r>
  <r>
    <n v="13988"/>
    <x v="1"/>
    <n v="46"/>
    <n v="0"/>
    <n v="0"/>
    <x v="2"/>
    <x v="0"/>
    <x v="0"/>
    <x v="1"/>
    <n v="75.09"/>
    <n v="28.7"/>
    <x v="1"/>
    <n v="0"/>
    <x v="1"/>
    <x v="3"/>
  </r>
  <r>
    <n v="54985"/>
    <x v="1"/>
    <n v="1"/>
    <n v="0"/>
    <n v="0"/>
    <x v="2"/>
    <x v="1"/>
    <x v="3"/>
    <x v="0"/>
    <n v="199.83"/>
    <n v="24.5"/>
    <x v="3"/>
    <n v="0"/>
    <x v="2"/>
    <x v="2"/>
  </r>
  <r>
    <n v="6049"/>
    <x v="1"/>
    <n v="5"/>
    <n v="0"/>
    <n v="0"/>
    <x v="2"/>
    <x v="1"/>
    <x v="3"/>
    <x v="1"/>
    <n v="73.69"/>
    <n v="24.8"/>
    <x v="3"/>
    <n v="0"/>
    <x v="2"/>
    <x v="2"/>
  </r>
  <r>
    <n v="13380"/>
    <x v="0"/>
    <n v="14"/>
    <n v="0"/>
    <n v="0"/>
    <x v="2"/>
    <x v="1"/>
    <x v="3"/>
    <x v="0"/>
    <n v="111.27"/>
    <n v="23.2"/>
    <x v="3"/>
    <n v="0"/>
    <x v="2"/>
    <x v="2"/>
  </r>
  <r>
    <n v="64371"/>
    <x v="1"/>
    <n v="49"/>
    <n v="0"/>
    <n v="0"/>
    <x v="2"/>
    <x v="0"/>
    <x v="1"/>
    <x v="1"/>
    <n v="68.44"/>
    <n v="23"/>
    <x v="2"/>
    <n v="0"/>
    <x v="1"/>
    <x v="2"/>
  </r>
  <r>
    <n v="50295"/>
    <x v="1"/>
    <n v="45"/>
    <n v="0"/>
    <n v="0"/>
    <x v="2"/>
    <x v="0"/>
    <x v="0"/>
    <x v="0"/>
    <n v="65.36"/>
    <n v="39.299999999999997"/>
    <x v="1"/>
    <n v="0"/>
    <x v="1"/>
    <x v="0"/>
  </r>
  <r>
    <n v="14404"/>
    <x v="1"/>
    <n v="13"/>
    <n v="0"/>
    <n v="0"/>
    <x v="2"/>
    <x v="1"/>
    <x v="3"/>
    <x v="0"/>
    <n v="94.12"/>
    <n v="20.100000000000001"/>
    <x v="1"/>
    <n v="0"/>
    <x v="2"/>
    <x v="2"/>
  </r>
  <r>
    <n v="58645"/>
    <x v="1"/>
    <n v="76"/>
    <n v="0"/>
    <n v="0"/>
    <x v="1"/>
    <x v="0"/>
    <x v="0"/>
    <x v="1"/>
    <n v="96.24"/>
    <n v="25.4"/>
    <x v="1"/>
    <n v="0"/>
    <x v="0"/>
    <x v="3"/>
  </r>
  <r>
    <n v="19419"/>
    <x v="0"/>
    <n v="14"/>
    <n v="0"/>
    <n v="0"/>
    <x v="2"/>
    <x v="1"/>
    <x v="3"/>
    <x v="1"/>
    <n v="91.25"/>
    <n v="23.8"/>
    <x v="3"/>
    <n v="0"/>
    <x v="2"/>
    <x v="2"/>
  </r>
  <r>
    <n v="24518"/>
    <x v="1"/>
    <n v="20"/>
    <n v="0"/>
    <n v="0"/>
    <x v="2"/>
    <x v="1"/>
    <x v="0"/>
    <x v="1"/>
    <n v="77.290000000000006"/>
    <n v="28.4"/>
    <x v="1"/>
    <n v="0"/>
    <x v="2"/>
    <x v="3"/>
  </r>
  <r>
    <n v="53494"/>
    <x v="1"/>
    <n v="9"/>
    <n v="0"/>
    <n v="0"/>
    <x v="2"/>
    <x v="1"/>
    <x v="3"/>
    <x v="1"/>
    <n v="125.09"/>
    <n v="15.4"/>
    <x v="3"/>
    <n v="0"/>
    <x v="2"/>
    <x v="4"/>
  </r>
  <r>
    <n v="42599"/>
    <x v="1"/>
    <n v="78"/>
    <n v="0"/>
    <n v="1"/>
    <x v="0"/>
    <x v="0"/>
    <x v="0"/>
    <x v="0"/>
    <n v="107.18"/>
    <n v="28.2"/>
    <x v="1"/>
    <n v="0"/>
    <x v="0"/>
    <x v="3"/>
  </r>
  <r>
    <n v="68370"/>
    <x v="0"/>
    <n v="49"/>
    <n v="0"/>
    <n v="0"/>
    <x v="2"/>
    <x v="0"/>
    <x v="0"/>
    <x v="0"/>
    <n v="130.07"/>
    <n v="26"/>
    <x v="1"/>
    <n v="0"/>
    <x v="1"/>
    <x v="3"/>
  </r>
  <r>
    <n v="57813"/>
    <x v="1"/>
    <n v="55"/>
    <n v="0"/>
    <n v="0"/>
    <x v="2"/>
    <x v="0"/>
    <x v="0"/>
    <x v="0"/>
    <n v="57.3"/>
    <n v="41.5"/>
    <x v="1"/>
    <n v="0"/>
    <x v="1"/>
    <x v="0"/>
  </r>
  <r>
    <n v="1329"/>
    <x v="1"/>
    <n v="43"/>
    <n v="0"/>
    <n v="0"/>
    <x v="2"/>
    <x v="1"/>
    <x v="2"/>
    <x v="1"/>
    <n v="101.35"/>
    <n v="32.200000000000003"/>
    <x v="1"/>
    <n v="0"/>
    <x v="1"/>
    <x v="0"/>
  </r>
  <r>
    <n v="15255"/>
    <x v="1"/>
    <n v="16"/>
    <n v="0"/>
    <n v="0"/>
    <x v="2"/>
    <x v="1"/>
    <x v="0"/>
    <x v="1"/>
    <n v="94.03"/>
    <n v="25.7"/>
    <x v="1"/>
    <n v="0"/>
    <x v="2"/>
    <x v="3"/>
  </r>
  <r>
    <n v="65680"/>
    <x v="0"/>
    <n v="58"/>
    <n v="0"/>
    <n v="1"/>
    <x v="2"/>
    <x v="0"/>
    <x v="1"/>
    <x v="0"/>
    <n v="227.81"/>
    <n v="33"/>
    <x v="0"/>
    <n v="0"/>
    <x v="1"/>
    <x v="0"/>
  </r>
  <r>
    <n v="32974"/>
    <x v="0"/>
    <n v="67"/>
    <n v="0"/>
    <n v="0"/>
    <x v="1"/>
    <x v="0"/>
    <x v="2"/>
    <x v="0"/>
    <n v="66.67"/>
    <n v="35"/>
    <x v="2"/>
    <n v="0"/>
    <x v="0"/>
    <x v="0"/>
  </r>
  <r>
    <n v="5863"/>
    <x v="1"/>
    <n v="71"/>
    <n v="0"/>
    <n v="0"/>
    <x v="1"/>
    <x v="0"/>
    <x v="0"/>
    <x v="0"/>
    <n v="240.81"/>
    <n v="27.4"/>
    <x v="1"/>
    <n v="0"/>
    <x v="0"/>
    <x v="3"/>
  </r>
  <r>
    <n v="10584"/>
    <x v="0"/>
    <n v="8"/>
    <n v="0"/>
    <n v="0"/>
    <x v="2"/>
    <x v="1"/>
    <x v="3"/>
    <x v="0"/>
    <n v="88.02"/>
    <n v="16.399999999999999"/>
    <x v="3"/>
    <n v="0"/>
    <x v="2"/>
    <x v="4"/>
  </r>
  <r>
    <n v="38675"/>
    <x v="1"/>
    <n v="18"/>
    <n v="0"/>
    <n v="0"/>
    <x v="2"/>
    <x v="1"/>
    <x v="0"/>
    <x v="0"/>
    <n v="152.87"/>
    <n v="31.5"/>
    <x v="3"/>
    <n v="0"/>
    <x v="2"/>
    <x v="0"/>
  </r>
  <r>
    <n v="47600"/>
    <x v="1"/>
    <n v="47"/>
    <n v="0"/>
    <n v="0"/>
    <x v="2"/>
    <x v="0"/>
    <x v="0"/>
    <x v="0"/>
    <n v="96.04"/>
    <n v="29.2"/>
    <x v="3"/>
    <n v="0"/>
    <x v="1"/>
    <x v="3"/>
  </r>
  <r>
    <n v="48246"/>
    <x v="0"/>
    <n v="59"/>
    <n v="0"/>
    <n v="0"/>
    <x v="2"/>
    <x v="0"/>
    <x v="0"/>
    <x v="0"/>
    <n v="60.35"/>
    <n v="25.9"/>
    <x v="0"/>
    <n v="0"/>
    <x v="1"/>
    <x v="3"/>
  </r>
  <r>
    <n v="61743"/>
    <x v="0"/>
    <n v="28"/>
    <n v="0"/>
    <n v="0"/>
    <x v="2"/>
    <x v="1"/>
    <x v="2"/>
    <x v="0"/>
    <n v="118.66"/>
    <n v="32.299999999999997"/>
    <x v="1"/>
    <n v="0"/>
    <x v="2"/>
    <x v="0"/>
  </r>
  <r>
    <n v="3879"/>
    <x v="1"/>
    <n v="20"/>
    <n v="0"/>
    <n v="0"/>
    <x v="2"/>
    <x v="1"/>
    <x v="0"/>
    <x v="0"/>
    <n v="89.03"/>
    <s v="N/A"/>
    <x v="2"/>
    <n v="0"/>
    <x v="2"/>
    <x v="1"/>
  </r>
  <r>
    <n v="58086"/>
    <x v="0"/>
    <n v="67"/>
    <n v="0"/>
    <n v="0"/>
    <x v="1"/>
    <x v="0"/>
    <x v="0"/>
    <x v="0"/>
    <n v="58.51"/>
    <n v="30.4"/>
    <x v="0"/>
    <n v="0"/>
    <x v="0"/>
    <x v="0"/>
  </r>
  <r>
    <n v="53957"/>
    <x v="0"/>
    <n v="71"/>
    <n v="0"/>
    <n v="0"/>
    <x v="1"/>
    <x v="0"/>
    <x v="1"/>
    <x v="0"/>
    <n v="96.04"/>
    <n v="45.1"/>
    <x v="0"/>
    <n v="0"/>
    <x v="0"/>
    <x v="0"/>
  </r>
  <r>
    <n v="40137"/>
    <x v="1"/>
    <n v="56"/>
    <n v="0"/>
    <n v="0"/>
    <x v="2"/>
    <x v="0"/>
    <x v="1"/>
    <x v="1"/>
    <n v="110.92"/>
    <n v="25.9"/>
    <x v="3"/>
    <n v="0"/>
    <x v="1"/>
    <x v="3"/>
  </r>
  <r>
    <n v="70500"/>
    <x v="1"/>
    <n v="44"/>
    <n v="0"/>
    <n v="0"/>
    <x v="2"/>
    <x v="1"/>
    <x v="0"/>
    <x v="1"/>
    <n v="92.72"/>
    <n v="36.6"/>
    <x v="1"/>
    <n v="0"/>
    <x v="1"/>
    <x v="0"/>
  </r>
  <r>
    <n v="35085"/>
    <x v="1"/>
    <n v="6"/>
    <n v="0"/>
    <n v="0"/>
    <x v="2"/>
    <x v="1"/>
    <x v="3"/>
    <x v="1"/>
    <n v="108.23"/>
    <n v="18.600000000000001"/>
    <x v="3"/>
    <n v="0"/>
    <x v="2"/>
    <x v="2"/>
  </r>
  <r>
    <n v="43872"/>
    <x v="1"/>
    <n v="78"/>
    <n v="0"/>
    <n v="0"/>
    <x v="1"/>
    <x v="0"/>
    <x v="0"/>
    <x v="1"/>
    <n v="56.34"/>
    <n v="27.5"/>
    <x v="3"/>
    <n v="0"/>
    <x v="0"/>
    <x v="3"/>
  </r>
  <r>
    <n v="62951"/>
    <x v="1"/>
    <n v="32"/>
    <n v="0"/>
    <n v="0"/>
    <x v="2"/>
    <x v="0"/>
    <x v="0"/>
    <x v="1"/>
    <n v="61.83"/>
    <n v="31.3"/>
    <x v="1"/>
    <n v="0"/>
    <x v="2"/>
    <x v="0"/>
  </r>
  <r>
    <n v="43244"/>
    <x v="1"/>
    <n v="40"/>
    <n v="0"/>
    <n v="0"/>
    <x v="2"/>
    <x v="0"/>
    <x v="0"/>
    <x v="1"/>
    <n v="131.99"/>
    <n v="37.5"/>
    <x v="1"/>
    <n v="0"/>
    <x v="1"/>
    <x v="0"/>
  </r>
  <r>
    <n v="31198"/>
    <x v="1"/>
    <n v="63"/>
    <n v="0"/>
    <n v="0"/>
    <x v="1"/>
    <x v="0"/>
    <x v="1"/>
    <x v="1"/>
    <n v="136.81"/>
    <n v="23.1"/>
    <x v="2"/>
    <n v="0"/>
    <x v="0"/>
    <x v="2"/>
  </r>
  <r>
    <n v="23223"/>
    <x v="0"/>
    <n v="51"/>
    <n v="0"/>
    <n v="0"/>
    <x v="2"/>
    <x v="0"/>
    <x v="0"/>
    <x v="1"/>
    <n v="239.28"/>
    <n v="35"/>
    <x v="1"/>
    <n v="0"/>
    <x v="1"/>
    <x v="0"/>
  </r>
  <r>
    <n v="38474"/>
    <x v="0"/>
    <n v="22"/>
    <n v="0"/>
    <n v="0"/>
    <x v="2"/>
    <x v="0"/>
    <x v="2"/>
    <x v="0"/>
    <n v="131.30000000000001"/>
    <n v="27"/>
    <x v="1"/>
    <n v="0"/>
    <x v="2"/>
    <x v="3"/>
  </r>
  <r>
    <n v="4591"/>
    <x v="1"/>
    <n v="82"/>
    <n v="0"/>
    <n v="0"/>
    <x v="1"/>
    <x v="0"/>
    <x v="1"/>
    <x v="1"/>
    <n v="117.75"/>
    <n v="29.8"/>
    <x v="1"/>
    <n v="0"/>
    <x v="0"/>
    <x v="3"/>
  </r>
  <r>
    <n v="1451"/>
    <x v="1"/>
    <n v="17"/>
    <n v="0"/>
    <n v="0"/>
    <x v="2"/>
    <x v="1"/>
    <x v="0"/>
    <x v="0"/>
    <n v="78.459999999999994"/>
    <n v="23.5"/>
    <x v="3"/>
    <n v="0"/>
    <x v="2"/>
    <x v="2"/>
  </r>
  <r>
    <n v="37150"/>
    <x v="1"/>
    <n v="34"/>
    <n v="0"/>
    <n v="0"/>
    <x v="2"/>
    <x v="0"/>
    <x v="0"/>
    <x v="1"/>
    <n v="83.53"/>
    <n v="48.5"/>
    <x v="0"/>
    <n v="0"/>
    <x v="2"/>
    <x v="0"/>
  </r>
  <r>
    <n v="65632"/>
    <x v="0"/>
    <n v="42"/>
    <n v="0"/>
    <n v="0"/>
    <x v="2"/>
    <x v="0"/>
    <x v="0"/>
    <x v="1"/>
    <n v="145.5"/>
    <n v="31.8"/>
    <x v="0"/>
    <n v="0"/>
    <x v="1"/>
    <x v="0"/>
  </r>
  <r>
    <n v="62834"/>
    <x v="1"/>
    <n v="32"/>
    <n v="0"/>
    <n v="0"/>
    <x v="2"/>
    <x v="0"/>
    <x v="0"/>
    <x v="0"/>
    <n v="88.33"/>
    <n v="20"/>
    <x v="3"/>
    <n v="0"/>
    <x v="2"/>
    <x v="2"/>
  </r>
  <r>
    <n v="21826"/>
    <x v="0"/>
    <n v="73"/>
    <n v="0"/>
    <n v="0"/>
    <x v="1"/>
    <x v="0"/>
    <x v="1"/>
    <x v="1"/>
    <n v="101.25"/>
    <n v="29.4"/>
    <x v="0"/>
    <n v="0"/>
    <x v="0"/>
    <x v="3"/>
  </r>
  <r>
    <n v="21036"/>
    <x v="1"/>
    <n v="47"/>
    <n v="0"/>
    <n v="0"/>
    <x v="2"/>
    <x v="0"/>
    <x v="0"/>
    <x v="0"/>
    <n v="131.43"/>
    <n v="24.3"/>
    <x v="1"/>
    <n v="0"/>
    <x v="1"/>
    <x v="2"/>
  </r>
  <r>
    <n v="55566"/>
    <x v="1"/>
    <n v="34"/>
    <n v="0"/>
    <n v="0"/>
    <x v="2"/>
    <x v="0"/>
    <x v="0"/>
    <x v="1"/>
    <n v="231.5"/>
    <n v="45.4"/>
    <x v="1"/>
    <n v="0"/>
    <x v="2"/>
    <x v="0"/>
  </r>
  <r>
    <n v="46923"/>
    <x v="0"/>
    <n v="64"/>
    <n v="0"/>
    <n v="1"/>
    <x v="0"/>
    <x v="0"/>
    <x v="0"/>
    <x v="1"/>
    <n v="82.89"/>
    <n v="29.5"/>
    <x v="1"/>
    <n v="0"/>
    <x v="0"/>
    <x v="3"/>
  </r>
  <r>
    <n v="63990"/>
    <x v="0"/>
    <n v="52"/>
    <n v="1"/>
    <n v="0"/>
    <x v="2"/>
    <x v="0"/>
    <x v="1"/>
    <x v="1"/>
    <n v="192.37"/>
    <n v="49.2"/>
    <x v="1"/>
    <n v="0"/>
    <x v="1"/>
    <x v="0"/>
  </r>
  <r>
    <n v="2265"/>
    <x v="0"/>
    <n v="49"/>
    <n v="0"/>
    <n v="0"/>
    <x v="2"/>
    <x v="0"/>
    <x v="0"/>
    <x v="1"/>
    <n v="79.64"/>
    <s v="N/A"/>
    <x v="2"/>
    <n v="0"/>
    <x v="1"/>
    <x v="1"/>
  </r>
  <r>
    <n v="2860"/>
    <x v="0"/>
    <n v="55"/>
    <n v="0"/>
    <n v="0"/>
    <x v="2"/>
    <x v="0"/>
    <x v="0"/>
    <x v="1"/>
    <n v="82.88"/>
    <n v="29.4"/>
    <x v="3"/>
    <n v="0"/>
    <x v="1"/>
    <x v="3"/>
  </r>
  <r>
    <n v="15964"/>
    <x v="1"/>
    <n v="64"/>
    <n v="1"/>
    <n v="0"/>
    <x v="0"/>
    <x v="0"/>
    <x v="0"/>
    <x v="1"/>
    <n v="99.4"/>
    <n v="29.1"/>
    <x v="1"/>
    <n v="0"/>
    <x v="0"/>
    <x v="3"/>
  </r>
  <r>
    <n v="46483"/>
    <x v="0"/>
    <n v="23"/>
    <n v="0"/>
    <n v="0"/>
    <x v="2"/>
    <x v="1"/>
    <x v="0"/>
    <x v="0"/>
    <n v="77.75"/>
    <n v="38.799999999999997"/>
    <x v="2"/>
    <n v="0"/>
    <x v="2"/>
    <x v="0"/>
  </r>
  <r>
    <n v="33284"/>
    <x v="0"/>
    <n v="18"/>
    <n v="0"/>
    <n v="0"/>
    <x v="2"/>
    <x v="1"/>
    <x v="0"/>
    <x v="1"/>
    <n v="75.03"/>
    <n v="23.4"/>
    <x v="1"/>
    <n v="0"/>
    <x v="2"/>
    <x v="2"/>
  </r>
  <r>
    <n v="61895"/>
    <x v="1"/>
    <n v="65"/>
    <n v="0"/>
    <n v="0"/>
    <x v="1"/>
    <x v="0"/>
    <x v="0"/>
    <x v="1"/>
    <n v="220.47"/>
    <n v="48.7"/>
    <x v="1"/>
    <n v="0"/>
    <x v="0"/>
    <x v="0"/>
  </r>
  <r>
    <n v="48875"/>
    <x v="0"/>
    <n v="12"/>
    <n v="0"/>
    <n v="0"/>
    <x v="2"/>
    <x v="1"/>
    <x v="3"/>
    <x v="1"/>
    <n v="196.91"/>
    <n v="19.7"/>
    <x v="3"/>
    <n v="0"/>
    <x v="2"/>
    <x v="2"/>
  </r>
  <r>
    <n v="36589"/>
    <x v="1"/>
    <n v="61"/>
    <n v="0"/>
    <n v="0"/>
    <x v="1"/>
    <x v="0"/>
    <x v="1"/>
    <x v="0"/>
    <n v="180.8"/>
    <n v="20.3"/>
    <x v="1"/>
    <n v="0"/>
    <x v="0"/>
    <x v="2"/>
  </r>
  <r>
    <n v="28651"/>
    <x v="0"/>
    <n v="66"/>
    <n v="0"/>
    <n v="0"/>
    <x v="1"/>
    <x v="0"/>
    <x v="0"/>
    <x v="0"/>
    <n v="247.48"/>
    <n v="33.5"/>
    <x v="2"/>
    <n v="0"/>
    <x v="0"/>
    <x v="0"/>
  </r>
  <r>
    <n v="45033"/>
    <x v="0"/>
    <n v="59"/>
    <n v="0"/>
    <n v="0"/>
    <x v="2"/>
    <x v="0"/>
    <x v="2"/>
    <x v="0"/>
    <n v="216"/>
    <n v="36.700000000000003"/>
    <x v="2"/>
    <n v="0"/>
    <x v="1"/>
    <x v="0"/>
  </r>
  <r>
    <n v="32166"/>
    <x v="0"/>
    <n v="47"/>
    <n v="1"/>
    <n v="0"/>
    <x v="2"/>
    <x v="0"/>
    <x v="0"/>
    <x v="0"/>
    <n v="75.64"/>
    <n v="24.4"/>
    <x v="1"/>
    <n v="0"/>
    <x v="1"/>
    <x v="2"/>
  </r>
  <r>
    <n v="34188"/>
    <x v="1"/>
    <n v="47"/>
    <n v="0"/>
    <n v="0"/>
    <x v="2"/>
    <x v="0"/>
    <x v="2"/>
    <x v="0"/>
    <n v="95.07"/>
    <n v="38.799999999999997"/>
    <x v="0"/>
    <n v="0"/>
    <x v="1"/>
    <x v="0"/>
  </r>
  <r>
    <n v="58359"/>
    <x v="1"/>
    <n v="71"/>
    <n v="1"/>
    <n v="0"/>
    <x v="0"/>
    <x v="0"/>
    <x v="0"/>
    <x v="0"/>
    <n v="129.97"/>
    <n v="44.2"/>
    <x v="2"/>
    <n v="0"/>
    <x v="0"/>
    <x v="0"/>
  </r>
  <r>
    <n v="59347"/>
    <x v="0"/>
    <n v="62"/>
    <n v="0"/>
    <n v="0"/>
    <x v="1"/>
    <x v="0"/>
    <x v="0"/>
    <x v="0"/>
    <n v="124.26"/>
    <n v="33.4"/>
    <x v="1"/>
    <n v="0"/>
    <x v="0"/>
    <x v="0"/>
  </r>
  <r>
    <n v="12849"/>
    <x v="1"/>
    <n v="28"/>
    <n v="0"/>
    <n v="0"/>
    <x v="2"/>
    <x v="0"/>
    <x v="0"/>
    <x v="0"/>
    <n v="87.92"/>
    <n v="32.5"/>
    <x v="3"/>
    <n v="0"/>
    <x v="2"/>
    <x v="0"/>
  </r>
  <r>
    <n v="6104"/>
    <x v="1"/>
    <n v="7"/>
    <n v="0"/>
    <n v="0"/>
    <x v="2"/>
    <x v="1"/>
    <x v="3"/>
    <x v="1"/>
    <n v="85.15"/>
    <n v="15.1"/>
    <x v="3"/>
    <n v="0"/>
    <x v="2"/>
    <x v="4"/>
  </r>
  <r>
    <n v="29694"/>
    <x v="1"/>
    <n v="68"/>
    <n v="0"/>
    <n v="0"/>
    <x v="1"/>
    <x v="0"/>
    <x v="0"/>
    <x v="1"/>
    <n v="95.36"/>
    <n v="21.5"/>
    <x v="2"/>
    <n v="0"/>
    <x v="0"/>
    <x v="2"/>
  </r>
  <r>
    <n v="30806"/>
    <x v="0"/>
    <n v="37"/>
    <n v="0"/>
    <n v="0"/>
    <x v="2"/>
    <x v="0"/>
    <x v="1"/>
    <x v="0"/>
    <n v="87.16"/>
    <n v="30.4"/>
    <x v="0"/>
    <n v="0"/>
    <x v="2"/>
    <x v="0"/>
  </r>
  <r>
    <n v="20316"/>
    <x v="1"/>
    <n v="75"/>
    <n v="0"/>
    <n v="0"/>
    <x v="1"/>
    <x v="0"/>
    <x v="2"/>
    <x v="1"/>
    <n v="219.39"/>
    <n v="33.4"/>
    <x v="2"/>
    <n v="0"/>
    <x v="0"/>
    <x v="0"/>
  </r>
  <r>
    <n v="58253"/>
    <x v="0"/>
    <n v="5"/>
    <n v="0"/>
    <n v="0"/>
    <x v="2"/>
    <x v="1"/>
    <x v="3"/>
    <x v="0"/>
    <n v="71.92"/>
    <n v="18.2"/>
    <x v="3"/>
    <n v="0"/>
    <x v="2"/>
    <x v="4"/>
  </r>
  <r>
    <n v="57679"/>
    <x v="0"/>
    <n v="1.08"/>
    <n v="0"/>
    <n v="0"/>
    <x v="2"/>
    <x v="1"/>
    <x v="3"/>
    <x v="0"/>
    <n v="167.66"/>
    <n v="18.7"/>
    <x v="3"/>
    <n v="0"/>
    <x v="2"/>
    <x v="2"/>
  </r>
  <r>
    <n v="39956"/>
    <x v="1"/>
    <n v="34"/>
    <n v="0"/>
    <n v="0"/>
    <x v="2"/>
    <x v="1"/>
    <x v="0"/>
    <x v="1"/>
    <n v="87.21"/>
    <n v="38.4"/>
    <x v="3"/>
    <n v="0"/>
    <x v="2"/>
    <x v="0"/>
  </r>
  <r>
    <n v="7683"/>
    <x v="0"/>
    <n v="49"/>
    <n v="0"/>
    <n v="0"/>
    <x v="2"/>
    <x v="0"/>
    <x v="1"/>
    <x v="1"/>
    <n v="220.47"/>
    <n v="36.4"/>
    <x v="2"/>
    <n v="0"/>
    <x v="1"/>
    <x v="0"/>
  </r>
  <r>
    <n v="9197"/>
    <x v="1"/>
    <n v="8"/>
    <n v="0"/>
    <n v="0"/>
    <x v="2"/>
    <x v="1"/>
    <x v="3"/>
    <x v="0"/>
    <n v="80.47"/>
    <n v="20.6"/>
    <x v="3"/>
    <n v="0"/>
    <x v="2"/>
    <x v="2"/>
  </r>
  <r>
    <n v="58543"/>
    <x v="1"/>
    <n v="50"/>
    <n v="0"/>
    <n v="0"/>
    <x v="2"/>
    <x v="0"/>
    <x v="2"/>
    <x v="0"/>
    <n v="89.95"/>
    <n v="48.9"/>
    <x v="0"/>
    <n v="0"/>
    <x v="1"/>
    <x v="0"/>
  </r>
  <r>
    <n v="6968"/>
    <x v="0"/>
    <n v="2"/>
    <n v="0"/>
    <n v="0"/>
    <x v="2"/>
    <x v="1"/>
    <x v="3"/>
    <x v="1"/>
    <n v="111.32"/>
    <n v="18.2"/>
    <x v="3"/>
    <n v="0"/>
    <x v="2"/>
    <x v="4"/>
  </r>
  <r>
    <n v="35838"/>
    <x v="1"/>
    <n v="1.1599999999999999"/>
    <n v="0"/>
    <n v="0"/>
    <x v="2"/>
    <x v="1"/>
    <x v="3"/>
    <x v="0"/>
    <n v="65.010000000000005"/>
    <n v="17"/>
    <x v="3"/>
    <n v="0"/>
    <x v="2"/>
    <x v="4"/>
  </r>
  <r>
    <n v="57549"/>
    <x v="1"/>
    <n v="76"/>
    <n v="0"/>
    <n v="0"/>
    <x v="1"/>
    <x v="0"/>
    <x v="1"/>
    <x v="0"/>
    <n v="110.07"/>
    <n v="31.8"/>
    <x v="1"/>
    <n v="0"/>
    <x v="0"/>
    <x v="0"/>
  </r>
  <r>
    <n v="59200"/>
    <x v="0"/>
    <n v="18"/>
    <n v="0"/>
    <n v="0"/>
    <x v="2"/>
    <x v="1"/>
    <x v="0"/>
    <x v="0"/>
    <n v="60.56"/>
    <n v="33"/>
    <x v="1"/>
    <n v="0"/>
    <x v="2"/>
    <x v="0"/>
  </r>
  <r>
    <n v="24289"/>
    <x v="0"/>
    <n v="82"/>
    <n v="0"/>
    <n v="0"/>
    <x v="1"/>
    <x v="0"/>
    <x v="0"/>
    <x v="0"/>
    <n v="89.83"/>
    <n v="24.7"/>
    <x v="2"/>
    <n v="0"/>
    <x v="0"/>
    <x v="2"/>
  </r>
  <r>
    <n v="6206"/>
    <x v="1"/>
    <n v="67"/>
    <n v="0"/>
    <n v="0"/>
    <x v="1"/>
    <x v="0"/>
    <x v="1"/>
    <x v="1"/>
    <n v="90.35"/>
    <n v="28.1"/>
    <x v="3"/>
    <n v="0"/>
    <x v="0"/>
    <x v="3"/>
  </r>
  <r>
    <n v="28227"/>
    <x v="1"/>
    <n v="27"/>
    <n v="0"/>
    <n v="0"/>
    <x v="2"/>
    <x v="0"/>
    <x v="0"/>
    <x v="0"/>
    <n v="71.5"/>
    <n v="40.299999999999997"/>
    <x v="2"/>
    <n v="0"/>
    <x v="2"/>
    <x v="0"/>
  </r>
  <r>
    <n v="35229"/>
    <x v="0"/>
    <n v="57"/>
    <n v="0"/>
    <n v="0"/>
    <x v="2"/>
    <x v="0"/>
    <x v="2"/>
    <x v="0"/>
    <n v="71.709999999999994"/>
    <n v="35.200000000000003"/>
    <x v="2"/>
    <n v="0"/>
    <x v="1"/>
    <x v="0"/>
  </r>
  <r>
    <n v="23176"/>
    <x v="1"/>
    <n v="51"/>
    <n v="1"/>
    <n v="0"/>
    <x v="2"/>
    <x v="0"/>
    <x v="0"/>
    <x v="0"/>
    <n v="173.96"/>
    <n v="31.2"/>
    <x v="0"/>
    <n v="0"/>
    <x v="1"/>
    <x v="0"/>
  </r>
  <r>
    <n v="3045"/>
    <x v="0"/>
    <n v="68"/>
    <n v="1"/>
    <n v="0"/>
    <x v="0"/>
    <x v="0"/>
    <x v="0"/>
    <x v="0"/>
    <n v="96.06"/>
    <n v="37.6"/>
    <x v="1"/>
    <n v="0"/>
    <x v="0"/>
    <x v="0"/>
  </r>
  <r>
    <n v="22386"/>
    <x v="1"/>
    <n v="56"/>
    <n v="0"/>
    <n v="0"/>
    <x v="2"/>
    <x v="0"/>
    <x v="0"/>
    <x v="0"/>
    <n v="113.2"/>
    <n v="38.700000000000003"/>
    <x v="2"/>
    <n v="0"/>
    <x v="1"/>
    <x v="0"/>
  </r>
  <r>
    <n v="1077"/>
    <x v="0"/>
    <n v="77"/>
    <n v="0"/>
    <n v="1"/>
    <x v="0"/>
    <x v="0"/>
    <x v="2"/>
    <x v="1"/>
    <n v="106.03"/>
    <s v="N/A"/>
    <x v="3"/>
    <n v="0"/>
    <x v="0"/>
    <x v="1"/>
  </r>
  <r>
    <n v="57903"/>
    <x v="1"/>
    <n v="52"/>
    <n v="1"/>
    <n v="0"/>
    <x v="2"/>
    <x v="0"/>
    <x v="1"/>
    <x v="1"/>
    <n v="111.38"/>
    <s v="N/A"/>
    <x v="2"/>
    <n v="0"/>
    <x v="1"/>
    <x v="1"/>
  </r>
  <r>
    <n v="22108"/>
    <x v="1"/>
    <n v="18"/>
    <n v="0"/>
    <n v="0"/>
    <x v="2"/>
    <x v="1"/>
    <x v="0"/>
    <x v="1"/>
    <n v="73.290000000000006"/>
    <n v="28.1"/>
    <x v="2"/>
    <n v="0"/>
    <x v="2"/>
    <x v="3"/>
  </r>
  <r>
    <n v="55982"/>
    <x v="1"/>
    <n v="63"/>
    <n v="0"/>
    <n v="0"/>
    <x v="1"/>
    <x v="0"/>
    <x v="1"/>
    <x v="0"/>
    <n v="65.709999999999994"/>
    <n v="29.2"/>
    <x v="2"/>
    <n v="0"/>
    <x v="0"/>
    <x v="3"/>
  </r>
  <r>
    <n v="55465"/>
    <x v="1"/>
    <n v="31"/>
    <n v="0"/>
    <n v="0"/>
    <x v="2"/>
    <x v="0"/>
    <x v="0"/>
    <x v="1"/>
    <n v="60.41"/>
    <n v="31.1"/>
    <x v="3"/>
    <n v="0"/>
    <x v="2"/>
    <x v="0"/>
  </r>
  <r>
    <n v="29258"/>
    <x v="1"/>
    <n v="37"/>
    <n v="0"/>
    <n v="0"/>
    <x v="2"/>
    <x v="1"/>
    <x v="0"/>
    <x v="0"/>
    <n v="89.11"/>
    <n v="24.1"/>
    <x v="1"/>
    <n v="0"/>
    <x v="2"/>
    <x v="2"/>
  </r>
  <r>
    <n v="38432"/>
    <x v="1"/>
    <n v="64"/>
    <n v="0"/>
    <n v="0"/>
    <x v="1"/>
    <x v="0"/>
    <x v="0"/>
    <x v="0"/>
    <n v="63.32"/>
    <n v="18.7"/>
    <x v="0"/>
    <n v="0"/>
    <x v="0"/>
    <x v="2"/>
  </r>
  <r>
    <n v="49666"/>
    <x v="0"/>
    <n v="47"/>
    <n v="0"/>
    <n v="0"/>
    <x v="2"/>
    <x v="0"/>
    <x v="1"/>
    <x v="0"/>
    <n v="85.68"/>
    <n v="39.6"/>
    <x v="1"/>
    <n v="0"/>
    <x v="1"/>
    <x v="0"/>
  </r>
  <r>
    <n v="59904"/>
    <x v="1"/>
    <n v="1.8"/>
    <n v="0"/>
    <n v="0"/>
    <x v="2"/>
    <x v="1"/>
    <x v="3"/>
    <x v="0"/>
    <n v="162.93"/>
    <n v="15.7"/>
    <x v="3"/>
    <n v="0"/>
    <x v="2"/>
    <x v="4"/>
  </r>
  <r>
    <n v="32365"/>
    <x v="0"/>
    <n v="42"/>
    <n v="0"/>
    <n v="0"/>
    <x v="2"/>
    <x v="0"/>
    <x v="0"/>
    <x v="1"/>
    <n v="89.22"/>
    <n v="53.8"/>
    <x v="3"/>
    <n v="0"/>
    <x v="1"/>
    <x v="0"/>
  </r>
  <r>
    <n v="15351"/>
    <x v="0"/>
    <n v="37"/>
    <n v="0"/>
    <n v="0"/>
    <x v="2"/>
    <x v="0"/>
    <x v="0"/>
    <x v="1"/>
    <n v="91.68"/>
    <n v="32.4"/>
    <x v="0"/>
    <n v="0"/>
    <x v="2"/>
    <x v="0"/>
  </r>
  <r>
    <n v="61000"/>
    <x v="1"/>
    <n v="69"/>
    <n v="0"/>
    <n v="1"/>
    <x v="0"/>
    <x v="1"/>
    <x v="0"/>
    <x v="0"/>
    <n v="198.33"/>
    <n v="42.7"/>
    <x v="2"/>
    <n v="0"/>
    <x v="0"/>
    <x v="0"/>
  </r>
  <r>
    <n v="77"/>
    <x v="1"/>
    <n v="13"/>
    <n v="0"/>
    <n v="0"/>
    <x v="2"/>
    <x v="1"/>
    <x v="3"/>
    <x v="1"/>
    <n v="85.81"/>
    <n v="18.600000000000001"/>
    <x v="3"/>
    <n v="0"/>
    <x v="2"/>
    <x v="2"/>
  </r>
  <r>
    <n v="17466"/>
    <x v="0"/>
    <n v="73"/>
    <n v="0"/>
    <n v="0"/>
    <x v="1"/>
    <x v="1"/>
    <x v="2"/>
    <x v="1"/>
    <n v="79.59"/>
    <n v="31.4"/>
    <x v="2"/>
    <n v="0"/>
    <x v="0"/>
    <x v="0"/>
  </r>
  <r>
    <n v="57569"/>
    <x v="0"/>
    <n v="48"/>
    <n v="0"/>
    <n v="0"/>
    <x v="2"/>
    <x v="0"/>
    <x v="0"/>
    <x v="1"/>
    <n v="106.74"/>
    <n v="33.700000000000003"/>
    <x v="0"/>
    <n v="0"/>
    <x v="1"/>
    <x v="0"/>
  </r>
  <r>
    <n v="9026"/>
    <x v="1"/>
    <n v="78"/>
    <n v="1"/>
    <n v="0"/>
    <x v="0"/>
    <x v="0"/>
    <x v="1"/>
    <x v="0"/>
    <n v="191.33"/>
    <n v="24.5"/>
    <x v="1"/>
    <n v="0"/>
    <x v="0"/>
    <x v="2"/>
  </r>
  <r>
    <n v="54590"/>
    <x v="1"/>
    <n v="21"/>
    <n v="0"/>
    <n v="0"/>
    <x v="2"/>
    <x v="1"/>
    <x v="0"/>
    <x v="1"/>
    <n v="59.52"/>
    <n v="33.700000000000003"/>
    <x v="1"/>
    <n v="0"/>
    <x v="2"/>
    <x v="0"/>
  </r>
  <r>
    <n v="54301"/>
    <x v="0"/>
    <n v="54"/>
    <n v="0"/>
    <n v="0"/>
    <x v="2"/>
    <x v="0"/>
    <x v="0"/>
    <x v="1"/>
    <n v="206.52"/>
    <n v="35.4"/>
    <x v="2"/>
    <n v="0"/>
    <x v="1"/>
    <x v="0"/>
  </r>
  <r>
    <n v="170"/>
    <x v="0"/>
    <n v="43"/>
    <n v="0"/>
    <n v="0"/>
    <x v="2"/>
    <x v="0"/>
    <x v="2"/>
    <x v="1"/>
    <n v="80.069999999999993"/>
    <s v="N/A"/>
    <x v="1"/>
    <n v="0"/>
    <x v="1"/>
    <x v="1"/>
  </r>
  <r>
    <n v="52554"/>
    <x v="0"/>
    <n v="19"/>
    <n v="0"/>
    <n v="0"/>
    <x v="2"/>
    <x v="1"/>
    <x v="0"/>
    <x v="1"/>
    <n v="64.92"/>
    <n v="22.5"/>
    <x v="3"/>
    <n v="0"/>
    <x v="2"/>
    <x v="2"/>
  </r>
  <r>
    <n v="10649"/>
    <x v="1"/>
    <n v="82"/>
    <n v="0"/>
    <n v="0"/>
    <x v="1"/>
    <x v="0"/>
    <x v="0"/>
    <x v="0"/>
    <n v="80"/>
    <n v="33.6"/>
    <x v="1"/>
    <n v="0"/>
    <x v="0"/>
    <x v="0"/>
  </r>
  <r>
    <n v="28258"/>
    <x v="1"/>
    <n v="80"/>
    <n v="0"/>
    <n v="0"/>
    <x v="1"/>
    <x v="0"/>
    <x v="1"/>
    <x v="0"/>
    <n v="75.06"/>
    <n v="29.7"/>
    <x v="3"/>
    <n v="0"/>
    <x v="0"/>
    <x v="3"/>
  </r>
  <r>
    <n v="22269"/>
    <x v="1"/>
    <n v="69"/>
    <n v="1"/>
    <n v="0"/>
    <x v="0"/>
    <x v="0"/>
    <x v="2"/>
    <x v="0"/>
    <n v="112.2"/>
    <s v="N/A"/>
    <x v="1"/>
    <n v="0"/>
    <x v="0"/>
    <x v="1"/>
  </r>
  <r>
    <n v="12557"/>
    <x v="1"/>
    <n v="21"/>
    <n v="0"/>
    <n v="0"/>
    <x v="2"/>
    <x v="1"/>
    <x v="1"/>
    <x v="0"/>
    <n v="91.18"/>
    <n v="25.7"/>
    <x v="1"/>
    <n v="0"/>
    <x v="2"/>
    <x v="3"/>
  </r>
  <r>
    <n v="2846"/>
    <x v="1"/>
    <n v="46"/>
    <n v="0"/>
    <n v="0"/>
    <x v="2"/>
    <x v="0"/>
    <x v="0"/>
    <x v="1"/>
    <n v="85.81"/>
    <n v="20.2"/>
    <x v="0"/>
    <n v="0"/>
    <x v="1"/>
    <x v="2"/>
  </r>
  <r>
    <n v="61219"/>
    <x v="1"/>
    <n v="14"/>
    <n v="0"/>
    <n v="0"/>
    <x v="2"/>
    <x v="1"/>
    <x v="4"/>
    <x v="0"/>
    <n v="148.37"/>
    <n v="22.7"/>
    <x v="1"/>
    <n v="0"/>
    <x v="2"/>
    <x v="2"/>
  </r>
  <r>
    <n v="65321"/>
    <x v="0"/>
    <n v="6"/>
    <n v="0"/>
    <n v="0"/>
    <x v="2"/>
    <x v="1"/>
    <x v="3"/>
    <x v="1"/>
    <n v="64.55"/>
    <n v="17.399999999999999"/>
    <x v="3"/>
    <n v="0"/>
    <x v="2"/>
    <x v="4"/>
  </r>
  <r>
    <n v="23946"/>
    <x v="1"/>
    <n v="3"/>
    <n v="0"/>
    <n v="0"/>
    <x v="2"/>
    <x v="1"/>
    <x v="3"/>
    <x v="1"/>
    <n v="97.31"/>
    <n v="22.2"/>
    <x v="3"/>
    <n v="0"/>
    <x v="2"/>
    <x v="2"/>
  </r>
  <r>
    <n v="56312"/>
    <x v="0"/>
    <n v="47"/>
    <n v="0"/>
    <n v="0"/>
    <x v="2"/>
    <x v="1"/>
    <x v="0"/>
    <x v="1"/>
    <n v="111.15"/>
    <n v="23.8"/>
    <x v="1"/>
    <n v="0"/>
    <x v="1"/>
    <x v="2"/>
  </r>
  <r>
    <n v="20256"/>
    <x v="0"/>
    <n v="34"/>
    <n v="0"/>
    <n v="0"/>
    <x v="2"/>
    <x v="0"/>
    <x v="0"/>
    <x v="0"/>
    <n v="80.97"/>
    <n v="28.7"/>
    <x v="1"/>
    <n v="0"/>
    <x v="2"/>
    <x v="3"/>
  </r>
  <r>
    <n v="26993"/>
    <x v="1"/>
    <n v="41"/>
    <n v="0"/>
    <n v="0"/>
    <x v="2"/>
    <x v="0"/>
    <x v="0"/>
    <x v="1"/>
    <n v="89.88"/>
    <n v="33.1"/>
    <x v="0"/>
    <n v="0"/>
    <x v="1"/>
    <x v="0"/>
  </r>
  <r>
    <n v="58599"/>
    <x v="1"/>
    <n v="67"/>
    <n v="0"/>
    <n v="0"/>
    <x v="1"/>
    <x v="0"/>
    <x v="0"/>
    <x v="1"/>
    <n v="62.66"/>
    <n v="28"/>
    <x v="0"/>
    <n v="0"/>
    <x v="0"/>
    <x v="3"/>
  </r>
  <r>
    <n v="27849"/>
    <x v="1"/>
    <n v="5"/>
    <n v="0"/>
    <n v="0"/>
    <x v="2"/>
    <x v="1"/>
    <x v="3"/>
    <x v="0"/>
    <n v="122.25"/>
    <n v="16.7"/>
    <x v="3"/>
    <n v="0"/>
    <x v="2"/>
    <x v="4"/>
  </r>
  <r>
    <n v="33367"/>
    <x v="0"/>
    <n v="20"/>
    <n v="0"/>
    <n v="0"/>
    <x v="2"/>
    <x v="1"/>
    <x v="0"/>
    <x v="1"/>
    <n v="87.08"/>
    <n v="27.1"/>
    <x v="1"/>
    <n v="0"/>
    <x v="2"/>
    <x v="3"/>
  </r>
  <r>
    <n v="61764"/>
    <x v="1"/>
    <n v="63"/>
    <n v="0"/>
    <n v="0"/>
    <x v="1"/>
    <x v="0"/>
    <x v="0"/>
    <x v="1"/>
    <n v="85"/>
    <n v="26.4"/>
    <x v="2"/>
    <n v="0"/>
    <x v="0"/>
    <x v="3"/>
  </r>
  <r>
    <n v="13620"/>
    <x v="1"/>
    <n v="73"/>
    <n v="0"/>
    <n v="0"/>
    <x v="1"/>
    <x v="0"/>
    <x v="1"/>
    <x v="0"/>
    <n v="100.49"/>
    <n v="23.7"/>
    <x v="2"/>
    <n v="0"/>
    <x v="0"/>
    <x v="2"/>
  </r>
  <r>
    <n v="39308"/>
    <x v="0"/>
    <n v="62"/>
    <n v="0"/>
    <n v="0"/>
    <x v="1"/>
    <x v="0"/>
    <x v="0"/>
    <x v="0"/>
    <n v="145.37"/>
    <n v="33.299999999999997"/>
    <x v="3"/>
    <n v="0"/>
    <x v="0"/>
    <x v="0"/>
  </r>
  <r>
    <n v="1275"/>
    <x v="0"/>
    <n v="0.88"/>
    <n v="0"/>
    <n v="0"/>
    <x v="2"/>
    <x v="1"/>
    <x v="3"/>
    <x v="0"/>
    <n v="112.19"/>
    <n v="18.899999999999999"/>
    <x v="3"/>
    <n v="0"/>
    <x v="2"/>
    <x v="2"/>
  </r>
  <r>
    <n v="34336"/>
    <x v="0"/>
    <n v="50"/>
    <n v="1"/>
    <n v="0"/>
    <x v="2"/>
    <x v="0"/>
    <x v="2"/>
    <x v="1"/>
    <n v="79.73"/>
    <n v="25.5"/>
    <x v="2"/>
    <n v="0"/>
    <x v="1"/>
    <x v="3"/>
  </r>
  <r>
    <n v="1505"/>
    <x v="0"/>
    <n v="71"/>
    <n v="0"/>
    <n v="1"/>
    <x v="0"/>
    <x v="0"/>
    <x v="1"/>
    <x v="1"/>
    <n v="101.13"/>
    <n v="35.9"/>
    <x v="0"/>
    <n v="0"/>
    <x v="0"/>
    <x v="0"/>
  </r>
  <r>
    <n v="31887"/>
    <x v="1"/>
    <n v="30"/>
    <n v="0"/>
    <n v="0"/>
    <x v="2"/>
    <x v="0"/>
    <x v="0"/>
    <x v="0"/>
    <n v="101.98"/>
    <n v="23.2"/>
    <x v="3"/>
    <n v="0"/>
    <x v="2"/>
    <x v="2"/>
  </r>
  <r>
    <n v="60258"/>
    <x v="1"/>
    <n v="80"/>
    <n v="0"/>
    <n v="1"/>
    <x v="0"/>
    <x v="0"/>
    <x v="1"/>
    <x v="1"/>
    <n v="98.39"/>
    <n v="22.2"/>
    <x v="2"/>
    <n v="0"/>
    <x v="0"/>
    <x v="2"/>
  </r>
  <r>
    <n v="63450"/>
    <x v="1"/>
    <n v="64"/>
    <n v="0"/>
    <n v="0"/>
    <x v="1"/>
    <x v="0"/>
    <x v="1"/>
    <x v="1"/>
    <n v="128.04"/>
    <n v="34"/>
    <x v="2"/>
    <n v="0"/>
    <x v="0"/>
    <x v="0"/>
  </r>
  <r>
    <n v="35178"/>
    <x v="0"/>
    <n v="7"/>
    <n v="0"/>
    <n v="0"/>
    <x v="2"/>
    <x v="1"/>
    <x v="3"/>
    <x v="0"/>
    <n v="98.12"/>
    <n v="20.399999999999999"/>
    <x v="3"/>
    <n v="0"/>
    <x v="2"/>
    <x v="2"/>
  </r>
  <r>
    <n v="3099"/>
    <x v="1"/>
    <n v="36"/>
    <n v="0"/>
    <n v="0"/>
    <x v="2"/>
    <x v="1"/>
    <x v="0"/>
    <x v="0"/>
    <n v="216.96"/>
    <n v="34.5"/>
    <x v="3"/>
    <n v="0"/>
    <x v="2"/>
    <x v="0"/>
  </r>
  <r>
    <n v="43903"/>
    <x v="0"/>
    <n v="79"/>
    <n v="0"/>
    <n v="0"/>
    <x v="1"/>
    <x v="0"/>
    <x v="1"/>
    <x v="1"/>
    <n v="94.92"/>
    <n v="31.9"/>
    <x v="3"/>
    <n v="0"/>
    <x v="0"/>
    <x v="0"/>
  </r>
  <r>
    <n v="9013"/>
    <x v="1"/>
    <n v="35"/>
    <n v="0"/>
    <n v="0"/>
    <x v="2"/>
    <x v="0"/>
    <x v="0"/>
    <x v="1"/>
    <n v="83.27"/>
    <n v="19.8"/>
    <x v="0"/>
    <n v="0"/>
    <x v="2"/>
    <x v="2"/>
  </r>
  <r>
    <n v="60158"/>
    <x v="1"/>
    <n v="28"/>
    <n v="0"/>
    <n v="0"/>
    <x v="2"/>
    <x v="1"/>
    <x v="0"/>
    <x v="1"/>
    <n v="96.86"/>
    <n v="29"/>
    <x v="3"/>
    <n v="0"/>
    <x v="2"/>
    <x v="3"/>
  </r>
  <r>
    <n v="15579"/>
    <x v="0"/>
    <n v="72"/>
    <n v="0"/>
    <n v="0"/>
    <x v="1"/>
    <x v="0"/>
    <x v="1"/>
    <x v="1"/>
    <n v="99.73"/>
    <n v="36.700000000000003"/>
    <x v="0"/>
    <n v="0"/>
    <x v="0"/>
    <x v="0"/>
  </r>
  <r>
    <n v="8563"/>
    <x v="1"/>
    <n v="12"/>
    <n v="0"/>
    <n v="0"/>
    <x v="2"/>
    <x v="1"/>
    <x v="3"/>
    <x v="1"/>
    <n v="91.71"/>
    <n v="21.3"/>
    <x v="3"/>
    <n v="0"/>
    <x v="2"/>
    <x v="2"/>
  </r>
  <r>
    <n v="61573"/>
    <x v="0"/>
    <n v="25"/>
    <n v="0"/>
    <n v="0"/>
    <x v="2"/>
    <x v="1"/>
    <x v="0"/>
    <x v="1"/>
    <n v="65.77"/>
    <n v="23.7"/>
    <x v="2"/>
    <n v="0"/>
    <x v="2"/>
    <x v="2"/>
  </r>
  <r>
    <n v="43827"/>
    <x v="1"/>
    <n v="27"/>
    <n v="0"/>
    <n v="0"/>
    <x v="2"/>
    <x v="0"/>
    <x v="0"/>
    <x v="0"/>
    <n v="161.57"/>
    <n v="25.7"/>
    <x v="2"/>
    <n v="0"/>
    <x v="2"/>
    <x v="3"/>
  </r>
  <r>
    <n v="43090"/>
    <x v="1"/>
    <n v="62"/>
    <n v="1"/>
    <n v="0"/>
    <x v="0"/>
    <x v="0"/>
    <x v="1"/>
    <x v="1"/>
    <n v="74.319999999999993"/>
    <n v="34"/>
    <x v="1"/>
    <n v="0"/>
    <x v="0"/>
    <x v="0"/>
  </r>
  <r>
    <n v="46068"/>
    <x v="0"/>
    <n v="58"/>
    <n v="0"/>
    <n v="0"/>
    <x v="2"/>
    <x v="1"/>
    <x v="1"/>
    <x v="1"/>
    <n v="170.93"/>
    <n v="30.7"/>
    <x v="3"/>
    <n v="0"/>
    <x v="1"/>
    <x v="0"/>
  </r>
  <r>
    <n v="12469"/>
    <x v="1"/>
    <n v="30"/>
    <n v="0"/>
    <n v="0"/>
    <x v="2"/>
    <x v="0"/>
    <x v="0"/>
    <x v="0"/>
    <n v="74.430000000000007"/>
    <n v="44.8"/>
    <x v="1"/>
    <n v="0"/>
    <x v="2"/>
    <x v="0"/>
  </r>
  <r>
    <n v="58820"/>
    <x v="0"/>
    <n v="56"/>
    <n v="0"/>
    <n v="0"/>
    <x v="2"/>
    <x v="0"/>
    <x v="0"/>
    <x v="1"/>
    <n v="86.36"/>
    <n v="27.7"/>
    <x v="0"/>
    <n v="0"/>
    <x v="1"/>
    <x v="3"/>
  </r>
  <r>
    <n v="31893"/>
    <x v="1"/>
    <n v="28"/>
    <n v="0"/>
    <n v="0"/>
    <x v="2"/>
    <x v="0"/>
    <x v="0"/>
    <x v="1"/>
    <n v="97.06"/>
    <n v="23.2"/>
    <x v="3"/>
    <n v="0"/>
    <x v="2"/>
    <x v="2"/>
  </r>
  <r>
    <n v="45259"/>
    <x v="0"/>
    <n v="47"/>
    <n v="0"/>
    <n v="0"/>
    <x v="2"/>
    <x v="0"/>
    <x v="0"/>
    <x v="1"/>
    <n v="110.38"/>
    <n v="30.1"/>
    <x v="3"/>
    <n v="0"/>
    <x v="1"/>
    <x v="0"/>
  </r>
  <r>
    <n v="63779"/>
    <x v="1"/>
    <n v="16"/>
    <n v="0"/>
    <n v="0"/>
    <x v="2"/>
    <x v="1"/>
    <x v="0"/>
    <x v="1"/>
    <n v="79.03"/>
    <n v="29.3"/>
    <x v="3"/>
    <n v="0"/>
    <x v="2"/>
    <x v="3"/>
  </r>
  <r>
    <n v="71250"/>
    <x v="1"/>
    <n v="29"/>
    <n v="0"/>
    <n v="0"/>
    <x v="2"/>
    <x v="0"/>
    <x v="0"/>
    <x v="1"/>
    <n v="62.48"/>
    <n v="29.5"/>
    <x v="1"/>
    <n v="0"/>
    <x v="2"/>
    <x v="3"/>
  </r>
  <r>
    <n v="55051"/>
    <x v="0"/>
    <n v="26"/>
    <n v="0"/>
    <n v="0"/>
    <x v="2"/>
    <x v="0"/>
    <x v="0"/>
    <x v="1"/>
    <n v="55.62"/>
    <n v="25.8"/>
    <x v="1"/>
    <n v="0"/>
    <x v="2"/>
    <x v="3"/>
  </r>
  <r>
    <n v="2520"/>
    <x v="1"/>
    <n v="26"/>
    <n v="0"/>
    <n v="0"/>
    <x v="2"/>
    <x v="0"/>
    <x v="0"/>
    <x v="1"/>
    <n v="84.9"/>
    <n v="26.2"/>
    <x v="1"/>
    <n v="0"/>
    <x v="2"/>
    <x v="3"/>
  </r>
  <r>
    <n v="3715"/>
    <x v="0"/>
    <n v="55"/>
    <n v="0"/>
    <n v="0"/>
    <x v="2"/>
    <x v="0"/>
    <x v="0"/>
    <x v="1"/>
    <n v="232.81"/>
    <n v="28.8"/>
    <x v="3"/>
    <n v="0"/>
    <x v="1"/>
    <x v="3"/>
  </r>
  <r>
    <n v="21206"/>
    <x v="1"/>
    <n v="29"/>
    <n v="0"/>
    <n v="0"/>
    <x v="2"/>
    <x v="1"/>
    <x v="0"/>
    <x v="1"/>
    <n v="86.55"/>
    <n v="29.8"/>
    <x v="2"/>
    <n v="0"/>
    <x v="2"/>
    <x v="3"/>
  </r>
  <r>
    <n v="60159"/>
    <x v="1"/>
    <n v="29"/>
    <n v="0"/>
    <n v="0"/>
    <x v="2"/>
    <x v="1"/>
    <x v="2"/>
    <x v="1"/>
    <n v="118.61"/>
    <n v="26.5"/>
    <x v="1"/>
    <n v="0"/>
    <x v="2"/>
    <x v="3"/>
  </r>
  <r>
    <n v="3113"/>
    <x v="1"/>
    <n v="33"/>
    <n v="0"/>
    <n v="0"/>
    <x v="2"/>
    <x v="1"/>
    <x v="0"/>
    <x v="1"/>
    <n v="80.209999999999994"/>
    <n v="27.8"/>
    <x v="0"/>
    <n v="0"/>
    <x v="2"/>
    <x v="3"/>
  </r>
  <r>
    <n v="62126"/>
    <x v="1"/>
    <n v="19"/>
    <n v="1"/>
    <n v="0"/>
    <x v="2"/>
    <x v="1"/>
    <x v="0"/>
    <x v="1"/>
    <n v="65.959999999999994"/>
    <n v="29"/>
    <x v="1"/>
    <n v="0"/>
    <x v="2"/>
    <x v="3"/>
  </r>
  <r>
    <n v="51275"/>
    <x v="1"/>
    <n v="10"/>
    <n v="0"/>
    <n v="0"/>
    <x v="2"/>
    <x v="1"/>
    <x v="3"/>
    <x v="0"/>
    <n v="61.34"/>
    <n v="19.100000000000001"/>
    <x v="3"/>
    <n v="0"/>
    <x v="2"/>
    <x v="2"/>
  </r>
  <r>
    <n v="3115"/>
    <x v="1"/>
    <n v="3"/>
    <n v="0"/>
    <n v="0"/>
    <x v="2"/>
    <x v="1"/>
    <x v="3"/>
    <x v="0"/>
    <n v="116.6"/>
    <n v="17.100000000000001"/>
    <x v="3"/>
    <n v="0"/>
    <x v="2"/>
    <x v="4"/>
  </r>
  <r>
    <n v="9986"/>
    <x v="1"/>
    <n v="60"/>
    <n v="0"/>
    <n v="0"/>
    <x v="1"/>
    <x v="0"/>
    <x v="0"/>
    <x v="0"/>
    <n v="85.13"/>
    <n v="24.6"/>
    <x v="3"/>
    <n v="0"/>
    <x v="0"/>
    <x v="2"/>
  </r>
  <r>
    <n v="35974"/>
    <x v="1"/>
    <n v="16"/>
    <n v="0"/>
    <n v="0"/>
    <x v="2"/>
    <x v="1"/>
    <x v="0"/>
    <x v="1"/>
    <n v="86.32"/>
    <n v="18.3"/>
    <x v="3"/>
    <n v="0"/>
    <x v="2"/>
    <x v="4"/>
  </r>
  <r>
    <n v="46488"/>
    <x v="0"/>
    <n v="35"/>
    <n v="0"/>
    <n v="0"/>
    <x v="2"/>
    <x v="0"/>
    <x v="0"/>
    <x v="1"/>
    <n v="69.22"/>
    <n v="42.8"/>
    <x v="1"/>
    <n v="0"/>
    <x v="2"/>
    <x v="0"/>
  </r>
  <r>
    <n v="54172"/>
    <x v="1"/>
    <n v="41"/>
    <n v="0"/>
    <n v="0"/>
    <x v="2"/>
    <x v="0"/>
    <x v="0"/>
    <x v="0"/>
    <n v="140.93"/>
    <n v="46.5"/>
    <x v="3"/>
    <n v="0"/>
    <x v="1"/>
    <x v="0"/>
  </r>
  <r>
    <n v="21804"/>
    <x v="1"/>
    <n v="19"/>
    <n v="0"/>
    <n v="0"/>
    <x v="2"/>
    <x v="1"/>
    <x v="0"/>
    <x v="0"/>
    <n v="83.43"/>
    <n v="38.4"/>
    <x v="3"/>
    <n v="0"/>
    <x v="2"/>
    <x v="0"/>
  </r>
  <r>
    <n v="50402"/>
    <x v="1"/>
    <n v="79"/>
    <n v="0"/>
    <n v="0"/>
    <x v="1"/>
    <x v="0"/>
    <x v="0"/>
    <x v="0"/>
    <n v="207.95"/>
    <n v="26"/>
    <x v="0"/>
    <n v="0"/>
    <x v="0"/>
    <x v="3"/>
  </r>
  <r>
    <n v="36317"/>
    <x v="1"/>
    <n v="41"/>
    <n v="0"/>
    <n v="0"/>
    <x v="2"/>
    <x v="0"/>
    <x v="0"/>
    <x v="1"/>
    <n v="134.29"/>
    <n v="26.8"/>
    <x v="2"/>
    <n v="0"/>
    <x v="1"/>
    <x v="3"/>
  </r>
  <r>
    <n v="44676"/>
    <x v="0"/>
    <n v="1.64"/>
    <n v="0"/>
    <n v="0"/>
    <x v="2"/>
    <x v="1"/>
    <x v="3"/>
    <x v="0"/>
    <n v="115.12"/>
    <n v="21.1"/>
    <x v="3"/>
    <n v="0"/>
    <x v="2"/>
    <x v="2"/>
  </r>
  <r>
    <n v="3724"/>
    <x v="1"/>
    <n v="51"/>
    <n v="0"/>
    <n v="0"/>
    <x v="2"/>
    <x v="0"/>
    <x v="2"/>
    <x v="0"/>
    <n v="86.25"/>
    <n v="29"/>
    <x v="1"/>
    <n v="0"/>
    <x v="1"/>
    <x v="3"/>
  </r>
  <r>
    <n v="69668"/>
    <x v="1"/>
    <n v="33"/>
    <n v="0"/>
    <n v="0"/>
    <x v="2"/>
    <x v="0"/>
    <x v="1"/>
    <x v="1"/>
    <n v="112.94"/>
    <n v="43"/>
    <x v="1"/>
    <n v="0"/>
    <x v="2"/>
    <x v="0"/>
  </r>
  <r>
    <n v="59274"/>
    <x v="1"/>
    <n v="33"/>
    <n v="0"/>
    <n v="0"/>
    <x v="2"/>
    <x v="0"/>
    <x v="2"/>
    <x v="1"/>
    <n v="73.540000000000006"/>
    <n v="36.6"/>
    <x v="2"/>
    <n v="0"/>
    <x v="2"/>
    <x v="0"/>
  </r>
  <r>
    <n v="29676"/>
    <x v="0"/>
    <n v="48"/>
    <n v="0"/>
    <n v="0"/>
    <x v="2"/>
    <x v="1"/>
    <x v="0"/>
    <x v="0"/>
    <n v="80.86"/>
    <n v="27.5"/>
    <x v="3"/>
    <n v="0"/>
    <x v="1"/>
    <x v="3"/>
  </r>
  <r>
    <n v="37655"/>
    <x v="0"/>
    <n v="45"/>
    <n v="0"/>
    <n v="0"/>
    <x v="2"/>
    <x v="0"/>
    <x v="0"/>
    <x v="1"/>
    <n v="83.91"/>
    <n v="40.200000000000003"/>
    <x v="3"/>
    <n v="0"/>
    <x v="1"/>
    <x v="0"/>
  </r>
  <r>
    <n v="16980"/>
    <x v="1"/>
    <n v="61"/>
    <n v="0"/>
    <n v="0"/>
    <x v="1"/>
    <x v="1"/>
    <x v="0"/>
    <x v="1"/>
    <n v="69.91"/>
    <n v="37.1"/>
    <x v="1"/>
    <n v="0"/>
    <x v="0"/>
    <x v="0"/>
  </r>
  <r>
    <n v="40213"/>
    <x v="0"/>
    <n v="31"/>
    <n v="0"/>
    <n v="0"/>
    <x v="2"/>
    <x v="1"/>
    <x v="0"/>
    <x v="1"/>
    <n v="95.62"/>
    <n v="32"/>
    <x v="2"/>
    <n v="0"/>
    <x v="2"/>
    <x v="0"/>
  </r>
  <r>
    <n v="47831"/>
    <x v="0"/>
    <n v="60"/>
    <n v="1"/>
    <n v="0"/>
    <x v="0"/>
    <x v="1"/>
    <x v="0"/>
    <x v="0"/>
    <n v="63.95"/>
    <n v="32.200000000000003"/>
    <x v="1"/>
    <n v="0"/>
    <x v="0"/>
    <x v="0"/>
  </r>
  <r>
    <n v="40977"/>
    <x v="0"/>
    <n v="51"/>
    <n v="0"/>
    <n v="0"/>
    <x v="2"/>
    <x v="0"/>
    <x v="0"/>
    <x v="1"/>
    <n v="122.5"/>
    <n v="20.6"/>
    <x v="3"/>
    <n v="0"/>
    <x v="1"/>
    <x v="2"/>
  </r>
  <r>
    <n v="39129"/>
    <x v="0"/>
    <n v="53"/>
    <n v="0"/>
    <n v="0"/>
    <x v="2"/>
    <x v="0"/>
    <x v="2"/>
    <x v="1"/>
    <n v="86"/>
    <n v="24.1"/>
    <x v="1"/>
    <n v="0"/>
    <x v="1"/>
    <x v="2"/>
  </r>
  <r>
    <n v="40837"/>
    <x v="0"/>
    <n v="52"/>
    <n v="0"/>
    <n v="0"/>
    <x v="2"/>
    <x v="0"/>
    <x v="2"/>
    <x v="0"/>
    <n v="120.27"/>
    <n v="25"/>
    <x v="1"/>
    <n v="0"/>
    <x v="1"/>
    <x v="3"/>
  </r>
  <r>
    <n v="59000"/>
    <x v="1"/>
    <n v="42"/>
    <n v="0"/>
    <n v="0"/>
    <x v="2"/>
    <x v="0"/>
    <x v="2"/>
    <x v="0"/>
    <n v="56.71"/>
    <n v="25.2"/>
    <x v="3"/>
    <n v="0"/>
    <x v="1"/>
    <x v="3"/>
  </r>
  <r>
    <n v="44510"/>
    <x v="1"/>
    <n v="56"/>
    <n v="0"/>
    <n v="0"/>
    <x v="2"/>
    <x v="0"/>
    <x v="0"/>
    <x v="1"/>
    <n v="131.63"/>
    <n v="27.6"/>
    <x v="1"/>
    <n v="0"/>
    <x v="1"/>
    <x v="3"/>
  </r>
  <r>
    <n v="3793"/>
    <x v="0"/>
    <n v="14"/>
    <n v="0"/>
    <n v="0"/>
    <x v="2"/>
    <x v="1"/>
    <x v="0"/>
    <x v="0"/>
    <n v="79.36"/>
    <n v="48.8"/>
    <x v="1"/>
    <n v="0"/>
    <x v="2"/>
    <x v="0"/>
  </r>
  <r>
    <n v="32215"/>
    <x v="1"/>
    <n v="40"/>
    <n v="0"/>
    <n v="0"/>
    <x v="2"/>
    <x v="1"/>
    <x v="0"/>
    <x v="0"/>
    <n v="120.77"/>
    <n v="27.6"/>
    <x v="1"/>
    <n v="0"/>
    <x v="1"/>
    <x v="3"/>
  </r>
  <r>
    <n v="35296"/>
    <x v="1"/>
    <n v="58"/>
    <n v="0"/>
    <n v="0"/>
    <x v="2"/>
    <x v="0"/>
    <x v="0"/>
    <x v="1"/>
    <n v="100.42"/>
    <n v="39.5"/>
    <x v="2"/>
    <n v="0"/>
    <x v="1"/>
    <x v="0"/>
  </r>
  <r>
    <n v="69502"/>
    <x v="1"/>
    <n v="52"/>
    <n v="1"/>
    <n v="0"/>
    <x v="2"/>
    <x v="0"/>
    <x v="0"/>
    <x v="0"/>
    <n v="155.86000000000001"/>
    <n v="27.2"/>
    <x v="2"/>
    <n v="0"/>
    <x v="1"/>
    <x v="3"/>
  </r>
  <r>
    <n v="67620"/>
    <x v="0"/>
    <n v="30"/>
    <n v="0"/>
    <n v="0"/>
    <x v="2"/>
    <x v="0"/>
    <x v="2"/>
    <x v="1"/>
    <n v="66.010000000000005"/>
    <n v="26.3"/>
    <x v="2"/>
    <n v="0"/>
    <x v="2"/>
    <x v="3"/>
  </r>
  <r>
    <n v="27664"/>
    <x v="1"/>
    <n v="47"/>
    <n v="0"/>
    <n v="0"/>
    <x v="2"/>
    <x v="0"/>
    <x v="0"/>
    <x v="0"/>
    <n v="86.99"/>
    <n v="28.9"/>
    <x v="2"/>
    <n v="0"/>
    <x v="1"/>
    <x v="3"/>
  </r>
  <r>
    <n v="49555"/>
    <x v="1"/>
    <n v="34"/>
    <n v="0"/>
    <n v="0"/>
    <x v="2"/>
    <x v="0"/>
    <x v="2"/>
    <x v="0"/>
    <n v="90.55"/>
    <n v="30"/>
    <x v="1"/>
    <n v="0"/>
    <x v="2"/>
    <x v="0"/>
  </r>
  <r>
    <n v="16812"/>
    <x v="1"/>
    <n v="82"/>
    <n v="0"/>
    <n v="1"/>
    <x v="0"/>
    <x v="0"/>
    <x v="1"/>
    <x v="1"/>
    <n v="229.58"/>
    <n v="23.7"/>
    <x v="3"/>
    <n v="0"/>
    <x v="0"/>
    <x v="2"/>
  </r>
  <r>
    <n v="63665"/>
    <x v="1"/>
    <n v="31"/>
    <n v="0"/>
    <n v="0"/>
    <x v="2"/>
    <x v="0"/>
    <x v="0"/>
    <x v="0"/>
    <n v="60.06"/>
    <n v="25.5"/>
    <x v="2"/>
    <n v="0"/>
    <x v="2"/>
    <x v="3"/>
  </r>
  <r>
    <n v="68141"/>
    <x v="1"/>
    <n v="58"/>
    <n v="0"/>
    <n v="0"/>
    <x v="2"/>
    <x v="0"/>
    <x v="0"/>
    <x v="1"/>
    <n v="65.66"/>
    <n v="24.6"/>
    <x v="0"/>
    <n v="0"/>
    <x v="1"/>
    <x v="2"/>
  </r>
  <r>
    <n v="33674"/>
    <x v="1"/>
    <n v="47"/>
    <n v="0"/>
    <n v="0"/>
    <x v="2"/>
    <x v="0"/>
    <x v="0"/>
    <x v="0"/>
    <n v="104.7"/>
    <n v="20.7"/>
    <x v="2"/>
    <n v="0"/>
    <x v="1"/>
    <x v="2"/>
  </r>
  <r>
    <n v="30432"/>
    <x v="0"/>
    <n v="65"/>
    <n v="1"/>
    <n v="0"/>
    <x v="0"/>
    <x v="0"/>
    <x v="1"/>
    <x v="0"/>
    <n v="113.86"/>
    <n v="36.4"/>
    <x v="1"/>
    <n v="0"/>
    <x v="0"/>
    <x v="0"/>
  </r>
  <r>
    <n v="10886"/>
    <x v="1"/>
    <n v="13"/>
    <n v="0"/>
    <n v="0"/>
    <x v="2"/>
    <x v="1"/>
    <x v="3"/>
    <x v="1"/>
    <n v="99.49"/>
    <n v="23.4"/>
    <x v="3"/>
    <n v="0"/>
    <x v="2"/>
    <x v="2"/>
  </r>
  <r>
    <n v="62629"/>
    <x v="0"/>
    <n v="37"/>
    <n v="1"/>
    <n v="0"/>
    <x v="2"/>
    <x v="0"/>
    <x v="0"/>
    <x v="0"/>
    <n v="165.99"/>
    <n v="32.299999999999997"/>
    <x v="1"/>
    <n v="0"/>
    <x v="2"/>
    <x v="0"/>
  </r>
  <r>
    <n v="67758"/>
    <x v="0"/>
    <n v="9"/>
    <n v="0"/>
    <n v="0"/>
    <x v="2"/>
    <x v="1"/>
    <x v="3"/>
    <x v="0"/>
    <n v="114.99"/>
    <n v="18.8"/>
    <x v="3"/>
    <n v="0"/>
    <x v="2"/>
    <x v="2"/>
  </r>
  <r>
    <n v="41244"/>
    <x v="1"/>
    <n v="7"/>
    <n v="0"/>
    <n v="0"/>
    <x v="2"/>
    <x v="1"/>
    <x v="3"/>
    <x v="0"/>
    <n v="79.58"/>
    <n v="15.5"/>
    <x v="3"/>
    <n v="0"/>
    <x v="2"/>
    <x v="4"/>
  </r>
  <r>
    <n v="50309"/>
    <x v="1"/>
    <n v="37"/>
    <n v="0"/>
    <n v="0"/>
    <x v="2"/>
    <x v="1"/>
    <x v="2"/>
    <x v="1"/>
    <n v="77.37"/>
    <n v="21.4"/>
    <x v="1"/>
    <n v="0"/>
    <x v="2"/>
    <x v="2"/>
  </r>
  <r>
    <n v="6480"/>
    <x v="0"/>
    <n v="62"/>
    <n v="0"/>
    <n v="0"/>
    <x v="1"/>
    <x v="1"/>
    <x v="2"/>
    <x v="0"/>
    <n v="93.55"/>
    <n v="31.7"/>
    <x v="1"/>
    <n v="0"/>
    <x v="0"/>
    <x v="0"/>
  </r>
  <r>
    <n v="27007"/>
    <x v="0"/>
    <n v="14"/>
    <n v="0"/>
    <n v="0"/>
    <x v="2"/>
    <x v="1"/>
    <x v="1"/>
    <x v="0"/>
    <n v="187.22"/>
    <n v="29.7"/>
    <x v="3"/>
    <n v="0"/>
    <x v="2"/>
    <x v="3"/>
  </r>
  <r>
    <n v="63912"/>
    <x v="1"/>
    <n v="77"/>
    <n v="0"/>
    <n v="0"/>
    <x v="1"/>
    <x v="0"/>
    <x v="2"/>
    <x v="1"/>
    <n v="167.59"/>
    <n v="34.299999999999997"/>
    <x v="0"/>
    <n v="0"/>
    <x v="0"/>
    <x v="0"/>
  </r>
  <r>
    <n v="37483"/>
    <x v="0"/>
    <n v="36"/>
    <n v="0"/>
    <n v="0"/>
    <x v="2"/>
    <x v="0"/>
    <x v="0"/>
    <x v="0"/>
    <n v="98.03"/>
    <n v="22.1"/>
    <x v="2"/>
    <n v="0"/>
    <x v="2"/>
    <x v="2"/>
  </r>
  <r>
    <n v="29855"/>
    <x v="1"/>
    <n v="3"/>
    <n v="0"/>
    <n v="0"/>
    <x v="2"/>
    <x v="1"/>
    <x v="3"/>
    <x v="0"/>
    <n v="88.79"/>
    <n v="21.5"/>
    <x v="3"/>
    <n v="0"/>
    <x v="2"/>
    <x v="2"/>
  </r>
  <r>
    <n v="22136"/>
    <x v="0"/>
    <n v="78"/>
    <n v="1"/>
    <n v="1"/>
    <x v="0"/>
    <x v="1"/>
    <x v="1"/>
    <x v="0"/>
    <n v="92.9"/>
    <n v="30.4"/>
    <x v="2"/>
    <n v="0"/>
    <x v="0"/>
    <x v="0"/>
  </r>
  <r>
    <n v="66637"/>
    <x v="1"/>
    <n v="49"/>
    <n v="0"/>
    <n v="0"/>
    <x v="2"/>
    <x v="0"/>
    <x v="2"/>
    <x v="0"/>
    <n v="117.34"/>
    <n v="21.6"/>
    <x v="1"/>
    <n v="0"/>
    <x v="1"/>
    <x v="2"/>
  </r>
  <r>
    <n v="2244"/>
    <x v="0"/>
    <n v="44"/>
    <n v="0"/>
    <n v="0"/>
    <x v="2"/>
    <x v="0"/>
    <x v="0"/>
    <x v="0"/>
    <n v="80.75"/>
    <n v="30.9"/>
    <x v="1"/>
    <n v="0"/>
    <x v="1"/>
    <x v="0"/>
  </r>
  <r>
    <n v="22259"/>
    <x v="0"/>
    <n v="10"/>
    <n v="0"/>
    <n v="0"/>
    <x v="2"/>
    <x v="1"/>
    <x v="3"/>
    <x v="1"/>
    <n v="77.510000000000005"/>
    <n v="21.9"/>
    <x v="3"/>
    <n v="0"/>
    <x v="2"/>
    <x v="2"/>
  </r>
  <r>
    <n v="19088"/>
    <x v="0"/>
    <n v="8"/>
    <n v="0"/>
    <n v="0"/>
    <x v="2"/>
    <x v="1"/>
    <x v="3"/>
    <x v="0"/>
    <n v="105.63"/>
    <n v="19.2"/>
    <x v="3"/>
    <n v="0"/>
    <x v="2"/>
    <x v="2"/>
  </r>
  <r>
    <n v="61010"/>
    <x v="1"/>
    <n v="60"/>
    <n v="0"/>
    <n v="0"/>
    <x v="1"/>
    <x v="0"/>
    <x v="0"/>
    <x v="0"/>
    <n v="114.34"/>
    <n v="30.3"/>
    <x v="2"/>
    <n v="0"/>
    <x v="0"/>
    <x v="0"/>
  </r>
  <r>
    <n v="49574"/>
    <x v="1"/>
    <n v="56"/>
    <n v="0"/>
    <n v="0"/>
    <x v="2"/>
    <x v="0"/>
    <x v="0"/>
    <x v="1"/>
    <n v="227.04"/>
    <n v="23"/>
    <x v="2"/>
    <n v="0"/>
    <x v="1"/>
    <x v="2"/>
  </r>
  <r>
    <n v="12336"/>
    <x v="1"/>
    <n v="73"/>
    <n v="0"/>
    <n v="0"/>
    <x v="1"/>
    <x v="0"/>
    <x v="1"/>
    <x v="0"/>
    <n v="87.56"/>
    <n v="24.1"/>
    <x v="1"/>
    <n v="0"/>
    <x v="0"/>
    <x v="2"/>
  </r>
  <r>
    <n v="3668"/>
    <x v="1"/>
    <n v="65"/>
    <n v="0"/>
    <n v="0"/>
    <x v="1"/>
    <x v="0"/>
    <x v="2"/>
    <x v="0"/>
    <n v="84.47"/>
    <n v="52.7"/>
    <x v="2"/>
    <n v="0"/>
    <x v="0"/>
    <x v="0"/>
  </r>
  <r>
    <n v="6034"/>
    <x v="1"/>
    <n v="34"/>
    <n v="0"/>
    <n v="0"/>
    <x v="2"/>
    <x v="0"/>
    <x v="1"/>
    <x v="1"/>
    <n v="96.26"/>
    <n v="27.6"/>
    <x v="3"/>
    <n v="0"/>
    <x v="2"/>
    <x v="3"/>
  </r>
  <r>
    <n v="61418"/>
    <x v="0"/>
    <n v="13"/>
    <n v="0"/>
    <n v="0"/>
    <x v="2"/>
    <x v="1"/>
    <x v="3"/>
    <x v="1"/>
    <n v="116.64"/>
    <n v="23.9"/>
    <x v="3"/>
    <n v="0"/>
    <x v="2"/>
    <x v="2"/>
  </r>
  <r>
    <n v="68725"/>
    <x v="1"/>
    <n v="80"/>
    <n v="0"/>
    <n v="0"/>
    <x v="1"/>
    <x v="0"/>
    <x v="0"/>
    <x v="0"/>
    <n v="79.569999999999993"/>
    <n v="26.9"/>
    <x v="1"/>
    <n v="0"/>
    <x v="0"/>
    <x v="3"/>
  </r>
  <r>
    <n v="464"/>
    <x v="0"/>
    <n v="46"/>
    <n v="0"/>
    <n v="0"/>
    <x v="2"/>
    <x v="0"/>
    <x v="0"/>
    <x v="1"/>
    <n v="78.44"/>
    <n v="23.9"/>
    <x v="1"/>
    <n v="0"/>
    <x v="1"/>
    <x v="2"/>
  </r>
  <r>
    <n v="42225"/>
    <x v="1"/>
    <n v="80"/>
    <n v="0"/>
    <n v="0"/>
    <x v="1"/>
    <x v="0"/>
    <x v="1"/>
    <x v="0"/>
    <n v="64.150000000000006"/>
    <n v="40.5"/>
    <x v="1"/>
    <n v="0"/>
    <x v="0"/>
    <x v="0"/>
  </r>
  <r>
    <n v="51254"/>
    <x v="1"/>
    <n v="65"/>
    <n v="0"/>
    <n v="0"/>
    <x v="1"/>
    <x v="1"/>
    <x v="0"/>
    <x v="0"/>
    <n v="74.5"/>
    <n v="32"/>
    <x v="1"/>
    <n v="0"/>
    <x v="0"/>
    <x v="0"/>
  </r>
  <r>
    <n v="59164"/>
    <x v="1"/>
    <n v="24"/>
    <n v="0"/>
    <n v="0"/>
    <x v="2"/>
    <x v="1"/>
    <x v="0"/>
    <x v="0"/>
    <n v="70.319999999999993"/>
    <n v="20.5"/>
    <x v="3"/>
    <n v="0"/>
    <x v="2"/>
    <x v="2"/>
  </r>
  <r>
    <n v="70429"/>
    <x v="1"/>
    <n v="33"/>
    <n v="0"/>
    <n v="0"/>
    <x v="2"/>
    <x v="0"/>
    <x v="0"/>
    <x v="0"/>
    <n v="84.48"/>
    <n v="44.5"/>
    <x v="1"/>
    <n v="0"/>
    <x v="2"/>
    <x v="0"/>
  </r>
  <r>
    <n v="54253"/>
    <x v="0"/>
    <n v="11"/>
    <n v="0"/>
    <n v="0"/>
    <x v="2"/>
    <x v="1"/>
    <x v="3"/>
    <x v="0"/>
    <n v="144.08000000000001"/>
    <n v="16.2"/>
    <x v="0"/>
    <n v="0"/>
    <x v="2"/>
    <x v="4"/>
  </r>
  <r>
    <n v="47937"/>
    <x v="1"/>
    <n v="57"/>
    <n v="0"/>
    <n v="0"/>
    <x v="2"/>
    <x v="0"/>
    <x v="1"/>
    <x v="1"/>
    <n v="78.14"/>
    <n v="35.799999999999997"/>
    <x v="1"/>
    <n v="0"/>
    <x v="1"/>
    <x v="0"/>
  </r>
  <r>
    <n v="66882"/>
    <x v="1"/>
    <n v="19"/>
    <n v="0"/>
    <n v="0"/>
    <x v="2"/>
    <x v="1"/>
    <x v="2"/>
    <x v="0"/>
    <n v="133.58000000000001"/>
    <n v="24"/>
    <x v="1"/>
    <n v="0"/>
    <x v="2"/>
    <x v="2"/>
  </r>
  <r>
    <n v="7411"/>
    <x v="0"/>
    <n v="82"/>
    <n v="0"/>
    <n v="0"/>
    <x v="1"/>
    <x v="0"/>
    <x v="0"/>
    <x v="0"/>
    <n v="214.42"/>
    <n v="33.9"/>
    <x v="0"/>
    <n v="0"/>
    <x v="0"/>
    <x v="0"/>
  </r>
  <r>
    <n v="39593"/>
    <x v="1"/>
    <n v="39"/>
    <n v="0"/>
    <n v="0"/>
    <x v="2"/>
    <x v="0"/>
    <x v="0"/>
    <x v="0"/>
    <n v="80.63"/>
    <n v="36"/>
    <x v="2"/>
    <n v="0"/>
    <x v="2"/>
    <x v="0"/>
  </r>
  <r>
    <n v="6239"/>
    <x v="1"/>
    <n v="14"/>
    <n v="0"/>
    <n v="0"/>
    <x v="2"/>
    <x v="1"/>
    <x v="0"/>
    <x v="1"/>
    <n v="233.71"/>
    <n v="22.9"/>
    <x v="1"/>
    <n v="0"/>
    <x v="2"/>
    <x v="2"/>
  </r>
  <r>
    <n v="35378"/>
    <x v="1"/>
    <n v="60"/>
    <n v="1"/>
    <n v="0"/>
    <x v="0"/>
    <x v="1"/>
    <x v="0"/>
    <x v="0"/>
    <n v="96"/>
    <n v="44.5"/>
    <x v="2"/>
    <n v="0"/>
    <x v="0"/>
    <x v="0"/>
  </r>
  <r>
    <n v="54012"/>
    <x v="1"/>
    <n v="3"/>
    <n v="0"/>
    <n v="0"/>
    <x v="2"/>
    <x v="1"/>
    <x v="3"/>
    <x v="0"/>
    <n v="74.52"/>
    <n v="17.5"/>
    <x v="3"/>
    <n v="0"/>
    <x v="2"/>
    <x v="4"/>
  </r>
  <r>
    <n v="69835"/>
    <x v="1"/>
    <n v="57"/>
    <n v="0"/>
    <n v="0"/>
    <x v="2"/>
    <x v="0"/>
    <x v="0"/>
    <x v="1"/>
    <n v="131.4"/>
    <n v="32.299999999999997"/>
    <x v="1"/>
    <n v="0"/>
    <x v="1"/>
    <x v="0"/>
  </r>
  <r>
    <n v="44591"/>
    <x v="0"/>
    <n v="79"/>
    <n v="0"/>
    <n v="0"/>
    <x v="1"/>
    <x v="0"/>
    <x v="0"/>
    <x v="0"/>
    <n v="216.4"/>
    <n v="30.3"/>
    <x v="1"/>
    <n v="0"/>
    <x v="0"/>
    <x v="0"/>
  </r>
  <r>
    <n v="4709"/>
    <x v="1"/>
    <n v="65"/>
    <n v="0"/>
    <n v="0"/>
    <x v="1"/>
    <x v="0"/>
    <x v="0"/>
    <x v="1"/>
    <n v="108.8"/>
    <n v="33.5"/>
    <x v="3"/>
    <n v="0"/>
    <x v="0"/>
    <x v="0"/>
  </r>
  <r>
    <n v="20393"/>
    <x v="1"/>
    <n v="67"/>
    <n v="1"/>
    <n v="0"/>
    <x v="0"/>
    <x v="0"/>
    <x v="0"/>
    <x v="0"/>
    <n v="97.06"/>
    <n v="30.9"/>
    <x v="1"/>
    <n v="0"/>
    <x v="0"/>
    <x v="0"/>
  </r>
  <r>
    <n v="27626"/>
    <x v="1"/>
    <n v="60"/>
    <n v="0"/>
    <n v="0"/>
    <x v="1"/>
    <x v="1"/>
    <x v="2"/>
    <x v="1"/>
    <n v="266.58999999999997"/>
    <n v="25.5"/>
    <x v="1"/>
    <n v="0"/>
    <x v="0"/>
    <x v="3"/>
  </r>
  <r>
    <n v="45864"/>
    <x v="1"/>
    <n v="36"/>
    <n v="0"/>
    <n v="0"/>
    <x v="2"/>
    <x v="1"/>
    <x v="0"/>
    <x v="1"/>
    <n v="55.58"/>
    <n v="30"/>
    <x v="1"/>
    <n v="0"/>
    <x v="2"/>
    <x v="0"/>
  </r>
  <r>
    <n v="68685"/>
    <x v="0"/>
    <n v="36"/>
    <n v="0"/>
    <n v="0"/>
    <x v="2"/>
    <x v="0"/>
    <x v="2"/>
    <x v="0"/>
    <n v="65.87"/>
    <n v="32.200000000000003"/>
    <x v="0"/>
    <n v="0"/>
    <x v="2"/>
    <x v="0"/>
  </r>
  <r>
    <n v="28711"/>
    <x v="1"/>
    <n v="26"/>
    <n v="0"/>
    <n v="0"/>
    <x v="2"/>
    <x v="1"/>
    <x v="0"/>
    <x v="0"/>
    <n v="89.28"/>
    <n v="21.7"/>
    <x v="2"/>
    <n v="0"/>
    <x v="2"/>
    <x v="2"/>
  </r>
  <r>
    <n v="44962"/>
    <x v="0"/>
    <n v="71"/>
    <n v="0"/>
    <n v="0"/>
    <x v="1"/>
    <x v="0"/>
    <x v="2"/>
    <x v="0"/>
    <n v="56.12"/>
    <n v="24.7"/>
    <x v="3"/>
    <n v="0"/>
    <x v="0"/>
    <x v="2"/>
  </r>
  <r>
    <n v="7892"/>
    <x v="0"/>
    <n v="78"/>
    <n v="0"/>
    <n v="0"/>
    <x v="1"/>
    <x v="0"/>
    <x v="0"/>
    <x v="0"/>
    <n v="74.7"/>
    <n v="28.8"/>
    <x v="0"/>
    <n v="0"/>
    <x v="0"/>
    <x v="3"/>
  </r>
  <r>
    <n v="11744"/>
    <x v="0"/>
    <n v="77"/>
    <n v="0"/>
    <n v="0"/>
    <x v="1"/>
    <x v="0"/>
    <x v="1"/>
    <x v="0"/>
    <n v="83.06"/>
    <n v="27"/>
    <x v="3"/>
    <n v="0"/>
    <x v="0"/>
    <x v="3"/>
  </r>
  <r>
    <n v="12279"/>
    <x v="0"/>
    <n v="74"/>
    <n v="0"/>
    <n v="0"/>
    <x v="1"/>
    <x v="0"/>
    <x v="0"/>
    <x v="0"/>
    <n v="227.94"/>
    <n v="26"/>
    <x v="3"/>
    <n v="0"/>
    <x v="0"/>
    <x v="3"/>
  </r>
  <r>
    <n v="20740"/>
    <x v="1"/>
    <n v="50"/>
    <n v="0"/>
    <n v="0"/>
    <x v="2"/>
    <x v="0"/>
    <x v="1"/>
    <x v="1"/>
    <n v="84.88"/>
    <n v="27.1"/>
    <x v="1"/>
    <n v="0"/>
    <x v="1"/>
    <x v="3"/>
  </r>
  <r>
    <n v="58257"/>
    <x v="0"/>
    <n v="9"/>
    <n v="0"/>
    <n v="0"/>
    <x v="2"/>
    <x v="1"/>
    <x v="3"/>
    <x v="0"/>
    <n v="64.2"/>
    <n v="18.5"/>
    <x v="3"/>
    <n v="0"/>
    <x v="2"/>
    <x v="2"/>
  </r>
  <r>
    <n v="36547"/>
    <x v="0"/>
    <n v="1.64"/>
    <n v="0"/>
    <n v="0"/>
    <x v="2"/>
    <x v="1"/>
    <x v="3"/>
    <x v="1"/>
    <n v="137.22"/>
    <n v="18.8"/>
    <x v="3"/>
    <n v="0"/>
    <x v="2"/>
    <x v="2"/>
  </r>
  <r>
    <n v="559"/>
    <x v="1"/>
    <n v="54"/>
    <n v="0"/>
    <n v="0"/>
    <x v="2"/>
    <x v="0"/>
    <x v="0"/>
    <x v="0"/>
    <n v="81.44"/>
    <n v="31.5"/>
    <x v="0"/>
    <n v="0"/>
    <x v="1"/>
    <x v="0"/>
  </r>
  <r>
    <n v="13728"/>
    <x v="0"/>
    <n v="8"/>
    <n v="0"/>
    <n v="0"/>
    <x v="2"/>
    <x v="1"/>
    <x v="3"/>
    <x v="1"/>
    <n v="90.26"/>
    <n v="18.100000000000001"/>
    <x v="3"/>
    <n v="0"/>
    <x v="2"/>
    <x v="4"/>
  </r>
  <r>
    <n v="4400"/>
    <x v="1"/>
    <n v="36"/>
    <n v="0"/>
    <n v="0"/>
    <x v="2"/>
    <x v="0"/>
    <x v="0"/>
    <x v="0"/>
    <n v="68.48"/>
    <n v="24.3"/>
    <x v="1"/>
    <n v="0"/>
    <x v="2"/>
    <x v="2"/>
  </r>
  <r>
    <n v="68524"/>
    <x v="1"/>
    <n v="38"/>
    <n v="0"/>
    <n v="0"/>
    <x v="2"/>
    <x v="0"/>
    <x v="0"/>
    <x v="0"/>
    <n v="100.02"/>
    <n v="28"/>
    <x v="1"/>
    <n v="0"/>
    <x v="2"/>
    <x v="3"/>
  </r>
  <r>
    <n v="24096"/>
    <x v="1"/>
    <n v="34"/>
    <n v="1"/>
    <n v="0"/>
    <x v="2"/>
    <x v="0"/>
    <x v="1"/>
    <x v="0"/>
    <n v="100.61"/>
    <s v="N/A"/>
    <x v="3"/>
    <n v="0"/>
    <x v="2"/>
    <x v="1"/>
  </r>
  <r>
    <n v="65643"/>
    <x v="1"/>
    <n v="7"/>
    <n v="0"/>
    <n v="0"/>
    <x v="2"/>
    <x v="1"/>
    <x v="3"/>
    <x v="0"/>
    <n v="156.82"/>
    <n v="17.3"/>
    <x v="3"/>
    <n v="0"/>
    <x v="2"/>
    <x v="4"/>
  </r>
  <r>
    <n v="30186"/>
    <x v="1"/>
    <n v="5"/>
    <n v="0"/>
    <n v="0"/>
    <x v="2"/>
    <x v="1"/>
    <x v="3"/>
    <x v="0"/>
    <n v="81.66"/>
    <n v="17.2"/>
    <x v="3"/>
    <n v="0"/>
    <x v="2"/>
    <x v="4"/>
  </r>
  <r>
    <n v="11904"/>
    <x v="0"/>
    <n v="14"/>
    <n v="0"/>
    <n v="0"/>
    <x v="2"/>
    <x v="1"/>
    <x v="3"/>
    <x v="1"/>
    <n v="112.22"/>
    <n v="26.9"/>
    <x v="3"/>
    <n v="0"/>
    <x v="2"/>
    <x v="3"/>
  </r>
  <r>
    <n v="20257"/>
    <x v="0"/>
    <n v="0.88"/>
    <n v="0"/>
    <n v="0"/>
    <x v="2"/>
    <x v="1"/>
    <x v="3"/>
    <x v="0"/>
    <n v="90.62"/>
    <n v="22.4"/>
    <x v="3"/>
    <n v="0"/>
    <x v="2"/>
    <x v="2"/>
  </r>
  <r>
    <n v="2822"/>
    <x v="1"/>
    <n v="30"/>
    <n v="0"/>
    <n v="0"/>
    <x v="2"/>
    <x v="0"/>
    <x v="0"/>
    <x v="1"/>
    <n v="72.489999999999995"/>
    <n v="25.8"/>
    <x v="1"/>
    <n v="0"/>
    <x v="2"/>
    <x v="3"/>
  </r>
  <r>
    <n v="18072"/>
    <x v="1"/>
    <n v="39"/>
    <n v="0"/>
    <n v="0"/>
    <x v="2"/>
    <x v="0"/>
    <x v="2"/>
    <x v="0"/>
    <n v="107.47"/>
    <n v="21.3"/>
    <x v="3"/>
    <n v="0"/>
    <x v="2"/>
    <x v="2"/>
  </r>
  <r>
    <n v="34896"/>
    <x v="1"/>
    <n v="17"/>
    <n v="0"/>
    <n v="0"/>
    <x v="2"/>
    <x v="1"/>
    <x v="0"/>
    <x v="1"/>
    <n v="92.11"/>
    <n v="43"/>
    <x v="1"/>
    <n v="0"/>
    <x v="2"/>
    <x v="0"/>
  </r>
  <r>
    <n v="53328"/>
    <x v="1"/>
    <n v="14"/>
    <n v="0"/>
    <n v="0"/>
    <x v="2"/>
    <x v="1"/>
    <x v="0"/>
    <x v="1"/>
    <n v="70.540000000000006"/>
    <n v="24.4"/>
    <x v="0"/>
    <n v="0"/>
    <x v="2"/>
    <x v="2"/>
  </r>
  <r>
    <n v="28303"/>
    <x v="1"/>
    <n v="52"/>
    <n v="0"/>
    <n v="0"/>
    <x v="2"/>
    <x v="0"/>
    <x v="1"/>
    <x v="1"/>
    <n v="205"/>
    <n v="30.1"/>
    <x v="1"/>
    <n v="0"/>
    <x v="1"/>
    <x v="0"/>
  </r>
  <r>
    <n v="44325"/>
    <x v="0"/>
    <n v="78"/>
    <n v="0"/>
    <n v="0"/>
    <x v="1"/>
    <x v="0"/>
    <x v="1"/>
    <x v="1"/>
    <n v="126.39"/>
    <n v="21.3"/>
    <x v="2"/>
    <n v="0"/>
    <x v="0"/>
    <x v="2"/>
  </r>
  <r>
    <n v="8579"/>
    <x v="1"/>
    <n v="2"/>
    <n v="0"/>
    <n v="0"/>
    <x v="2"/>
    <x v="1"/>
    <x v="3"/>
    <x v="1"/>
    <n v="89.72"/>
    <n v="17.8"/>
    <x v="3"/>
    <n v="0"/>
    <x v="2"/>
    <x v="4"/>
  </r>
  <r>
    <n v="29229"/>
    <x v="0"/>
    <n v="32"/>
    <n v="0"/>
    <n v="0"/>
    <x v="2"/>
    <x v="0"/>
    <x v="0"/>
    <x v="0"/>
    <n v="92.08"/>
    <n v="28.4"/>
    <x v="2"/>
    <n v="0"/>
    <x v="2"/>
    <x v="3"/>
  </r>
  <r>
    <n v="48406"/>
    <x v="0"/>
    <n v="0.88"/>
    <n v="0"/>
    <n v="0"/>
    <x v="2"/>
    <x v="1"/>
    <x v="3"/>
    <x v="0"/>
    <n v="85.38"/>
    <n v="23.4"/>
    <x v="3"/>
    <n v="0"/>
    <x v="2"/>
    <x v="2"/>
  </r>
  <r>
    <n v="3761"/>
    <x v="1"/>
    <n v="50"/>
    <n v="0"/>
    <n v="0"/>
    <x v="2"/>
    <x v="0"/>
    <x v="1"/>
    <x v="1"/>
    <n v="95.25"/>
    <n v="24.3"/>
    <x v="1"/>
    <n v="0"/>
    <x v="1"/>
    <x v="2"/>
  </r>
  <r>
    <n v="65324"/>
    <x v="1"/>
    <n v="48"/>
    <n v="0"/>
    <n v="0"/>
    <x v="2"/>
    <x v="0"/>
    <x v="2"/>
    <x v="1"/>
    <n v="75.91"/>
    <n v="27.8"/>
    <x v="3"/>
    <n v="0"/>
    <x v="1"/>
    <x v="3"/>
  </r>
  <r>
    <n v="7658"/>
    <x v="0"/>
    <n v="66"/>
    <n v="0"/>
    <n v="0"/>
    <x v="1"/>
    <x v="0"/>
    <x v="2"/>
    <x v="1"/>
    <n v="203.44"/>
    <n v="30.5"/>
    <x v="0"/>
    <n v="0"/>
    <x v="0"/>
    <x v="0"/>
  </r>
  <r>
    <n v="35997"/>
    <x v="0"/>
    <n v="78"/>
    <n v="0"/>
    <n v="1"/>
    <x v="0"/>
    <x v="0"/>
    <x v="1"/>
    <x v="0"/>
    <n v="243.73"/>
    <s v="N/A"/>
    <x v="2"/>
    <n v="0"/>
    <x v="0"/>
    <x v="1"/>
  </r>
  <r>
    <n v="34383"/>
    <x v="0"/>
    <n v="46"/>
    <n v="0"/>
    <n v="0"/>
    <x v="2"/>
    <x v="0"/>
    <x v="0"/>
    <x v="0"/>
    <n v="88.23"/>
    <n v="25.8"/>
    <x v="3"/>
    <n v="0"/>
    <x v="1"/>
    <x v="3"/>
  </r>
  <r>
    <n v="8646"/>
    <x v="1"/>
    <n v="54"/>
    <n v="0"/>
    <n v="0"/>
    <x v="2"/>
    <x v="0"/>
    <x v="0"/>
    <x v="1"/>
    <n v="97.47"/>
    <n v="26.7"/>
    <x v="1"/>
    <n v="0"/>
    <x v="1"/>
    <x v="3"/>
  </r>
  <r>
    <n v="46653"/>
    <x v="1"/>
    <n v="81"/>
    <n v="1"/>
    <n v="1"/>
    <x v="0"/>
    <x v="0"/>
    <x v="0"/>
    <x v="1"/>
    <n v="59.28"/>
    <n v="28.1"/>
    <x v="1"/>
    <n v="0"/>
    <x v="0"/>
    <x v="3"/>
  </r>
  <r>
    <n v="1099"/>
    <x v="1"/>
    <n v="15"/>
    <n v="0"/>
    <n v="0"/>
    <x v="2"/>
    <x v="1"/>
    <x v="3"/>
    <x v="1"/>
    <n v="101.15"/>
    <n v="22.2"/>
    <x v="3"/>
    <n v="0"/>
    <x v="2"/>
    <x v="2"/>
  </r>
  <r>
    <n v="61676"/>
    <x v="0"/>
    <n v="77"/>
    <n v="0"/>
    <n v="0"/>
    <x v="1"/>
    <x v="0"/>
    <x v="1"/>
    <x v="0"/>
    <n v="68.38"/>
    <n v="25.1"/>
    <x v="3"/>
    <n v="0"/>
    <x v="0"/>
    <x v="3"/>
  </r>
  <r>
    <n v="38131"/>
    <x v="1"/>
    <n v="59"/>
    <n v="0"/>
    <n v="0"/>
    <x v="2"/>
    <x v="0"/>
    <x v="1"/>
    <x v="1"/>
    <n v="55.46"/>
    <n v="20.9"/>
    <x v="1"/>
    <n v="0"/>
    <x v="1"/>
    <x v="2"/>
  </r>
  <r>
    <n v="61848"/>
    <x v="1"/>
    <n v="48"/>
    <n v="0"/>
    <n v="0"/>
    <x v="2"/>
    <x v="0"/>
    <x v="0"/>
    <x v="0"/>
    <n v="113.87"/>
    <n v="28.9"/>
    <x v="1"/>
    <n v="0"/>
    <x v="1"/>
    <x v="3"/>
  </r>
  <r>
    <n v="56228"/>
    <x v="0"/>
    <n v="76"/>
    <n v="0"/>
    <n v="1"/>
    <x v="0"/>
    <x v="0"/>
    <x v="1"/>
    <x v="0"/>
    <n v="67.03"/>
    <s v="N/A"/>
    <x v="1"/>
    <n v="0"/>
    <x v="0"/>
    <x v="1"/>
  </r>
  <r>
    <n v="4949"/>
    <x v="0"/>
    <n v="49"/>
    <n v="0"/>
    <n v="0"/>
    <x v="2"/>
    <x v="0"/>
    <x v="0"/>
    <x v="1"/>
    <n v="96.35"/>
    <n v="35.9"/>
    <x v="1"/>
    <n v="0"/>
    <x v="1"/>
    <x v="0"/>
  </r>
  <r>
    <n v="46688"/>
    <x v="1"/>
    <n v="44"/>
    <n v="0"/>
    <n v="0"/>
    <x v="2"/>
    <x v="1"/>
    <x v="0"/>
    <x v="0"/>
    <n v="127.21"/>
    <n v="29.8"/>
    <x v="2"/>
    <n v="0"/>
    <x v="1"/>
    <x v="3"/>
  </r>
  <r>
    <n v="30491"/>
    <x v="1"/>
    <n v="39"/>
    <n v="0"/>
    <n v="0"/>
    <x v="2"/>
    <x v="0"/>
    <x v="0"/>
    <x v="0"/>
    <n v="78.900000000000006"/>
    <n v="26.7"/>
    <x v="1"/>
    <n v="0"/>
    <x v="2"/>
    <x v="3"/>
  </r>
  <r>
    <n v="43478"/>
    <x v="0"/>
    <n v="34"/>
    <n v="0"/>
    <n v="0"/>
    <x v="2"/>
    <x v="0"/>
    <x v="0"/>
    <x v="0"/>
    <n v="59.91"/>
    <n v="28.4"/>
    <x v="0"/>
    <n v="0"/>
    <x v="2"/>
    <x v="3"/>
  </r>
  <r>
    <n v="25443"/>
    <x v="0"/>
    <n v="50"/>
    <n v="0"/>
    <n v="0"/>
    <x v="2"/>
    <x v="1"/>
    <x v="0"/>
    <x v="0"/>
    <n v="160.94"/>
    <n v="26.7"/>
    <x v="2"/>
    <n v="0"/>
    <x v="1"/>
    <x v="3"/>
  </r>
  <r>
    <n v="52519"/>
    <x v="0"/>
    <n v="62"/>
    <n v="0"/>
    <n v="0"/>
    <x v="1"/>
    <x v="0"/>
    <x v="0"/>
    <x v="1"/>
    <n v="59.61"/>
    <n v="32.5"/>
    <x v="3"/>
    <n v="0"/>
    <x v="0"/>
    <x v="0"/>
  </r>
  <r>
    <n v="24361"/>
    <x v="1"/>
    <n v="38"/>
    <n v="0"/>
    <n v="0"/>
    <x v="2"/>
    <x v="0"/>
    <x v="0"/>
    <x v="0"/>
    <n v="87.94"/>
    <n v="43.8"/>
    <x v="1"/>
    <n v="0"/>
    <x v="2"/>
    <x v="0"/>
  </r>
  <r>
    <n v="29514"/>
    <x v="1"/>
    <n v="43"/>
    <n v="0"/>
    <n v="0"/>
    <x v="2"/>
    <x v="0"/>
    <x v="0"/>
    <x v="1"/>
    <n v="97.55"/>
    <n v="28.3"/>
    <x v="0"/>
    <n v="0"/>
    <x v="1"/>
    <x v="3"/>
  </r>
  <r>
    <n v="35893"/>
    <x v="0"/>
    <n v="28"/>
    <n v="0"/>
    <n v="0"/>
    <x v="2"/>
    <x v="1"/>
    <x v="0"/>
    <x v="0"/>
    <n v="116.02"/>
    <n v="36.6"/>
    <x v="0"/>
    <n v="0"/>
    <x v="2"/>
    <x v="0"/>
  </r>
  <r>
    <n v="58568"/>
    <x v="1"/>
    <n v="58"/>
    <n v="0"/>
    <n v="0"/>
    <x v="2"/>
    <x v="0"/>
    <x v="0"/>
    <x v="1"/>
    <n v="127.32"/>
    <n v="33.1"/>
    <x v="2"/>
    <n v="0"/>
    <x v="1"/>
    <x v="0"/>
  </r>
  <r>
    <n v="63303"/>
    <x v="0"/>
    <n v="28"/>
    <n v="0"/>
    <n v="0"/>
    <x v="2"/>
    <x v="1"/>
    <x v="0"/>
    <x v="0"/>
    <n v="75.5"/>
    <n v="27"/>
    <x v="2"/>
    <n v="0"/>
    <x v="2"/>
    <x v="3"/>
  </r>
  <r>
    <n v="70625"/>
    <x v="0"/>
    <n v="18"/>
    <n v="0"/>
    <n v="0"/>
    <x v="2"/>
    <x v="1"/>
    <x v="0"/>
    <x v="0"/>
    <n v="79.349999999999994"/>
    <n v="23.6"/>
    <x v="3"/>
    <n v="0"/>
    <x v="2"/>
    <x v="2"/>
  </r>
  <r>
    <n v="54807"/>
    <x v="0"/>
    <n v="62"/>
    <n v="1"/>
    <n v="1"/>
    <x v="0"/>
    <x v="0"/>
    <x v="0"/>
    <x v="1"/>
    <n v="176.25"/>
    <s v="N/A"/>
    <x v="1"/>
    <n v="0"/>
    <x v="0"/>
    <x v="1"/>
  </r>
  <r>
    <n v="18820"/>
    <x v="0"/>
    <n v="31"/>
    <n v="0"/>
    <n v="0"/>
    <x v="2"/>
    <x v="1"/>
    <x v="0"/>
    <x v="1"/>
    <n v="108.56"/>
    <n v="21.8"/>
    <x v="1"/>
    <n v="0"/>
    <x v="2"/>
    <x v="2"/>
  </r>
  <r>
    <n v="64029"/>
    <x v="0"/>
    <n v="55"/>
    <n v="1"/>
    <n v="0"/>
    <x v="2"/>
    <x v="0"/>
    <x v="0"/>
    <x v="0"/>
    <n v="168.06"/>
    <n v="23.5"/>
    <x v="2"/>
    <n v="0"/>
    <x v="1"/>
    <x v="2"/>
  </r>
  <r>
    <n v="72703"/>
    <x v="1"/>
    <n v="54"/>
    <n v="0"/>
    <n v="0"/>
    <x v="2"/>
    <x v="0"/>
    <x v="0"/>
    <x v="0"/>
    <n v="75.52"/>
    <n v="28.7"/>
    <x v="0"/>
    <n v="0"/>
    <x v="1"/>
    <x v="3"/>
  </r>
  <r>
    <n v="11394"/>
    <x v="0"/>
    <n v="73"/>
    <n v="0"/>
    <n v="1"/>
    <x v="0"/>
    <x v="0"/>
    <x v="0"/>
    <x v="1"/>
    <n v="82.15"/>
    <n v="31.6"/>
    <x v="0"/>
    <n v="0"/>
    <x v="0"/>
    <x v="0"/>
  </r>
  <r>
    <n v="12298"/>
    <x v="0"/>
    <n v="26"/>
    <n v="0"/>
    <n v="0"/>
    <x v="2"/>
    <x v="1"/>
    <x v="1"/>
    <x v="0"/>
    <n v="200.28"/>
    <n v="31.9"/>
    <x v="0"/>
    <n v="0"/>
    <x v="2"/>
    <x v="0"/>
  </r>
  <r>
    <n v="70845"/>
    <x v="0"/>
    <n v="73"/>
    <n v="0"/>
    <n v="1"/>
    <x v="0"/>
    <x v="0"/>
    <x v="0"/>
    <x v="1"/>
    <n v="62.44"/>
    <n v="25.2"/>
    <x v="2"/>
    <n v="0"/>
    <x v="0"/>
    <x v="3"/>
  </r>
  <r>
    <n v="44494"/>
    <x v="1"/>
    <n v="38"/>
    <n v="0"/>
    <n v="0"/>
    <x v="2"/>
    <x v="0"/>
    <x v="0"/>
    <x v="1"/>
    <n v="84.31"/>
    <n v="25.9"/>
    <x v="2"/>
    <n v="0"/>
    <x v="2"/>
    <x v="3"/>
  </r>
  <r>
    <n v="30953"/>
    <x v="0"/>
    <n v="75"/>
    <n v="1"/>
    <n v="1"/>
    <x v="0"/>
    <x v="0"/>
    <x v="0"/>
    <x v="1"/>
    <n v="221.43"/>
    <n v="32.5"/>
    <x v="3"/>
    <n v="0"/>
    <x v="0"/>
    <x v="0"/>
  </r>
  <r>
    <n v="47861"/>
    <x v="0"/>
    <n v="81"/>
    <n v="0"/>
    <n v="0"/>
    <x v="1"/>
    <x v="0"/>
    <x v="0"/>
    <x v="0"/>
    <n v="165.47"/>
    <n v="28.1"/>
    <x v="3"/>
    <n v="0"/>
    <x v="0"/>
    <x v="3"/>
  </r>
  <r>
    <n v="13465"/>
    <x v="1"/>
    <n v="20"/>
    <n v="0"/>
    <n v="0"/>
    <x v="2"/>
    <x v="1"/>
    <x v="0"/>
    <x v="1"/>
    <n v="96.69"/>
    <n v="27.4"/>
    <x v="2"/>
    <n v="0"/>
    <x v="2"/>
    <x v="3"/>
  </r>
  <r>
    <n v="62454"/>
    <x v="1"/>
    <n v="12"/>
    <n v="0"/>
    <n v="0"/>
    <x v="2"/>
    <x v="1"/>
    <x v="3"/>
    <x v="0"/>
    <n v="63.98"/>
    <n v="21.2"/>
    <x v="0"/>
    <n v="0"/>
    <x v="2"/>
    <x v="2"/>
  </r>
  <r>
    <n v="52593"/>
    <x v="0"/>
    <n v="78"/>
    <n v="0"/>
    <n v="1"/>
    <x v="0"/>
    <x v="0"/>
    <x v="0"/>
    <x v="0"/>
    <n v="145.03"/>
    <n v="26.8"/>
    <x v="0"/>
    <n v="0"/>
    <x v="0"/>
    <x v="3"/>
  </r>
  <r>
    <n v="91"/>
    <x v="1"/>
    <n v="42"/>
    <n v="0"/>
    <n v="0"/>
    <x v="2"/>
    <x v="1"/>
    <x v="0"/>
    <x v="0"/>
    <n v="98.53"/>
    <n v="18.5"/>
    <x v="1"/>
    <n v="0"/>
    <x v="1"/>
    <x v="2"/>
  </r>
  <r>
    <n v="22056"/>
    <x v="1"/>
    <n v="71"/>
    <n v="1"/>
    <n v="0"/>
    <x v="0"/>
    <x v="0"/>
    <x v="0"/>
    <x v="0"/>
    <n v="105.55"/>
    <s v="N/A"/>
    <x v="2"/>
    <n v="0"/>
    <x v="0"/>
    <x v="1"/>
  </r>
  <r>
    <n v="45469"/>
    <x v="0"/>
    <n v="16"/>
    <n v="0"/>
    <n v="0"/>
    <x v="2"/>
    <x v="1"/>
    <x v="3"/>
    <x v="1"/>
    <n v="134.22999999999999"/>
    <n v="30.6"/>
    <x v="3"/>
    <n v="0"/>
    <x v="2"/>
    <x v="0"/>
  </r>
  <r>
    <n v="41284"/>
    <x v="0"/>
    <n v="4"/>
    <n v="0"/>
    <n v="0"/>
    <x v="2"/>
    <x v="1"/>
    <x v="3"/>
    <x v="1"/>
    <n v="62.48"/>
    <n v="19.899999999999999"/>
    <x v="3"/>
    <n v="0"/>
    <x v="2"/>
    <x v="2"/>
  </r>
  <r>
    <n v="20112"/>
    <x v="0"/>
    <n v="79"/>
    <n v="0"/>
    <n v="1"/>
    <x v="0"/>
    <x v="0"/>
    <x v="0"/>
    <x v="0"/>
    <n v="213.38"/>
    <s v="N/A"/>
    <x v="3"/>
    <n v="0"/>
    <x v="0"/>
    <x v="1"/>
  </r>
  <r>
    <n v="45627"/>
    <x v="0"/>
    <n v="60"/>
    <n v="0"/>
    <n v="0"/>
    <x v="1"/>
    <x v="0"/>
    <x v="0"/>
    <x v="1"/>
    <n v="70.52"/>
    <n v="26.5"/>
    <x v="0"/>
    <n v="0"/>
    <x v="0"/>
    <x v="3"/>
  </r>
  <r>
    <n v="4174"/>
    <x v="1"/>
    <n v="45"/>
    <n v="1"/>
    <n v="0"/>
    <x v="2"/>
    <x v="0"/>
    <x v="0"/>
    <x v="0"/>
    <n v="93.21"/>
    <n v="43.8"/>
    <x v="1"/>
    <n v="0"/>
    <x v="1"/>
    <x v="0"/>
  </r>
  <r>
    <n v="31660"/>
    <x v="0"/>
    <n v="23"/>
    <n v="0"/>
    <n v="0"/>
    <x v="2"/>
    <x v="1"/>
    <x v="0"/>
    <x v="1"/>
    <n v="82.39"/>
    <n v="31.8"/>
    <x v="3"/>
    <n v="0"/>
    <x v="2"/>
    <x v="0"/>
  </r>
  <r>
    <n v="36196"/>
    <x v="0"/>
    <n v="21"/>
    <n v="0"/>
    <n v="0"/>
    <x v="2"/>
    <x v="1"/>
    <x v="0"/>
    <x v="1"/>
    <n v="88.29"/>
    <n v="36.6"/>
    <x v="2"/>
    <n v="0"/>
    <x v="2"/>
    <x v="0"/>
  </r>
  <r>
    <n v="19769"/>
    <x v="1"/>
    <n v="67"/>
    <n v="0"/>
    <n v="0"/>
    <x v="1"/>
    <x v="0"/>
    <x v="1"/>
    <x v="1"/>
    <n v="80.180000000000007"/>
    <n v="22.9"/>
    <x v="0"/>
    <n v="0"/>
    <x v="0"/>
    <x v="2"/>
  </r>
  <r>
    <n v="8341"/>
    <x v="0"/>
    <n v="10"/>
    <n v="0"/>
    <n v="0"/>
    <x v="2"/>
    <x v="1"/>
    <x v="3"/>
    <x v="1"/>
    <n v="84.02"/>
    <n v="18.7"/>
    <x v="1"/>
    <n v="0"/>
    <x v="2"/>
    <x v="2"/>
  </r>
  <r>
    <n v="42172"/>
    <x v="1"/>
    <n v="24"/>
    <n v="0"/>
    <n v="0"/>
    <x v="2"/>
    <x v="0"/>
    <x v="1"/>
    <x v="1"/>
    <n v="69.72"/>
    <n v="29.6"/>
    <x v="1"/>
    <n v="0"/>
    <x v="2"/>
    <x v="3"/>
  </r>
  <r>
    <n v="14372"/>
    <x v="0"/>
    <n v="50"/>
    <n v="0"/>
    <n v="0"/>
    <x v="2"/>
    <x v="0"/>
    <x v="1"/>
    <x v="0"/>
    <n v="192.16"/>
    <n v="43.6"/>
    <x v="1"/>
    <n v="0"/>
    <x v="1"/>
    <x v="0"/>
  </r>
  <r>
    <n v="61252"/>
    <x v="0"/>
    <n v="79"/>
    <n v="0"/>
    <n v="1"/>
    <x v="0"/>
    <x v="0"/>
    <x v="0"/>
    <x v="1"/>
    <n v="82.27"/>
    <s v="N/A"/>
    <x v="1"/>
    <n v="0"/>
    <x v="0"/>
    <x v="1"/>
  </r>
  <r>
    <n v="15251"/>
    <x v="0"/>
    <n v="14"/>
    <n v="0"/>
    <n v="0"/>
    <x v="2"/>
    <x v="1"/>
    <x v="3"/>
    <x v="0"/>
    <n v="101.87"/>
    <n v="20.3"/>
    <x v="1"/>
    <n v="0"/>
    <x v="2"/>
    <x v="2"/>
  </r>
  <r>
    <n v="67800"/>
    <x v="1"/>
    <n v="13"/>
    <n v="0"/>
    <n v="0"/>
    <x v="2"/>
    <x v="1"/>
    <x v="3"/>
    <x v="1"/>
    <n v="77.55"/>
    <n v="21.3"/>
    <x v="3"/>
    <n v="0"/>
    <x v="2"/>
    <x v="2"/>
  </r>
  <r>
    <n v="10416"/>
    <x v="0"/>
    <n v="71"/>
    <n v="0"/>
    <n v="1"/>
    <x v="0"/>
    <x v="0"/>
    <x v="0"/>
    <x v="0"/>
    <n v="215.72"/>
    <n v="39.200000000000003"/>
    <x v="2"/>
    <n v="0"/>
    <x v="0"/>
    <x v="0"/>
  </r>
  <r>
    <n v="19504"/>
    <x v="1"/>
    <n v="66"/>
    <n v="0"/>
    <n v="0"/>
    <x v="1"/>
    <x v="0"/>
    <x v="0"/>
    <x v="1"/>
    <n v="87.84"/>
    <n v="52.8"/>
    <x v="3"/>
    <n v="0"/>
    <x v="0"/>
    <x v="0"/>
  </r>
  <r>
    <n v="7476"/>
    <x v="0"/>
    <n v="32"/>
    <n v="0"/>
    <n v="0"/>
    <x v="2"/>
    <x v="1"/>
    <x v="2"/>
    <x v="1"/>
    <n v="91.93"/>
    <n v="30.2"/>
    <x v="1"/>
    <n v="0"/>
    <x v="2"/>
    <x v="0"/>
  </r>
  <r>
    <n v="55526"/>
    <x v="0"/>
    <n v="46"/>
    <n v="0"/>
    <n v="0"/>
    <x v="2"/>
    <x v="0"/>
    <x v="2"/>
    <x v="0"/>
    <n v="58.63"/>
    <n v="35.299999999999997"/>
    <x v="1"/>
    <n v="0"/>
    <x v="1"/>
    <x v="0"/>
  </r>
  <r>
    <n v="452"/>
    <x v="0"/>
    <n v="48"/>
    <n v="1"/>
    <n v="0"/>
    <x v="2"/>
    <x v="0"/>
    <x v="0"/>
    <x v="0"/>
    <n v="173.14"/>
    <n v="37"/>
    <x v="2"/>
    <n v="0"/>
    <x v="1"/>
    <x v="0"/>
  </r>
  <r>
    <n v="55790"/>
    <x v="1"/>
    <n v="45"/>
    <n v="0"/>
    <n v="0"/>
    <x v="2"/>
    <x v="0"/>
    <x v="0"/>
    <x v="0"/>
    <n v="106.83"/>
    <n v="32.1"/>
    <x v="0"/>
    <n v="0"/>
    <x v="1"/>
    <x v="0"/>
  </r>
  <r>
    <n v="38541"/>
    <x v="0"/>
    <n v="55"/>
    <n v="0"/>
    <n v="0"/>
    <x v="2"/>
    <x v="0"/>
    <x v="0"/>
    <x v="0"/>
    <n v="84.44"/>
    <n v="30.5"/>
    <x v="0"/>
    <n v="0"/>
    <x v="1"/>
    <x v="0"/>
  </r>
  <r>
    <n v="23748"/>
    <x v="1"/>
    <n v="31"/>
    <n v="0"/>
    <n v="0"/>
    <x v="2"/>
    <x v="0"/>
    <x v="0"/>
    <x v="0"/>
    <n v="92.16"/>
    <n v="22.8"/>
    <x v="1"/>
    <n v="0"/>
    <x v="2"/>
    <x v="2"/>
  </r>
  <r>
    <n v="18790"/>
    <x v="0"/>
    <n v="25"/>
    <n v="0"/>
    <n v="0"/>
    <x v="2"/>
    <x v="1"/>
    <x v="0"/>
    <x v="0"/>
    <n v="85.96"/>
    <n v="34.5"/>
    <x v="0"/>
    <n v="0"/>
    <x v="2"/>
    <x v="0"/>
  </r>
  <r>
    <n v="45751"/>
    <x v="0"/>
    <n v="73"/>
    <n v="1"/>
    <n v="0"/>
    <x v="0"/>
    <x v="0"/>
    <x v="1"/>
    <x v="1"/>
    <n v="202.57"/>
    <n v="37.4"/>
    <x v="1"/>
    <n v="0"/>
    <x v="0"/>
    <x v="0"/>
  </r>
  <r>
    <n v="72369"/>
    <x v="1"/>
    <n v="14"/>
    <n v="0"/>
    <n v="0"/>
    <x v="2"/>
    <x v="1"/>
    <x v="3"/>
    <x v="1"/>
    <n v="65.41"/>
    <n v="19.5"/>
    <x v="3"/>
    <n v="0"/>
    <x v="2"/>
    <x v="2"/>
  </r>
  <r>
    <n v="7171"/>
    <x v="1"/>
    <n v="56"/>
    <n v="0"/>
    <n v="0"/>
    <x v="2"/>
    <x v="0"/>
    <x v="2"/>
    <x v="0"/>
    <n v="102.51"/>
    <n v="55.7"/>
    <x v="3"/>
    <n v="0"/>
    <x v="1"/>
    <x v="0"/>
  </r>
  <r>
    <n v="52826"/>
    <x v="0"/>
    <n v="60"/>
    <n v="0"/>
    <n v="0"/>
    <x v="1"/>
    <x v="0"/>
    <x v="0"/>
    <x v="1"/>
    <n v="62.6"/>
    <n v="30.4"/>
    <x v="3"/>
    <n v="0"/>
    <x v="0"/>
    <x v="0"/>
  </r>
  <r>
    <n v="42556"/>
    <x v="0"/>
    <n v="27"/>
    <n v="0"/>
    <n v="0"/>
    <x v="2"/>
    <x v="0"/>
    <x v="0"/>
    <x v="0"/>
    <n v="150.1"/>
    <n v="25.3"/>
    <x v="1"/>
    <n v="0"/>
    <x v="2"/>
    <x v="3"/>
  </r>
  <r>
    <n v="507"/>
    <x v="1"/>
    <n v="28"/>
    <n v="0"/>
    <n v="0"/>
    <x v="2"/>
    <x v="0"/>
    <x v="0"/>
    <x v="1"/>
    <n v="94.15"/>
    <n v="23.1"/>
    <x v="2"/>
    <n v="0"/>
    <x v="2"/>
    <x v="2"/>
  </r>
  <r>
    <n v="56746"/>
    <x v="0"/>
    <n v="46"/>
    <n v="1"/>
    <n v="0"/>
    <x v="2"/>
    <x v="0"/>
    <x v="0"/>
    <x v="0"/>
    <n v="65.5"/>
    <n v="30.7"/>
    <x v="1"/>
    <n v="0"/>
    <x v="1"/>
    <x v="0"/>
  </r>
  <r>
    <n v="54072"/>
    <x v="1"/>
    <n v="11"/>
    <n v="0"/>
    <n v="0"/>
    <x v="2"/>
    <x v="1"/>
    <x v="3"/>
    <x v="0"/>
    <n v="81.31"/>
    <n v="18.8"/>
    <x v="1"/>
    <n v="0"/>
    <x v="2"/>
    <x v="2"/>
  </r>
  <r>
    <n v="49760"/>
    <x v="1"/>
    <n v="63"/>
    <n v="0"/>
    <n v="0"/>
    <x v="1"/>
    <x v="0"/>
    <x v="0"/>
    <x v="1"/>
    <n v="78.959999999999994"/>
    <n v="28.6"/>
    <x v="1"/>
    <n v="0"/>
    <x v="0"/>
    <x v="3"/>
  </r>
  <r>
    <n v="61821"/>
    <x v="1"/>
    <n v="59"/>
    <n v="0"/>
    <n v="0"/>
    <x v="2"/>
    <x v="0"/>
    <x v="0"/>
    <x v="1"/>
    <n v="123.47"/>
    <n v="27.5"/>
    <x v="3"/>
    <n v="0"/>
    <x v="1"/>
    <x v="3"/>
  </r>
  <r>
    <n v="65481"/>
    <x v="0"/>
    <n v="57"/>
    <n v="0"/>
    <n v="0"/>
    <x v="2"/>
    <x v="0"/>
    <x v="0"/>
    <x v="0"/>
    <n v="90.4"/>
    <n v="26.5"/>
    <x v="1"/>
    <n v="0"/>
    <x v="1"/>
    <x v="3"/>
  </r>
  <r>
    <n v="6174"/>
    <x v="1"/>
    <n v="35"/>
    <n v="0"/>
    <n v="0"/>
    <x v="2"/>
    <x v="1"/>
    <x v="0"/>
    <x v="0"/>
    <n v="71.59"/>
    <n v="40.299999999999997"/>
    <x v="1"/>
    <n v="0"/>
    <x v="2"/>
    <x v="0"/>
  </r>
  <r>
    <n v="68224"/>
    <x v="0"/>
    <n v="54"/>
    <n v="0"/>
    <n v="0"/>
    <x v="2"/>
    <x v="0"/>
    <x v="0"/>
    <x v="1"/>
    <n v="209.5"/>
    <n v="37.9"/>
    <x v="0"/>
    <n v="0"/>
    <x v="1"/>
    <x v="0"/>
  </r>
  <r>
    <n v="61559"/>
    <x v="0"/>
    <n v="7"/>
    <n v="0"/>
    <n v="0"/>
    <x v="2"/>
    <x v="1"/>
    <x v="3"/>
    <x v="0"/>
    <n v="86.6"/>
    <n v="17.100000000000001"/>
    <x v="3"/>
    <n v="0"/>
    <x v="2"/>
    <x v="4"/>
  </r>
  <r>
    <n v="65564"/>
    <x v="1"/>
    <n v="48"/>
    <n v="0"/>
    <n v="0"/>
    <x v="2"/>
    <x v="0"/>
    <x v="0"/>
    <x v="0"/>
    <n v="57.43"/>
    <n v="53.5"/>
    <x v="0"/>
    <n v="0"/>
    <x v="1"/>
    <x v="0"/>
  </r>
  <r>
    <n v="18890"/>
    <x v="0"/>
    <n v="69"/>
    <n v="1"/>
    <n v="0"/>
    <x v="0"/>
    <x v="0"/>
    <x v="0"/>
    <x v="1"/>
    <n v="87.93"/>
    <n v="33.6"/>
    <x v="1"/>
    <n v="0"/>
    <x v="0"/>
    <x v="0"/>
  </r>
  <r>
    <n v="58936"/>
    <x v="0"/>
    <n v="59"/>
    <n v="0"/>
    <n v="0"/>
    <x v="2"/>
    <x v="0"/>
    <x v="0"/>
    <x v="1"/>
    <n v="203.16"/>
    <n v="43.4"/>
    <x v="3"/>
    <n v="0"/>
    <x v="1"/>
    <x v="0"/>
  </r>
  <r>
    <n v="67667"/>
    <x v="1"/>
    <n v="72"/>
    <n v="1"/>
    <n v="0"/>
    <x v="0"/>
    <x v="0"/>
    <x v="1"/>
    <x v="1"/>
    <n v="112.12"/>
    <n v="30.5"/>
    <x v="1"/>
    <n v="0"/>
    <x v="0"/>
    <x v="0"/>
  </r>
  <r>
    <n v="68138"/>
    <x v="0"/>
    <n v="49"/>
    <n v="0"/>
    <n v="0"/>
    <x v="2"/>
    <x v="0"/>
    <x v="0"/>
    <x v="0"/>
    <n v="92.02"/>
    <n v="38.1"/>
    <x v="1"/>
    <n v="0"/>
    <x v="1"/>
    <x v="0"/>
  </r>
  <r>
    <n v="50363"/>
    <x v="1"/>
    <n v="73"/>
    <n v="1"/>
    <n v="0"/>
    <x v="0"/>
    <x v="0"/>
    <x v="0"/>
    <x v="1"/>
    <n v="60.98"/>
    <n v="29.9"/>
    <x v="0"/>
    <n v="0"/>
    <x v="0"/>
    <x v="3"/>
  </r>
  <r>
    <n v="4740"/>
    <x v="1"/>
    <n v="24"/>
    <n v="0"/>
    <n v="0"/>
    <x v="2"/>
    <x v="1"/>
    <x v="0"/>
    <x v="0"/>
    <n v="86.35"/>
    <n v="32.700000000000003"/>
    <x v="1"/>
    <n v="0"/>
    <x v="2"/>
    <x v="0"/>
  </r>
  <r>
    <n v="39683"/>
    <x v="0"/>
    <n v="26"/>
    <n v="0"/>
    <n v="0"/>
    <x v="2"/>
    <x v="1"/>
    <x v="0"/>
    <x v="1"/>
    <n v="71.260000000000005"/>
    <n v="28.6"/>
    <x v="3"/>
    <n v="0"/>
    <x v="2"/>
    <x v="3"/>
  </r>
  <r>
    <n v="49903"/>
    <x v="0"/>
    <n v="27"/>
    <n v="0"/>
    <n v="0"/>
    <x v="2"/>
    <x v="1"/>
    <x v="0"/>
    <x v="0"/>
    <n v="72.61"/>
    <n v="38.5"/>
    <x v="1"/>
    <n v="0"/>
    <x v="2"/>
    <x v="0"/>
  </r>
  <r>
    <n v="63457"/>
    <x v="1"/>
    <n v="78"/>
    <n v="0"/>
    <n v="1"/>
    <x v="0"/>
    <x v="1"/>
    <x v="1"/>
    <x v="0"/>
    <n v="110.78"/>
    <n v="22.9"/>
    <x v="1"/>
    <n v="0"/>
    <x v="0"/>
    <x v="2"/>
  </r>
  <r>
    <n v="18595"/>
    <x v="1"/>
    <n v="77"/>
    <n v="0"/>
    <n v="0"/>
    <x v="1"/>
    <x v="0"/>
    <x v="0"/>
    <x v="0"/>
    <n v="99.78"/>
    <n v="38"/>
    <x v="1"/>
    <n v="0"/>
    <x v="0"/>
    <x v="0"/>
  </r>
  <r>
    <n v="64912"/>
    <x v="1"/>
    <n v="59"/>
    <n v="0"/>
    <n v="0"/>
    <x v="2"/>
    <x v="0"/>
    <x v="1"/>
    <x v="1"/>
    <n v="201.45"/>
    <n v="43.8"/>
    <x v="2"/>
    <n v="0"/>
    <x v="1"/>
    <x v="0"/>
  </r>
  <r>
    <n v="68382"/>
    <x v="0"/>
    <n v="0.32"/>
    <n v="0"/>
    <n v="0"/>
    <x v="2"/>
    <x v="1"/>
    <x v="3"/>
    <x v="0"/>
    <n v="127.78"/>
    <n v="20.8"/>
    <x v="3"/>
    <n v="0"/>
    <x v="2"/>
    <x v="2"/>
  </r>
  <r>
    <n v="69510"/>
    <x v="0"/>
    <n v="39"/>
    <n v="0"/>
    <n v="0"/>
    <x v="2"/>
    <x v="0"/>
    <x v="0"/>
    <x v="1"/>
    <n v="121.32"/>
    <n v="26.8"/>
    <x v="1"/>
    <n v="0"/>
    <x v="2"/>
    <x v="3"/>
  </r>
  <r>
    <n v="29872"/>
    <x v="1"/>
    <n v="35"/>
    <n v="0"/>
    <n v="0"/>
    <x v="2"/>
    <x v="0"/>
    <x v="0"/>
    <x v="0"/>
    <n v="83.89"/>
    <n v="25.5"/>
    <x v="1"/>
    <n v="0"/>
    <x v="2"/>
    <x v="3"/>
  </r>
  <r>
    <n v="1924"/>
    <x v="0"/>
    <n v="54"/>
    <n v="0"/>
    <n v="0"/>
    <x v="2"/>
    <x v="0"/>
    <x v="0"/>
    <x v="1"/>
    <n v="74.06"/>
    <s v="N/A"/>
    <x v="1"/>
    <n v="0"/>
    <x v="1"/>
    <x v="1"/>
  </r>
  <r>
    <n v="67243"/>
    <x v="1"/>
    <n v="75"/>
    <n v="0"/>
    <n v="1"/>
    <x v="0"/>
    <x v="0"/>
    <x v="0"/>
    <x v="0"/>
    <n v="206.15"/>
    <n v="25.4"/>
    <x v="1"/>
    <n v="0"/>
    <x v="0"/>
    <x v="3"/>
  </r>
  <r>
    <n v="3494"/>
    <x v="1"/>
    <n v="80"/>
    <n v="0"/>
    <n v="0"/>
    <x v="1"/>
    <x v="0"/>
    <x v="0"/>
    <x v="1"/>
    <n v="102.9"/>
    <n v="26.7"/>
    <x v="3"/>
    <n v="0"/>
    <x v="0"/>
    <x v="3"/>
  </r>
  <r>
    <n v="37307"/>
    <x v="1"/>
    <n v="35"/>
    <n v="0"/>
    <n v="0"/>
    <x v="2"/>
    <x v="0"/>
    <x v="0"/>
    <x v="0"/>
    <n v="65.48"/>
    <n v="50.5"/>
    <x v="1"/>
    <n v="0"/>
    <x v="2"/>
    <x v="0"/>
  </r>
  <r>
    <n v="41175"/>
    <x v="1"/>
    <n v="22"/>
    <n v="0"/>
    <n v="0"/>
    <x v="2"/>
    <x v="1"/>
    <x v="2"/>
    <x v="0"/>
    <n v="123.23"/>
    <n v="21.3"/>
    <x v="3"/>
    <n v="0"/>
    <x v="2"/>
    <x v="2"/>
  </r>
  <r>
    <n v="48303"/>
    <x v="0"/>
    <n v="39"/>
    <n v="0"/>
    <n v="0"/>
    <x v="2"/>
    <x v="0"/>
    <x v="0"/>
    <x v="1"/>
    <n v="71.3"/>
    <n v="34.700000000000003"/>
    <x v="1"/>
    <n v="0"/>
    <x v="2"/>
    <x v="0"/>
  </r>
  <r>
    <n v="31473"/>
    <x v="0"/>
    <n v="6"/>
    <n v="0"/>
    <n v="0"/>
    <x v="2"/>
    <x v="1"/>
    <x v="3"/>
    <x v="1"/>
    <n v="79.05"/>
    <n v="17.899999999999999"/>
    <x v="3"/>
    <n v="0"/>
    <x v="2"/>
    <x v="4"/>
  </r>
  <r>
    <n v="31402"/>
    <x v="1"/>
    <n v="62"/>
    <n v="0"/>
    <n v="0"/>
    <x v="1"/>
    <x v="0"/>
    <x v="1"/>
    <x v="1"/>
    <n v="102.21"/>
    <n v="36.299999999999997"/>
    <x v="1"/>
    <n v="0"/>
    <x v="0"/>
    <x v="0"/>
  </r>
  <r>
    <n v="18996"/>
    <x v="1"/>
    <n v="13"/>
    <n v="0"/>
    <n v="0"/>
    <x v="2"/>
    <x v="1"/>
    <x v="3"/>
    <x v="0"/>
    <n v="105.22"/>
    <n v="18.399999999999999"/>
    <x v="3"/>
    <n v="0"/>
    <x v="2"/>
    <x v="4"/>
  </r>
  <r>
    <n v="2573"/>
    <x v="0"/>
    <n v="56"/>
    <n v="0"/>
    <n v="0"/>
    <x v="2"/>
    <x v="0"/>
    <x v="2"/>
    <x v="1"/>
    <n v="84.58"/>
    <n v="34.5"/>
    <x v="3"/>
    <n v="0"/>
    <x v="1"/>
    <x v="0"/>
  </r>
  <r>
    <n v="60683"/>
    <x v="0"/>
    <n v="53"/>
    <n v="0"/>
    <n v="1"/>
    <x v="2"/>
    <x v="0"/>
    <x v="2"/>
    <x v="0"/>
    <n v="77.3"/>
    <n v="33.4"/>
    <x v="1"/>
    <n v="0"/>
    <x v="1"/>
    <x v="0"/>
  </r>
  <r>
    <n v="70537"/>
    <x v="0"/>
    <n v="5"/>
    <n v="0"/>
    <n v="0"/>
    <x v="2"/>
    <x v="1"/>
    <x v="3"/>
    <x v="1"/>
    <n v="74.790000000000006"/>
    <n v="19.399999999999999"/>
    <x v="3"/>
    <n v="0"/>
    <x v="2"/>
    <x v="2"/>
  </r>
  <r>
    <n v="63193"/>
    <x v="1"/>
    <n v="44"/>
    <n v="0"/>
    <n v="0"/>
    <x v="2"/>
    <x v="0"/>
    <x v="0"/>
    <x v="1"/>
    <n v="88.75"/>
    <n v="25.6"/>
    <x v="3"/>
    <n v="0"/>
    <x v="1"/>
    <x v="3"/>
  </r>
  <r>
    <n v="12228"/>
    <x v="0"/>
    <n v="13"/>
    <n v="0"/>
    <n v="0"/>
    <x v="2"/>
    <x v="1"/>
    <x v="3"/>
    <x v="1"/>
    <n v="97.97"/>
    <n v="24.5"/>
    <x v="1"/>
    <n v="0"/>
    <x v="2"/>
    <x v="2"/>
  </r>
  <r>
    <n v="58107"/>
    <x v="1"/>
    <n v="59"/>
    <n v="0"/>
    <n v="0"/>
    <x v="2"/>
    <x v="0"/>
    <x v="0"/>
    <x v="1"/>
    <n v="79.180000000000007"/>
    <n v="30"/>
    <x v="3"/>
    <n v="0"/>
    <x v="1"/>
    <x v="0"/>
  </r>
  <r>
    <n v="28647"/>
    <x v="1"/>
    <n v="35"/>
    <n v="0"/>
    <n v="0"/>
    <x v="2"/>
    <x v="0"/>
    <x v="0"/>
    <x v="0"/>
    <n v="81.33"/>
    <n v="28.9"/>
    <x v="1"/>
    <n v="0"/>
    <x v="2"/>
    <x v="3"/>
  </r>
  <r>
    <n v="57086"/>
    <x v="1"/>
    <n v="52"/>
    <n v="0"/>
    <n v="0"/>
    <x v="2"/>
    <x v="0"/>
    <x v="0"/>
    <x v="0"/>
    <n v="126.68"/>
    <n v="28.1"/>
    <x v="1"/>
    <n v="0"/>
    <x v="1"/>
    <x v="3"/>
  </r>
  <r>
    <n v="5505"/>
    <x v="1"/>
    <n v="76"/>
    <n v="0"/>
    <n v="0"/>
    <x v="1"/>
    <x v="0"/>
    <x v="0"/>
    <x v="0"/>
    <n v="196.61"/>
    <n v="23"/>
    <x v="1"/>
    <n v="0"/>
    <x v="0"/>
    <x v="2"/>
  </r>
  <r>
    <n v="44112"/>
    <x v="1"/>
    <n v="51"/>
    <n v="0"/>
    <n v="0"/>
    <x v="2"/>
    <x v="0"/>
    <x v="1"/>
    <x v="0"/>
    <n v="219.92"/>
    <n v="33.5"/>
    <x v="0"/>
    <n v="0"/>
    <x v="1"/>
    <x v="0"/>
  </r>
  <r>
    <n v="56645"/>
    <x v="1"/>
    <n v="79"/>
    <n v="0"/>
    <n v="0"/>
    <x v="1"/>
    <x v="0"/>
    <x v="2"/>
    <x v="1"/>
    <n v="79.16"/>
    <n v="34.799999999999997"/>
    <x v="0"/>
    <n v="0"/>
    <x v="0"/>
    <x v="0"/>
  </r>
  <r>
    <n v="16652"/>
    <x v="1"/>
    <n v="69"/>
    <n v="0"/>
    <n v="0"/>
    <x v="1"/>
    <x v="0"/>
    <x v="1"/>
    <x v="0"/>
    <n v="99.68"/>
    <n v="17.600000000000001"/>
    <x v="0"/>
    <n v="0"/>
    <x v="0"/>
    <x v="4"/>
  </r>
  <r>
    <n v="32445"/>
    <x v="1"/>
    <n v="78"/>
    <n v="0"/>
    <n v="0"/>
    <x v="1"/>
    <x v="0"/>
    <x v="1"/>
    <x v="0"/>
    <n v="79.55"/>
    <n v="21.1"/>
    <x v="0"/>
    <n v="0"/>
    <x v="0"/>
    <x v="2"/>
  </r>
  <r>
    <n v="18752"/>
    <x v="0"/>
    <n v="60"/>
    <n v="0"/>
    <n v="0"/>
    <x v="1"/>
    <x v="0"/>
    <x v="0"/>
    <x v="1"/>
    <n v="87.86"/>
    <n v="29"/>
    <x v="0"/>
    <n v="0"/>
    <x v="0"/>
    <x v="3"/>
  </r>
  <r>
    <n v="35152"/>
    <x v="0"/>
    <n v="10"/>
    <n v="0"/>
    <n v="0"/>
    <x v="2"/>
    <x v="1"/>
    <x v="3"/>
    <x v="0"/>
    <n v="76.92"/>
    <n v="15.8"/>
    <x v="3"/>
    <n v="0"/>
    <x v="2"/>
    <x v="4"/>
  </r>
  <r>
    <n v="70081"/>
    <x v="0"/>
    <n v="42"/>
    <n v="1"/>
    <n v="0"/>
    <x v="2"/>
    <x v="0"/>
    <x v="1"/>
    <x v="1"/>
    <n v="77.239999999999995"/>
    <n v="41.2"/>
    <x v="3"/>
    <n v="0"/>
    <x v="1"/>
    <x v="0"/>
  </r>
  <r>
    <n v="72340"/>
    <x v="0"/>
    <n v="21"/>
    <n v="0"/>
    <n v="0"/>
    <x v="2"/>
    <x v="1"/>
    <x v="0"/>
    <x v="0"/>
    <n v="120.94"/>
    <n v="29.7"/>
    <x v="0"/>
    <n v="0"/>
    <x v="2"/>
    <x v="3"/>
  </r>
  <r>
    <n v="67112"/>
    <x v="1"/>
    <n v="56"/>
    <n v="0"/>
    <n v="0"/>
    <x v="2"/>
    <x v="0"/>
    <x v="0"/>
    <x v="1"/>
    <n v="77.66"/>
    <n v="40.799999999999997"/>
    <x v="1"/>
    <n v="0"/>
    <x v="1"/>
    <x v="0"/>
  </r>
  <r>
    <n v="42323"/>
    <x v="0"/>
    <n v="59"/>
    <n v="0"/>
    <n v="0"/>
    <x v="2"/>
    <x v="0"/>
    <x v="2"/>
    <x v="1"/>
    <n v="231.95"/>
    <n v="33.200000000000003"/>
    <x v="1"/>
    <n v="0"/>
    <x v="1"/>
    <x v="0"/>
  </r>
  <r>
    <n v="35022"/>
    <x v="1"/>
    <n v="69"/>
    <n v="0"/>
    <n v="0"/>
    <x v="1"/>
    <x v="0"/>
    <x v="0"/>
    <x v="0"/>
    <n v="111.48"/>
    <n v="37"/>
    <x v="2"/>
    <n v="0"/>
    <x v="0"/>
    <x v="0"/>
  </r>
  <r>
    <n v="21625"/>
    <x v="1"/>
    <n v="25"/>
    <n v="0"/>
    <n v="0"/>
    <x v="2"/>
    <x v="0"/>
    <x v="0"/>
    <x v="0"/>
    <n v="84.25"/>
    <n v="24.5"/>
    <x v="3"/>
    <n v="0"/>
    <x v="2"/>
    <x v="2"/>
  </r>
  <r>
    <n v="49972"/>
    <x v="0"/>
    <n v="63"/>
    <n v="0"/>
    <n v="0"/>
    <x v="1"/>
    <x v="0"/>
    <x v="1"/>
    <x v="1"/>
    <n v="216.38"/>
    <n v="34.5"/>
    <x v="1"/>
    <n v="0"/>
    <x v="0"/>
    <x v="0"/>
  </r>
  <r>
    <n v="44142"/>
    <x v="0"/>
    <n v="25"/>
    <n v="0"/>
    <n v="0"/>
    <x v="2"/>
    <x v="1"/>
    <x v="0"/>
    <x v="1"/>
    <n v="95.01"/>
    <n v="28"/>
    <x v="1"/>
    <n v="0"/>
    <x v="2"/>
    <x v="3"/>
  </r>
  <r>
    <n v="364"/>
    <x v="1"/>
    <n v="58"/>
    <n v="0"/>
    <n v="0"/>
    <x v="2"/>
    <x v="0"/>
    <x v="0"/>
    <x v="0"/>
    <n v="105.74"/>
    <n v="26.8"/>
    <x v="0"/>
    <n v="0"/>
    <x v="1"/>
    <x v="3"/>
  </r>
  <r>
    <n v="59669"/>
    <x v="1"/>
    <n v="28"/>
    <n v="0"/>
    <n v="0"/>
    <x v="2"/>
    <x v="0"/>
    <x v="0"/>
    <x v="1"/>
    <n v="58.41"/>
    <n v="21"/>
    <x v="3"/>
    <n v="0"/>
    <x v="2"/>
    <x v="2"/>
  </r>
  <r>
    <n v="69900"/>
    <x v="1"/>
    <n v="46"/>
    <n v="0"/>
    <n v="0"/>
    <x v="2"/>
    <x v="0"/>
    <x v="2"/>
    <x v="0"/>
    <n v="56.89"/>
    <n v="23.8"/>
    <x v="2"/>
    <n v="0"/>
    <x v="1"/>
    <x v="2"/>
  </r>
  <r>
    <n v="12753"/>
    <x v="0"/>
    <n v="53"/>
    <n v="0"/>
    <n v="0"/>
    <x v="2"/>
    <x v="0"/>
    <x v="0"/>
    <x v="0"/>
    <n v="86.25"/>
    <n v="29.3"/>
    <x v="1"/>
    <n v="0"/>
    <x v="1"/>
    <x v="3"/>
  </r>
  <r>
    <n v="10273"/>
    <x v="1"/>
    <n v="37"/>
    <n v="0"/>
    <n v="0"/>
    <x v="2"/>
    <x v="0"/>
    <x v="0"/>
    <x v="1"/>
    <n v="86.49"/>
    <n v="24.4"/>
    <x v="3"/>
    <n v="0"/>
    <x v="2"/>
    <x v="2"/>
  </r>
  <r>
    <n v="30824"/>
    <x v="0"/>
    <n v="12"/>
    <n v="0"/>
    <n v="0"/>
    <x v="2"/>
    <x v="1"/>
    <x v="3"/>
    <x v="1"/>
    <n v="115.47"/>
    <n v="22.6"/>
    <x v="3"/>
    <n v="0"/>
    <x v="2"/>
    <x v="2"/>
  </r>
  <r>
    <n v="587"/>
    <x v="1"/>
    <n v="14"/>
    <n v="0"/>
    <n v="0"/>
    <x v="2"/>
    <x v="1"/>
    <x v="3"/>
    <x v="1"/>
    <n v="92.22"/>
    <n v="22.8"/>
    <x v="3"/>
    <n v="0"/>
    <x v="2"/>
    <x v="2"/>
  </r>
  <r>
    <n v="55856"/>
    <x v="1"/>
    <n v="60"/>
    <n v="0"/>
    <n v="0"/>
    <x v="1"/>
    <x v="0"/>
    <x v="0"/>
    <x v="1"/>
    <n v="83.16"/>
    <n v="29.7"/>
    <x v="2"/>
    <n v="0"/>
    <x v="0"/>
    <x v="3"/>
  </r>
  <r>
    <n v="47196"/>
    <x v="0"/>
    <n v="42"/>
    <n v="0"/>
    <n v="0"/>
    <x v="2"/>
    <x v="0"/>
    <x v="0"/>
    <x v="1"/>
    <n v="110.68"/>
    <n v="32.4"/>
    <x v="0"/>
    <n v="0"/>
    <x v="1"/>
    <x v="0"/>
  </r>
  <r>
    <n v="67724"/>
    <x v="1"/>
    <n v="65"/>
    <n v="0"/>
    <n v="0"/>
    <x v="1"/>
    <x v="0"/>
    <x v="0"/>
    <x v="1"/>
    <n v="70.06"/>
    <n v="35.799999999999997"/>
    <x v="3"/>
    <n v="0"/>
    <x v="0"/>
    <x v="0"/>
  </r>
  <r>
    <n v="23488"/>
    <x v="0"/>
    <n v="80"/>
    <n v="1"/>
    <n v="0"/>
    <x v="0"/>
    <x v="0"/>
    <x v="1"/>
    <x v="0"/>
    <n v="213.33"/>
    <n v="31.1"/>
    <x v="0"/>
    <n v="0"/>
    <x v="0"/>
    <x v="0"/>
  </r>
  <r>
    <n v="2849"/>
    <x v="0"/>
    <n v="32"/>
    <n v="0"/>
    <n v="0"/>
    <x v="2"/>
    <x v="0"/>
    <x v="0"/>
    <x v="0"/>
    <n v="93.52"/>
    <n v="31.9"/>
    <x v="3"/>
    <n v="0"/>
    <x v="2"/>
    <x v="0"/>
  </r>
  <r>
    <n v="12134"/>
    <x v="1"/>
    <n v="53"/>
    <n v="0"/>
    <n v="0"/>
    <x v="2"/>
    <x v="0"/>
    <x v="2"/>
    <x v="1"/>
    <n v="87.62"/>
    <n v="33.700000000000003"/>
    <x v="2"/>
    <n v="0"/>
    <x v="1"/>
    <x v="0"/>
  </r>
  <r>
    <n v="24058"/>
    <x v="1"/>
    <n v="50"/>
    <n v="0"/>
    <n v="0"/>
    <x v="2"/>
    <x v="0"/>
    <x v="2"/>
    <x v="1"/>
    <n v="77.67"/>
    <n v="25.6"/>
    <x v="1"/>
    <n v="0"/>
    <x v="1"/>
    <x v="3"/>
  </r>
  <r>
    <n v="15117"/>
    <x v="1"/>
    <n v="23"/>
    <n v="0"/>
    <n v="0"/>
    <x v="2"/>
    <x v="1"/>
    <x v="0"/>
    <x v="1"/>
    <n v="95.66"/>
    <n v="19.899999999999999"/>
    <x v="2"/>
    <n v="0"/>
    <x v="2"/>
    <x v="2"/>
  </r>
  <r>
    <n v="72915"/>
    <x v="1"/>
    <n v="45"/>
    <n v="0"/>
    <n v="0"/>
    <x v="2"/>
    <x v="0"/>
    <x v="0"/>
    <x v="0"/>
    <n v="172.33"/>
    <n v="45.3"/>
    <x v="0"/>
    <n v="0"/>
    <x v="1"/>
    <x v="0"/>
  </r>
  <r>
    <n v="61836"/>
    <x v="1"/>
    <n v="0.8"/>
    <n v="0"/>
    <n v="0"/>
    <x v="2"/>
    <x v="1"/>
    <x v="3"/>
    <x v="0"/>
    <n v="106.59"/>
    <n v="15.5"/>
    <x v="3"/>
    <n v="0"/>
    <x v="2"/>
    <x v="4"/>
  </r>
  <r>
    <n v="13116"/>
    <x v="0"/>
    <n v="49"/>
    <n v="0"/>
    <n v="0"/>
    <x v="2"/>
    <x v="0"/>
    <x v="0"/>
    <x v="0"/>
    <n v="87.06"/>
    <n v="28.3"/>
    <x v="1"/>
    <n v="0"/>
    <x v="1"/>
    <x v="3"/>
  </r>
  <r>
    <n v="48146"/>
    <x v="0"/>
    <n v="70"/>
    <n v="0"/>
    <n v="1"/>
    <x v="0"/>
    <x v="0"/>
    <x v="0"/>
    <x v="1"/>
    <n v="93.02"/>
    <n v="40.200000000000003"/>
    <x v="0"/>
    <n v="0"/>
    <x v="0"/>
    <x v="0"/>
  </r>
  <r>
    <n v="72819"/>
    <x v="1"/>
    <n v="82"/>
    <n v="0"/>
    <n v="0"/>
    <x v="1"/>
    <x v="0"/>
    <x v="1"/>
    <x v="0"/>
    <n v="243.59"/>
    <n v="24.3"/>
    <x v="1"/>
    <n v="0"/>
    <x v="0"/>
    <x v="2"/>
  </r>
  <r>
    <n v="20070"/>
    <x v="0"/>
    <n v="23"/>
    <n v="0"/>
    <n v="0"/>
    <x v="2"/>
    <x v="1"/>
    <x v="0"/>
    <x v="0"/>
    <n v="86.7"/>
    <n v="24.6"/>
    <x v="3"/>
    <n v="0"/>
    <x v="2"/>
    <x v="2"/>
  </r>
  <r>
    <n v="8778"/>
    <x v="1"/>
    <n v="79"/>
    <n v="0"/>
    <n v="0"/>
    <x v="1"/>
    <x v="0"/>
    <x v="1"/>
    <x v="1"/>
    <n v="97.81"/>
    <n v="26.6"/>
    <x v="0"/>
    <n v="0"/>
    <x v="0"/>
    <x v="3"/>
  </r>
  <r>
    <n v="13764"/>
    <x v="1"/>
    <n v="74"/>
    <n v="0"/>
    <n v="0"/>
    <x v="1"/>
    <x v="0"/>
    <x v="0"/>
    <x v="0"/>
    <n v="116.04"/>
    <n v="30.9"/>
    <x v="1"/>
    <n v="0"/>
    <x v="0"/>
    <x v="0"/>
  </r>
  <r>
    <n v="2005"/>
    <x v="0"/>
    <n v="78"/>
    <n v="0"/>
    <n v="1"/>
    <x v="0"/>
    <x v="0"/>
    <x v="1"/>
    <x v="0"/>
    <n v="169.43"/>
    <n v="23.5"/>
    <x v="0"/>
    <n v="0"/>
    <x v="0"/>
    <x v="2"/>
  </r>
  <r>
    <n v="8616"/>
    <x v="1"/>
    <n v="50"/>
    <n v="0"/>
    <n v="0"/>
    <x v="2"/>
    <x v="0"/>
    <x v="0"/>
    <x v="1"/>
    <n v="68.41"/>
    <n v="23.9"/>
    <x v="2"/>
    <n v="0"/>
    <x v="1"/>
    <x v="2"/>
  </r>
  <r>
    <n v="51524"/>
    <x v="1"/>
    <n v="34"/>
    <n v="0"/>
    <n v="0"/>
    <x v="2"/>
    <x v="0"/>
    <x v="0"/>
    <x v="1"/>
    <n v="94.44"/>
    <n v="34.200000000000003"/>
    <x v="3"/>
    <n v="0"/>
    <x v="2"/>
    <x v="0"/>
  </r>
  <r>
    <n v="50541"/>
    <x v="0"/>
    <n v="47"/>
    <n v="0"/>
    <n v="0"/>
    <x v="2"/>
    <x v="0"/>
    <x v="2"/>
    <x v="0"/>
    <n v="73.48"/>
    <n v="34.9"/>
    <x v="2"/>
    <n v="0"/>
    <x v="1"/>
    <x v="0"/>
  </r>
  <r>
    <n v="21971"/>
    <x v="1"/>
    <n v="52"/>
    <n v="0"/>
    <n v="0"/>
    <x v="2"/>
    <x v="0"/>
    <x v="2"/>
    <x v="1"/>
    <n v="183.87"/>
    <n v="26.2"/>
    <x v="1"/>
    <n v="0"/>
    <x v="1"/>
    <x v="3"/>
  </r>
  <r>
    <n v="32183"/>
    <x v="1"/>
    <n v="67"/>
    <n v="0"/>
    <n v="0"/>
    <x v="1"/>
    <x v="0"/>
    <x v="0"/>
    <x v="1"/>
    <n v="66.08"/>
    <n v="36.200000000000003"/>
    <x v="1"/>
    <n v="0"/>
    <x v="0"/>
    <x v="0"/>
  </r>
  <r>
    <n v="30145"/>
    <x v="1"/>
    <n v="62"/>
    <n v="0"/>
    <n v="0"/>
    <x v="1"/>
    <x v="0"/>
    <x v="0"/>
    <x v="1"/>
    <n v="72.19"/>
    <n v="22.4"/>
    <x v="3"/>
    <n v="0"/>
    <x v="0"/>
    <x v="2"/>
  </r>
  <r>
    <n v="30482"/>
    <x v="1"/>
    <n v="18"/>
    <n v="0"/>
    <n v="0"/>
    <x v="2"/>
    <x v="1"/>
    <x v="0"/>
    <x v="1"/>
    <n v="101.09"/>
    <n v="19.3"/>
    <x v="2"/>
    <n v="0"/>
    <x v="2"/>
    <x v="2"/>
  </r>
  <r>
    <n v="30790"/>
    <x v="1"/>
    <n v="75"/>
    <n v="1"/>
    <n v="0"/>
    <x v="0"/>
    <x v="0"/>
    <x v="2"/>
    <x v="0"/>
    <n v="88.83"/>
    <n v="41.7"/>
    <x v="1"/>
    <n v="0"/>
    <x v="0"/>
    <x v="0"/>
  </r>
  <r>
    <n v="63337"/>
    <x v="1"/>
    <n v="42"/>
    <n v="0"/>
    <n v="0"/>
    <x v="2"/>
    <x v="0"/>
    <x v="0"/>
    <x v="1"/>
    <n v="69.989999999999995"/>
    <n v="46"/>
    <x v="2"/>
    <n v="0"/>
    <x v="1"/>
    <x v="0"/>
  </r>
  <r>
    <n v="66264"/>
    <x v="0"/>
    <n v="29"/>
    <n v="0"/>
    <n v="0"/>
    <x v="2"/>
    <x v="0"/>
    <x v="2"/>
    <x v="0"/>
    <n v="102.4"/>
    <n v="26.9"/>
    <x v="2"/>
    <n v="0"/>
    <x v="2"/>
    <x v="3"/>
  </r>
  <r>
    <n v="641"/>
    <x v="0"/>
    <n v="52"/>
    <n v="0"/>
    <n v="0"/>
    <x v="2"/>
    <x v="0"/>
    <x v="2"/>
    <x v="1"/>
    <n v="87.26"/>
    <n v="40.1"/>
    <x v="2"/>
    <n v="0"/>
    <x v="1"/>
    <x v="0"/>
  </r>
  <r>
    <n v="42412"/>
    <x v="1"/>
    <n v="18"/>
    <n v="0"/>
    <n v="0"/>
    <x v="2"/>
    <x v="1"/>
    <x v="0"/>
    <x v="0"/>
    <n v="146.59"/>
    <n v="27.7"/>
    <x v="3"/>
    <n v="0"/>
    <x v="2"/>
    <x v="3"/>
  </r>
  <r>
    <n v="65693"/>
    <x v="0"/>
    <n v="67"/>
    <n v="0"/>
    <n v="0"/>
    <x v="1"/>
    <x v="0"/>
    <x v="2"/>
    <x v="1"/>
    <n v="59"/>
    <n v="29.5"/>
    <x v="3"/>
    <n v="0"/>
    <x v="0"/>
    <x v="3"/>
  </r>
  <r>
    <n v="3746"/>
    <x v="1"/>
    <n v="66"/>
    <n v="0"/>
    <n v="0"/>
    <x v="1"/>
    <x v="0"/>
    <x v="0"/>
    <x v="0"/>
    <n v="76.83"/>
    <n v="26"/>
    <x v="1"/>
    <n v="0"/>
    <x v="0"/>
    <x v="3"/>
  </r>
  <r>
    <n v="71304"/>
    <x v="0"/>
    <n v="5"/>
    <n v="0"/>
    <n v="0"/>
    <x v="2"/>
    <x v="1"/>
    <x v="3"/>
    <x v="0"/>
    <n v="101.83"/>
    <n v="22.7"/>
    <x v="3"/>
    <n v="0"/>
    <x v="2"/>
    <x v="2"/>
  </r>
  <r>
    <n v="34935"/>
    <x v="1"/>
    <n v="18"/>
    <n v="0"/>
    <n v="0"/>
    <x v="2"/>
    <x v="1"/>
    <x v="2"/>
    <x v="0"/>
    <n v="90.92"/>
    <n v="16"/>
    <x v="1"/>
    <n v="0"/>
    <x v="2"/>
    <x v="4"/>
  </r>
  <r>
    <n v="29173"/>
    <x v="0"/>
    <n v="52"/>
    <n v="0"/>
    <n v="0"/>
    <x v="2"/>
    <x v="0"/>
    <x v="2"/>
    <x v="0"/>
    <n v="67.5"/>
    <n v="27.7"/>
    <x v="2"/>
    <n v="0"/>
    <x v="1"/>
    <x v="3"/>
  </r>
  <r>
    <n v="26474"/>
    <x v="1"/>
    <n v="44"/>
    <n v="0"/>
    <n v="0"/>
    <x v="2"/>
    <x v="0"/>
    <x v="2"/>
    <x v="0"/>
    <n v="97.16"/>
    <n v="33.1"/>
    <x v="3"/>
    <n v="0"/>
    <x v="1"/>
    <x v="0"/>
  </r>
  <r>
    <n v="56857"/>
    <x v="0"/>
    <n v="46"/>
    <n v="1"/>
    <n v="0"/>
    <x v="2"/>
    <x v="0"/>
    <x v="2"/>
    <x v="0"/>
    <n v="85.62"/>
    <n v="33.1"/>
    <x v="0"/>
    <n v="0"/>
    <x v="1"/>
    <x v="0"/>
  </r>
  <r>
    <n v="13529"/>
    <x v="1"/>
    <n v="36"/>
    <n v="0"/>
    <n v="0"/>
    <x v="2"/>
    <x v="0"/>
    <x v="2"/>
    <x v="1"/>
    <n v="129.43"/>
    <n v="29.7"/>
    <x v="1"/>
    <n v="0"/>
    <x v="2"/>
    <x v="3"/>
  </r>
  <r>
    <n v="61979"/>
    <x v="1"/>
    <n v="61"/>
    <n v="0"/>
    <n v="0"/>
    <x v="1"/>
    <x v="0"/>
    <x v="2"/>
    <x v="0"/>
    <n v="106.01"/>
    <n v="34"/>
    <x v="2"/>
    <n v="0"/>
    <x v="0"/>
    <x v="0"/>
  </r>
  <r>
    <n v="70886"/>
    <x v="1"/>
    <n v="7"/>
    <n v="0"/>
    <n v="0"/>
    <x v="2"/>
    <x v="1"/>
    <x v="3"/>
    <x v="1"/>
    <n v="114.82"/>
    <n v="33.299999999999997"/>
    <x v="3"/>
    <n v="0"/>
    <x v="2"/>
    <x v="0"/>
  </r>
  <r>
    <n v="27693"/>
    <x v="1"/>
    <n v="15"/>
    <n v="0"/>
    <n v="0"/>
    <x v="2"/>
    <x v="1"/>
    <x v="3"/>
    <x v="0"/>
    <n v="121.39"/>
    <n v="27"/>
    <x v="3"/>
    <n v="0"/>
    <x v="2"/>
    <x v="3"/>
  </r>
  <r>
    <n v="59762"/>
    <x v="0"/>
    <n v="61"/>
    <n v="0"/>
    <n v="0"/>
    <x v="1"/>
    <x v="0"/>
    <x v="0"/>
    <x v="0"/>
    <n v="227.98"/>
    <n v="14.2"/>
    <x v="3"/>
    <n v="0"/>
    <x v="0"/>
    <x v="4"/>
  </r>
  <r>
    <n v="57308"/>
    <x v="0"/>
    <n v="20"/>
    <n v="0"/>
    <n v="0"/>
    <x v="2"/>
    <x v="1"/>
    <x v="0"/>
    <x v="0"/>
    <n v="78.97"/>
    <n v="19.399999999999999"/>
    <x v="1"/>
    <n v="0"/>
    <x v="2"/>
    <x v="2"/>
  </r>
  <r>
    <n v="3701"/>
    <x v="1"/>
    <n v="2"/>
    <n v="0"/>
    <n v="0"/>
    <x v="2"/>
    <x v="1"/>
    <x v="3"/>
    <x v="0"/>
    <n v="84.12"/>
    <n v="15.3"/>
    <x v="3"/>
    <n v="0"/>
    <x v="2"/>
    <x v="4"/>
  </r>
  <r>
    <n v="61339"/>
    <x v="0"/>
    <n v="47"/>
    <n v="0"/>
    <n v="0"/>
    <x v="2"/>
    <x v="0"/>
    <x v="1"/>
    <x v="0"/>
    <n v="95.04"/>
    <n v="28.7"/>
    <x v="1"/>
    <n v="0"/>
    <x v="1"/>
    <x v="3"/>
  </r>
  <r>
    <n v="24965"/>
    <x v="1"/>
    <n v="25"/>
    <n v="0"/>
    <n v="0"/>
    <x v="2"/>
    <x v="1"/>
    <x v="2"/>
    <x v="1"/>
    <n v="103.15"/>
    <n v="21"/>
    <x v="2"/>
    <n v="0"/>
    <x v="2"/>
    <x v="2"/>
  </r>
  <r>
    <n v="33952"/>
    <x v="0"/>
    <n v="66"/>
    <n v="1"/>
    <n v="0"/>
    <x v="0"/>
    <x v="0"/>
    <x v="0"/>
    <x v="0"/>
    <n v="82.91"/>
    <n v="28.9"/>
    <x v="0"/>
    <n v="0"/>
    <x v="0"/>
    <x v="3"/>
  </r>
  <r>
    <n v="39042"/>
    <x v="0"/>
    <n v="2"/>
    <n v="0"/>
    <n v="0"/>
    <x v="2"/>
    <x v="1"/>
    <x v="3"/>
    <x v="0"/>
    <n v="70.930000000000007"/>
    <n v="20.3"/>
    <x v="3"/>
    <n v="0"/>
    <x v="2"/>
    <x v="2"/>
  </r>
  <r>
    <n v="43039"/>
    <x v="1"/>
    <n v="63"/>
    <n v="0"/>
    <n v="0"/>
    <x v="1"/>
    <x v="0"/>
    <x v="0"/>
    <x v="1"/>
    <n v="153.6"/>
    <n v="28"/>
    <x v="0"/>
    <n v="0"/>
    <x v="0"/>
    <x v="3"/>
  </r>
  <r>
    <n v="59915"/>
    <x v="1"/>
    <n v="53"/>
    <n v="0"/>
    <n v="0"/>
    <x v="2"/>
    <x v="1"/>
    <x v="0"/>
    <x v="0"/>
    <n v="129.43"/>
    <n v="29.6"/>
    <x v="1"/>
    <n v="0"/>
    <x v="1"/>
    <x v="3"/>
  </r>
  <r>
    <n v="4727"/>
    <x v="1"/>
    <n v="33"/>
    <n v="0"/>
    <n v="0"/>
    <x v="2"/>
    <x v="0"/>
    <x v="2"/>
    <x v="1"/>
    <n v="81"/>
    <n v="30.2"/>
    <x v="0"/>
    <n v="0"/>
    <x v="2"/>
    <x v="0"/>
  </r>
  <r>
    <n v="16481"/>
    <x v="1"/>
    <n v="23"/>
    <n v="0"/>
    <n v="0"/>
    <x v="2"/>
    <x v="1"/>
    <x v="2"/>
    <x v="1"/>
    <n v="71.81"/>
    <n v="22.2"/>
    <x v="3"/>
    <n v="0"/>
    <x v="2"/>
    <x v="2"/>
  </r>
  <r>
    <n v="15018"/>
    <x v="1"/>
    <n v="23"/>
    <n v="0"/>
    <n v="0"/>
    <x v="2"/>
    <x v="1"/>
    <x v="2"/>
    <x v="0"/>
    <n v="84.46"/>
    <n v="28.4"/>
    <x v="0"/>
    <n v="0"/>
    <x v="2"/>
    <x v="3"/>
  </r>
  <r>
    <n v="49702"/>
    <x v="1"/>
    <n v="81"/>
    <n v="0"/>
    <n v="0"/>
    <x v="1"/>
    <x v="0"/>
    <x v="1"/>
    <x v="1"/>
    <n v="101.32"/>
    <n v="29.6"/>
    <x v="0"/>
    <n v="0"/>
    <x v="0"/>
    <x v="3"/>
  </r>
  <r>
    <n v="48017"/>
    <x v="0"/>
    <n v="55"/>
    <n v="0"/>
    <n v="0"/>
    <x v="2"/>
    <x v="0"/>
    <x v="0"/>
    <x v="0"/>
    <n v="62.56"/>
    <n v="28.6"/>
    <x v="1"/>
    <n v="0"/>
    <x v="1"/>
    <x v="3"/>
  </r>
  <r>
    <n v="15313"/>
    <x v="1"/>
    <n v="69"/>
    <n v="1"/>
    <n v="0"/>
    <x v="0"/>
    <x v="0"/>
    <x v="2"/>
    <x v="0"/>
    <n v="208.2"/>
    <n v="32.6"/>
    <x v="0"/>
    <n v="0"/>
    <x v="0"/>
    <x v="0"/>
  </r>
  <r>
    <n v="22231"/>
    <x v="0"/>
    <n v="58"/>
    <n v="0"/>
    <n v="0"/>
    <x v="2"/>
    <x v="0"/>
    <x v="0"/>
    <x v="0"/>
    <n v="199.42"/>
    <n v="29"/>
    <x v="1"/>
    <n v="0"/>
    <x v="1"/>
    <x v="3"/>
  </r>
  <r>
    <n v="45461"/>
    <x v="1"/>
    <n v="70"/>
    <n v="0"/>
    <n v="0"/>
    <x v="1"/>
    <x v="0"/>
    <x v="0"/>
    <x v="0"/>
    <n v="91.28"/>
    <n v="30.1"/>
    <x v="3"/>
    <n v="0"/>
    <x v="0"/>
    <x v="0"/>
  </r>
  <r>
    <n v="30678"/>
    <x v="1"/>
    <n v="48"/>
    <n v="0"/>
    <n v="0"/>
    <x v="2"/>
    <x v="0"/>
    <x v="0"/>
    <x v="0"/>
    <n v="77.989999999999995"/>
    <n v="31.2"/>
    <x v="0"/>
    <n v="0"/>
    <x v="1"/>
    <x v="0"/>
  </r>
  <r>
    <n v="57904"/>
    <x v="0"/>
    <n v="15"/>
    <n v="0"/>
    <n v="0"/>
    <x v="2"/>
    <x v="1"/>
    <x v="0"/>
    <x v="0"/>
    <n v="190.13"/>
    <n v="20.7"/>
    <x v="1"/>
    <n v="0"/>
    <x v="2"/>
    <x v="2"/>
  </r>
  <r>
    <n v="67483"/>
    <x v="0"/>
    <n v="31"/>
    <n v="1"/>
    <n v="0"/>
    <x v="2"/>
    <x v="0"/>
    <x v="0"/>
    <x v="0"/>
    <n v="149.68"/>
    <n v="45.1"/>
    <x v="1"/>
    <n v="0"/>
    <x v="2"/>
    <x v="0"/>
  </r>
  <r>
    <n v="5646"/>
    <x v="1"/>
    <n v="2"/>
    <n v="0"/>
    <n v="0"/>
    <x v="2"/>
    <x v="1"/>
    <x v="3"/>
    <x v="1"/>
    <n v="92.3"/>
    <n v="14.8"/>
    <x v="3"/>
    <n v="0"/>
    <x v="2"/>
    <x v="4"/>
  </r>
  <r>
    <n v="67911"/>
    <x v="0"/>
    <n v="80"/>
    <n v="0"/>
    <n v="0"/>
    <x v="1"/>
    <x v="1"/>
    <x v="1"/>
    <x v="1"/>
    <n v="235.54"/>
    <n v="37.4"/>
    <x v="0"/>
    <n v="0"/>
    <x v="0"/>
    <x v="0"/>
  </r>
  <r>
    <n v="16856"/>
    <x v="1"/>
    <n v="69"/>
    <n v="0"/>
    <n v="0"/>
    <x v="1"/>
    <x v="0"/>
    <x v="0"/>
    <x v="1"/>
    <n v="84.46"/>
    <n v="19.899999999999999"/>
    <x v="3"/>
    <n v="0"/>
    <x v="0"/>
    <x v="2"/>
  </r>
  <r>
    <n v="37972"/>
    <x v="1"/>
    <n v="52"/>
    <n v="0"/>
    <n v="0"/>
    <x v="2"/>
    <x v="0"/>
    <x v="0"/>
    <x v="1"/>
    <n v="68.7"/>
    <n v="16"/>
    <x v="3"/>
    <n v="0"/>
    <x v="1"/>
    <x v="4"/>
  </r>
  <r>
    <n v="62414"/>
    <x v="0"/>
    <n v="80"/>
    <n v="1"/>
    <n v="0"/>
    <x v="0"/>
    <x v="0"/>
    <x v="1"/>
    <x v="0"/>
    <n v="178.89"/>
    <n v="27.4"/>
    <x v="3"/>
    <n v="0"/>
    <x v="0"/>
    <x v="3"/>
  </r>
  <r>
    <n v="50485"/>
    <x v="0"/>
    <n v="54"/>
    <n v="0"/>
    <n v="0"/>
    <x v="2"/>
    <x v="0"/>
    <x v="0"/>
    <x v="1"/>
    <n v="227.74"/>
    <n v="33.4"/>
    <x v="2"/>
    <n v="0"/>
    <x v="1"/>
    <x v="0"/>
  </r>
  <r>
    <n v="47405"/>
    <x v="1"/>
    <n v="2"/>
    <n v="0"/>
    <n v="0"/>
    <x v="2"/>
    <x v="1"/>
    <x v="3"/>
    <x v="1"/>
    <n v="100.66"/>
    <n v="18.5"/>
    <x v="3"/>
    <n v="0"/>
    <x v="2"/>
    <x v="2"/>
  </r>
  <r>
    <n v="70928"/>
    <x v="0"/>
    <n v="39"/>
    <n v="0"/>
    <n v="0"/>
    <x v="2"/>
    <x v="0"/>
    <x v="2"/>
    <x v="0"/>
    <n v="73.62"/>
    <n v="33.4"/>
    <x v="3"/>
    <n v="0"/>
    <x v="2"/>
    <x v="0"/>
  </r>
  <r>
    <n v="4679"/>
    <x v="1"/>
    <n v="38"/>
    <n v="0"/>
    <n v="0"/>
    <x v="2"/>
    <x v="0"/>
    <x v="0"/>
    <x v="1"/>
    <n v="100.05"/>
    <n v="20.8"/>
    <x v="2"/>
    <n v="0"/>
    <x v="2"/>
    <x v="2"/>
  </r>
  <r>
    <n v="15070"/>
    <x v="0"/>
    <n v="76"/>
    <n v="0"/>
    <n v="1"/>
    <x v="0"/>
    <x v="0"/>
    <x v="0"/>
    <x v="1"/>
    <n v="213.8"/>
    <n v="22"/>
    <x v="1"/>
    <n v="0"/>
    <x v="0"/>
    <x v="2"/>
  </r>
  <r>
    <n v="25625"/>
    <x v="1"/>
    <n v="45"/>
    <n v="0"/>
    <n v="0"/>
    <x v="2"/>
    <x v="1"/>
    <x v="0"/>
    <x v="1"/>
    <n v="103.94"/>
    <n v="32.5"/>
    <x v="2"/>
    <n v="0"/>
    <x v="1"/>
    <x v="0"/>
  </r>
  <r>
    <n v="35123"/>
    <x v="1"/>
    <n v="1.24"/>
    <n v="0"/>
    <n v="0"/>
    <x v="2"/>
    <x v="1"/>
    <x v="3"/>
    <x v="0"/>
    <n v="84.2"/>
    <n v="19.2"/>
    <x v="3"/>
    <n v="0"/>
    <x v="2"/>
    <x v="2"/>
  </r>
  <r>
    <n v="20165"/>
    <x v="1"/>
    <n v="77"/>
    <n v="0"/>
    <n v="0"/>
    <x v="1"/>
    <x v="0"/>
    <x v="0"/>
    <x v="0"/>
    <n v="250.8"/>
    <n v="32.9"/>
    <x v="1"/>
    <n v="0"/>
    <x v="0"/>
    <x v="0"/>
  </r>
  <r>
    <n v="41730"/>
    <x v="1"/>
    <n v="46"/>
    <n v="0"/>
    <n v="0"/>
    <x v="2"/>
    <x v="1"/>
    <x v="2"/>
    <x v="1"/>
    <n v="112.29"/>
    <n v="23.5"/>
    <x v="3"/>
    <n v="0"/>
    <x v="1"/>
    <x v="2"/>
  </r>
  <r>
    <n v="38761"/>
    <x v="1"/>
    <n v="50"/>
    <n v="0"/>
    <n v="0"/>
    <x v="2"/>
    <x v="0"/>
    <x v="0"/>
    <x v="0"/>
    <n v="65.98"/>
    <n v="21.7"/>
    <x v="1"/>
    <n v="0"/>
    <x v="1"/>
    <x v="2"/>
  </r>
  <r>
    <n v="4797"/>
    <x v="1"/>
    <n v="52"/>
    <n v="0"/>
    <n v="0"/>
    <x v="2"/>
    <x v="0"/>
    <x v="0"/>
    <x v="0"/>
    <n v="99.1"/>
    <n v="29.1"/>
    <x v="3"/>
    <n v="0"/>
    <x v="1"/>
    <x v="3"/>
  </r>
  <r>
    <n v="19199"/>
    <x v="1"/>
    <n v="73"/>
    <n v="1"/>
    <n v="0"/>
    <x v="0"/>
    <x v="0"/>
    <x v="0"/>
    <x v="1"/>
    <n v="217.84"/>
    <s v="N/A"/>
    <x v="1"/>
    <n v="0"/>
    <x v="0"/>
    <x v="1"/>
  </r>
  <r>
    <n v="30402"/>
    <x v="0"/>
    <n v="41"/>
    <n v="0"/>
    <n v="0"/>
    <x v="2"/>
    <x v="0"/>
    <x v="0"/>
    <x v="0"/>
    <n v="104.34"/>
    <n v="30.3"/>
    <x v="3"/>
    <n v="0"/>
    <x v="1"/>
    <x v="0"/>
  </r>
  <r>
    <n v="25088"/>
    <x v="1"/>
    <n v="40"/>
    <n v="0"/>
    <n v="0"/>
    <x v="2"/>
    <x v="1"/>
    <x v="0"/>
    <x v="1"/>
    <n v="217"/>
    <n v="29.4"/>
    <x v="0"/>
    <n v="0"/>
    <x v="1"/>
    <x v="3"/>
  </r>
  <r>
    <n v="54756"/>
    <x v="1"/>
    <n v="59"/>
    <n v="0"/>
    <n v="0"/>
    <x v="2"/>
    <x v="0"/>
    <x v="0"/>
    <x v="1"/>
    <n v="57.47"/>
    <n v="30.1"/>
    <x v="0"/>
    <n v="0"/>
    <x v="1"/>
    <x v="0"/>
  </r>
  <r>
    <n v="19590"/>
    <x v="0"/>
    <n v="48"/>
    <n v="0"/>
    <n v="0"/>
    <x v="2"/>
    <x v="0"/>
    <x v="2"/>
    <x v="0"/>
    <n v="78.239999999999995"/>
    <n v="32.9"/>
    <x v="1"/>
    <n v="0"/>
    <x v="1"/>
    <x v="0"/>
  </r>
  <r>
    <n v="23332"/>
    <x v="1"/>
    <n v="42"/>
    <n v="0"/>
    <n v="0"/>
    <x v="2"/>
    <x v="0"/>
    <x v="0"/>
    <x v="1"/>
    <n v="94.38"/>
    <n v="34"/>
    <x v="1"/>
    <n v="0"/>
    <x v="1"/>
    <x v="0"/>
  </r>
  <r>
    <n v="16971"/>
    <x v="1"/>
    <n v="26"/>
    <n v="0"/>
    <n v="0"/>
    <x v="2"/>
    <x v="1"/>
    <x v="0"/>
    <x v="0"/>
    <n v="100.31"/>
    <n v="38.6"/>
    <x v="1"/>
    <n v="0"/>
    <x v="2"/>
    <x v="0"/>
  </r>
  <r>
    <n v="11727"/>
    <x v="0"/>
    <n v="39"/>
    <n v="0"/>
    <n v="0"/>
    <x v="2"/>
    <x v="0"/>
    <x v="1"/>
    <x v="0"/>
    <n v="74.290000000000006"/>
    <n v="29.3"/>
    <x v="2"/>
    <n v="0"/>
    <x v="2"/>
    <x v="3"/>
  </r>
  <r>
    <n v="60255"/>
    <x v="1"/>
    <n v="34"/>
    <n v="0"/>
    <n v="0"/>
    <x v="2"/>
    <x v="1"/>
    <x v="0"/>
    <x v="1"/>
    <n v="103.43"/>
    <n v="43.6"/>
    <x v="2"/>
    <n v="0"/>
    <x v="2"/>
    <x v="0"/>
  </r>
  <r>
    <n v="38796"/>
    <x v="1"/>
    <n v="54"/>
    <n v="0"/>
    <n v="0"/>
    <x v="2"/>
    <x v="0"/>
    <x v="0"/>
    <x v="0"/>
    <n v="99.83"/>
    <n v="22.7"/>
    <x v="0"/>
    <n v="0"/>
    <x v="1"/>
    <x v="2"/>
  </r>
  <r>
    <n v="46498"/>
    <x v="1"/>
    <n v="57"/>
    <n v="0"/>
    <n v="0"/>
    <x v="2"/>
    <x v="0"/>
    <x v="0"/>
    <x v="0"/>
    <n v="217.4"/>
    <n v="36.6"/>
    <x v="1"/>
    <n v="0"/>
    <x v="1"/>
    <x v="0"/>
  </r>
  <r>
    <n v="41042"/>
    <x v="1"/>
    <n v="1.56"/>
    <n v="0"/>
    <n v="0"/>
    <x v="2"/>
    <x v="1"/>
    <x v="3"/>
    <x v="0"/>
    <n v="71.81"/>
    <n v="22.6"/>
    <x v="3"/>
    <n v="0"/>
    <x v="2"/>
    <x v="2"/>
  </r>
  <r>
    <n v="35069"/>
    <x v="1"/>
    <n v="50"/>
    <n v="1"/>
    <n v="1"/>
    <x v="2"/>
    <x v="1"/>
    <x v="2"/>
    <x v="0"/>
    <n v="79.790000000000006"/>
    <n v="25.6"/>
    <x v="2"/>
    <n v="0"/>
    <x v="1"/>
    <x v="3"/>
  </r>
  <r>
    <n v="61103"/>
    <x v="1"/>
    <n v="64"/>
    <n v="1"/>
    <n v="0"/>
    <x v="0"/>
    <x v="0"/>
    <x v="1"/>
    <x v="0"/>
    <n v="190.92"/>
    <n v="31.4"/>
    <x v="1"/>
    <n v="0"/>
    <x v="0"/>
    <x v="0"/>
  </r>
  <r>
    <n v="25095"/>
    <x v="0"/>
    <n v="44"/>
    <n v="0"/>
    <n v="0"/>
    <x v="2"/>
    <x v="0"/>
    <x v="2"/>
    <x v="0"/>
    <n v="94.76"/>
    <n v="26"/>
    <x v="0"/>
    <n v="0"/>
    <x v="1"/>
    <x v="3"/>
  </r>
  <r>
    <n v="55607"/>
    <x v="0"/>
    <n v="38"/>
    <n v="0"/>
    <n v="0"/>
    <x v="2"/>
    <x v="0"/>
    <x v="0"/>
    <x v="0"/>
    <n v="101.43"/>
    <n v="27"/>
    <x v="0"/>
    <n v="0"/>
    <x v="2"/>
    <x v="3"/>
  </r>
  <r>
    <n v="63029"/>
    <x v="0"/>
    <n v="32"/>
    <n v="0"/>
    <n v="0"/>
    <x v="2"/>
    <x v="0"/>
    <x v="0"/>
    <x v="1"/>
    <n v="115.86"/>
    <n v="33.299999999999997"/>
    <x v="1"/>
    <n v="0"/>
    <x v="2"/>
    <x v="0"/>
  </r>
  <r>
    <n v="2919"/>
    <x v="0"/>
    <n v="17"/>
    <n v="0"/>
    <n v="0"/>
    <x v="2"/>
    <x v="1"/>
    <x v="0"/>
    <x v="1"/>
    <n v="95.27"/>
    <n v="17.3"/>
    <x v="3"/>
    <n v="0"/>
    <x v="2"/>
    <x v="4"/>
  </r>
  <r>
    <n v="60003"/>
    <x v="0"/>
    <n v="81"/>
    <n v="0"/>
    <n v="0"/>
    <x v="1"/>
    <x v="0"/>
    <x v="2"/>
    <x v="1"/>
    <n v="89.02"/>
    <n v="26.9"/>
    <x v="1"/>
    <n v="0"/>
    <x v="0"/>
    <x v="3"/>
  </r>
  <r>
    <n v="46256"/>
    <x v="0"/>
    <n v="15"/>
    <n v="0"/>
    <n v="0"/>
    <x v="2"/>
    <x v="1"/>
    <x v="0"/>
    <x v="0"/>
    <n v="77.55"/>
    <n v="24.8"/>
    <x v="3"/>
    <n v="0"/>
    <x v="2"/>
    <x v="2"/>
  </r>
  <r>
    <n v="23659"/>
    <x v="1"/>
    <n v="5"/>
    <n v="0"/>
    <n v="0"/>
    <x v="2"/>
    <x v="1"/>
    <x v="3"/>
    <x v="0"/>
    <n v="75.86"/>
    <n v="20"/>
    <x v="3"/>
    <n v="0"/>
    <x v="2"/>
    <x v="2"/>
  </r>
  <r>
    <n v="2952"/>
    <x v="0"/>
    <n v="70"/>
    <n v="1"/>
    <n v="1"/>
    <x v="0"/>
    <x v="0"/>
    <x v="0"/>
    <x v="1"/>
    <n v="93.62"/>
    <n v="35.799999999999997"/>
    <x v="1"/>
    <n v="0"/>
    <x v="0"/>
    <x v="0"/>
  </r>
  <r>
    <n v="49229"/>
    <x v="0"/>
    <n v="52"/>
    <n v="0"/>
    <n v="0"/>
    <x v="2"/>
    <x v="1"/>
    <x v="2"/>
    <x v="1"/>
    <n v="72.709999999999994"/>
    <n v="36.9"/>
    <x v="0"/>
    <n v="0"/>
    <x v="1"/>
    <x v="0"/>
  </r>
  <r>
    <n v="2457"/>
    <x v="1"/>
    <n v="67"/>
    <n v="0"/>
    <n v="1"/>
    <x v="0"/>
    <x v="0"/>
    <x v="1"/>
    <x v="1"/>
    <n v="94.45"/>
    <n v="29.6"/>
    <x v="0"/>
    <n v="0"/>
    <x v="0"/>
    <x v="3"/>
  </r>
  <r>
    <n v="23508"/>
    <x v="1"/>
    <n v="17"/>
    <n v="0"/>
    <n v="0"/>
    <x v="2"/>
    <x v="1"/>
    <x v="4"/>
    <x v="1"/>
    <n v="88.57"/>
    <n v="31.1"/>
    <x v="1"/>
    <n v="0"/>
    <x v="2"/>
    <x v="0"/>
  </r>
  <r>
    <n v="28364"/>
    <x v="0"/>
    <n v="61"/>
    <n v="0"/>
    <n v="0"/>
    <x v="1"/>
    <x v="0"/>
    <x v="0"/>
    <x v="0"/>
    <n v="84.12"/>
    <n v="25.1"/>
    <x v="0"/>
    <n v="0"/>
    <x v="0"/>
    <x v="3"/>
  </r>
  <r>
    <n v="31360"/>
    <x v="1"/>
    <n v="31"/>
    <n v="0"/>
    <n v="0"/>
    <x v="2"/>
    <x v="1"/>
    <x v="0"/>
    <x v="0"/>
    <n v="89.11"/>
    <n v="51.9"/>
    <x v="2"/>
    <n v="0"/>
    <x v="2"/>
    <x v="0"/>
  </r>
  <r>
    <n v="19335"/>
    <x v="0"/>
    <n v="58"/>
    <n v="0"/>
    <n v="0"/>
    <x v="2"/>
    <x v="0"/>
    <x v="1"/>
    <x v="1"/>
    <n v="99.83"/>
    <n v="36.299999999999997"/>
    <x v="2"/>
    <n v="0"/>
    <x v="1"/>
    <x v="0"/>
  </r>
  <r>
    <n v="40390"/>
    <x v="1"/>
    <n v="12"/>
    <n v="0"/>
    <n v="0"/>
    <x v="2"/>
    <x v="1"/>
    <x v="3"/>
    <x v="1"/>
    <n v="150.03"/>
    <n v="28.2"/>
    <x v="1"/>
    <n v="0"/>
    <x v="2"/>
    <x v="3"/>
  </r>
  <r>
    <n v="63936"/>
    <x v="1"/>
    <n v="30"/>
    <n v="0"/>
    <n v="0"/>
    <x v="2"/>
    <x v="1"/>
    <x v="0"/>
    <x v="0"/>
    <n v="69.67"/>
    <n v="35.799999999999997"/>
    <x v="0"/>
    <n v="0"/>
    <x v="2"/>
    <x v="0"/>
  </r>
  <r>
    <n v="24832"/>
    <x v="1"/>
    <n v="65"/>
    <n v="0"/>
    <n v="0"/>
    <x v="1"/>
    <x v="0"/>
    <x v="1"/>
    <x v="0"/>
    <n v="77.459999999999994"/>
    <n v="30.9"/>
    <x v="0"/>
    <n v="0"/>
    <x v="0"/>
    <x v="0"/>
  </r>
  <r>
    <n v="25219"/>
    <x v="1"/>
    <n v="23"/>
    <n v="0"/>
    <n v="0"/>
    <x v="2"/>
    <x v="1"/>
    <x v="0"/>
    <x v="0"/>
    <n v="100.54"/>
    <n v="22.1"/>
    <x v="2"/>
    <n v="0"/>
    <x v="2"/>
    <x v="2"/>
  </r>
  <r>
    <n v="42393"/>
    <x v="0"/>
    <n v="14"/>
    <n v="0"/>
    <n v="0"/>
    <x v="2"/>
    <x v="1"/>
    <x v="3"/>
    <x v="1"/>
    <n v="142.38"/>
    <n v="17.600000000000001"/>
    <x v="1"/>
    <n v="0"/>
    <x v="2"/>
    <x v="4"/>
  </r>
  <r>
    <n v="17951"/>
    <x v="0"/>
    <n v="27"/>
    <n v="0"/>
    <n v="0"/>
    <x v="2"/>
    <x v="1"/>
    <x v="1"/>
    <x v="1"/>
    <n v="110.87"/>
    <n v="29.5"/>
    <x v="2"/>
    <n v="0"/>
    <x v="2"/>
    <x v="3"/>
  </r>
  <r>
    <n v="17443"/>
    <x v="1"/>
    <n v="53"/>
    <n v="0"/>
    <n v="0"/>
    <x v="2"/>
    <x v="0"/>
    <x v="0"/>
    <x v="0"/>
    <n v="73.599999999999994"/>
    <n v="27"/>
    <x v="1"/>
    <n v="0"/>
    <x v="1"/>
    <x v="3"/>
  </r>
  <r>
    <n v="52242"/>
    <x v="1"/>
    <n v="58"/>
    <n v="1"/>
    <n v="0"/>
    <x v="2"/>
    <x v="0"/>
    <x v="2"/>
    <x v="1"/>
    <n v="59.52"/>
    <n v="33.200000000000003"/>
    <x v="1"/>
    <n v="0"/>
    <x v="1"/>
    <x v="0"/>
  </r>
  <r>
    <n v="45931"/>
    <x v="0"/>
    <n v="9"/>
    <n v="0"/>
    <n v="0"/>
    <x v="2"/>
    <x v="1"/>
    <x v="3"/>
    <x v="0"/>
    <n v="142.68"/>
    <n v="24.4"/>
    <x v="3"/>
    <n v="0"/>
    <x v="2"/>
    <x v="2"/>
  </r>
  <r>
    <n v="7828"/>
    <x v="0"/>
    <n v="59"/>
    <n v="1"/>
    <n v="0"/>
    <x v="2"/>
    <x v="0"/>
    <x v="1"/>
    <x v="0"/>
    <n v="182.9"/>
    <n v="34.4"/>
    <x v="2"/>
    <n v="0"/>
    <x v="1"/>
    <x v="0"/>
  </r>
  <r>
    <n v="21547"/>
    <x v="1"/>
    <n v="46"/>
    <n v="0"/>
    <n v="0"/>
    <x v="2"/>
    <x v="0"/>
    <x v="2"/>
    <x v="0"/>
    <n v="75.28"/>
    <n v="36.700000000000003"/>
    <x v="0"/>
    <n v="0"/>
    <x v="1"/>
    <x v="0"/>
  </r>
  <r>
    <n v="42305"/>
    <x v="1"/>
    <n v="41"/>
    <n v="0"/>
    <n v="0"/>
    <x v="2"/>
    <x v="1"/>
    <x v="0"/>
    <x v="1"/>
    <n v="100.75"/>
    <n v="27.2"/>
    <x v="1"/>
    <n v="0"/>
    <x v="1"/>
    <x v="3"/>
  </r>
  <r>
    <n v="9442"/>
    <x v="0"/>
    <n v="55"/>
    <n v="0"/>
    <n v="0"/>
    <x v="2"/>
    <x v="0"/>
    <x v="1"/>
    <x v="1"/>
    <n v="163.82"/>
    <n v="27.5"/>
    <x v="1"/>
    <n v="0"/>
    <x v="1"/>
    <x v="3"/>
  </r>
  <r>
    <n v="57047"/>
    <x v="1"/>
    <n v="43"/>
    <n v="0"/>
    <n v="0"/>
    <x v="2"/>
    <x v="0"/>
    <x v="0"/>
    <x v="0"/>
    <n v="110.42"/>
    <n v="32.6"/>
    <x v="2"/>
    <n v="0"/>
    <x v="1"/>
    <x v="0"/>
  </r>
  <r>
    <n v="2538"/>
    <x v="1"/>
    <n v="5"/>
    <n v="0"/>
    <n v="0"/>
    <x v="2"/>
    <x v="1"/>
    <x v="3"/>
    <x v="1"/>
    <n v="105.18"/>
    <s v="N/A"/>
    <x v="3"/>
    <n v="0"/>
    <x v="2"/>
    <x v="1"/>
  </r>
  <r>
    <n v="28461"/>
    <x v="0"/>
    <n v="15"/>
    <n v="0"/>
    <n v="0"/>
    <x v="2"/>
    <x v="1"/>
    <x v="4"/>
    <x v="1"/>
    <n v="79.59"/>
    <n v="28.4"/>
    <x v="3"/>
    <n v="0"/>
    <x v="2"/>
    <x v="3"/>
  </r>
  <r>
    <n v="16433"/>
    <x v="1"/>
    <n v="36"/>
    <n v="0"/>
    <n v="0"/>
    <x v="2"/>
    <x v="0"/>
    <x v="0"/>
    <x v="1"/>
    <n v="107.99"/>
    <n v="25.5"/>
    <x v="1"/>
    <n v="0"/>
    <x v="2"/>
    <x v="3"/>
  </r>
  <r>
    <n v="50681"/>
    <x v="1"/>
    <n v="36"/>
    <n v="0"/>
    <n v="0"/>
    <x v="2"/>
    <x v="0"/>
    <x v="0"/>
    <x v="1"/>
    <n v="90.22"/>
    <n v="28.7"/>
    <x v="0"/>
    <n v="0"/>
    <x v="2"/>
    <x v="3"/>
  </r>
  <r>
    <n v="71327"/>
    <x v="1"/>
    <n v="47"/>
    <n v="0"/>
    <n v="0"/>
    <x v="2"/>
    <x v="1"/>
    <x v="0"/>
    <x v="1"/>
    <n v="143.44999999999999"/>
    <n v="23.8"/>
    <x v="1"/>
    <n v="0"/>
    <x v="1"/>
    <x v="2"/>
  </r>
  <r>
    <n v="46699"/>
    <x v="1"/>
    <n v="18"/>
    <n v="0"/>
    <n v="0"/>
    <x v="2"/>
    <x v="1"/>
    <x v="0"/>
    <x v="1"/>
    <n v="78.569999999999993"/>
    <n v="34.4"/>
    <x v="3"/>
    <n v="0"/>
    <x v="2"/>
    <x v="0"/>
  </r>
  <r>
    <n v="25248"/>
    <x v="0"/>
    <n v="19"/>
    <n v="0"/>
    <n v="0"/>
    <x v="2"/>
    <x v="1"/>
    <x v="0"/>
    <x v="1"/>
    <n v="79.819999999999993"/>
    <n v="26.1"/>
    <x v="3"/>
    <n v="0"/>
    <x v="2"/>
    <x v="3"/>
  </r>
  <r>
    <n v="35315"/>
    <x v="0"/>
    <n v="65"/>
    <n v="0"/>
    <n v="0"/>
    <x v="1"/>
    <x v="0"/>
    <x v="1"/>
    <x v="0"/>
    <n v="95.88"/>
    <n v="28.5"/>
    <x v="1"/>
    <n v="0"/>
    <x v="0"/>
    <x v="3"/>
  </r>
  <r>
    <n v="63144"/>
    <x v="0"/>
    <n v="17"/>
    <n v="0"/>
    <n v="0"/>
    <x v="2"/>
    <x v="1"/>
    <x v="2"/>
    <x v="0"/>
    <n v="123.04"/>
    <n v="29.6"/>
    <x v="1"/>
    <n v="0"/>
    <x v="2"/>
    <x v="3"/>
  </r>
  <r>
    <n v="21517"/>
    <x v="0"/>
    <n v="54"/>
    <n v="0"/>
    <n v="0"/>
    <x v="2"/>
    <x v="0"/>
    <x v="0"/>
    <x v="0"/>
    <n v="92.34"/>
    <n v="29.4"/>
    <x v="2"/>
    <n v="0"/>
    <x v="1"/>
    <x v="3"/>
  </r>
  <r>
    <n v="29789"/>
    <x v="1"/>
    <n v="46"/>
    <n v="0"/>
    <n v="0"/>
    <x v="2"/>
    <x v="0"/>
    <x v="0"/>
    <x v="1"/>
    <n v="116.84"/>
    <n v="28.2"/>
    <x v="1"/>
    <n v="0"/>
    <x v="1"/>
    <x v="3"/>
  </r>
  <r>
    <n v="52207"/>
    <x v="1"/>
    <n v="59"/>
    <n v="0"/>
    <n v="0"/>
    <x v="2"/>
    <x v="0"/>
    <x v="1"/>
    <x v="0"/>
    <n v="90.04"/>
    <n v="28.7"/>
    <x v="0"/>
    <n v="0"/>
    <x v="1"/>
    <x v="3"/>
  </r>
  <r>
    <n v="19209"/>
    <x v="1"/>
    <n v="48"/>
    <n v="0"/>
    <n v="0"/>
    <x v="2"/>
    <x v="0"/>
    <x v="2"/>
    <x v="1"/>
    <n v="255.17"/>
    <n v="38.1"/>
    <x v="0"/>
    <n v="0"/>
    <x v="1"/>
    <x v="0"/>
  </r>
  <r>
    <n v="42041"/>
    <x v="1"/>
    <n v="38"/>
    <n v="0"/>
    <n v="0"/>
    <x v="2"/>
    <x v="0"/>
    <x v="0"/>
    <x v="1"/>
    <n v="217.55"/>
    <s v="N/A"/>
    <x v="2"/>
    <n v="0"/>
    <x v="2"/>
    <x v="1"/>
  </r>
  <r>
    <n v="58153"/>
    <x v="1"/>
    <n v="18"/>
    <n v="0"/>
    <n v="0"/>
    <x v="2"/>
    <x v="1"/>
    <x v="0"/>
    <x v="0"/>
    <n v="123.66"/>
    <n v="22.2"/>
    <x v="1"/>
    <n v="0"/>
    <x v="2"/>
    <x v="2"/>
  </r>
  <r>
    <n v="27717"/>
    <x v="1"/>
    <n v="56"/>
    <n v="0"/>
    <n v="0"/>
    <x v="2"/>
    <x v="0"/>
    <x v="1"/>
    <x v="0"/>
    <n v="112.16"/>
    <n v="25.7"/>
    <x v="3"/>
    <n v="0"/>
    <x v="1"/>
    <x v="3"/>
  </r>
  <r>
    <n v="35106"/>
    <x v="0"/>
    <n v="3"/>
    <n v="0"/>
    <n v="0"/>
    <x v="2"/>
    <x v="1"/>
    <x v="3"/>
    <x v="0"/>
    <n v="88.43"/>
    <n v="17.7"/>
    <x v="3"/>
    <n v="0"/>
    <x v="2"/>
    <x v="4"/>
  </r>
  <r>
    <n v="47730"/>
    <x v="1"/>
    <n v="41"/>
    <n v="0"/>
    <n v="0"/>
    <x v="2"/>
    <x v="1"/>
    <x v="0"/>
    <x v="0"/>
    <n v="86.03"/>
    <n v="26.4"/>
    <x v="1"/>
    <n v="0"/>
    <x v="1"/>
    <x v="3"/>
  </r>
  <r>
    <n v="20657"/>
    <x v="1"/>
    <n v="67"/>
    <n v="0"/>
    <n v="0"/>
    <x v="1"/>
    <x v="0"/>
    <x v="0"/>
    <x v="0"/>
    <n v="227.96"/>
    <n v="32.799999999999997"/>
    <x v="3"/>
    <n v="0"/>
    <x v="0"/>
    <x v="0"/>
  </r>
  <r>
    <n v="63411"/>
    <x v="1"/>
    <n v="60"/>
    <n v="0"/>
    <n v="0"/>
    <x v="1"/>
    <x v="0"/>
    <x v="0"/>
    <x v="1"/>
    <n v="85.6"/>
    <n v="34.5"/>
    <x v="3"/>
    <n v="0"/>
    <x v="0"/>
    <x v="0"/>
  </r>
  <r>
    <n v="18671"/>
    <x v="1"/>
    <n v="47"/>
    <n v="0"/>
    <n v="0"/>
    <x v="2"/>
    <x v="0"/>
    <x v="2"/>
    <x v="1"/>
    <n v="111.68"/>
    <n v="39.5"/>
    <x v="1"/>
    <n v="0"/>
    <x v="1"/>
    <x v="0"/>
  </r>
  <r>
    <n v="3843"/>
    <x v="1"/>
    <n v="24"/>
    <n v="0"/>
    <n v="0"/>
    <x v="2"/>
    <x v="1"/>
    <x v="0"/>
    <x v="0"/>
    <n v="73.489999999999995"/>
    <n v="23.5"/>
    <x v="1"/>
    <n v="0"/>
    <x v="2"/>
    <x v="2"/>
  </r>
  <r>
    <n v="1225"/>
    <x v="0"/>
    <n v="43"/>
    <n v="0"/>
    <n v="0"/>
    <x v="2"/>
    <x v="0"/>
    <x v="0"/>
    <x v="0"/>
    <n v="87.82"/>
    <n v="38.799999999999997"/>
    <x v="0"/>
    <n v="0"/>
    <x v="1"/>
    <x v="0"/>
  </r>
  <r>
    <n v="40264"/>
    <x v="1"/>
    <n v="17"/>
    <n v="0"/>
    <n v="0"/>
    <x v="2"/>
    <x v="1"/>
    <x v="0"/>
    <x v="1"/>
    <n v="99.29"/>
    <n v="21.2"/>
    <x v="3"/>
    <n v="0"/>
    <x v="2"/>
    <x v="2"/>
  </r>
  <r>
    <n v="72451"/>
    <x v="1"/>
    <n v="45"/>
    <n v="0"/>
    <n v="0"/>
    <x v="2"/>
    <x v="0"/>
    <x v="0"/>
    <x v="1"/>
    <n v="63.73"/>
    <n v="32"/>
    <x v="3"/>
    <n v="0"/>
    <x v="1"/>
    <x v="0"/>
  </r>
  <r>
    <n v="20292"/>
    <x v="1"/>
    <n v="24"/>
    <n v="0"/>
    <n v="0"/>
    <x v="2"/>
    <x v="0"/>
    <x v="0"/>
    <x v="0"/>
    <n v="85.55"/>
    <n v="63.3"/>
    <x v="1"/>
    <n v="0"/>
    <x v="2"/>
    <x v="0"/>
  </r>
  <r>
    <n v="31201"/>
    <x v="1"/>
    <n v="79"/>
    <n v="0"/>
    <n v="0"/>
    <x v="1"/>
    <x v="1"/>
    <x v="1"/>
    <x v="0"/>
    <n v="79.2"/>
    <n v="32.6"/>
    <x v="1"/>
    <n v="0"/>
    <x v="0"/>
    <x v="0"/>
  </r>
  <r>
    <n v="59359"/>
    <x v="0"/>
    <n v="79"/>
    <n v="0"/>
    <n v="0"/>
    <x v="1"/>
    <x v="0"/>
    <x v="1"/>
    <x v="0"/>
    <n v="105.93"/>
    <n v="25.2"/>
    <x v="1"/>
    <n v="0"/>
    <x v="0"/>
    <x v="3"/>
  </r>
  <r>
    <n v="57985"/>
    <x v="1"/>
    <n v="27"/>
    <n v="0"/>
    <n v="0"/>
    <x v="2"/>
    <x v="0"/>
    <x v="0"/>
    <x v="0"/>
    <n v="94.19"/>
    <n v="27.4"/>
    <x v="0"/>
    <n v="0"/>
    <x v="2"/>
    <x v="3"/>
  </r>
  <r>
    <n v="2885"/>
    <x v="0"/>
    <n v="72"/>
    <n v="1"/>
    <n v="0"/>
    <x v="0"/>
    <x v="0"/>
    <x v="0"/>
    <x v="1"/>
    <n v="231.71"/>
    <s v="N/A"/>
    <x v="3"/>
    <n v="0"/>
    <x v="0"/>
    <x v="1"/>
  </r>
  <r>
    <n v="59743"/>
    <x v="0"/>
    <n v="64"/>
    <n v="0"/>
    <n v="1"/>
    <x v="0"/>
    <x v="0"/>
    <x v="1"/>
    <x v="1"/>
    <n v="69.28"/>
    <n v="38.6"/>
    <x v="0"/>
    <n v="0"/>
    <x v="0"/>
    <x v="0"/>
  </r>
  <r>
    <n v="11544"/>
    <x v="1"/>
    <n v="34"/>
    <n v="0"/>
    <n v="0"/>
    <x v="2"/>
    <x v="0"/>
    <x v="0"/>
    <x v="0"/>
    <n v="71.37"/>
    <n v="32.9"/>
    <x v="1"/>
    <n v="0"/>
    <x v="2"/>
    <x v="0"/>
  </r>
  <r>
    <n v="11969"/>
    <x v="1"/>
    <n v="50"/>
    <n v="0"/>
    <n v="0"/>
    <x v="2"/>
    <x v="0"/>
    <x v="1"/>
    <x v="0"/>
    <n v="110.18"/>
    <n v="26"/>
    <x v="0"/>
    <n v="0"/>
    <x v="1"/>
    <x v="3"/>
  </r>
  <r>
    <n v="42929"/>
    <x v="1"/>
    <n v="58"/>
    <n v="0"/>
    <n v="0"/>
    <x v="2"/>
    <x v="0"/>
    <x v="1"/>
    <x v="1"/>
    <n v="59.68"/>
    <n v="29.2"/>
    <x v="0"/>
    <n v="0"/>
    <x v="1"/>
    <x v="3"/>
  </r>
  <r>
    <n v="72776"/>
    <x v="0"/>
    <n v="26"/>
    <n v="0"/>
    <n v="0"/>
    <x v="2"/>
    <x v="0"/>
    <x v="2"/>
    <x v="0"/>
    <n v="94.24"/>
    <n v="29.2"/>
    <x v="0"/>
    <n v="0"/>
    <x v="2"/>
    <x v="3"/>
  </r>
  <r>
    <n v="21438"/>
    <x v="1"/>
    <n v="50"/>
    <n v="0"/>
    <n v="0"/>
    <x v="2"/>
    <x v="0"/>
    <x v="0"/>
    <x v="1"/>
    <n v="82.1"/>
    <n v="26.4"/>
    <x v="3"/>
    <n v="0"/>
    <x v="1"/>
    <x v="3"/>
  </r>
  <r>
    <n v="51084"/>
    <x v="1"/>
    <n v="80"/>
    <n v="0"/>
    <n v="0"/>
    <x v="1"/>
    <x v="0"/>
    <x v="0"/>
    <x v="0"/>
    <n v="62.62"/>
    <n v="23.1"/>
    <x v="0"/>
    <n v="0"/>
    <x v="0"/>
    <x v="2"/>
  </r>
  <r>
    <n v="13440"/>
    <x v="0"/>
    <n v="2"/>
    <n v="0"/>
    <n v="0"/>
    <x v="2"/>
    <x v="1"/>
    <x v="3"/>
    <x v="0"/>
    <n v="107.83"/>
    <n v="21.2"/>
    <x v="3"/>
    <n v="0"/>
    <x v="2"/>
    <x v="2"/>
  </r>
  <r>
    <n v="15533"/>
    <x v="0"/>
    <n v="46"/>
    <n v="0"/>
    <n v="0"/>
    <x v="2"/>
    <x v="1"/>
    <x v="0"/>
    <x v="0"/>
    <n v="107.59"/>
    <n v="26.2"/>
    <x v="0"/>
    <n v="0"/>
    <x v="1"/>
    <x v="3"/>
  </r>
  <r>
    <n v="50903"/>
    <x v="1"/>
    <n v="29"/>
    <n v="0"/>
    <n v="0"/>
    <x v="2"/>
    <x v="0"/>
    <x v="0"/>
    <x v="0"/>
    <n v="116.98"/>
    <n v="23.4"/>
    <x v="1"/>
    <n v="0"/>
    <x v="2"/>
    <x v="2"/>
  </r>
  <r>
    <n v="35276"/>
    <x v="1"/>
    <n v="6"/>
    <n v="0"/>
    <n v="0"/>
    <x v="2"/>
    <x v="1"/>
    <x v="3"/>
    <x v="1"/>
    <n v="84.1"/>
    <n v="19.8"/>
    <x v="3"/>
    <n v="0"/>
    <x v="2"/>
    <x v="2"/>
  </r>
  <r>
    <n v="44472"/>
    <x v="0"/>
    <n v="32"/>
    <n v="0"/>
    <n v="0"/>
    <x v="2"/>
    <x v="0"/>
    <x v="1"/>
    <x v="0"/>
    <n v="160.63999999999999"/>
    <n v="20.399999999999999"/>
    <x v="2"/>
    <n v="0"/>
    <x v="2"/>
    <x v="2"/>
  </r>
  <r>
    <n v="23587"/>
    <x v="1"/>
    <n v="16"/>
    <n v="0"/>
    <n v="0"/>
    <x v="2"/>
    <x v="1"/>
    <x v="4"/>
    <x v="0"/>
    <n v="84.4"/>
    <n v="25.9"/>
    <x v="1"/>
    <n v="0"/>
    <x v="2"/>
    <x v="3"/>
  </r>
  <r>
    <n v="66794"/>
    <x v="1"/>
    <n v="44"/>
    <n v="0"/>
    <n v="0"/>
    <x v="2"/>
    <x v="0"/>
    <x v="2"/>
    <x v="1"/>
    <n v="81.13"/>
    <n v="34.1"/>
    <x v="1"/>
    <n v="0"/>
    <x v="1"/>
    <x v="0"/>
  </r>
  <r>
    <n v="35854"/>
    <x v="1"/>
    <n v="23"/>
    <n v="0"/>
    <n v="0"/>
    <x v="2"/>
    <x v="1"/>
    <x v="0"/>
    <x v="0"/>
    <n v="88.19"/>
    <n v="18.3"/>
    <x v="1"/>
    <n v="0"/>
    <x v="2"/>
    <x v="4"/>
  </r>
  <r>
    <n v="60907"/>
    <x v="0"/>
    <n v="48"/>
    <n v="0"/>
    <n v="0"/>
    <x v="2"/>
    <x v="0"/>
    <x v="0"/>
    <x v="1"/>
    <n v="127.13"/>
    <n v="35"/>
    <x v="3"/>
    <n v="0"/>
    <x v="1"/>
    <x v="0"/>
  </r>
  <r>
    <n v="12449"/>
    <x v="1"/>
    <n v="34"/>
    <n v="0"/>
    <n v="0"/>
    <x v="2"/>
    <x v="0"/>
    <x v="0"/>
    <x v="1"/>
    <n v="119.61"/>
    <n v="26.4"/>
    <x v="3"/>
    <n v="0"/>
    <x v="2"/>
    <x v="3"/>
  </r>
  <r>
    <n v="54371"/>
    <x v="0"/>
    <n v="78"/>
    <n v="0"/>
    <n v="0"/>
    <x v="1"/>
    <x v="0"/>
    <x v="2"/>
    <x v="0"/>
    <n v="143.47"/>
    <n v="27.6"/>
    <x v="0"/>
    <n v="0"/>
    <x v="0"/>
    <x v="3"/>
  </r>
  <r>
    <n v="8106"/>
    <x v="1"/>
    <n v="42"/>
    <n v="0"/>
    <n v="0"/>
    <x v="2"/>
    <x v="0"/>
    <x v="0"/>
    <x v="1"/>
    <n v="84.6"/>
    <n v="27"/>
    <x v="2"/>
    <n v="0"/>
    <x v="1"/>
    <x v="3"/>
  </r>
  <r>
    <n v="2013"/>
    <x v="0"/>
    <n v="14"/>
    <n v="0"/>
    <n v="0"/>
    <x v="2"/>
    <x v="1"/>
    <x v="0"/>
    <x v="1"/>
    <n v="110.72"/>
    <s v="N/A"/>
    <x v="1"/>
    <n v="0"/>
    <x v="2"/>
    <x v="1"/>
  </r>
  <r>
    <n v="61785"/>
    <x v="1"/>
    <n v="40"/>
    <n v="0"/>
    <n v="0"/>
    <x v="2"/>
    <x v="1"/>
    <x v="0"/>
    <x v="1"/>
    <n v="158.93"/>
    <n v="31.3"/>
    <x v="2"/>
    <n v="0"/>
    <x v="1"/>
    <x v="0"/>
  </r>
  <r>
    <n v="2707"/>
    <x v="0"/>
    <n v="10"/>
    <n v="0"/>
    <n v="0"/>
    <x v="2"/>
    <x v="1"/>
    <x v="3"/>
    <x v="1"/>
    <n v="68.94"/>
    <n v="18"/>
    <x v="3"/>
    <n v="0"/>
    <x v="2"/>
    <x v="4"/>
  </r>
  <r>
    <n v="49120"/>
    <x v="1"/>
    <n v="39"/>
    <n v="0"/>
    <n v="0"/>
    <x v="2"/>
    <x v="0"/>
    <x v="2"/>
    <x v="1"/>
    <n v="69.38"/>
    <n v="22.1"/>
    <x v="3"/>
    <n v="0"/>
    <x v="2"/>
    <x v="2"/>
  </r>
  <r>
    <n v="30752"/>
    <x v="1"/>
    <n v="42"/>
    <n v="0"/>
    <n v="0"/>
    <x v="2"/>
    <x v="1"/>
    <x v="1"/>
    <x v="0"/>
    <n v="72"/>
    <n v="34.4"/>
    <x v="1"/>
    <n v="0"/>
    <x v="1"/>
    <x v="0"/>
  </r>
  <r>
    <n v="64972"/>
    <x v="0"/>
    <n v="47"/>
    <n v="0"/>
    <n v="0"/>
    <x v="2"/>
    <x v="0"/>
    <x v="0"/>
    <x v="1"/>
    <n v="57.76"/>
    <n v="33.200000000000003"/>
    <x v="2"/>
    <n v="0"/>
    <x v="1"/>
    <x v="0"/>
  </r>
  <r>
    <n v="49537"/>
    <x v="0"/>
    <n v="14"/>
    <n v="0"/>
    <n v="0"/>
    <x v="2"/>
    <x v="1"/>
    <x v="0"/>
    <x v="1"/>
    <n v="108.65"/>
    <n v="23.1"/>
    <x v="1"/>
    <n v="0"/>
    <x v="2"/>
    <x v="2"/>
  </r>
  <r>
    <n v="315"/>
    <x v="0"/>
    <n v="45"/>
    <n v="0"/>
    <n v="0"/>
    <x v="2"/>
    <x v="0"/>
    <x v="0"/>
    <x v="1"/>
    <n v="65.42"/>
    <n v="39.700000000000003"/>
    <x v="1"/>
    <n v="0"/>
    <x v="1"/>
    <x v="0"/>
  </r>
  <r>
    <n v="62814"/>
    <x v="0"/>
    <n v="58"/>
    <n v="0"/>
    <n v="0"/>
    <x v="2"/>
    <x v="1"/>
    <x v="0"/>
    <x v="1"/>
    <n v="78.930000000000007"/>
    <n v="40.700000000000003"/>
    <x v="0"/>
    <n v="0"/>
    <x v="1"/>
    <x v="0"/>
  </r>
  <r>
    <n v="7665"/>
    <x v="1"/>
    <n v="73"/>
    <n v="0"/>
    <n v="0"/>
    <x v="1"/>
    <x v="0"/>
    <x v="0"/>
    <x v="1"/>
    <n v="98.34"/>
    <n v="30.9"/>
    <x v="3"/>
    <n v="0"/>
    <x v="0"/>
    <x v="0"/>
  </r>
  <r>
    <n v="28108"/>
    <x v="1"/>
    <n v="62"/>
    <n v="0"/>
    <n v="0"/>
    <x v="1"/>
    <x v="0"/>
    <x v="0"/>
    <x v="1"/>
    <n v="82.57"/>
    <n v="27.5"/>
    <x v="3"/>
    <n v="0"/>
    <x v="0"/>
    <x v="3"/>
  </r>
  <r>
    <n v="50536"/>
    <x v="1"/>
    <n v="62"/>
    <n v="0"/>
    <n v="1"/>
    <x v="0"/>
    <x v="0"/>
    <x v="2"/>
    <x v="0"/>
    <n v="124.37"/>
    <n v="28.3"/>
    <x v="1"/>
    <n v="0"/>
    <x v="0"/>
    <x v="3"/>
  </r>
  <r>
    <n v="8655"/>
    <x v="1"/>
    <n v="51"/>
    <n v="0"/>
    <n v="1"/>
    <x v="2"/>
    <x v="0"/>
    <x v="1"/>
    <x v="0"/>
    <n v="100.96"/>
    <n v="33.4"/>
    <x v="1"/>
    <n v="0"/>
    <x v="1"/>
    <x v="0"/>
  </r>
  <r>
    <n v="760"/>
    <x v="0"/>
    <n v="0.8"/>
    <n v="0"/>
    <n v="0"/>
    <x v="2"/>
    <x v="1"/>
    <x v="3"/>
    <x v="0"/>
    <n v="75.22"/>
    <n v="33.1"/>
    <x v="3"/>
    <n v="0"/>
    <x v="2"/>
    <x v="0"/>
  </r>
  <r>
    <n v="47501"/>
    <x v="1"/>
    <n v="57"/>
    <n v="0"/>
    <n v="0"/>
    <x v="2"/>
    <x v="0"/>
    <x v="0"/>
    <x v="0"/>
    <n v="59.85"/>
    <n v="41.5"/>
    <x v="1"/>
    <n v="0"/>
    <x v="1"/>
    <x v="0"/>
  </r>
  <r>
    <n v="16863"/>
    <x v="1"/>
    <n v="8"/>
    <n v="0"/>
    <n v="0"/>
    <x v="2"/>
    <x v="1"/>
    <x v="3"/>
    <x v="1"/>
    <n v="104.75"/>
    <n v="17.100000000000001"/>
    <x v="3"/>
    <n v="0"/>
    <x v="2"/>
    <x v="4"/>
  </r>
  <r>
    <n v="51342"/>
    <x v="1"/>
    <n v="69"/>
    <n v="0"/>
    <n v="0"/>
    <x v="1"/>
    <x v="0"/>
    <x v="2"/>
    <x v="1"/>
    <n v="70.98"/>
    <n v="30"/>
    <x v="3"/>
    <n v="0"/>
    <x v="0"/>
    <x v="0"/>
  </r>
  <r>
    <n v="35759"/>
    <x v="1"/>
    <n v="16"/>
    <n v="0"/>
    <n v="0"/>
    <x v="2"/>
    <x v="1"/>
    <x v="0"/>
    <x v="1"/>
    <n v="92.77"/>
    <n v="24.9"/>
    <x v="3"/>
    <n v="0"/>
    <x v="2"/>
    <x v="2"/>
  </r>
  <r>
    <n v="17270"/>
    <x v="1"/>
    <n v="56"/>
    <n v="0"/>
    <n v="0"/>
    <x v="2"/>
    <x v="0"/>
    <x v="0"/>
    <x v="0"/>
    <n v="82.12"/>
    <n v="32.5"/>
    <x v="2"/>
    <n v="0"/>
    <x v="1"/>
    <x v="0"/>
  </r>
  <r>
    <n v="53862"/>
    <x v="1"/>
    <n v="41"/>
    <n v="0"/>
    <n v="0"/>
    <x v="2"/>
    <x v="0"/>
    <x v="2"/>
    <x v="1"/>
    <n v="106.35"/>
    <n v="26.1"/>
    <x v="1"/>
    <n v="0"/>
    <x v="1"/>
    <x v="3"/>
  </r>
  <r>
    <n v="40951"/>
    <x v="1"/>
    <n v="1.24"/>
    <n v="0"/>
    <n v="0"/>
    <x v="2"/>
    <x v="1"/>
    <x v="3"/>
    <x v="1"/>
    <n v="77.33"/>
    <n v="19.2"/>
    <x v="3"/>
    <n v="0"/>
    <x v="2"/>
    <x v="2"/>
  </r>
  <r>
    <n v="56976"/>
    <x v="1"/>
    <n v="42"/>
    <n v="0"/>
    <n v="0"/>
    <x v="2"/>
    <x v="0"/>
    <x v="0"/>
    <x v="0"/>
    <n v="96.01"/>
    <n v="38.700000000000003"/>
    <x v="3"/>
    <n v="0"/>
    <x v="1"/>
    <x v="0"/>
  </r>
  <r>
    <n v="37299"/>
    <x v="0"/>
    <n v="57"/>
    <n v="0"/>
    <n v="0"/>
    <x v="2"/>
    <x v="0"/>
    <x v="0"/>
    <x v="0"/>
    <n v="107.49"/>
    <n v="29.5"/>
    <x v="1"/>
    <n v="0"/>
    <x v="1"/>
    <x v="3"/>
  </r>
  <r>
    <n v="33247"/>
    <x v="0"/>
    <n v="20"/>
    <n v="0"/>
    <n v="0"/>
    <x v="2"/>
    <x v="1"/>
    <x v="0"/>
    <x v="1"/>
    <n v="88.47"/>
    <n v="28.1"/>
    <x v="2"/>
    <n v="0"/>
    <x v="2"/>
    <x v="3"/>
  </r>
  <r>
    <n v="32560"/>
    <x v="1"/>
    <n v="8"/>
    <n v="0"/>
    <n v="0"/>
    <x v="2"/>
    <x v="1"/>
    <x v="3"/>
    <x v="1"/>
    <n v="87.92"/>
    <n v="14.1"/>
    <x v="3"/>
    <n v="0"/>
    <x v="2"/>
    <x v="4"/>
  </r>
  <r>
    <n v="10973"/>
    <x v="0"/>
    <n v="43"/>
    <n v="0"/>
    <n v="0"/>
    <x v="2"/>
    <x v="0"/>
    <x v="0"/>
    <x v="0"/>
    <n v="91.13"/>
    <n v="33.9"/>
    <x v="1"/>
    <n v="0"/>
    <x v="1"/>
    <x v="0"/>
  </r>
  <r>
    <n v="3816"/>
    <x v="0"/>
    <n v="62"/>
    <n v="0"/>
    <n v="0"/>
    <x v="1"/>
    <x v="0"/>
    <x v="0"/>
    <x v="1"/>
    <n v="80.72"/>
    <n v="26"/>
    <x v="0"/>
    <n v="0"/>
    <x v="0"/>
    <x v="3"/>
  </r>
  <r>
    <n v="50215"/>
    <x v="0"/>
    <n v="42"/>
    <n v="0"/>
    <n v="0"/>
    <x v="2"/>
    <x v="1"/>
    <x v="2"/>
    <x v="1"/>
    <n v="59.83"/>
    <n v="52.8"/>
    <x v="1"/>
    <n v="0"/>
    <x v="1"/>
    <x v="0"/>
  </r>
  <r>
    <n v="10351"/>
    <x v="0"/>
    <n v="50"/>
    <n v="0"/>
    <n v="0"/>
    <x v="2"/>
    <x v="0"/>
    <x v="0"/>
    <x v="0"/>
    <n v="67.02"/>
    <s v="N/A"/>
    <x v="0"/>
    <n v="0"/>
    <x v="1"/>
    <x v="1"/>
  </r>
  <r>
    <n v="69665"/>
    <x v="1"/>
    <n v="63"/>
    <n v="0"/>
    <n v="0"/>
    <x v="1"/>
    <x v="0"/>
    <x v="0"/>
    <x v="1"/>
    <n v="60.22"/>
    <n v="29.2"/>
    <x v="1"/>
    <n v="0"/>
    <x v="0"/>
    <x v="3"/>
  </r>
  <r>
    <n v="14976"/>
    <x v="0"/>
    <n v="80"/>
    <n v="0"/>
    <n v="1"/>
    <x v="0"/>
    <x v="0"/>
    <x v="0"/>
    <x v="1"/>
    <n v="82.41"/>
    <n v="26.3"/>
    <x v="2"/>
    <n v="0"/>
    <x v="0"/>
    <x v="3"/>
  </r>
  <r>
    <n v="28183"/>
    <x v="1"/>
    <n v="13"/>
    <n v="0"/>
    <n v="0"/>
    <x v="2"/>
    <x v="1"/>
    <x v="3"/>
    <x v="0"/>
    <n v="75.78"/>
    <n v="23.6"/>
    <x v="3"/>
    <n v="0"/>
    <x v="2"/>
    <x v="2"/>
  </r>
  <r>
    <n v="33085"/>
    <x v="1"/>
    <n v="20"/>
    <n v="0"/>
    <n v="0"/>
    <x v="2"/>
    <x v="1"/>
    <x v="0"/>
    <x v="1"/>
    <n v="102.42"/>
    <n v="18.600000000000001"/>
    <x v="1"/>
    <n v="0"/>
    <x v="2"/>
    <x v="2"/>
  </r>
  <r>
    <n v="13386"/>
    <x v="1"/>
    <n v="71"/>
    <n v="0"/>
    <n v="1"/>
    <x v="0"/>
    <x v="0"/>
    <x v="1"/>
    <x v="1"/>
    <n v="98.45"/>
    <n v="29.7"/>
    <x v="3"/>
    <n v="0"/>
    <x v="0"/>
    <x v="3"/>
  </r>
  <r>
    <n v="15601"/>
    <x v="1"/>
    <n v="50"/>
    <n v="0"/>
    <n v="0"/>
    <x v="2"/>
    <x v="0"/>
    <x v="0"/>
    <x v="0"/>
    <n v="93.51"/>
    <n v="30.9"/>
    <x v="2"/>
    <n v="0"/>
    <x v="1"/>
    <x v="0"/>
  </r>
  <r>
    <n v="22254"/>
    <x v="1"/>
    <n v="76"/>
    <n v="0"/>
    <n v="0"/>
    <x v="1"/>
    <x v="0"/>
    <x v="0"/>
    <x v="1"/>
    <n v="113.68"/>
    <n v="22.8"/>
    <x v="3"/>
    <n v="0"/>
    <x v="0"/>
    <x v="2"/>
  </r>
  <r>
    <n v="15539"/>
    <x v="1"/>
    <n v="41"/>
    <n v="0"/>
    <n v="0"/>
    <x v="2"/>
    <x v="0"/>
    <x v="0"/>
    <x v="1"/>
    <n v="97.41"/>
    <n v="25.5"/>
    <x v="1"/>
    <n v="0"/>
    <x v="1"/>
    <x v="3"/>
  </r>
  <r>
    <n v="58235"/>
    <x v="0"/>
    <n v="76"/>
    <n v="0"/>
    <n v="0"/>
    <x v="1"/>
    <x v="0"/>
    <x v="0"/>
    <x v="0"/>
    <n v="58.65"/>
    <n v="25.6"/>
    <x v="2"/>
    <n v="0"/>
    <x v="0"/>
    <x v="3"/>
  </r>
  <r>
    <n v="21162"/>
    <x v="1"/>
    <n v="78"/>
    <n v="0"/>
    <n v="0"/>
    <x v="1"/>
    <x v="0"/>
    <x v="1"/>
    <x v="1"/>
    <n v="81.680000000000007"/>
    <n v="23"/>
    <x v="3"/>
    <n v="0"/>
    <x v="0"/>
    <x v="2"/>
  </r>
  <r>
    <n v="67880"/>
    <x v="0"/>
    <n v="5"/>
    <n v="0"/>
    <n v="0"/>
    <x v="2"/>
    <x v="1"/>
    <x v="3"/>
    <x v="0"/>
    <n v="148.52000000000001"/>
    <n v="20.6"/>
    <x v="3"/>
    <n v="0"/>
    <x v="2"/>
    <x v="2"/>
  </r>
  <r>
    <n v="42545"/>
    <x v="0"/>
    <n v="29"/>
    <n v="1"/>
    <n v="0"/>
    <x v="2"/>
    <x v="0"/>
    <x v="0"/>
    <x v="0"/>
    <n v="77.55"/>
    <s v="N/A"/>
    <x v="0"/>
    <n v="0"/>
    <x v="2"/>
    <x v="1"/>
  </r>
  <r>
    <n v="48359"/>
    <x v="1"/>
    <n v="43"/>
    <n v="0"/>
    <n v="0"/>
    <x v="2"/>
    <x v="0"/>
    <x v="0"/>
    <x v="1"/>
    <n v="142.12"/>
    <n v="28.4"/>
    <x v="2"/>
    <n v="0"/>
    <x v="1"/>
    <x v="3"/>
  </r>
  <r>
    <n v="54815"/>
    <x v="1"/>
    <n v="49"/>
    <n v="0"/>
    <n v="0"/>
    <x v="2"/>
    <x v="0"/>
    <x v="0"/>
    <x v="0"/>
    <n v="125.3"/>
    <n v="29.7"/>
    <x v="0"/>
    <n v="0"/>
    <x v="1"/>
    <x v="3"/>
  </r>
  <r>
    <n v="6233"/>
    <x v="0"/>
    <n v="70"/>
    <n v="1"/>
    <n v="0"/>
    <x v="0"/>
    <x v="0"/>
    <x v="1"/>
    <x v="1"/>
    <n v="118.81"/>
    <n v="26"/>
    <x v="2"/>
    <n v="0"/>
    <x v="0"/>
    <x v="3"/>
  </r>
  <r>
    <n v="52225"/>
    <x v="0"/>
    <n v="24"/>
    <n v="0"/>
    <n v="0"/>
    <x v="2"/>
    <x v="1"/>
    <x v="0"/>
    <x v="0"/>
    <n v="84.16"/>
    <n v="37.5"/>
    <x v="2"/>
    <n v="0"/>
    <x v="2"/>
    <x v="0"/>
  </r>
  <r>
    <n v="50463"/>
    <x v="1"/>
    <n v="41"/>
    <n v="0"/>
    <n v="0"/>
    <x v="2"/>
    <x v="0"/>
    <x v="0"/>
    <x v="0"/>
    <n v="78.739999999999995"/>
    <n v="42.3"/>
    <x v="2"/>
    <n v="0"/>
    <x v="1"/>
    <x v="0"/>
  </r>
  <r>
    <n v="49084"/>
    <x v="0"/>
    <n v="20"/>
    <n v="0"/>
    <n v="0"/>
    <x v="2"/>
    <x v="1"/>
    <x v="0"/>
    <x v="0"/>
    <n v="57.51"/>
    <n v="21.4"/>
    <x v="3"/>
    <n v="0"/>
    <x v="2"/>
    <x v="2"/>
  </r>
  <r>
    <n v="61889"/>
    <x v="0"/>
    <n v="34"/>
    <n v="0"/>
    <n v="0"/>
    <x v="2"/>
    <x v="0"/>
    <x v="0"/>
    <x v="0"/>
    <n v="61.11"/>
    <n v="29.3"/>
    <x v="1"/>
    <n v="0"/>
    <x v="2"/>
    <x v="3"/>
  </r>
  <r>
    <n v="25525"/>
    <x v="0"/>
    <n v="32"/>
    <n v="0"/>
    <n v="0"/>
    <x v="2"/>
    <x v="0"/>
    <x v="0"/>
    <x v="0"/>
    <n v="78.3"/>
    <n v="31"/>
    <x v="3"/>
    <n v="0"/>
    <x v="2"/>
    <x v="0"/>
  </r>
  <r>
    <n v="9730"/>
    <x v="0"/>
    <n v="27"/>
    <n v="0"/>
    <n v="0"/>
    <x v="2"/>
    <x v="0"/>
    <x v="0"/>
    <x v="0"/>
    <n v="76.19"/>
    <n v="22"/>
    <x v="1"/>
    <n v="0"/>
    <x v="2"/>
    <x v="2"/>
  </r>
  <r>
    <n v="30622"/>
    <x v="1"/>
    <n v="44"/>
    <n v="0"/>
    <n v="0"/>
    <x v="2"/>
    <x v="0"/>
    <x v="2"/>
    <x v="1"/>
    <n v="115.99"/>
    <n v="20.9"/>
    <x v="1"/>
    <n v="0"/>
    <x v="1"/>
    <x v="2"/>
  </r>
  <r>
    <n v="26480"/>
    <x v="0"/>
    <n v="20"/>
    <n v="0"/>
    <n v="0"/>
    <x v="2"/>
    <x v="1"/>
    <x v="0"/>
    <x v="1"/>
    <n v="100.8"/>
    <n v="45.9"/>
    <x v="1"/>
    <n v="0"/>
    <x v="2"/>
    <x v="0"/>
  </r>
  <r>
    <n v="65895"/>
    <x v="1"/>
    <n v="52"/>
    <n v="0"/>
    <n v="0"/>
    <x v="2"/>
    <x v="0"/>
    <x v="0"/>
    <x v="0"/>
    <n v="98.27"/>
    <n v="61.2"/>
    <x v="3"/>
    <n v="0"/>
    <x v="1"/>
    <x v="0"/>
  </r>
  <r>
    <n v="4913"/>
    <x v="1"/>
    <n v="57"/>
    <n v="0"/>
    <n v="0"/>
    <x v="2"/>
    <x v="0"/>
    <x v="0"/>
    <x v="1"/>
    <n v="93.85"/>
    <n v="29.1"/>
    <x v="1"/>
    <n v="0"/>
    <x v="1"/>
    <x v="3"/>
  </r>
  <r>
    <n v="20676"/>
    <x v="0"/>
    <n v="29"/>
    <n v="0"/>
    <n v="0"/>
    <x v="2"/>
    <x v="1"/>
    <x v="0"/>
    <x v="1"/>
    <n v="94.69"/>
    <n v="28.4"/>
    <x v="2"/>
    <n v="0"/>
    <x v="2"/>
    <x v="3"/>
  </r>
  <r>
    <n v="52410"/>
    <x v="1"/>
    <n v="16"/>
    <n v="0"/>
    <n v="0"/>
    <x v="2"/>
    <x v="1"/>
    <x v="0"/>
    <x v="0"/>
    <n v="136.22999999999999"/>
    <n v="22.6"/>
    <x v="3"/>
    <n v="0"/>
    <x v="2"/>
    <x v="2"/>
  </r>
  <r>
    <n v="57944"/>
    <x v="1"/>
    <n v="35"/>
    <n v="0"/>
    <n v="0"/>
    <x v="2"/>
    <x v="0"/>
    <x v="2"/>
    <x v="1"/>
    <n v="56.12"/>
    <n v="24.2"/>
    <x v="2"/>
    <n v="0"/>
    <x v="2"/>
    <x v="2"/>
  </r>
  <r>
    <n v="20290"/>
    <x v="1"/>
    <n v="5"/>
    <n v="0"/>
    <n v="0"/>
    <x v="2"/>
    <x v="1"/>
    <x v="3"/>
    <x v="1"/>
    <n v="93.03"/>
    <n v="16.3"/>
    <x v="3"/>
    <n v="0"/>
    <x v="2"/>
    <x v="4"/>
  </r>
  <r>
    <n v="10875"/>
    <x v="0"/>
    <n v="63"/>
    <n v="0"/>
    <n v="0"/>
    <x v="1"/>
    <x v="0"/>
    <x v="0"/>
    <x v="1"/>
    <n v="196.81"/>
    <n v="35.9"/>
    <x v="1"/>
    <n v="0"/>
    <x v="0"/>
    <x v="0"/>
  </r>
  <r>
    <n v="2393"/>
    <x v="0"/>
    <n v="59"/>
    <n v="1"/>
    <n v="0"/>
    <x v="2"/>
    <x v="0"/>
    <x v="0"/>
    <x v="1"/>
    <n v="87.81"/>
    <n v="29.8"/>
    <x v="0"/>
    <n v="0"/>
    <x v="1"/>
    <x v="3"/>
  </r>
  <r>
    <n v="66464"/>
    <x v="0"/>
    <n v="63"/>
    <n v="0"/>
    <n v="0"/>
    <x v="1"/>
    <x v="0"/>
    <x v="0"/>
    <x v="0"/>
    <n v="222.66"/>
    <n v="37"/>
    <x v="0"/>
    <n v="0"/>
    <x v="0"/>
    <x v="0"/>
  </r>
  <r>
    <n v="40548"/>
    <x v="0"/>
    <n v="52"/>
    <n v="0"/>
    <n v="0"/>
    <x v="2"/>
    <x v="0"/>
    <x v="0"/>
    <x v="1"/>
    <n v="223.58"/>
    <n v="35.799999999999997"/>
    <x v="1"/>
    <n v="0"/>
    <x v="1"/>
    <x v="0"/>
  </r>
  <r>
    <n v="19699"/>
    <x v="1"/>
    <n v="50"/>
    <n v="0"/>
    <n v="0"/>
    <x v="2"/>
    <x v="1"/>
    <x v="0"/>
    <x v="0"/>
    <n v="85.77"/>
    <n v="21.1"/>
    <x v="1"/>
    <n v="0"/>
    <x v="1"/>
    <x v="2"/>
  </r>
  <r>
    <n v="205"/>
    <x v="1"/>
    <n v="43"/>
    <n v="0"/>
    <n v="0"/>
    <x v="2"/>
    <x v="0"/>
    <x v="0"/>
    <x v="1"/>
    <n v="88.23"/>
    <n v="37.6"/>
    <x v="3"/>
    <n v="0"/>
    <x v="1"/>
    <x v="0"/>
  </r>
  <r>
    <n v="54805"/>
    <x v="1"/>
    <n v="27"/>
    <n v="0"/>
    <n v="0"/>
    <x v="2"/>
    <x v="1"/>
    <x v="1"/>
    <x v="0"/>
    <n v="73.650000000000006"/>
    <n v="24.8"/>
    <x v="3"/>
    <n v="0"/>
    <x v="2"/>
    <x v="2"/>
  </r>
  <r>
    <n v="53195"/>
    <x v="0"/>
    <n v="30"/>
    <n v="0"/>
    <n v="0"/>
    <x v="2"/>
    <x v="1"/>
    <x v="0"/>
    <x v="0"/>
    <n v="141.80000000000001"/>
    <n v="31.9"/>
    <x v="1"/>
    <n v="0"/>
    <x v="2"/>
    <x v="0"/>
  </r>
  <r>
    <n v="9107"/>
    <x v="1"/>
    <n v="8"/>
    <n v="0"/>
    <n v="0"/>
    <x v="2"/>
    <x v="1"/>
    <x v="3"/>
    <x v="1"/>
    <n v="92.65"/>
    <n v="17.5"/>
    <x v="3"/>
    <n v="0"/>
    <x v="2"/>
    <x v="4"/>
  </r>
  <r>
    <n v="65196"/>
    <x v="0"/>
    <n v="75"/>
    <n v="1"/>
    <n v="0"/>
    <x v="0"/>
    <x v="0"/>
    <x v="0"/>
    <x v="1"/>
    <n v="198.79"/>
    <s v="N/A"/>
    <x v="2"/>
    <n v="0"/>
    <x v="0"/>
    <x v="1"/>
  </r>
  <r>
    <n v="58833"/>
    <x v="0"/>
    <n v="14"/>
    <n v="0"/>
    <n v="0"/>
    <x v="2"/>
    <x v="1"/>
    <x v="0"/>
    <x v="1"/>
    <n v="61.04"/>
    <n v="17.600000000000001"/>
    <x v="3"/>
    <n v="0"/>
    <x v="2"/>
    <x v="4"/>
  </r>
  <r>
    <n v="4309"/>
    <x v="1"/>
    <n v="23"/>
    <n v="0"/>
    <n v="0"/>
    <x v="2"/>
    <x v="0"/>
    <x v="0"/>
    <x v="1"/>
    <n v="102.88"/>
    <n v="38.9"/>
    <x v="3"/>
    <n v="0"/>
    <x v="2"/>
    <x v="0"/>
  </r>
  <r>
    <n v="55462"/>
    <x v="0"/>
    <n v="6"/>
    <n v="0"/>
    <n v="0"/>
    <x v="2"/>
    <x v="1"/>
    <x v="3"/>
    <x v="0"/>
    <n v="123.39"/>
    <n v="15.2"/>
    <x v="3"/>
    <n v="0"/>
    <x v="2"/>
    <x v="4"/>
  </r>
  <r>
    <n v="51746"/>
    <x v="1"/>
    <n v="37"/>
    <n v="0"/>
    <n v="0"/>
    <x v="2"/>
    <x v="0"/>
    <x v="2"/>
    <x v="1"/>
    <n v="67.069999999999993"/>
    <n v="27.4"/>
    <x v="1"/>
    <n v="0"/>
    <x v="2"/>
    <x v="3"/>
  </r>
  <r>
    <n v="59335"/>
    <x v="0"/>
    <n v="38"/>
    <n v="0"/>
    <n v="0"/>
    <x v="2"/>
    <x v="0"/>
    <x v="2"/>
    <x v="1"/>
    <n v="69.88"/>
    <n v="27.9"/>
    <x v="2"/>
    <n v="0"/>
    <x v="2"/>
    <x v="3"/>
  </r>
  <r>
    <n v="65644"/>
    <x v="0"/>
    <n v="3"/>
    <n v="0"/>
    <n v="0"/>
    <x v="2"/>
    <x v="1"/>
    <x v="3"/>
    <x v="0"/>
    <n v="57.02"/>
    <n v="16.100000000000001"/>
    <x v="3"/>
    <n v="0"/>
    <x v="2"/>
    <x v="4"/>
  </r>
  <r>
    <n v="52790"/>
    <x v="1"/>
    <n v="26"/>
    <n v="0"/>
    <n v="0"/>
    <x v="2"/>
    <x v="1"/>
    <x v="2"/>
    <x v="0"/>
    <n v="123.81"/>
    <n v="39"/>
    <x v="1"/>
    <n v="0"/>
    <x v="2"/>
    <x v="0"/>
  </r>
  <r>
    <n v="42681"/>
    <x v="1"/>
    <n v="58"/>
    <n v="0"/>
    <n v="0"/>
    <x v="2"/>
    <x v="0"/>
    <x v="2"/>
    <x v="1"/>
    <n v="73.36"/>
    <n v="36.6"/>
    <x v="0"/>
    <n v="0"/>
    <x v="1"/>
    <x v="0"/>
  </r>
  <r>
    <n v="33697"/>
    <x v="0"/>
    <n v="57"/>
    <n v="0"/>
    <n v="0"/>
    <x v="2"/>
    <x v="0"/>
    <x v="0"/>
    <x v="1"/>
    <n v="90.54"/>
    <n v="33.700000000000003"/>
    <x v="1"/>
    <n v="0"/>
    <x v="1"/>
    <x v="0"/>
  </r>
  <r>
    <n v="51963"/>
    <x v="0"/>
    <n v="58"/>
    <n v="0"/>
    <n v="0"/>
    <x v="2"/>
    <x v="0"/>
    <x v="0"/>
    <x v="0"/>
    <n v="69.239999999999995"/>
    <n v="27.6"/>
    <x v="1"/>
    <n v="0"/>
    <x v="1"/>
    <x v="3"/>
  </r>
  <r>
    <n v="13375"/>
    <x v="0"/>
    <n v="76"/>
    <n v="0"/>
    <n v="0"/>
    <x v="1"/>
    <x v="0"/>
    <x v="0"/>
    <x v="0"/>
    <n v="192.39"/>
    <n v="31"/>
    <x v="1"/>
    <n v="0"/>
    <x v="0"/>
    <x v="0"/>
  </r>
  <r>
    <n v="37526"/>
    <x v="1"/>
    <n v="68"/>
    <n v="1"/>
    <n v="1"/>
    <x v="0"/>
    <x v="0"/>
    <x v="0"/>
    <x v="1"/>
    <n v="233.3"/>
    <s v="N/A"/>
    <x v="3"/>
    <n v="0"/>
    <x v="0"/>
    <x v="1"/>
  </r>
  <r>
    <n v="59454"/>
    <x v="1"/>
    <n v="79"/>
    <n v="0"/>
    <n v="0"/>
    <x v="1"/>
    <x v="0"/>
    <x v="1"/>
    <x v="0"/>
    <n v="74.349999999999994"/>
    <n v="28.5"/>
    <x v="0"/>
    <n v="0"/>
    <x v="0"/>
    <x v="3"/>
  </r>
  <r>
    <n v="23600"/>
    <x v="0"/>
    <n v="34"/>
    <n v="0"/>
    <n v="0"/>
    <x v="2"/>
    <x v="0"/>
    <x v="0"/>
    <x v="1"/>
    <n v="71.94"/>
    <n v="31.4"/>
    <x v="2"/>
    <n v="0"/>
    <x v="2"/>
    <x v="0"/>
  </r>
  <r>
    <n v="61245"/>
    <x v="0"/>
    <n v="75"/>
    <n v="0"/>
    <n v="0"/>
    <x v="1"/>
    <x v="0"/>
    <x v="1"/>
    <x v="1"/>
    <n v="82.35"/>
    <n v="25.3"/>
    <x v="1"/>
    <n v="0"/>
    <x v="0"/>
    <x v="3"/>
  </r>
  <r>
    <n v="53489"/>
    <x v="0"/>
    <n v="11"/>
    <n v="0"/>
    <n v="0"/>
    <x v="2"/>
    <x v="1"/>
    <x v="3"/>
    <x v="1"/>
    <n v="73.28"/>
    <n v="17.2"/>
    <x v="1"/>
    <n v="0"/>
    <x v="2"/>
    <x v="4"/>
  </r>
  <r>
    <n v="42284"/>
    <x v="0"/>
    <n v="71"/>
    <n v="1"/>
    <n v="0"/>
    <x v="0"/>
    <x v="0"/>
    <x v="1"/>
    <x v="1"/>
    <n v="97.57"/>
    <n v="26.9"/>
    <x v="3"/>
    <n v="0"/>
    <x v="0"/>
    <x v="3"/>
  </r>
  <r>
    <n v="69089"/>
    <x v="1"/>
    <n v="40"/>
    <n v="0"/>
    <n v="0"/>
    <x v="2"/>
    <x v="0"/>
    <x v="0"/>
    <x v="1"/>
    <n v="83.3"/>
    <n v="32"/>
    <x v="2"/>
    <n v="0"/>
    <x v="1"/>
    <x v="0"/>
  </r>
  <r>
    <n v="68970"/>
    <x v="1"/>
    <n v="24"/>
    <n v="0"/>
    <n v="0"/>
    <x v="2"/>
    <x v="1"/>
    <x v="0"/>
    <x v="0"/>
    <n v="85.07"/>
    <n v="22.5"/>
    <x v="3"/>
    <n v="0"/>
    <x v="2"/>
    <x v="2"/>
  </r>
  <r>
    <n v="42938"/>
    <x v="0"/>
    <n v="0.64"/>
    <n v="0"/>
    <n v="0"/>
    <x v="2"/>
    <x v="1"/>
    <x v="3"/>
    <x v="0"/>
    <n v="60.4"/>
    <n v="17.3"/>
    <x v="3"/>
    <n v="0"/>
    <x v="2"/>
    <x v="4"/>
  </r>
  <r>
    <n v="11327"/>
    <x v="1"/>
    <n v="82"/>
    <n v="0"/>
    <n v="0"/>
    <x v="1"/>
    <x v="0"/>
    <x v="1"/>
    <x v="0"/>
    <n v="79.959999999999994"/>
    <n v="27"/>
    <x v="0"/>
    <n v="0"/>
    <x v="0"/>
    <x v="3"/>
  </r>
  <r>
    <n v="5464"/>
    <x v="0"/>
    <n v="32"/>
    <n v="0"/>
    <n v="0"/>
    <x v="2"/>
    <x v="0"/>
    <x v="0"/>
    <x v="1"/>
    <n v="70.959999999999994"/>
    <n v="33.1"/>
    <x v="3"/>
    <n v="0"/>
    <x v="2"/>
    <x v="0"/>
  </r>
  <r>
    <n v="56995"/>
    <x v="1"/>
    <n v="81"/>
    <n v="0"/>
    <n v="0"/>
    <x v="1"/>
    <x v="0"/>
    <x v="0"/>
    <x v="0"/>
    <n v="82.86"/>
    <n v="25"/>
    <x v="1"/>
    <n v="0"/>
    <x v="0"/>
    <x v="3"/>
  </r>
  <r>
    <n v="53646"/>
    <x v="1"/>
    <n v="33"/>
    <n v="1"/>
    <n v="0"/>
    <x v="2"/>
    <x v="1"/>
    <x v="0"/>
    <x v="1"/>
    <n v="97.87"/>
    <s v="N/A"/>
    <x v="2"/>
    <n v="0"/>
    <x v="2"/>
    <x v="1"/>
  </r>
  <r>
    <n v="45139"/>
    <x v="1"/>
    <n v="79"/>
    <n v="0"/>
    <n v="1"/>
    <x v="0"/>
    <x v="0"/>
    <x v="0"/>
    <x v="1"/>
    <n v="201.38"/>
    <n v="31.1"/>
    <x v="1"/>
    <n v="0"/>
    <x v="0"/>
    <x v="0"/>
  </r>
  <r>
    <n v="38354"/>
    <x v="1"/>
    <n v="62"/>
    <n v="0"/>
    <n v="0"/>
    <x v="1"/>
    <x v="0"/>
    <x v="1"/>
    <x v="0"/>
    <n v="91.82"/>
    <n v="19.600000000000001"/>
    <x v="3"/>
    <n v="0"/>
    <x v="0"/>
    <x v="2"/>
  </r>
  <r>
    <n v="15566"/>
    <x v="0"/>
    <n v="39"/>
    <n v="0"/>
    <n v="0"/>
    <x v="2"/>
    <x v="0"/>
    <x v="0"/>
    <x v="1"/>
    <n v="91.85"/>
    <n v="24.7"/>
    <x v="2"/>
    <n v="0"/>
    <x v="2"/>
    <x v="2"/>
  </r>
  <r>
    <n v="4793"/>
    <x v="1"/>
    <n v="60"/>
    <n v="1"/>
    <n v="0"/>
    <x v="0"/>
    <x v="0"/>
    <x v="1"/>
    <x v="0"/>
    <n v="99.23"/>
    <n v="48"/>
    <x v="0"/>
    <n v="0"/>
    <x v="0"/>
    <x v="0"/>
  </r>
  <r>
    <n v="59223"/>
    <x v="0"/>
    <n v="48"/>
    <n v="0"/>
    <n v="0"/>
    <x v="2"/>
    <x v="0"/>
    <x v="0"/>
    <x v="0"/>
    <n v="68.13"/>
    <n v="38"/>
    <x v="0"/>
    <n v="0"/>
    <x v="1"/>
    <x v="0"/>
  </r>
  <r>
    <n v="30927"/>
    <x v="0"/>
    <n v="24"/>
    <n v="0"/>
    <n v="0"/>
    <x v="2"/>
    <x v="1"/>
    <x v="0"/>
    <x v="1"/>
    <n v="93.76"/>
    <n v="24"/>
    <x v="0"/>
    <n v="0"/>
    <x v="2"/>
    <x v="2"/>
  </r>
  <r>
    <n v="966"/>
    <x v="1"/>
    <n v="70"/>
    <n v="1"/>
    <n v="0"/>
    <x v="0"/>
    <x v="0"/>
    <x v="1"/>
    <x v="1"/>
    <n v="103.89"/>
    <n v="30"/>
    <x v="1"/>
    <n v="0"/>
    <x v="0"/>
    <x v="0"/>
  </r>
  <r>
    <n v="62923"/>
    <x v="1"/>
    <n v="17"/>
    <n v="0"/>
    <n v="0"/>
    <x v="2"/>
    <x v="1"/>
    <x v="0"/>
    <x v="0"/>
    <n v="87.39"/>
    <n v="24.6"/>
    <x v="3"/>
    <n v="0"/>
    <x v="2"/>
    <x v="2"/>
  </r>
  <r>
    <n v="30627"/>
    <x v="1"/>
    <n v="56"/>
    <n v="0"/>
    <n v="0"/>
    <x v="2"/>
    <x v="0"/>
    <x v="2"/>
    <x v="0"/>
    <n v="89.53"/>
    <n v="23.1"/>
    <x v="3"/>
    <n v="0"/>
    <x v="1"/>
    <x v="2"/>
  </r>
  <r>
    <n v="17236"/>
    <x v="1"/>
    <n v="3"/>
    <n v="0"/>
    <n v="0"/>
    <x v="2"/>
    <x v="1"/>
    <x v="3"/>
    <x v="0"/>
    <n v="66.61"/>
    <n v="17.399999999999999"/>
    <x v="3"/>
    <n v="0"/>
    <x v="2"/>
    <x v="4"/>
  </r>
  <r>
    <n v="27566"/>
    <x v="0"/>
    <n v="65"/>
    <n v="0"/>
    <n v="0"/>
    <x v="1"/>
    <x v="0"/>
    <x v="0"/>
    <x v="1"/>
    <n v="236.14"/>
    <n v="43.1"/>
    <x v="3"/>
    <n v="0"/>
    <x v="0"/>
    <x v="0"/>
  </r>
  <r>
    <n v="6368"/>
    <x v="0"/>
    <n v="72"/>
    <n v="0"/>
    <n v="1"/>
    <x v="0"/>
    <x v="0"/>
    <x v="0"/>
    <x v="0"/>
    <n v="99.76"/>
    <n v="27.1"/>
    <x v="0"/>
    <n v="0"/>
    <x v="0"/>
    <x v="3"/>
  </r>
  <r>
    <n v="33876"/>
    <x v="0"/>
    <n v="10"/>
    <n v="0"/>
    <n v="0"/>
    <x v="2"/>
    <x v="1"/>
    <x v="3"/>
    <x v="0"/>
    <n v="87.09"/>
    <n v="14.3"/>
    <x v="3"/>
    <n v="0"/>
    <x v="2"/>
    <x v="4"/>
  </r>
  <r>
    <n v="52164"/>
    <x v="0"/>
    <n v="29"/>
    <n v="0"/>
    <n v="0"/>
    <x v="2"/>
    <x v="0"/>
    <x v="0"/>
    <x v="0"/>
    <n v="193.81"/>
    <n v="46.8"/>
    <x v="1"/>
    <n v="0"/>
    <x v="2"/>
    <x v="0"/>
  </r>
  <r>
    <n v="32446"/>
    <x v="1"/>
    <n v="44"/>
    <n v="0"/>
    <n v="0"/>
    <x v="2"/>
    <x v="0"/>
    <x v="0"/>
    <x v="1"/>
    <n v="97.27"/>
    <n v="26"/>
    <x v="1"/>
    <n v="0"/>
    <x v="1"/>
    <x v="3"/>
  </r>
  <r>
    <n v="56855"/>
    <x v="0"/>
    <n v="46"/>
    <n v="0"/>
    <n v="0"/>
    <x v="2"/>
    <x v="0"/>
    <x v="0"/>
    <x v="0"/>
    <n v="137.77000000000001"/>
    <n v="29.3"/>
    <x v="1"/>
    <n v="0"/>
    <x v="1"/>
    <x v="3"/>
  </r>
  <r>
    <n v="43837"/>
    <x v="0"/>
    <n v="33"/>
    <n v="0"/>
    <n v="0"/>
    <x v="2"/>
    <x v="0"/>
    <x v="0"/>
    <x v="0"/>
    <n v="105.19"/>
    <n v="50.1"/>
    <x v="2"/>
    <n v="0"/>
    <x v="2"/>
    <x v="0"/>
  </r>
  <r>
    <n v="5477"/>
    <x v="0"/>
    <n v="63"/>
    <n v="0"/>
    <n v="1"/>
    <x v="0"/>
    <x v="0"/>
    <x v="1"/>
    <x v="0"/>
    <n v="82.72"/>
    <s v="N/A"/>
    <x v="1"/>
    <n v="0"/>
    <x v="0"/>
    <x v="1"/>
  </r>
  <r>
    <n v="64974"/>
    <x v="0"/>
    <n v="0.24"/>
    <n v="0"/>
    <n v="0"/>
    <x v="2"/>
    <x v="1"/>
    <x v="3"/>
    <x v="0"/>
    <n v="58.35"/>
    <n v="18.600000000000001"/>
    <x v="3"/>
    <n v="0"/>
    <x v="2"/>
    <x v="2"/>
  </r>
  <r>
    <n v="33976"/>
    <x v="0"/>
    <n v="55"/>
    <n v="0"/>
    <n v="0"/>
    <x v="2"/>
    <x v="0"/>
    <x v="0"/>
    <x v="0"/>
    <n v="68.790000000000006"/>
    <n v="27"/>
    <x v="1"/>
    <n v="0"/>
    <x v="1"/>
    <x v="3"/>
  </r>
  <r>
    <n v="31019"/>
    <x v="1"/>
    <n v="56"/>
    <n v="0"/>
    <n v="0"/>
    <x v="2"/>
    <x v="0"/>
    <x v="0"/>
    <x v="0"/>
    <n v="94.19"/>
    <n v="25.7"/>
    <x v="1"/>
    <n v="0"/>
    <x v="1"/>
    <x v="3"/>
  </r>
  <r>
    <n v="4699"/>
    <x v="0"/>
    <n v="50"/>
    <n v="0"/>
    <n v="0"/>
    <x v="2"/>
    <x v="1"/>
    <x v="2"/>
    <x v="1"/>
    <n v="121.17"/>
    <n v="25.5"/>
    <x v="0"/>
    <n v="0"/>
    <x v="1"/>
    <x v="3"/>
  </r>
  <r>
    <n v="60276"/>
    <x v="0"/>
    <n v="78"/>
    <n v="1"/>
    <n v="1"/>
    <x v="0"/>
    <x v="0"/>
    <x v="1"/>
    <x v="1"/>
    <n v="106.41"/>
    <n v="27.3"/>
    <x v="1"/>
    <n v="0"/>
    <x v="0"/>
    <x v="3"/>
  </r>
  <r>
    <n v="24420"/>
    <x v="0"/>
    <n v="63"/>
    <n v="0"/>
    <n v="0"/>
    <x v="1"/>
    <x v="0"/>
    <x v="0"/>
    <x v="1"/>
    <n v="104.79"/>
    <n v="24.1"/>
    <x v="3"/>
    <n v="0"/>
    <x v="0"/>
    <x v="2"/>
  </r>
  <r>
    <n v="28478"/>
    <x v="1"/>
    <n v="31"/>
    <n v="0"/>
    <n v="0"/>
    <x v="2"/>
    <x v="0"/>
    <x v="0"/>
    <x v="0"/>
    <n v="82.18"/>
    <n v="42.7"/>
    <x v="1"/>
    <n v="0"/>
    <x v="2"/>
    <x v="0"/>
  </r>
  <r>
    <n v="63236"/>
    <x v="0"/>
    <n v="65"/>
    <n v="0"/>
    <n v="0"/>
    <x v="1"/>
    <x v="0"/>
    <x v="0"/>
    <x v="0"/>
    <n v="96.81"/>
    <n v="41.2"/>
    <x v="2"/>
    <n v="0"/>
    <x v="0"/>
    <x v="0"/>
  </r>
  <r>
    <n v="6324"/>
    <x v="0"/>
    <n v="51"/>
    <n v="0"/>
    <n v="0"/>
    <x v="2"/>
    <x v="0"/>
    <x v="0"/>
    <x v="1"/>
    <n v="107.42"/>
    <n v="20.2"/>
    <x v="0"/>
    <n v="0"/>
    <x v="1"/>
    <x v="2"/>
  </r>
  <r>
    <n v="62059"/>
    <x v="0"/>
    <n v="60"/>
    <n v="0"/>
    <n v="0"/>
    <x v="1"/>
    <x v="0"/>
    <x v="0"/>
    <x v="1"/>
    <n v="69.2"/>
    <n v="30.9"/>
    <x v="1"/>
    <n v="0"/>
    <x v="0"/>
    <x v="0"/>
  </r>
  <r>
    <n v="28400"/>
    <x v="0"/>
    <n v="69"/>
    <n v="0"/>
    <n v="0"/>
    <x v="1"/>
    <x v="0"/>
    <x v="1"/>
    <x v="0"/>
    <n v="92.73"/>
    <n v="27.7"/>
    <x v="1"/>
    <n v="0"/>
    <x v="0"/>
    <x v="3"/>
  </r>
  <r>
    <n v="5841"/>
    <x v="1"/>
    <n v="23"/>
    <n v="0"/>
    <n v="0"/>
    <x v="2"/>
    <x v="1"/>
    <x v="0"/>
    <x v="0"/>
    <n v="86.11"/>
    <n v="22.3"/>
    <x v="1"/>
    <n v="0"/>
    <x v="2"/>
    <x v="2"/>
  </r>
  <r>
    <n v="5681"/>
    <x v="0"/>
    <n v="46"/>
    <n v="0"/>
    <n v="0"/>
    <x v="2"/>
    <x v="0"/>
    <x v="0"/>
    <x v="1"/>
    <n v="111.78"/>
    <n v="39.4"/>
    <x v="2"/>
    <n v="0"/>
    <x v="1"/>
    <x v="0"/>
  </r>
  <r>
    <n v="16587"/>
    <x v="1"/>
    <n v="16"/>
    <n v="0"/>
    <n v="0"/>
    <x v="2"/>
    <x v="1"/>
    <x v="0"/>
    <x v="0"/>
    <n v="122.26"/>
    <n v="34.200000000000003"/>
    <x v="1"/>
    <n v="0"/>
    <x v="2"/>
    <x v="0"/>
  </r>
  <r>
    <n v="3477"/>
    <x v="1"/>
    <n v="26"/>
    <n v="0"/>
    <n v="0"/>
    <x v="2"/>
    <x v="1"/>
    <x v="0"/>
    <x v="1"/>
    <n v="78.16"/>
    <n v="20.100000000000001"/>
    <x v="1"/>
    <n v="0"/>
    <x v="2"/>
    <x v="2"/>
  </r>
  <r>
    <n v="23890"/>
    <x v="1"/>
    <n v="44"/>
    <n v="1"/>
    <n v="0"/>
    <x v="2"/>
    <x v="0"/>
    <x v="2"/>
    <x v="1"/>
    <n v="105.77"/>
    <n v="36.799999999999997"/>
    <x v="1"/>
    <n v="0"/>
    <x v="1"/>
    <x v="0"/>
  </r>
  <r>
    <n v="3803"/>
    <x v="1"/>
    <n v="56"/>
    <n v="0"/>
    <n v="0"/>
    <x v="2"/>
    <x v="0"/>
    <x v="0"/>
    <x v="0"/>
    <n v="102.97"/>
    <s v="N/A"/>
    <x v="2"/>
    <n v="0"/>
    <x v="1"/>
    <x v="1"/>
  </r>
  <r>
    <n v="34068"/>
    <x v="1"/>
    <n v="23"/>
    <n v="0"/>
    <n v="0"/>
    <x v="2"/>
    <x v="0"/>
    <x v="2"/>
    <x v="0"/>
    <n v="77.53"/>
    <n v="33.9"/>
    <x v="0"/>
    <n v="0"/>
    <x v="2"/>
    <x v="0"/>
  </r>
  <r>
    <n v="60145"/>
    <x v="1"/>
    <n v="38"/>
    <n v="0"/>
    <n v="0"/>
    <x v="2"/>
    <x v="0"/>
    <x v="0"/>
    <x v="0"/>
    <n v="77.349999999999994"/>
    <n v="27.7"/>
    <x v="1"/>
    <n v="0"/>
    <x v="2"/>
    <x v="3"/>
  </r>
  <r>
    <n v="11702"/>
    <x v="1"/>
    <n v="18"/>
    <n v="0"/>
    <n v="0"/>
    <x v="2"/>
    <x v="1"/>
    <x v="4"/>
    <x v="0"/>
    <n v="82.36"/>
    <n v="22.7"/>
    <x v="3"/>
    <n v="0"/>
    <x v="2"/>
    <x v="2"/>
  </r>
  <r>
    <n v="50508"/>
    <x v="1"/>
    <n v="63"/>
    <n v="0"/>
    <n v="1"/>
    <x v="0"/>
    <x v="0"/>
    <x v="1"/>
    <x v="1"/>
    <n v="239.95"/>
    <n v="32.200000000000003"/>
    <x v="2"/>
    <n v="0"/>
    <x v="0"/>
    <x v="0"/>
  </r>
  <r>
    <n v="65473"/>
    <x v="0"/>
    <n v="23"/>
    <n v="0"/>
    <n v="0"/>
    <x v="2"/>
    <x v="1"/>
    <x v="0"/>
    <x v="0"/>
    <n v="61.96"/>
    <n v="22"/>
    <x v="2"/>
    <n v="0"/>
    <x v="2"/>
    <x v="2"/>
  </r>
  <r>
    <n v="51257"/>
    <x v="0"/>
    <n v="32"/>
    <n v="0"/>
    <n v="0"/>
    <x v="2"/>
    <x v="1"/>
    <x v="0"/>
    <x v="1"/>
    <n v="72.099999999999994"/>
    <n v="23.2"/>
    <x v="1"/>
    <n v="0"/>
    <x v="2"/>
    <x v="2"/>
  </r>
  <r>
    <n v="47810"/>
    <x v="0"/>
    <n v="8"/>
    <n v="0"/>
    <n v="0"/>
    <x v="2"/>
    <x v="1"/>
    <x v="3"/>
    <x v="1"/>
    <n v="107.97"/>
    <n v="26.7"/>
    <x v="3"/>
    <n v="0"/>
    <x v="2"/>
    <x v="3"/>
  </r>
  <r>
    <n v="38737"/>
    <x v="0"/>
    <n v="77"/>
    <n v="0"/>
    <n v="0"/>
    <x v="1"/>
    <x v="0"/>
    <x v="1"/>
    <x v="0"/>
    <n v="60.77"/>
    <n v="23"/>
    <x v="2"/>
    <n v="0"/>
    <x v="0"/>
    <x v="2"/>
  </r>
  <r>
    <n v="39060"/>
    <x v="1"/>
    <n v="41"/>
    <n v="0"/>
    <n v="0"/>
    <x v="2"/>
    <x v="0"/>
    <x v="0"/>
    <x v="0"/>
    <n v="71.06"/>
    <n v="23.4"/>
    <x v="1"/>
    <n v="0"/>
    <x v="1"/>
    <x v="2"/>
  </r>
  <r>
    <n v="56804"/>
    <x v="1"/>
    <n v="34"/>
    <n v="0"/>
    <n v="0"/>
    <x v="2"/>
    <x v="1"/>
    <x v="2"/>
    <x v="0"/>
    <n v="60.36"/>
    <n v="24.1"/>
    <x v="1"/>
    <n v="0"/>
    <x v="2"/>
    <x v="2"/>
  </r>
  <r>
    <n v="45099"/>
    <x v="0"/>
    <n v="25"/>
    <n v="0"/>
    <n v="0"/>
    <x v="2"/>
    <x v="0"/>
    <x v="1"/>
    <x v="0"/>
    <n v="83.33"/>
    <n v="31.5"/>
    <x v="3"/>
    <n v="0"/>
    <x v="2"/>
    <x v="0"/>
  </r>
  <r>
    <n v="22221"/>
    <x v="1"/>
    <n v="35"/>
    <n v="0"/>
    <n v="0"/>
    <x v="2"/>
    <x v="0"/>
    <x v="1"/>
    <x v="0"/>
    <n v="65.33"/>
    <n v="26.1"/>
    <x v="1"/>
    <n v="0"/>
    <x v="2"/>
    <x v="3"/>
  </r>
  <r>
    <n v="57134"/>
    <x v="0"/>
    <n v="15"/>
    <n v="0"/>
    <n v="0"/>
    <x v="2"/>
    <x v="1"/>
    <x v="3"/>
    <x v="0"/>
    <n v="113.28"/>
    <n v="23.7"/>
    <x v="1"/>
    <n v="0"/>
    <x v="2"/>
    <x v="2"/>
  </r>
  <r>
    <n v="57609"/>
    <x v="0"/>
    <n v="1.64"/>
    <n v="0"/>
    <n v="0"/>
    <x v="2"/>
    <x v="1"/>
    <x v="3"/>
    <x v="0"/>
    <n v="170.88"/>
    <n v="20.8"/>
    <x v="3"/>
    <n v="0"/>
    <x v="2"/>
    <x v="2"/>
  </r>
  <r>
    <n v="6132"/>
    <x v="0"/>
    <n v="4"/>
    <n v="0"/>
    <n v="0"/>
    <x v="2"/>
    <x v="1"/>
    <x v="3"/>
    <x v="0"/>
    <n v="103.34"/>
    <n v="18.8"/>
    <x v="3"/>
    <n v="0"/>
    <x v="2"/>
    <x v="2"/>
  </r>
  <r>
    <n v="31600"/>
    <x v="1"/>
    <n v="33"/>
    <n v="0"/>
    <n v="0"/>
    <x v="2"/>
    <x v="1"/>
    <x v="0"/>
    <x v="1"/>
    <n v="106.08"/>
    <n v="32.5"/>
    <x v="0"/>
    <n v="0"/>
    <x v="2"/>
    <x v="0"/>
  </r>
  <r>
    <n v="51497"/>
    <x v="0"/>
    <n v="28"/>
    <n v="0"/>
    <n v="0"/>
    <x v="2"/>
    <x v="0"/>
    <x v="1"/>
    <x v="0"/>
    <n v="156.44999999999999"/>
    <n v="24.3"/>
    <x v="1"/>
    <n v="0"/>
    <x v="2"/>
    <x v="2"/>
  </r>
  <r>
    <n v="48455"/>
    <x v="1"/>
    <n v="37"/>
    <n v="0"/>
    <n v="0"/>
    <x v="2"/>
    <x v="0"/>
    <x v="0"/>
    <x v="0"/>
    <n v="60.05"/>
    <n v="24.1"/>
    <x v="3"/>
    <n v="0"/>
    <x v="2"/>
    <x v="2"/>
  </r>
  <r>
    <n v="13049"/>
    <x v="1"/>
    <n v="50"/>
    <n v="0"/>
    <n v="0"/>
    <x v="2"/>
    <x v="0"/>
    <x v="0"/>
    <x v="1"/>
    <n v="114.05"/>
    <n v="32.5"/>
    <x v="1"/>
    <n v="0"/>
    <x v="1"/>
    <x v="0"/>
  </r>
  <r>
    <n v="9079"/>
    <x v="1"/>
    <n v="76"/>
    <n v="0"/>
    <n v="1"/>
    <x v="0"/>
    <x v="0"/>
    <x v="1"/>
    <x v="0"/>
    <n v="202.21"/>
    <n v="39.299999999999997"/>
    <x v="0"/>
    <n v="0"/>
    <x v="0"/>
    <x v="0"/>
  </r>
  <r>
    <n v="68568"/>
    <x v="1"/>
    <n v="72"/>
    <n v="0"/>
    <n v="0"/>
    <x v="1"/>
    <x v="0"/>
    <x v="1"/>
    <x v="1"/>
    <n v="57.28"/>
    <n v="23.9"/>
    <x v="1"/>
    <n v="0"/>
    <x v="0"/>
    <x v="2"/>
  </r>
  <r>
    <n v="72867"/>
    <x v="0"/>
    <n v="16"/>
    <n v="0"/>
    <n v="0"/>
    <x v="2"/>
    <x v="1"/>
    <x v="0"/>
    <x v="1"/>
    <n v="99.49"/>
    <n v="22"/>
    <x v="3"/>
    <n v="0"/>
    <x v="2"/>
    <x v="2"/>
  </r>
  <r>
    <n v="53121"/>
    <x v="0"/>
    <n v="44"/>
    <n v="0"/>
    <n v="0"/>
    <x v="2"/>
    <x v="0"/>
    <x v="0"/>
    <x v="0"/>
    <n v="63.6"/>
    <n v="37.299999999999997"/>
    <x v="1"/>
    <n v="0"/>
    <x v="1"/>
    <x v="0"/>
  </r>
  <r>
    <n v="33779"/>
    <x v="0"/>
    <n v="46"/>
    <n v="0"/>
    <n v="1"/>
    <x v="2"/>
    <x v="0"/>
    <x v="2"/>
    <x v="0"/>
    <n v="80.010000000000005"/>
    <n v="33"/>
    <x v="0"/>
    <n v="0"/>
    <x v="1"/>
    <x v="0"/>
  </r>
  <r>
    <n v="52367"/>
    <x v="0"/>
    <n v="46"/>
    <n v="0"/>
    <n v="0"/>
    <x v="2"/>
    <x v="0"/>
    <x v="0"/>
    <x v="0"/>
    <n v="58.42"/>
    <n v="24.7"/>
    <x v="0"/>
    <n v="0"/>
    <x v="1"/>
    <x v="2"/>
  </r>
  <r>
    <n v="29314"/>
    <x v="1"/>
    <n v="73"/>
    <n v="1"/>
    <n v="1"/>
    <x v="0"/>
    <x v="0"/>
    <x v="2"/>
    <x v="0"/>
    <n v="67.38"/>
    <n v="32.799999999999997"/>
    <x v="0"/>
    <n v="0"/>
    <x v="0"/>
    <x v="0"/>
  </r>
  <r>
    <n v="18366"/>
    <x v="1"/>
    <n v="29"/>
    <n v="0"/>
    <n v="0"/>
    <x v="2"/>
    <x v="0"/>
    <x v="1"/>
    <x v="1"/>
    <n v="73.58"/>
    <n v="29.8"/>
    <x v="3"/>
    <n v="0"/>
    <x v="2"/>
    <x v="3"/>
  </r>
  <r>
    <n v="32522"/>
    <x v="0"/>
    <n v="19"/>
    <n v="0"/>
    <n v="0"/>
    <x v="2"/>
    <x v="1"/>
    <x v="0"/>
    <x v="0"/>
    <n v="103.92"/>
    <n v="24.1"/>
    <x v="3"/>
    <n v="0"/>
    <x v="2"/>
    <x v="2"/>
  </r>
  <r>
    <n v="3980"/>
    <x v="1"/>
    <n v="27"/>
    <n v="0"/>
    <n v="0"/>
    <x v="2"/>
    <x v="1"/>
    <x v="0"/>
    <x v="1"/>
    <n v="80.22"/>
    <n v="21.6"/>
    <x v="1"/>
    <n v="0"/>
    <x v="2"/>
    <x v="2"/>
  </r>
  <r>
    <n v="5350"/>
    <x v="1"/>
    <n v="36"/>
    <n v="0"/>
    <n v="0"/>
    <x v="2"/>
    <x v="0"/>
    <x v="0"/>
    <x v="1"/>
    <n v="103.76"/>
    <n v="27.1"/>
    <x v="1"/>
    <n v="0"/>
    <x v="2"/>
    <x v="3"/>
  </r>
  <r>
    <n v="3428"/>
    <x v="1"/>
    <n v="61"/>
    <n v="0"/>
    <n v="0"/>
    <x v="1"/>
    <x v="0"/>
    <x v="1"/>
    <x v="0"/>
    <n v="77.06"/>
    <n v="27"/>
    <x v="1"/>
    <n v="0"/>
    <x v="0"/>
    <x v="3"/>
  </r>
  <r>
    <n v="62552"/>
    <x v="1"/>
    <n v="9"/>
    <n v="0"/>
    <n v="0"/>
    <x v="2"/>
    <x v="1"/>
    <x v="3"/>
    <x v="1"/>
    <n v="90.22"/>
    <n v="18.7"/>
    <x v="3"/>
    <n v="0"/>
    <x v="2"/>
    <x v="2"/>
  </r>
  <r>
    <n v="51085"/>
    <x v="1"/>
    <n v="25"/>
    <n v="0"/>
    <n v="0"/>
    <x v="2"/>
    <x v="1"/>
    <x v="0"/>
    <x v="0"/>
    <n v="181.3"/>
    <n v="35.799999999999997"/>
    <x v="1"/>
    <n v="0"/>
    <x v="2"/>
    <x v="0"/>
  </r>
  <r>
    <n v="60586"/>
    <x v="1"/>
    <n v="68"/>
    <n v="0"/>
    <n v="0"/>
    <x v="1"/>
    <x v="0"/>
    <x v="0"/>
    <x v="1"/>
    <n v="85.29"/>
    <n v="27.1"/>
    <x v="0"/>
    <n v="0"/>
    <x v="0"/>
    <x v="3"/>
  </r>
  <r>
    <n v="59988"/>
    <x v="1"/>
    <n v="26"/>
    <n v="1"/>
    <n v="0"/>
    <x v="2"/>
    <x v="0"/>
    <x v="0"/>
    <x v="0"/>
    <n v="107.59"/>
    <n v="33.1"/>
    <x v="2"/>
    <n v="0"/>
    <x v="2"/>
    <x v="0"/>
  </r>
  <r>
    <n v="34122"/>
    <x v="1"/>
    <n v="17"/>
    <n v="0"/>
    <n v="0"/>
    <x v="2"/>
    <x v="1"/>
    <x v="0"/>
    <x v="0"/>
    <n v="87.72"/>
    <n v="25.9"/>
    <x v="2"/>
    <n v="0"/>
    <x v="2"/>
    <x v="3"/>
  </r>
  <r>
    <n v="11392"/>
    <x v="0"/>
    <n v="75"/>
    <n v="0"/>
    <n v="0"/>
    <x v="1"/>
    <x v="0"/>
    <x v="0"/>
    <x v="1"/>
    <n v="70.73"/>
    <n v="26.7"/>
    <x v="2"/>
    <n v="0"/>
    <x v="0"/>
    <x v="3"/>
  </r>
  <r>
    <n v="53632"/>
    <x v="0"/>
    <n v="34"/>
    <n v="0"/>
    <n v="0"/>
    <x v="2"/>
    <x v="1"/>
    <x v="2"/>
    <x v="0"/>
    <n v="72.75"/>
    <n v="22.2"/>
    <x v="3"/>
    <n v="0"/>
    <x v="2"/>
    <x v="2"/>
  </r>
  <r>
    <n v="32202"/>
    <x v="0"/>
    <n v="53"/>
    <n v="0"/>
    <n v="0"/>
    <x v="2"/>
    <x v="0"/>
    <x v="0"/>
    <x v="1"/>
    <n v="95.47"/>
    <n v="26"/>
    <x v="2"/>
    <n v="0"/>
    <x v="1"/>
    <x v="3"/>
  </r>
  <r>
    <n v="52489"/>
    <x v="1"/>
    <n v="18"/>
    <n v="0"/>
    <n v="0"/>
    <x v="2"/>
    <x v="1"/>
    <x v="0"/>
    <x v="0"/>
    <n v="70.540000000000006"/>
    <n v="23.5"/>
    <x v="3"/>
    <n v="0"/>
    <x v="2"/>
    <x v="2"/>
  </r>
  <r>
    <n v="13374"/>
    <x v="0"/>
    <n v="48"/>
    <n v="0"/>
    <n v="0"/>
    <x v="2"/>
    <x v="0"/>
    <x v="0"/>
    <x v="0"/>
    <n v="100.03"/>
    <n v="23.5"/>
    <x v="1"/>
    <n v="0"/>
    <x v="1"/>
    <x v="2"/>
  </r>
  <r>
    <n v="66370"/>
    <x v="1"/>
    <n v="5"/>
    <n v="0"/>
    <n v="0"/>
    <x v="2"/>
    <x v="1"/>
    <x v="3"/>
    <x v="1"/>
    <n v="59.78"/>
    <n v="15.9"/>
    <x v="3"/>
    <n v="0"/>
    <x v="2"/>
    <x v="4"/>
  </r>
  <r>
    <n v="259"/>
    <x v="0"/>
    <n v="79"/>
    <n v="0"/>
    <n v="0"/>
    <x v="1"/>
    <x v="0"/>
    <x v="0"/>
    <x v="0"/>
    <n v="198.79"/>
    <n v="24.9"/>
    <x v="1"/>
    <n v="0"/>
    <x v="0"/>
    <x v="2"/>
  </r>
  <r>
    <n v="12092"/>
    <x v="0"/>
    <n v="16"/>
    <n v="0"/>
    <n v="0"/>
    <x v="2"/>
    <x v="1"/>
    <x v="0"/>
    <x v="1"/>
    <n v="90.39"/>
    <n v="26.5"/>
    <x v="1"/>
    <n v="0"/>
    <x v="2"/>
    <x v="3"/>
  </r>
  <r>
    <n v="38263"/>
    <x v="1"/>
    <n v="32"/>
    <n v="0"/>
    <n v="0"/>
    <x v="2"/>
    <x v="0"/>
    <x v="0"/>
    <x v="1"/>
    <n v="147.04"/>
    <n v="35.700000000000003"/>
    <x v="3"/>
    <n v="0"/>
    <x v="2"/>
    <x v="0"/>
  </r>
  <r>
    <n v="1666"/>
    <x v="0"/>
    <n v="70"/>
    <n v="0"/>
    <n v="0"/>
    <x v="1"/>
    <x v="0"/>
    <x v="2"/>
    <x v="0"/>
    <n v="202.55"/>
    <s v="N/A"/>
    <x v="0"/>
    <n v="0"/>
    <x v="0"/>
    <x v="1"/>
  </r>
  <r>
    <n v="48922"/>
    <x v="0"/>
    <n v="55"/>
    <n v="1"/>
    <n v="1"/>
    <x v="2"/>
    <x v="0"/>
    <x v="0"/>
    <x v="1"/>
    <n v="64.92"/>
    <n v="32.1"/>
    <x v="2"/>
    <n v="0"/>
    <x v="1"/>
    <x v="0"/>
  </r>
  <r>
    <n v="58061"/>
    <x v="1"/>
    <n v="70"/>
    <n v="1"/>
    <n v="0"/>
    <x v="0"/>
    <x v="0"/>
    <x v="1"/>
    <x v="1"/>
    <n v="154.6"/>
    <n v="28.5"/>
    <x v="0"/>
    <n v="0"/>
    <x v="0"/>
    <x v="3"/>
  </r>
  <r>
    <n v="50283"/>
    <x v="1"/>
    <n v="51"/>
    <n v="0"/>
    <n v="0"/>
    <x v="2"/>
    <x v="0"/>
    <x v="0"/>
    <x v="0"/>
    <n v="95.98"/>
    <n v="40.1"/>
    <x v="2"/>
    <n v="0"/>
    <x v="1"/>
    <x v="0"/>
  </r>
  <r>
    <n v="26605"/>
    <x v="1"/>
    <n v="39"/>
    <n v="0"/>
    <n v="0"/>
    <x v="2"/>
    <x v="0"/>
    <x v="0"/>
    <x v="1"/>
    <n v="102.51"/>
    <n v="26.6"/>
    <x v="2"/>
    <n v="0"/>
    <x v="2"/>
    <x v="3"/>
  </r>
  <r>
    <n v="10396"/>
    <x v="0"/>
    <n v="79"/>
    <n v="1"/>
    <n v="0"/>
    <x v="0"/>
    <x v="1"/>
    <x v="0"/>
    <x v="0"/>
    <n v="96.52"/>
    <n v="21.7"/>
    <x v="3"/>
    <n v="0"/>
    <x v="0"/>
    <x v="2"/>
  </r>
  <r>
    <n v="14695"/>
    <x v="0"/>
    <n v="80"/>
    <n v="1"/>
    <n v="0"/>
    <x v="0"/>
    <x v="0"/>
    <x v="1"/>
    <x v="1"/>
    <n v="232.12"/>
    <n v="28.8"/>
    <x v="1"/>
    <n v="0"/>
    <x v="0"/>
    <x v="3"/>
  </r>
  <r>
    <n v="2579"/>
    <x v="1"/>
    <n v="34"/>
    <n v="0"/>
    <n v="0"/>
    <x v="2"/>
    <x v="0"/>
    <x v="1"/>
    <x v="1"/>
    <n v="78.12"/>
    <n v="32"/>
    <x v="3"/>
    <n v="0"/>
    <x v="2"/>
    <x v="0"/>
  </r>
  <r>
    <n v="71061"/>
    <x v="0"/>
    <n v="59"/>
    <n v="0"/>
    <n v="0"/>
    <x v="2"/>
    <x v="0"/>
    <x v="2"/>
    <x v="0"/>
    <n v="70.040000000000006"/>
    <n v="31.4"/>
    <x v="1"/>
    <n v="0"/>
    <x v="1"/>
    <x v="0"/>
  </r>
  <r>
    <n v="41250"/>
    <x v="1"/>
    <n v="54"/>
    <n v="0"/>
    <n v="0"/>
    <x v="2"/>
    <x v="0"/>
    <x v="0"/>
    <x v="1"/>
    <n v="97.61"/>
    <n v="32.1"/>
    <x v="2"/>
    <n v="0"/>
    <x v="1"/>
    <x v="0"/>
  </r>
  <r>
    <n v="53923"/>
    <x v="1"/>
    <n v="22"/>
    <n v="0"/>
    <n v="0"/>
    <x v="2"/>
    <x v="1"/>
    <x v="0"/>
    <x v="0"/>
    <n v="113.11"/>
    <n v="19.8"/>
    <x v="3"/>
    <n v="0"/>
    <x v="2"/>
    <x v="2"/>
  </r>
  <r>
    <n v="54139"/>
    <x v="1"/>
    <n v="21"/>
    <n v="0"/>
    <n v="0"/>
    <x v="2"/>
    <x v="1"/>
    <x v="0"/>
    <x v="1"/>
    <n v="71.06"/>
    <n v="25.3"/>
    <x v="0"/>
    <n v="0"/>
    <x v="2"/>
    <x v="3"/>
  </r>
  <r>
    <n v="32430"/>
    <x v="1"/>
    <n v="4"/>
    <n v="0"/>
    <n v="0"/>
    <x v="2"/>
    <x v="1"/>
    <x v="3"/>
    <x v="1"/>
    <n v="104.95"/>
    <n v="28.8"/>
    <x v="3"/>
    <n v="0"/>
    <x v="2"/>
    <x v="3"/>
  </r>
  <r>
    <n v="14928"/>
    <x v="1"/>
    <n v="26"/>
    <n v="0"/>
    <n v="0"/>
    <x v="2"/>
    <x v="1"/>
    <x v="0"/>
    <x v="0"/>
    <n v="81.94"/>
    <n v="26"/>
    <x v="2"/>
    <n v="0"/>
    <x v="2"/>
    <x v="3"/>
  </r>
  <r>
    <n v="32457"/>
    <x v="0"/>
    <n v="62"/>
    <n v="0"/>
    <n v="0"/>
    <x v="1"/>
    <x v="0"/>
    <x v="0"/>
    <x v="0"/>
    <n v="96.37"/>
    <n v="30.7"/>
    <x v="0"/>
    <n v="0"/>
    <x v="0"/>
    <x v="0"/>
  </r>
  <r>
    <n v="59718"/>
    <x v="1"/>
    <n v="33"/>
    <n v="0"/>
    <n v="0"/>
    <x v="2"/>
    <x v="0"/>
    <x v="0"/>
    <x v="1"/>
    <n v="114.16"/>
    <n v="43.3"/>
    <x v="1"/>
    <n v="0"/>
    <x v="2"/>
    <x v="0"/>
  </r>
  <r>
    <n v="4948"/>
    <x v="0"/>
    <n v="51"/>
    <n v="0"/>
    <n v="0"/>
    <x v="2"/>
    <x v="0"/>
    <x v="1"/>
    <x v="1"/>
    <n v="93.58"/>
    <n v="35.200000000000003"/>
    <x v="2"/>
    <n v="0"/>
    <x v="1"/>
    <x v="0"/>
  </r>
  <r>
    <n v="40870"/>
    <x v="1"/>
    <n v="75"/>
    <n v="0"/>
    <n v="0"/>
    <x v="1"/>
    <x v="0"/>
    <x v="2"/>
    <x v="0"/>
    <n v="73.89"/>
    <n v="20.9"/>
    <x v="3"/>
    <n v="0"/>
    <x v="0"/>
    <x v="2"/>
  </r>
  <r>
    <n v="2218"/>
    <x v="0"/>
    <n v="42"/>
    <n v="0"/>
    <n v="0"/>
    <x v="2"/>
    <x v="0"/>
    <x v="0"/>
    <x v="1"/>
    <n v="107.83"/>
    <n v="35.299999999999997"/>
    <x v="2"/>
    <n v="0"/>
    <x v="1"/>
    <x v="0"/>
  </r>
  <r>
    <n v="57494"/>
    <x v="1"/>
    <n v="82"/>
    <n v="1"/>
    <n v="0"/>
    <x v="0"/>
    <x v="0"/>
    <x v="1"/>
    <x v="0"/>
    <n v="107.21"/>
    <n v="27"/>
    <x v="0"/>
    <n v="0"/>
    <x v="0"/>
    <x v="3"/>
  </r>
  <r>
    <n v="1534"/>
    <x v="1"/>
    <n v="61"/>
    <n v="0"/>
    <n v="0"/>
    <x v="1"/>
    <x v="0"/>
    <x v="0"/>
    <x v="1"/>
    <n v="99.35"/>
    <n v="26.1"/>
    <x v="2"/>
    <n v="0"/>
    <x v="0"/>
    <x v="3"/>
  </r>
  <r>
    <n v="69329"/>
    <x v="1"/>
    <n v="62"/>
    <n v="0"/>
    <n v="0"/>
    <x v="1"/>
    <x v="0"/>
    <x v="0"/>
    <x v="1"/>
    <n v="203.57"/>
    <n v="29.1"/>
    <x v="3"/>
    <n v="0"/>
    <x v="0"/>
    <x v="3"/>
  </r>
  <r>
    <n v="39852"/>
    <x v="0"/>
    <n v="59"/>
    <n v="1"/>
    <n v="1"/>
    <x v="2"/>
    <x v="0"/>
    <x v="2"/>
    <x v="1"/>
    <n v="81.510000000000005"/>
    <n v="32.6"/>
    <x v="1"/>
    <n v="0"/>
    <x v="1"/>
    <x v="0"/>
  </r>
  <r>
    <n v="65358"/>
    <x v="1"/>
    <n v="31"/>
    <n v="0"/>
    <n v="0"/>
    <x v="2"/>
    <x v="0"/>
    <x v="0"/>
    <x v="1"/>
    <n v="69.260000000000005"/>
    <n v="21.8"/>
    <x v="0"/>
    <n v="0"/>
    <x v="2"/>
    <x v="2"/>
  </r>
  <r>
    <n v="36488"/>
    <x v="0"/>
    <n v="12"/>
    <n v="0"/>
    <n v="0"/>
    <x v="2"/>
    <x v="1"/>
    <x v="3"/>
    <x v="0"/>
    <n v="111.47"/>
    <n v="32.299999999999997"/>
    <x v="1"/>
    <n v="0"/>
    <x v="2"/>
    <x v="0"/>
  </r>
  <r>
    <n v="55567"/>
    <x v="1"/>
    <n v="76"/>
    <n v="0"/>
    <n v="1"/>
    <x v="0"/>
    <x v="0"/>
    <x v="0"/>
    <x v="1"/>
    <n v="86.09"/>
    <n v="28.1"/>
    <x v="1"/>
    <n v="0"/>
    <x v="0"/>
    <x v="3"/>
  </r>
  <r>
    <n v="33562"/>
    <x v="0"/>
    <n v="71"/>
    <n v="0"/>
    <n v="1"/>
    <x v="0"/>
    <x v="0"/>
    <x v="2"/>
    <x v="1"/>
    <n v="72.94"/>
    <n v="32.299999999999997"/>
    <x v="0"/>
    <n v="0"/>
    <x v="0"/>
    <x v="0"/>
  </r>
  <r>
    <n v="20006"/>
    <x v="1"/>
    <n v="15"/>
    <n v="0"/>
    <n v="0"/>
    <x v="2"/>
    <x v="1"/>
    <x v="0"/>
    <x v="0"/>
    <n v="76.77"/>
    <n v="21.7"/>
    <x v="3"/>
    <n v="0"/>
    <x v="2"/>
    <x v="2"/>
  </r>
  <r>
    <n v="47696"/>
    <x v="0"/>
    <n v="44"/>
    <n v="0"/>
    <n v="0"/>
    <x v="2"/>
    <x v="0"/>
    <x v="0"/>
    <x v="1"/>
    <n v="60.32"/>
    <n v="25"/>
    <x v="1"/>
    <n v="0"/>
    <x v="1"/>
    <x v="3"/>
  </r>
  <r>
    <n v="60117"/>
    <x v="0"/>
    <n v="30"/>
    <n v="0"/>
    <n v="0"/>
    <x v="2"/>
    <x v="1"/>
    <x v="0"/>
    <x v="1"/>
    <n v="133.24"/>
    <n v="28.9"/>
    <x v="1"/>
    <n v="0"/>
    <x v="2"/>
    <x v="3"/>
  </r>
  <r>
    <n v="5032"/>
    <x v="1"/>
    <n v="47"/>
    <n v="0"/>
    <n v="0"/>
    <x v="2"/>
    <x v="0"/>
    <x v="0"/>
    <x v="1"/>
    <n v="65.010000000000005"/>
    <n v="21.7"/>
    <x v="0"/>
    <n v="0"/>
    <x v="1"/>
    <x v="2"/>
  </r>
  <r>
    <n v="5780"/>
    <x v="1"/>
    <n v="47"/>
    <n v="0"/>
    <n v="0"/>
    <x v="2"/>
    <x v="0"/>
    <x v="0"/>
    <x v="0"/>
    <n v="74.63"/>
    <n v="45.3"/>
    <x v="1"/>
    <n v="0"/>
    <x v="1"/>
    <x v="0"/>
  </r>
  <r>
    <n v="52236"/>
    <x v="1"/>
    <n v="60"/>
    <n v="0"/>
    <n v="0"/>
    <x v="1"/>
    <x v="0"/>
    <x v="0"/>
    <x v="1"/>
    <n v="230.78"/>
    <n v="40.200000000000003"/>
    <x v="1"/>
    <n v="0"/>
    <x v="0"/>
    <x v="0"/>
  </r>
  <r>
    <n v="59752"/>
    <x v="0"/>
    <n v="62"/>
    <n v="0"/>
    <n v="0"/>
    <x v="1"/>
    <x v="0"/>
    <x v="0"/>
    <x v="0"/>
    <n v="72.5"/>
    <n v="22.5"/>
    <x v="0"/>
    <n v="0"/>
    <x v="0"/>
    <x v="2"/>
  </r>
  <r>
    <n v="47005"/>
    <x v="1"/>
    <n v="47"/>
    <n v="0"/>
    <n v="0"/>
    <x v="2"/>
    <x v="0"/>
    <x v="0"/>
    <x v="0"/>
    <n v="68.48"/>
    <n v="21.3"/>
    <x v="1"/>
    <n v="0"/>
    <x v="1"/>
    <x v="2"/>
  </r>
  <r>
    <n v="4750"/>
    <x v="0"/>
    <n v="78"/>
    <n v="0"/>
    <n v="0"/>
    <x v="1"/>
    <x v="0"/>
    <x v="0"/>
    <x v="0"/>
    <n v="85.03"/>
    <n v="26.1"/>
    <x v="0"/>
    <n v="0"/>
    <x v="0"/>
    <x v="3"/>
  </r>
  <r>
    <n v="65127"/>
    <x v="1"/>
    <n v="35"/>
    <n v="0"/>
    <n v="0"/>
    <x v="2"/>
    <x v="0"/>
    <x v="0"/>
    <x v="0"/>
    <n v="80.760000000000005"/>
    <n v="28.8"/>
    <x v="2"/>
    <n v="0"/>
    <x v="2"/>
    <x v="3"/>
  </r>
  <r>
    <n v="4498"/>
    <x v="0"/>
    <n v="71"/>
    <n v="0"/>
    <n v="1"/>
    <x v="0"/>
    <x v="0"/>
    <x v="0"/>
    <x v="0"/>
    <n v="204.98"/>
    <s v="N/A"/>
    <x v="0"/>
    <n v="0"/>
    <x v="0"/>
    <x v="1"/>
  </r>
  <r>
    <n v="32203"/>
    <x v="1"/>
    <n v="57"/>
    <n v="0"/>
    <n v="0"/>
    <x v="2"/>
    <x v="0"/>
    <x v="1"/>
    <x v="1"/>
    <n v="95.36"/>
    <n v="32.4"/>
    <x v="0"/>
    <n v="0"/>
    <x v="1"/>
    <x v="0"/>
  </r>
  <r>
    <n v="27436"/>
    <x v="0"/>
    <n v="12"/>
    <n v="0"/>
    <n v="0"/>
    <x v="2"/>
    <x v="1"/>
    <x v="3"/>
    <x v="0"/>
    <n v="110.33"/>
    <n v="20.399999999999999"/>
    <x v="3"/>
    <n v="0"/>
    <x v="2"/>
    <x v="2"/>
  </r>
  <r>
    <n v="34999"/>
    <x v="0"/>
    <n v="26"/>
    <n v="0"/>
    <n v="0"/>
    <x v="2"/>
    <x v="0"/>
    <x v="0"/>
    <x v="0"/>
    <n v="89.18"/>
    <n v="25.9"/>
    <x v="0"/>
    <n v="0"/>
    <x v="2"/>
    <x v="3"/>
  </r>
  <r>
    <n v="4213"/>
    <x v="0"/>
    <n v="33"/>
    <n v="0"/>
    <n v="0"/>
    <x v="2"/>
    <x v="1"/>
    <x v="1"/>
    <x v="1"/>
    <n v="91.53"/>
    <n v="38.799999999999997"/>
    <x v="0"/>
    <n v="0"/>
    <x v="2"/>
    <x v="0"/>
  </r>
  <r>
    <n v="71669"/>
    <x v="0"/>
    <n v="60"/>
    <n v="0"/>
    <n v="0"/>
    <x v="1"/>
    <x v="0"/>
    <x v="0"/>
    <x v="1"/>
    <n v="65.16"/>
    <n v="30.8"/>
    <x v="1"/>
    <n v="0"/>
    <x v="0"/>
    <x v="0"/>
  </r>
  <r>
    <n v="36803"/>
    <x v="1"/>
    <n v="35"/>
    <n v="0"/>
    <n v="0"/>
    <x v="2"/>
    <x v="1"/>
    <x v="0"/>
    <x v="1"/>
    <n v="74.53"/>
    <n v="24.6"/>
    <x v="1"/>
    <n v="0"/>
    <x v="2"/>
    <x v="2"/>
  </r>
  <r>
    <n v="17725"/>
    <x v="1"/>
    <n v="10"/>
    <n v="0"/>
    <n v="0"/>
    <x v="2"/>
    <x v="1"/>
    <x v="3"/>
    <x v="1"/>
    <n v="93.29"/>
    <n v="20.6"/>
    <x v="3"/>
    <n v="0"/>
    <x v="2"/>
    <x v="2"/>
  </r>
  <r>
    <n v="57983"/>
    <x v="0"/>
    <n v="50"/>
    <n v="0"/>
    <n v="0"/>
    <x v="2"/>
    <x v="0"/>
    <x v="2"/>
    <x v="0"/>
    <n v="227.89"/>
    <n v="38.799999999999997"/>
    <x v="0"/>
    <n v="0"/>
    <x v="1"/>
    <x v="0"/>
  </r>
  <r>
    <n v="68089"/>
    <x v="1"/>
    <n v="44"/>
    <n v="0"/>
    <n v="0"/>
    <x v="2"/>
    <x v="0"/>
    <x v="0"/>
    <x v="0"/>
    <n v="121.46"/>
    <n v="40.4"/>
    <x v="3"/>
    <n v="0"/>
    <x v="1"/>
    <x v="0"/>
  </r>
  <r>
    <n v="3135"/>
    <x v="1"/>
    <n v="73"/>
    <n v="0"/>
    <n v="0"/>
    <x v="1"/>
    <x v="1"/>
    <x v="1"/>
    <x v="1"/>
    <n v="69.349999999999994"/>
    <s v="N/A"/>
    <x v="1"/>
    <n v="0"/>
    <x v="0"/>
    <x v="1"/>
  </r>
  <r>
    <n v="563"/>
    <x v="1"/>
    <n v="41"/>
    <n v="0"/>
    <n v="0"/>
    <x v="2"/>
    <x v="0"/>
    <x v="0"/>
    <x v="1"/>
    <n v="216.71"/>
    <n v="36.200000000000003"/>
    <x v="1"/>
    <n v="0"/>
    <x v="1"/>
    <x v="0"/>
  </r>
  <r>
    <n v="19364"/>
    <x v="1"/>
    <n v="7"/>
    <n v="0"/>
    <n v="0"/>
    <x v="2"/>
    <x v="1"/>
    <x v="3"/>
    <x v="1"/>
    <n v="74.959999999999994"/>
    <n v="18.8"/>
    <x v="3"/>
    <n v="0"/>
    <x v="2"/>
    <x v="2"/>
  </r>
  <r>
    <n v="34590"/>
    <x v="0"/>
    <n v="45"/>
    <n v="0"/>
    <n v="0"/>
    <x v="2"/>
    <x v="0"/>
    <x v="1"/>
    <x v="1"/>
    <n v="75.25"/>
    <n v="27.6"/>
    <x v="2"/>
    <n v="0"/>
    <x v="1"/>
    <x v="3"/>
  </r>
  <r>
    <n v="55459"/>
    <x v="1"/>
    <n v="60"/>
    <n v="0"/>
    <n v="0"/>
    <x v="1"/>
    <x v="1"/>
    <x v="0"/>
    <x v="1"/>
    <n v="91.82"/>
    <n v="28.3"/>
    <x v="0"/>
    <n v="0"/>
    <x v="0"/>
    <x v="3"/>
  </r>
  <r>
    <n v="38724"/>
    <x v="1"/>
    <n v="49"/>
    <n v="1"/>
    <n v="0"/>
    <x v="2"/>
    <x v="0"/>
    <x v="2"/>
    <x v="0"/>
    <n v="56.37"/>
    <n v="39.4"/>
    <x v="2"/>
    <n v="0"/>
    <x v="1"/>
    <x v="0"/>
  </r>
  <r>
    <n v="52968"/>
    <x v="1"/>
    <n v="45"/>
    <n v="0"/>
    <n v="0"/>
    <x v="2"/>
    <x v="0"/>
    <x v="1"/>
    <x v="1"/>
    <n v="149.15"/>
    <n v="33.5"/>
    <x v="3"/>
    <n v="0"/>
    <x v="1"/>
    <x v="0"/>
  </r>
  <r>
    <n v="35716"/>
    <x v="1"/>
    <n v="55"/>
    <n v="1"/>
    <n v="0"/>
    <x v="2"/>
    <x v="0"/>
    <x v="0"/>
    <x v="0"/>
    <n v="202.67"/>
    <n v="40.4"/>
    <x v="0"/>
    <n v="0"/>
    <x v="1"/>
    <x v="0"/>
  </r>
  <r>
    <n v="51421"/>
    <x v="1"/>
    <n v="54"/>
    <n v="0"/>
    <n v="0"/>
    <x v="2"/>
    <x v="0"/>
    <x v="0"/>
    <x v="1"/>
    <n v="65.38"/>
    <n v="25.9"/>
    <x v="3"/>
    <n v="0"/>
    <x v="1"/>
    <x v="3"/>
  </r>
  <r>
    <n v="72525"/>
    <x v="1"/>
    <n v="39"/>
    <n v="0"/>
    <n v="0"/>
    <x v="2"/>
    <x v="0"/>
    <x v="0"/>
    <x v="0"/>
    <n v="90.31"/>
    <n v="27.6"/>
    <x v="2"/>
    <n v="0"/>
    <x v="2"/>
    <x v="3"/>
  </r>
  <r>
    <n v="33009"/>
    <x v="0"/>
    <n v="76"/>
    <n v="0"/>
    <n v="0"/>
    <x v="1"/>
    <x v="0"/>
    <x v="1"/>
    <x v="1"/>
    <n v="221.8"/>
    <n v="44.7"/>
    <x v="0"/>
    <n v="0"/>
    <x v="0"/>
    <x v="0"/>
  </r>
  <r>
    <n v="35437"/>
    <x v="1"/>
    <n v="28"/>
    <n v="0"/>
    <n v="0"/>
    <x v="2"/>
    <x v="0"/>
    <x v="0"/>
    <x v="1"/>
    <n v="73.39"/>
    <n v="30.8"/>
    <x v="3"/>
    <n v="0"/>
    <x v="2"/>
    <x v="0"/>
  </r>
  <r>
    <n v="37253"/>
    <x v="1"/>
    <n v="70"/>
    <n v="1"/>
    <n v="0"/>
    <x v="0"/>
    <x v="0"/>
    <x v="0"/>
    <x v="0"/>
    <n v="147.12"/>
    <n v="22.3"/>
    <x v="0"/>
    <n v="0"/>
    <x v="0"/>
    <x v="2"/>
  </r>
  <r>
    <n v="46171"/>
    <x v="0"/>
    <n v="28"/>
    <n v="0"/>
    <n v="0"/>
    <x v="2"/>
    <x v="0"/>
    <x v="0"/>
    <x v="0"/>
    <n v="109.85"/>
    <n v="27.9"/>
    <x v="3"/>
    <n v="0"/>
    <x v="2"/>
    <x v="3"/>
  </r>
  <r>
    <n v="18143"/>
    <x v="0"/>
    <n v="79"/>
    <n v="0"/>
    <n v="0"/>
    <x v="1"/>
    <x v="0"/>
    <x v="1"/>
    <x v="1"/>
    <n v="103.21"/>
    <n v="22.9"/>
    <x v="0"/>
    <n v="0"/>
    <x v="0"/>
    <x v="2"/>
  </r>
  <r>
    <n v="35330"/>
    <x v="0"/>
    <n v="30"/>
    <n v="0"/>
    <n v="0"/>
    <x v="2"/>
    <x v="0"/>
    <x v="0"/>
    <x v="0"/>
    <n v="81.25"/>
    <n v="27.3"/>
    <x v="2"/>
    <n v="0"/>
    <x v="2"/>
    <x v="3"/>
  </r>
  <r>
    <n v="32127"/>
    <x v="1"/>
    <n v="26"/>
    <n v="0"/>
    <n v="0"/>
    <x v="2"/>
    <x v="0"/>
    <x v="2"/>
    <x v="0"/>
    <n v="84.69"/>
    <n v="25"/>
    <x v="1"/>
    <n v="0"/>
    <x v="2"/>
    <x v="3"/>
  </r>
  <r>
    <n v="69834"/>
    <x v="1"/>
    <n v="57"/>
    <n v="0"/>
    <n v="0"/>
    <x v="2"/>
    <x v="0"/>
    <x v="2"/>
    <x v="1"/>
    <n v="87.1"/>
    <n v="48.3"/>
    <x v="2"/>
    <n v="0"/>
    <x v="1"/>
    <x v="0"/>
  </r>
  <r>
    <n v="56311"/>
    <x v="1"/>
    <n v="16"/>
    <n v="0"/>
    <n v="0"/>
    <x v="2"/>
    <x v="1"/>
    <x v="0"/>
    <x v="1"/>
    <n v="81.92"/>
    <n v="22.7"/>
    <x v="3"/>
    <n v="0"/>
    <x v="2"/>
    <x v="2"/>
  </r>
  <r>
    <n v="13439"/>
    <x v="0"/>
    <n v="40"/>
    <n v="1"/>
    <n v="0"/>
    <x v="2"/>
    <x v="0"/>
    <x v="0"/>
    <x v="0"/>
    <n v="90.91"/>
    <n v="39.1"/>
    <x v="3"/>
    <n v="0"/>
    <x v="1"/>
    <x v="0"/>
  </r>
  <r>
    <n v="36366"/>
    <x v="0"/>
    <n v="77"/>
    <n v="0"/>
    <n v="0"/>
    <x v="1"/>
    <x v="0"/>
    <x v="2"/>
    <x v="0"/>
    <n v="64.400000000000006"/>
    <n v="27.8"/>
    <x v="1"/>
    <n v="0"/>
    <x v="0"/>
    <x v="3"/>
  </r>
  <r>
    <n v="13111"/>
    <x v="1"/>
    <n v="67"/>
    <n v="1"/>
    <n v="0"/>
    <x v="0"/>
    <x v="0"/>
    <x v="0"/>
    <x v="1"/>
    <n v="85.48"/>
    <s v="N/A"/>
    <x v="2"/>
    <n v="0"/>
    <x v="0"/>
    <x v="1"/>
  </r>
  <r>
    <n v="28932"/>
    <x v="1"/>
    <n v="36"/>
    <n v="0"/>
    <n v="0"/>
    <x v="2"/>
    <x v="0"/>
    <x v="0"/>
    <x v="1"/>
    <n v="67.290000000000006"/>
    <n v="36.700000000000003"/>
    <x v="0"/>
    <n v="0"/>
    <x v="2"/>
    <x v="0"/>
  </r>
  <r>
    <n v="67521"/>
    <x v="1"/>
    <n v="40"/>
    <n v="1"/>
    <n v="0"/>
    <x v="2"/>
    <x v="0"/>
    <x v="0"/>
    <x v="0"/>
    <n v="124.48"/>
    <n v="38.5"/>
    <x v="3"/>
    <n v="0"/>
    <x v="1"/>
    <x v="0"/>
  </r>
  <r>
    <n v="65688"/>
    <x v="0"/>
    <n v="2"/>
    <n v="0"/>
    <n v="1"/>
    <x v="2"/>
    <x v="1"/>
    <x v="3"/>
    <x v="0"/>
    <n v="62.89"/>
    <n v="29.4"/>
    <x v="3"/>
    <n v="0"/>
    <x v="2"/>
    <x v="3"/>
  </r>
  <r>
    <n v="58761"/>
    <x v="0"/>
    <n v="52"/>
    <n v="0"/>
    <n v="0"/>
    <x v="2"/>
    <x v="0"/>
    <x v="0"/>
    <x v="0"/>
    <n v="87.51"/>
    <n v="30.5"/>
    <x v="0"/>
    <n v="0"/>
    <x v="1"/>
    <x v="0"/>
  </r>
  <r>
    <n v="21192"/>
    <x v="1"/>
    <n v="78"/>
    <n v="0"/>
    <n v="0"/>
    <x v="1"/>
    <x v="0"/>
    <x v="0"/>
    <x v="0"/>
    <n v="93.15"/>
    <n v="23.6"/>
    <x v="3"/>
    <n v="0"/>
    <x v="0"/>
    <x v="2"/>
  </r>
  <r>
    <n v="72348"/>
    <x v="1"/>
    <n v="22"/>
    <n v="0"/>
    <n v="0"/>
    <x v="2"/>
    <x v="1"/>
    <x v="0"/>
    <x v="0"/>
    <n v="64.87"/>
    <n v="20.6"/>
    <x v="3"/>
    <n v="0"/>
    <x v="2"/>
    <x v="2"/>
  </r>
  <r>
    <n v="1825"/>
    <x v="0"/>
    <n v="33"/>
    <n v="0"/>
    <n v="0"/>
    <x v="2"/>
    <x v="0"/>
    <x v="1"/>
    <x v="0"/>
    <n v="90.68"/>
    <n v="31.7"/>
    <x v="2"/>
    <n v="0"/>
    <x v="2"/>
    <x v="0"/>
  </r>
  <r>
    <n v="25674"/>
    <x v="0"/>
    <n v="40"/>
    <n v="0"/>
    <n v="0"/>
    <x v="2"/>
    <x v="0"/>
    <x v="0"/>
    <x v="0"/>
    <n v="104.64"/>
    <n v="24.9"/>
    <x v="3"/>
    <n v="0"/>
    <x v="1"/>
    <x v="2"/>
  </r>
  <r>
    <n v="33035"/>
    <x v="1"/>
    <n v="20"/>
    <n v="0"/>
    <n v="0"/>
    <x v="2"/>
    <x v="1"/>
    <x v="0"/>
    <x v="0"/>
    <n v="92.44"/>
    <n v="33.4"/>
    <x v="1"/>
    <n v="0"/>
    <x v="2"/>
    <x v="0"/>
  </r>
  <r>
    <n v="54297"/>
    <x v="0"/>
    <n v="19"/>
    <n v="0"/>
    <n v="0"/>
    <x v="2"/>
    <x v="1"/>
    <x v="0"/>
    <x v="1"/>
    <n v="120.46"/>
    <n v="22.2"/>
    <x v="3"/>
    <n v="0"/>
    <x v="2"/>
    <x v="2"/>
  </r>
  <r>
    <n v="9122"/>
    <x v="0"/>
    <n v="25"/>
    <n v="0"/>
    <n v="0"/>
    <x v="2"/>
    <x v="0"/>
    <x v="0"/>
    <x v="0"/>
    <n v="89.87"/>
    <n v="26.5"/>
    <x v="1"/>
    <n v="0"/>
    <x v="2"/>
    <x v="3"/>
  </r>
  <r>
    <n v="1218"/>
    <x v="1"/>
    <n v="23"/>
    <n v="0"/>
    <n v="0"/>
    <x v="2"/>
    <x v="1"/>
    <x v="0"/>
    <x v="0"/>
    <n v="105.28"/>
    <n v="27.1"/>
    <x v="0"/>
    <n v="0"/>
    <x v="2"/>
    <x v="3"/>
  </r>
  <r>
    <n v="57210"/>
    <x v="1"/>
    <n v="28"/>
    <n v="0"/>
    <n v="0"/>
    <x v="2"/>
    <x v="0"/>
    <x v="0"/>
    <x v="1"/>
    <n v="131.80000000000001"/>
    <n v="30.3"/>
    <x v="1"/>
    <n v="0"/>
    <x v="2"/>
    <x v="0"/>
  </r>
  <r>
    <n v="37096"/>
    <x v="1"/>
    <n v="6"/>
    <n v="0"/>
    <n v="0"/>
    <x v="2"/>
    <x v="1"/>
    <x v="3"/>
    <x v="1"/>
    <n v="66.33"/>
    <n v="18.600000000000001"/>
    <x v="3"/>
    <n v="0"/>
    <x v="2"/>
    <x v="2"/>
  </r>
  <r>
    <n v="38243"/>
    <x v="1"/>
    <n v="37"/>
    <n v="0"/>
    <n v="0"/>
    <x v="2"/>
    <x v="0"/>
    <x v="0"/>
    <x v="1"/>
    <n v="101.07"/>
    <n v="26.4"/>
    <x v="3"/>
    <n v="0"/>
    <x v="2"/>
    <x v="3"/>
  </r>
  <r>
    <n v="17198"/>
    <x v="1"/>
    <n v="10"/>
    <n v="0"/>
    <n v="0"/>
    <x v="2"/>
    <x v="1"/>
    <x v="3"/>
    <x v="1"/>
    <n v="83.37"/>
    <n v="17.8"/>
    <x v="0"/>
    <n v="0"/>
    <x v="2"/>
    <x v="4"/>
  </r>
  <r>
    <n v="70884"/>
    <x v="1"/>
    <n v="34"/>
    <n v="0"/>
    <n v="0"/>
    <x v="2"/>
    <x v="0"/>
    <x v="0"/>
    <x v="0"/>
    <n v="79.8"/>
    <n v="37.4"/>
    <x v="2"/>
    <n v="0"/>
    <x v="2"/>
    <x v="0"/>
  </r>
  <r>
    <n v="51809"/>
    <x v="1"/>
    <n v="60"/>
    <n v="0"/>
    <n v="0"/>
    <x v="1"/>
    <x v="0"/>
    <x v="1"/>
    <x v="1"/>
    <n v="103.17"/>
    <n v="32.1"/>
    <x v="0"/>
    <n v="0"/>
    <x v="0"/>
    <x v="0"/>
  </r>
  <r>
    <n v="40602"/>
    <x v="1"/>
    <n v="22"/>
    <n v="0"/>
    <n v="0"/>
    <x v="2"/>
    <x v="1"/>
    <x v="0"/>
    <x v="0"/>
    <n v="62.52"/>
    <n v="38.200000000000003"/>
    <x v="1"/>
    <n v="0"/>
    <x v="2"/>
    <x v="0"/>
  </r>
  <r>
    <n v="65116"/>
    <x v="1"/>
    <n v="62"/>
    <n v="1"/>
    <n v="0"/>
    <x v="0"/>
    <x v="0"/>
    <x v="1"/>
    <x v="0"/>
    <n v="75.78"/>
    <s v="N/A"/>
    <x v="2"/>
    <n v="0"/>
    <x v="0"/>
    <x v="1"/>
  </r>
  <r>
    <n v="70455"/>
    <x v="1"/>
    <n v="52"/>
    <n v="0"/>
    <n v="0"/>
    <x v="2"/>
    <x v="0"/>
    <x v="2"/>
    <x v="0"/>
    <n v="110.36"/>
    <n v="39.1"/>
    <x v="0"/>
    <n v="0"/>
    <x v="1"/>
    <x v="0"/>
  </r>
  <r>
    <n v="41618"/>
    <x v="0"/>
    <n v="61"/>
    <n v="0"/>
    <n v="0"/>
    <x v="1"/>
    <x v="1"/>
    <x v="0"/>
    <x v="1"/>
    <n v="140.07"/>
    <n v="29.5"/>
    <x v="1"/>
    <n v="0"/>
    <x v="0"/>
    <x v="3"/>
  </r>
  <r>
    <n v="21209"/>
    <x v="1"/>
    <n v="10"/>
    <n v="0"/>
    <n v="0"/>
    <x v="2"/>
    <x v="1"/>
    <x v="3"/>
    <x v="1"/>
    <n v="84.86"/>
    <n v="28.6"/>
    <x v="1"/>
    <n v="0"/>
    <x v="2"/>
    <x v="3"/>
  </r>
  <r>
    <n v="26103"/>
    <x v="0"/>
    <n v="36"/>
    <n v="0"/>
    <n v="0"/>
    <x v="2"/>
    <x v="0"/>
    <x v="0"/>
    <x v="1"/>
    <n v="106.85"/>
    <n v="40.1"/>
    <x v="1"/>
    <n v="0"/>
    <x v="2"/>
    <x v="0"/>
  </r>
  <r>
    <n v="10436"/>
    <x v="1"/>
    <n v="29"/>
    <n v="0"/>
    <n v="0"/>
    <x v="2"/>
    <x v="0"/>
    <x v="0"/>
    <x v="1"/>
    <n v="102.07"/>
    <n v="31.8"/>
    <x v="1"/>
    <n v="0"/>
    <x v="2"/>
    <x v="0"/>
  </r>
  <r>
    <n v="16550"/>
    <x v="1"/>
    <n v="69"/>
    <n v="0"/>
    <n v="1"/>
    <x v="0"/>
    <x v="1"/>
    <x v="2"/>
    <x v="0"/>
    <n v="202.38"/>
    <n v="34.6"/>
    <x v="3"/>
    <n v="0"/>
    <x v="0"/>
    <x v="0"/>
  </r>
  <r>
    <n v="17697"/>
    <x v="1"/>
    <n v="62"/>
    <n v="0"/>
    <n v="0"/>
    <x v="1"/>
    <x v="0"/>
    <x v="2"/>
    <x v="0"/>
    <n v="67.069999999999993"/>
    <n v="24.5"/>
    <x v="1"/>
    <n v="0"/>
    <x v="0"/>
    <x v="2"/>
  </r>
  <r>
    <n v="10744"/>
    <x v="0"/>
    <n v="62"/>
    <n v="0"/>
    <n v="1"/>
    <x v="0"/>
    <x v="0"/>
    <x v="2"/>
    <x v="1"/>
    <n v="73.7"/>
    <n v="26.2"/>
    <x v="1"/>
    <n v="0"/>
    <x v="0"/>
    <x v="3"/>
  </r>
  <r>
    <n v="7799"/>
    <x v="1"/>
    <n v="79"/>
    <n v="0"/>
    <n v="0"/>
    <x v="1"/>
    <x v="1"/>
    <x v="1"/>
    <x v="0"/>
    <n v="77.59"/>
    <n v="33"/>
    <x v="1"/>
    <n v="0"/>
    <x v="0"/>
    <x v="0"/>
  </r>
  <r>
    <n v="57183"/>
    <x v="0"/>
    <n v="13"/>
    <n v="0"/>
    <n v="0"/>
    <x v="2"/>
    <x v="1"/>
    <x v="3"/>
    <x v="1"/>
    <n v="69.16"/>
    <n v="22.3"/>
    <x v="3"/>
    <n v="0"/>
    <x v="2"/>
    <x v="2"/>
  </r>
  <r>
    <n v="121"/>
    <x v="1"/>
    <n v="38"/>
    <n v="0"/>
    <n v="0"/>
    <x v="2"/>
    <x v="0"/>
    <x v="0"/>
    <x v="0"/>
    <n v="91.44"/>
    <s v="N/A"/>
    <x v="3"/>
    <n v="0"/>
    <x v="2"/>
    <x v="1"/>
  </r>
  <r>
    <n v="32604"/>
    <x v="0"/>
    <n v="49"/>
    <n v="0"/>
    <n v="0"/>
    <x v="2"/>
    <x v="0"/>
    <x v="1"/>
    <x v="1"/>
    <n v="215.81"/>
    <n v="58.1"/>
    <x v="1"/>
    <n v="0"/>
    <x v="1"/>
    <x v="0"/>
  </r>
  <r>
    <n v="49883"/>
    <x v="1"/>
    <n v="41"/>
    <n v="0"/>
    <n v="0"/>
    <x v="2"/>
    <x v="0"/>
    <x v="0"/>
    <x v="1"/>
    <n v="65.400000000000006"/>
    <n v="36.9"/>
    <x v="0"/>
    <n v="0"/>
    <x v="1"/>
    <x v="0"/>
  </r>
  <r>
    <n v="68242"/>
    <x v="0"/>
    <n v="56"/>
    <n v="0"/>
    <n v="0"/>
    <x v="2"/>
    <x v="0"/>
    <x v="0"/>
    <x v="0"/>
    <n v="139.72"/>
    <n v="43.9"/>
    <x v="1"/>
    <n v="0"/>
    <x v="1"/>
    <x v="0"/>
  </r>
  <r>
    <n v="33726"/>
    <x v="1"/>
    <n v="8"/>
    <n v="0"/>
    <n v="0"/>
    <x v="2"/>
    <x v="1"/>
    <x v="3"/>
    <x v="0"/>
    <n v="72.81"/>
    <n v="18.2"/>
    <x v="3"/>
    <n v="0"/>
    <x v="2"/>
    <x v="4"/>
  </r>
  <r>
    <n v="56255"/>
    <x v="1"/>
    <n v="24"/>
    <n v="0"/>
    <n v="0"/>
    <x v="2"/>
    <x v="1"/>
    <x v="0"/>
    <x v="0"/>
    <n v="149.16999999999999"/>
    <n v="23.1"/>
    <x v="1"/>
    <n v="0"/>
    <x v="2"/>
    <x v="2"/>
  </r>
  <r>
    <n v="46455"/>
    <x v="1"/>
    <n v="61"/>
    <n v="0"/>
    <n v="0"/>
    <x v="1"/>
    <x v="0"/>
    <x v="0"/>
    <x v="0"/>
    <n v="125.74"/>
    <n v="32.6"/>
    <x v="3"/>
    <n v="0"/>
    <x v="0"/>
    <x v="0"/>
  </r>
  <r>
    <n v="13270"/>
    <x v="1"/>
    <n v="40"/>
    <n v="0"/>
    <n v="0"/>
    <x v="2"/>
    <x v="1"/>
    <x v="2"/>
    <x v="0"/>
    <n v="90.21"/>
    <n v="41.2"/>
    <x v="1"/>
    <n v="0"/>
    <x v="1"/>
    <x v="0"/>
  </r>
  <r>
    <n v="38067"/>
    <x v="1"/>
    <n v="22"/>
    <n v="0"/>
    <n v="0"/>
    <x v="2"/>
    <x v="1"/>
    <x v="0"/>
    <x v="0"/>
    <n v="139.47999999999999"/>
    <n v="28.6"/>
    <x v="0"/>
    <n v="0"/>
    <x v="2"/>
    <x v="3"/>
  </r>
  <r>
    <n v="9160"/>
    <x v="1"/>
    <n v="80"/>
    <n v="1"/>
    <n v="0"/>
    <x v="0"/>
    <x v="0"/>
    <x v="0"/>
    <x v="0"/>
    <n v="90.77"/>
    <n v="26"/>
    <x v="1"/>
    <n v="0"/>
    <x v="0"/>
    <x v="3"/>
  </r>
  <r>
    <n v="52843"/>
    <x v="1"/>
    <n v="60"/>
    <n v="1"/>
    <n v="1"/>
    <x v="0"/>
    <x v="0"/>
    <x v="0"/>
    <x v="0"/>
    <n v="220.24"/>
    <n v="36.799999999999997"/>
    <x v="1"/>
    <n v="0"/>
    <x v="0"/>
    <x v="0"/>
  </r>
  <r>
    <n v="67343"/>
    <x v="1"/>
    <n v="57"/>
    <n v="0"/>
    <n v="0"/>
    <x v="2"/>
    <x v="0"/>
    <x v="0"/>
    <x v="1"/>
    <n v="81.42"/>
    <n v="35.799999999999997"/>
    <x v="1"/>
    <n v="0"/>
    <x v="1"/>
    <x v="0"/>
  </r>
  <r>
    <n v="50805"/>
    <x v="1"/>
    <n v="55"/>
    <n v="0"/>
    <n v="0"/>
    <x v="2"/>
    <x v="0"/>
    <x v="0"/>
    <x v="0"/>
    <n v="102.36"/>
    <n v="24.2"/>
    <x v="1"/>
    <n v="0"/>
    <x v="1"/>
    <x v="2"/>
  </r>
  <r>
    <n v="10826"/>
    <x v="1"/>
    <n v="39"/>
    <n v="0"/>
    <n v="0"/>
    <x v="2"/>
    <x v="0"/>
    <x v="1"/>
    <x v="0"/>
    <n v="82.85"/>
    <n v="22.9"/>
    <x v="2"/>
    <n v="0"/>
    <x v="2"/>
    <x v="2"/>
  </r>
  <r>
    <n v="60358"/>
    <x v="1"/>
    <n v="51"/>
    <n v="0"/>
    <n v="0"/>
    <x v="2"/>
    <x v="0"/>
    <x v="0"/>
    <x v="0"/>
    <n v="102.11"/>
    <n v="23.1"/>
    <x v="1"/>
    <n v="0"/>
    <x v="1"/>
    <x v="2"/>
  </r>
  <r>
    <n v="72231"/>
    <x v="1"/>
    <n v="47"/>
    <n v="0"/>
    <n v="0"/>
    <x v="2"/>
    <x v="0"/>
    <x v="1"/>
    <x v="1"/>
    <n v="195.61"/>
    <s v="N/A"/>
    <x v="1"/>
    <n v="0"/>
    <x v="1"/>
    <x v="1"/>
  </r>
  <r>
    <n v="58586"/>
    <x v="0"/>
    <n v="77"/>
    <n v="1"/>
    <n v="1"/>
    <x v="0"/>
    <x v="0"/>
    <x v="1"/>
    <x v="0"/>
    <n v="80.92"/>
    <n v="28.9"/>
    <x v="2"/>
    <n v="0"/>
    <x v="0"/>
    <x v="3"/>
  </r>
  <r>
    <n v="50499"/>
    <x v="1"/>
    <n v="32"/>
    <n v="0"/>
    <n v="0"/>
    <x v="2"/>
    <x v="0"/>
    <x v="0"/>
    <x v="1"/>
    <n v="71.8"/>
    <n v="26.5"/>
    <x v="1"/>
    <n v="0"/>
    <x v="2"/>
    <x v="3"/>
  </r>
  <r>
    <n v="18986"/>
    <x v="1"/>
    <n v="45"/>
    <n v="0"/>
    <n v="0"/>
    <x v="2"/>
    <x v="1"/>
    <x v="1"/>
    <x v="0"/>
    <n v="88.47"/>
    <n v="29.3"/>
    <x v="1"/>
    <n v="0"/>
    <x v="1"/>
    <x v="3"/>
  </r>
  <r>
    <n v="51177"/>
    <x v="1"/>
    <n v="49"/>
    <n v="0"/>
    <n v="0"/>
    <x v="2"/>
    <x v="0"/>
    <x v="0"/>
    <x v="0"/>
    <n v="67.680000000000007"/>
    <n v="24.8"/>
    <x v="0"/>
    <n v="0"/>
    <x v="1"/>
    <x v="2"/>
  </r>
  <r>
    <n v="575"/>
    <x v="0"/>
    <n v="13"/>
    <n v="0"/>
    <n v="0"/>
    <x v="2"/>
    <x v="1"/>
    <x v="3"/>
    <x v="1"/>
    <n v="98.65"/>
    <n v="20.100000000000001"/>
    <x v="3"/>
    <n v="0"/>
    <x v="2"/>
    <x v="2"/>
  </r>
  <r>
    <n v="47321"/>
    <x v="1"/>
    <n v="74"/>
    <n v="0"/>
    <n v="0"/>
    <x v="1"/>
    <x v="0"/>
    <x v="0"/>
    <x v="1"/>
    <n v="83.58"/>
    <n v="18.2"/>
    <x v="1"/>
    <n v="0"/>
    <x v="0"/>
    <x v="4"/>
  </r>
  <r>
    <n v="7754"/>
    <x v="1"/>
    <n v="72"/>
    <n v="0"/>
    <n v="0"/>
    <x v="1"/>
    <x v="0"/>
    <x v="1"/>
    <x v="1"/>
    <n v="104.04"/>
    <n v="34.700000000000003"/>
    <x v="0"/>
    <n v="0"/>
    <x v="0"/>
    <x v="0"/>
  </r>
  <r>
    <n v="66270"/>
    <x v="1"/>
    <n v="57"/>
    <n v="0"/>
    <n v="0"/>
    <x v="2"/>
    <x v="0"/>
    <x v="0"/>
    <x v="1"/>
    <n v="69.400000000000006"/>
    <n v="24"/>
    <x v="3"/>
    <n v="0"/>
    <x v="1"/>
    <x v="2"/>
  </r>
  <r>
    <n v="2814"/>
    <x v="0"/>
    <n v="51"/>
    <n v="1"/>
    <n v="0"/>
    <x v="2"/>
    <x v="1"/>
    <x v="2"/>
    <x v="0"/>
    <n v="106.22"/>
    <n v="29"/>
    <x v="1"/>
    <n v="0"/>
    <x v="1"/>
    <x v="3"/>
  </r>
  <r>
    <n v="52847"/>
    <x v="1"/>
    <n v="55"/>
    <n v="0"/>
    <n v="0"/>
    <x v="2"/>
    <x v="0"/>
    <x v="0"/>
    <x v="1"/>
    <n v="112.46"/>
    <n v="27.3"/>
    <x v="1"/>
    <n v="0"/>
    <x v="1"/>
    <x v="3"/>
  </r>
  <r>
    <n v="60235"/>
    <x v="0"/>
    <n v="73"/>
    <n v="0"/>
    <n v="1"/>
    <x v="0"/>
    <x v="0"/>
    <x v="0"/>
    <x v="1"/>
    <n v="72.42"/>
    <n v="27.6"/>
    <x v="1"/>
    <n v="0"/>
    <x v="0"/>
    <x v="3"/>
  </r>
  <r>
    <n v="10981"/>
    <x v="0"/>
    <n v="12"/>
    <n v="0"/>
    <n v="0"/>
    <x v="2"/>
    <x v="1"/>
    <x v="3"/>
    <x v="1"/>
    <n v="96.73"/>
    <n v="20.399999999999999"/>
    <x v="1"/>
    <n v="0"/>
    <x v="2"/>
    <x v="2"/>
  </r>
  <r>
    <n v="62833"/>
    <x v="1"/>
    <n v="6"/>
    <n v="0"/>
    <n v="0"/>
    <x v="2"/>
    <x v="1"/>
    <x v="3"/>
    <x v="0"/>
    <n v="107.4"/>
    <n v="17.7"/>
    <x v="3"/>
    <n v="0"/>
    <x v="2"/>
    <x v="4"/>
  </r>
  <r>
    <n v="26267"/>
    <x v="1"/>
    <n v="76"/>
    <n v="0"/>
    <n v="0"/>
    <x v="1"/>
    <x v="0"/>
    <x v="1"/>
    <x v="0"/>
    <n v="267.61"/>
    <n v="27.9"/>
    <x v="2"/>
    <n v="0"/>
    <x v="0"/>
    <x v="3"/>
  </r>
  <r>
    <n v="69918"/>
    <x v="1"/>
    <n v="38"/>
    <n v="1"/>
    <n v="0"/>
    <x v="2"/>
    <x v="0"/>
    <x v="0"/>
    <x v="1"/>
    <n v="109.46"/>
    <n v="41.5"/>
    <x v="1"/>
    <n v="0"/>
    <x v="2"/>
    <x v="0"/>
  </r>
  <r>
    <n v="44927"/>
    <x v="1"/>
    <n v="50"/>
    <n v="0"/>
    <n v="0"/>
    <x v="2"/>
    <x v="0"/>
    <x v="2"/>
    <x v="1"/>
    <n v="120.05"/>
    <n v="27.4"/>
    <x v="3"/>
    <n v="0"/>
    <x v="1"/>
    <x v="3"/>
  </r>
  <r>
    <n v="20169"/>
    <x v="1"/>
    <n v="75"/>
    <n v="0"/>
    <n v="0"/>
    <x v="1"/>
    <x v="0"/>
    <x v="0"/>
    <x v="1"/>
    <n v="106.33"/>
    <n v="27.8"/>
    <x v="3"/>
    <n v="0"/>
    <x v="0"/>
    <x v="3"/>
  </r>
  <r>
    <n v="31481"/>
    <x v="1"/>
    <n v="1.1599999999999999"/>
    <n v="0"/>
    <n v="0"/>
    <x v="2"/>
    <x v="1"/>
    <x v="3"/>
    <x v="0"/>
    <n v="97.28"/>
    <n v="17.8"/>
    <x v="3"/>
    <n v="0"/>
    <x v="2"/>
    <x v="4"/>
  </r>
  <r>
    <n v="27721"/>
    <x v="0"/>
    <n v="32"/>
    <n v="0"/>
    <n v="0"/>
    <x v="2"/>
    <x v="0"/>
    <x v="0"/>
    <x v="1"/>
    <n v="83.13"/>
    <n v="32"/>
    <x v="2"/>
    <n v="0"/>
    <x v="2"/>
    <x v="0"/>
  </r>
  <r>
    <n v="71419"/>
    <x v="0"/>
    <n v="12"/>
    <n v="0"/>
    <n v="0"/>
    <x v="2"/>
    <x v="1"/>
    <x v="3"/>
    <x v="0"/>
    <n v="97.35"/>
    <n v="37.299999999999997"/>
    <x v="3"/>
    <n v="0"/>
    <x v="2"/>
    <x v="0"/>
  </r>
  <r>
    <n v="25642"/>
    <x v="0"/>
    <n v="32"/>
    <n v="0"/>
    <n v="0"/>
    <x v="2"/>
    <x v="1"/>
    <x v="0"/>
    <x v="0"/>
    <n v="79.540000000000006"/>
    <n v="28.1"/>
    <x v="3"/>
    <n v="0"/>
    <x v="2"/>
    <x v="3"/>
  </r>
  <r>
    <n v="31932"/>
    <x v="1"/>
    <n v="13"/>
    <n v="0"/>
    <n v="0"/>
    <x v="2"/>
    <x v="1"/>
    <x v="3"/>
    <x v="0"/>
    <n v="76.55"/>
    <n v="29.1"/>
    <x v="3"/>
    <n v="0"/>
    <x v="2"/>
    <x v="3"/>
  </r>
  <r>
    <n v="13629"/>
    <x v="0"/>
    <n v="1.32"/>
    <n v="0"/>
    <n v="0"/>
    <x v="2"/>
    <x v="1"/>
    <x v="3"/>
    <x v="0"/>
    <n v="56.11"/>
    <n v="22.9"/>
    <x v="3"/>
    <n v="0"/>
    <x v="2"/>
    <x v="2"/>
  </r>
  <r>
    <n v="38258"/>
    <x v="1"/>
    <n v="63"/>
    <n v="0"/>
    <n v="0"/>
    <x v="1"/>
    <x v="0"/>
    <x v="0"/>
    <x v="1"/>
    <n v="91.36"/>
    <n v="38.799999999999997"/>
    <x v="0"/>
    <n v="0"/>
    <x v="0"/>
    <x v="0"/>
  </r>
  <r>
    <n v="70602"/>
    <x v="1"/>
    <n v="29"/>
    <n v="0"/>
    <n v="0"/>
    <x v="2"/>
    <x v="1"/>
    <x v="0"/>
    <x v="1"/>
    <n v="79.27"/>
    <n v="29"/>
    <x v="2"/>
    <n v="0"/>
    <x v="2"/>
    <x v="3"/>
  </r>
  <r>
    <n v="60056"/>
    <x v="0"/>
    <n v="53"/>
    <n v="0"/>
    <n v="0"/>
    <x v="2"/>
    <x v="0"/>
    <x v="0"/>
    <x v="0"/>
    <n v="113.21"/>
    <n v="28.6"/>
    <x v="2"/>
    <n v="0"/>
    <x v="1"/>
    <x v="3"/>
  </r>
  <r>
    <n v="31156"/>
    <x v="1"/>
    <n v="49"/>
    <n v="0"/>
    <n v="0"/>
    <x v="2"/>
    <x v="0"/>
    <x v="0"/>
    <x v="0"/>
    <n v="105.99"/>
    <n v="29.8"/>
    <x v="1"/>
    <n v="0"/>
    <x v="1"/>
    <x v="3"/>
  </r>
  <r>
    <n v="69643"/>
    <x v="0"/>
    <n v="81"/>
    <n v="0"/>
    <n v="0"/>
    <x v="1"/>
    <x v="0"/>
    <x v="0"/>
    <x v="1"/>
    <n v="59.93"/>
    <n v="28.9"/>
    <x v="0"/>
    <n v="0"/>
    <x v="0"/>
    <x v="3"/>
  </r>
  <r>
    <n v="23171"/>
    <x v="0"/>
    <n v="66"/>
    <n v="0"/>
    <n v="0"/>
    <x v="1"/>
    <x v="0"/>
    <x v="0"/>
    <x v="1"/>
    <n v="88.83"/>
    <n v="29.1"/>
    <x v="3"/>
    <n v="0"/>
    <x v="0"/>
    <x v="3"/>
  </r>
  <r>
    <n v="42309"/>
    <x v="1"/>
    <n v="42"/>
    <n v="0"/>
    <n v="0"/>
    <x v="2"/>
    <x v="0"/>
    <x v="0"/>
    <x v="0"/>
    <n v="73.37"/>
    <s v="N/A"/>
    <x v="2"/>
    <n v="0"/>
    <x v="1"/>
    <x v="1"/>
  </r>
  <r>
    <n v="2877"/>
    <x v="1"/>
    <n v="61"/>
    <n v="0"/>
    <n v="0"/>
    <x v="1"/>
    <x v="0"/>
    <x v="0"/>
    <x v="0"/>
    <n v="115.42"/>
    <n v="16.7"/>
    <x v="2"/>
    <n v="0"/>
    <x v="0"/>
    <x v="4"/>
  </r>
  <r>
    <n v="37011"/>
    <x v="1"/>
    <n v="52"/>
    <n v="0"/>
    <n v="0"/>
    <x v="2"/>
    <x v="0"/>
    <x v="0"/>
    <x v="1"/>
    <n v="71.930000000000007"/>
    <n v="34.1"/>
    <x v="3"/>
    <n v="0"/>
    <x v="1"/>
    <x v="0"/>
  </r>
  <r>
    <n v="355"/>
    <x v="0"/>
    <n v="8"/>
    <n v="0"/>
    <n v="0"/>
    <x v="2"/>
    <x v="1"/>
    <x v="3"/>
    <x v="1"/>
    <n v="96.43"/>
    <n v="25.7"/>
    <x v="3"/>
    <n v="0"/>
    <x v="2"/>
    <x v="3"/>
  </r>
  <r>
    <n v="53252"/>
    <x v="0"/>
    <n v="82"/>
    <n v="0"/>
    <n v="0"/>
    <x v="1"/>
    <x v="1"/>
    <x v="1"/>
    <x v="0"/>
    <n v="161.94999999999999"/>
    <n v="30.8"/>
    <x v="1"/>
    <n v="0"/>
    <x v="0"/>
    <x v="0"/>
  </r>
  <r>
    <n v="3553"/>
    <x v="1"/>
    <n v="43"/>
    <n v="0"/>
    <n v="0"/>
    <x v="2"/>
    <x v="0"/>
    <x v="2"/>
    <x v="0"/>
    <n v="104.55"/>
    <n v="23.9"/>
    <x v="2"/>
    <n v="0"/>
    <x v="1"/>
    <x v="2"/>
  </r>
  <r>
    <n v="72178"/>
    <x v="1"/>
    <n v="4"/>
    <n v="0"/>
    <n v="0"/>
    <x v="2"/>
    <x v="1"/>
    <x v="3"/>
    <x v="0"/>
    <n v="71.25"/>
    <n v="18.8"/>
    <x v="3"/>
    <n v="0"/>
    <x v="2"/>
    <x v="2"/>
  </r>
  <r>
    <n v="11817"/>
    <x v="0"/>
    <n v="58"/>
    <n v="0"/>
    <n v="0"/>
    <x v="2"/>
    <x v="0"/>
    <x v="2"/>
    <x v="0"/>
    <n v="160.87"/>
    <s v="N/A"/>
    <x v="0"/>
    <n v="0"/>
    <x v="1"/>
    <x v="1"/>
  </r>
  <r>
    <n v="26468"/>
    <x v="1"/>
    <n v="45"/>
    <n v="0"/>
    <n v="0"/>
    <x v="2"/>
    <x v="0"/>
    <x v="2"/>
    <x v="0"/>
    <n v="82.02"/>
    <n v="41.8"/>
    <x v="2"/>
    <n v="0"/>
    <x v="1"/>
    <x v="0"/>
  </r>
  <r>
    <n v="13176"/>
    <x v="1"/>
    <n v="62"/>
    <n v="1"/>
    <n v="0"/>
    <x v="0"/>
    <x v="0"/>
    <x v="0"/>
    <x v="0"/>
    <n v="78.02"/>
    <n v="36.4"/>
    <x v="1"/>
    <n v="0"/>
    <x v="0"/>
    <x v="0"/>
  </r>
  <r>
    <n v="67032"/>
    <x v="0"/>
    <n v="42"/>
    <n v="0"/>
    <n v="0"/>
    <x v="2"/>
    <x v="1"/>
    <x v="2"/>
    <x v="0"/>
    <n v="115.21"/>
    <n v="28.7"/>
    <x v="3"/>
    <n v="0"/>
    <x v="1"/>
    <x v="3"/>
  </r>
  <r>
    <n v="39784"/>
    <x v="1"/>
    <n v="72"/>
    <n v="0"/>
    <n v="0"/>
    <x v="1"/>
    <x v="0"/>
    <x v="1"/>
    <x v="0"/>
    <n v="65.12"/>
    <n v="28.3"/>
    <x v="1"/>
    <n v="0"/>
    <x v="0"/>
    <x v="3"/>
  </r>
  <r>
    <n v="56156"/>
    <x v="2"/>
    <n v="26"/>
    <n v="0"/>
    <n v="0"/>
    <x v="2"/>
    <x v="1"/>
    <x v="0"/>
    <x v="1"/>
    <n v="143.33000000000001"/>
    <n v="22.4"/>
    <x v="0"/>
    <n v="0"/>
    <x v="2"/>
    <x v="2"/>
  </r>
  <r>
    <n v="15230"/>
    <x v="1"/>
    <n v="9"/>
    <n v="0"/>
    <n v="0"/>
    <x v="2"/>
    <x v="1"/>
    <x v="3"/>
    <x v="1"/>
    <n v="80.55"/>
    <n v="15.1"/>
    <x v="3"/>
    <n v="0"/>
    <x v="2"/>
    <x v="4"/>
  </r>
  <r>
    <n v="25218"/>
    <x v="1"/>
    <n v="31"/>
    <n v="0"/>
    <n v="0"/>
    <x v="2"/>
    <x v="0"/>
    <x v="2"/>
    <x v="0"/>
    <n v="88.2"/>
    <n v="22.7"/>
    <x v="1"/>
    <n v="0"/>
    <x v="2"/>
    <x v="2"/>
  </r>
  <r>
    <n v="39637"/>
    <x v="1"/>
    <n v="20"/>
    <n v="0"/>
    <n v="0"/>
    <x v="2"/>
    <x v="1"/>
    <x v="0"/>
    <x v="1"/>
    <n v="147.41999999999999"/>
    <n v="26.6"/>
    <x v="3"/>
    <n v="0"/>
    <x v="2"/>
    <x v="3"/>
  </r>
  <r>
    <n v="26777"/>
    <x v="0"/>
    <n v="22"/>
    <n v="0"/>
    <n v="0"/>
    <x v="2"/>
    <x v="1"/>
    <x v="0"/>
    <x v="1"/>
    <n v="86.53"/>
    <n v="20.8"/>
    <x v="1"/>
    <n v="0"/>
    <x v="2"/>
    <x v="2"/>
  </r>
  <r>
    <n v="60533"/>
    <x v="1"/>
    <n v="23"/>
    <n v="0"/>
    <n v="0"/>
    <x v="2"/>
    <x v="1"/>
    <x v="0"/>
    <x v="1"/>
    <n v="91.95"/>
    <n v="23"/>
    <x v="3"/>
    <n v="0"/>
    <x v="2"/>
    <x v="2"/>
  </r>
  <r>
    <n v="44375"/>
    <x v="1"/>
    <n v="57"/>
    <n v="1"/>
    <n v="0"/>
    <x v="2"/>
    <x v="0"/>
    <x v="1"/>
    <x v="1"/>
    <n v="63.72"/>
    <n v="35.799999999999997"/>
    <x v="2"/>
    <n v="0"/>
    <x v="1"/>
    <x v="0"/>
  </r>
  <r>
    <n v="49848"/>
    <x v="0"/>
    <n v="52"/>
    <n v="0"/>
    <n v="0"/>
    <x v="2"/>
    <x v="0"/>
    <x v="0"/>
    <x v="1"/>
    <n v="63.78"/>
    <n v="29.9"/>
    <x v="1"/>
    <n v="0"/>
    <x v="1"/>
    <x v="3"/>
  </r>
  <r>
    <n v="65413"/>
    <x v="1"/>
    <n v="64"/>
    <n v="0"/>
    <n v="0"/>
    <x v="1"/>
    <x v="0"/>
    <x v="0"/>
    <x v="0"/>
    <n v="55.64"/>
    <n v="43.4"/>
    <x v="1"/>
    <n v="0"/>
    <x v="0"/>
    <x v="0"/>
  </r>
  <r>
    <n v="31161"/>
    <x v="1"/>
    <n v="26"/>
    <n v="0"/>
    <n v="0"/>
    <x v="2"/>
    <x v="1"/>
    <x v="2"/>
    <x v="0"/>
    <n v="88.88"/>
    <n v="36.299999999999997"/>
    <x v="1"/>
    <n v="0"/>
    <x v="2"/>
    <x v="0"/>
  </r>
  <r>
    <n v="61787"/>
    <x v="0"/>
    <n v="54"/>
    <n v="0"/>
    <n v="0"/>
    <x v="2"/>
    <x v="0"/>
    <x v="1"/>
    <x v="0"/>
    <n v="114.61"/>
    <n v="40.1"/>
    <x v="0"/>
    <n v="0"/>
    <x v="1"/>
    <x v="0"/>
  </r>
  <r>
    <n v="53482"/>
    <x v="0"/>
    <n v="32"/>
    <n v="0"/>
    <n v="0"/>
    <x v="2"/>
    <x v="1"/>
    <x v="1"/>
    <x v="1"/>
    <n v="56.08"/>
    <n v="35.9"/>
    <x v="0"/>
    <n v="0"/>
    <x v="2"/>
    <x v="0"/>
  </r>
  <r>
    <n v="71387"/>
    <x v="1"/>
    <n v="66"/>
    <n v="0"/>
    <n v="0"/>
    <x v="1"/>
    <x v="0"/>
    <x v="2"/>
    <x v="1"/>
    <n v="59.62"/>
    <n v="32.4"/>
    <x v="1"/>
    <n v="0"/>
    <x v="0"/>
    <x v="0"/>
  </r>
  <r>
    <n v="7577"/>
    <x v="0"/>
    <n v="13"/>
    <n v="0"/>
    <n v="0"/>
    <x v="2"/>
    <x v="1"/>
    <x v="3"/>
    <x v="0"/>
    <n v="75.849999999999994"/>
    <n v="20.3"/>
    <x v="3"/>
    <n v="0"/>
    <x v="2"/>
    <x v="2"/>
  </r>
  <r>
    <n v="34400"/>
    <x v="1"/>
    <n v="77"/>
    <n v="1"/>
    <n v="0"/>
    <x v="0"/>
    <x v="0"/>
    <x v="1"/>
    <x v="1"/>
    <n v="176.71"/>
    <n v="33.200000000000003"/>
    <x v="1"/>
    <n v="0"/>
    <x v="0"/>
    <x v="0"/>
  </r>
  <r>
    <n v="45175"/>
    <x v="0"/>
    <n v="18"/>
    <n v="0"/>
    <n v="0"/>
    <x v="2"/>
    <x v="1"/>
    <x v="0"/>
    <x v="0"/>
    <n v="80.069999999999993"/>
    <n v="22.3"/>
    <x v="3"/>
    <n v="0"/>
    <x v="2"/>
    <x v="2"/>
  </r>
  <r>
    <n v="71192"/>
    <x v="0"/>
    <n v="11"/>
    <n v="0"/>
    <n v="0"/>
    <x v="2"/>
    <x v="1"/>
    <x v="3"/>
    <x v="1"/>
    <n v="56.33"/>
    <n v="18.100000000000001"/>
    <x v="3"/>
    <n v="0"/>
    <x v="2"/>
    <x v="4"/>
  </r>
  <r>
    <n v="26997"/>
    <x v="1"/>
    <n v="16"/>
    <n v="0"/>
    <n v="0"/>
    <x v="2"/>
    <x v="1"/>
    <x v="0"/>
    <x v="0"/>
    <n v="87.16"/>
    <n v="28.2"/>
    <x v="1"/>
    <n v="0"/>
    <x v="2"/>
    <x v="3"/>
  </r>
  <r>
    <n v="33532"/>
    <x v="1"/>
    <n v="73"/>
    <n v="0"/>
    <n v="1"/>
    <x v="0"/>
    <x v="0"/>
    <x v="0"/>
    <x v="1"/>
    <n v="102.46"/>
    <n v="29.7"/>
    <x v="1"/>
    <n v="0"/>
    <x v="0"/>
    <x v="3"/>
  </r>
  <r>
    <n v="33704"/>
    <x v="0"/>
    <n v="44"/>
    <n v="1"/>
    <n v="0"/>
    <x v="2"/>
    <x v="0"/>
    <x v="0"/>
    <x v="1"/>
    <n v="84.1"/>
    <s v="N/A"/>
    <x v="3"/>
    <n v="0"/>
    <x v="1"/>
    <x v="1"/>
  </r>
  <r>
    <n v="51897"/>
    <x v="0"/>
    <n v="36"/>
    <n v="0"/>
    <n v="0"/>
    <x v="2"/>
    <x v="0"/>
    <x v="0"/>
    <x v="1"/>
    <n v="161"/>
    <n v="29"/>
    <x v="2"/>
    <n v="0"/>
    <x v="2"/>
    <x v="3"/>
  </r>
  <r>
    <n v="43016"/>
    <x v="0"/>
    <n v="10"/>
    <n v="0"/>
    <n v="0"/>
    <x v="2"/>
    <x v="1"/>
    <x v="3"/>
    <x v="0"/>
    <n v="70.7"/>
    <n v="25.4"/>
    <x v="3"/>
    <n v="0"/>
    <x v="2"/>
    <x v="3"/>
  </r>
  <r>
    <n v="3370"/>
    <x v="1"/>
    <n v="54"/>
    <n v="0"/>
    <n v="0"/>
    <x v="2"/>
    <x v="0"/>
    <x v="0"/>
    <x v="1"/>
    <n v="81.260000000000005"/>
    <n v="26.5"/>
    <x v="3"/>
    <n v="0"/>
    <x v="1"/>
    <x v="3"/>
  </r>
  <r>
    <n v="39984"/>
    <x v="1"/>
    <n v="42"/>
    <n v="0"/>
    <n v="0"/>
    <x v="2"/>
    <x v="0"/>
    <x v="2"/>
    <x v="1"/>
    <n v="157.66999999999999"/>
    <n v="22.7"/>
    <x v="0"/>
    <n v="0"/>
    <x v="1"/>
    <x v="2"/>
  </r>
  <r>
    <n v="59232"/>
    <x v="1"/>
    <n v="52"/>
    <n v="0"/>
    <n v="0"/>
    <x v="2"/>
    <x v="0"/>
    <x v="1"/>
    <x v="0"/>
    <n v="89.59"/>
    <n v="27.5"/>
    <x v="3"/>
    <n v="0"/>
    <x v="1"/>
    <x v="3"/>
  </r>
  <r>
    <n v="57896"/>
    <x v="0"/>
    <n v="32"/>
    <n v="0"/>
    <n v="0"/>
    <x v="2"/>
    <x v="0"/>
    <x v="0"/>
    <x v="0"/>
    <n v="64.02"/>
    <n v="23.8"/>
    <x v="2"/>
    <n v="0"/>
    <x v="2"/>
    <x v="2"/>
  </r>
  <r>
    <n v="21917"/>
    <x v="0"/>
    <n v="43"/>
    <n v="0"/>
    <n v="0"/>
    <x v="2"/>
    <x v="0"/>
    <x v="2"/>
    <x v="1"/>
    <n v="110.69"/>
    <n v="35.6"/>
    <x v="3"/>
    <n v="0"/>
    <x v="1"/>
    <x v="0"/>
  </r>
  <r>
    <n v="66435"/>
    <x v="1"/>
    <n v="28"/>
    <n v="0"/>
    <n v="0"/>
    <x v="2"/>
    <x v="0"/>
    <x v="0"/>
    <x v="1"/>
    <n v="71.97"/>
    <n v="27.2"/>
    <x v="1"/>
    <n v="0"/>
    <x v="2"/>
    <x v="3"/>
  </r>
  <r>
    <n v="3442"/>
    <x v="1"/>
    <n v="79"/>
    <n v="0"/>
    <n v="0"/>
    <x v="1"/>
    <x v="1"/>
    <x v="1"/>
    <x v="1"/>
    <n v="82.07"/>
    <n v="30.4"/>
    <x v="3"/>
    <n v="0"/>
    <x v="0"/>
    <x v="0"/>
  </r>
  <r>
    <n v="48064"/>
    <x v="0"/>
    <n v="11"/>
    <n v="0"/>
    <n v="0"/>
    <x v="2"/>
    <x v="1"/>
    <x v="3"/>
    <x v="1"/>
    <n v="65.069999999999993"/>
    <n v="21.5"/>
    <x v="1"/>
    <n v="0"/>
    <x v="2"/>
    <x v="2"/>
  </r>
  <r>
    <n v="13358"/>
    <x v="1"/>
    <n v="75"/>
    <n v="0"/>
    <n v="0"/>
    <x v="1"/>
    <x v="0"/>
    <x v="1"/>
    <x v="1"/>
    <n v="207.62"/>
    <n v="31.8"/>
    <x v="1"/>
    <n v="0"/>
    <x v="0"/>
    <x v="0"/>
  </r>
  <r>
    <n v="64986"/>
    <x v="0"/>
    <n v="55"/>
    <n v="0"/>
    <n v="0"/>
    <x v="2"/>
    <x v="0"/>
    <x v="0"/>
    <x v="0"/>
    <n v="108.64"/>
    <n v="29.5"/>
    <x v="1"/>
    <n v="0"/>
    <x v="1"/>
    <x v="3"/>
  </r>
  <r>
    <n v="6032"/>
    <x v="0"/>
    <n v="78"/>
    <n v="0"/>
    <n v="0"/>
    <x v="1"/>
    <x v="0"/>
    <x v="1"/>
    <x v="0"/>
    <n v="201.58"/>
    <n v="30.6"/>
    <x v="3"/>
    <n v="0"/>
    <x v="0"/>
    <x v="0"/>
  </r>
  <r>
    <n v="52924"/>
    <x v="1"/>
    <n v="48"/>
    <n v="0"/>
    <n v="0"/>
    <x v="2"/>
    <x v="0"/>
    <x v="0"/>
    <x v="0"/>
    <n v="116.2"/>
    <n v="27.6"/>
    <x v="0"/>
    <n v="0"/>
    <x v="1"/>
    <x v="3"/>
  </r>
  <r>
    <n v="69979"/>
    <x v="0"/>
    <n v="73"/>
    <n v="0"/>
    <n v="0"/>
    <x v="1"/>
    <x v="0"/>
    <x v="1"/>
    <x v="1"/>
    <n v="231.43"/>
    <n v="23"/>
    <x v="2"/>
    <n v="0"/>
    <x v="0"/>
    <x v="2"/>
  </r>
  <r>
    <n v="50489"/>
    <x v="1"/>
    <n v="56"/>
    <n v="0"/>
    <n v="0"/>
    <x v="2"/>
    <x v="0"/>
    <x v="2"/>
    <x v="0"/>
    <n v="112.62"/>
    <n v="24.8"/>
    <x v="1"/>
    <n v="0"/>
    <x v="1"/>
    <x v="2"/>
  </r>
  <r>
    <n v="20094"/>
    <x v="0"/>
    <n v="54"/>
    <n v="1"/>
    <n v="0"/>
    <x v="2"/>
    <x v="0"/>
    <x v="0"/>
    <x v="0"/>
    <n v="220.26"/>
    <n v="28"/>
    <x v="0"/>
    <n v="0"/>
    <x v="1"/>
    <x v="3"/>
  </r>
  <r>
    <n v="16618"/>
    <x v="1"/>
    <n v="55"/>
    <n v="0"/>
    <n v="0"/>
    <x v="2"/>
    <x v="0"/>
    <x v="0"/>
    <x v="0"/>
    <n v="84.37"/>
    <n v="22.2"/>
    <x v="3"/>
    <n v="0"/>
    <x v="1"/>
    <x v="2"/>
  </r>
  <r>
    <n v="63280"/>
    <x v="1"/>
    <n v="65"/>
    <n v="0"/>
    <n v="0"/>
    <x v="1"/>
    <x v="0"/>
    <x v="0"/>
    <x v="1"/>
    <n v="82.83"/>
    <n v="27.8"/>
    <x v="0"/>
    <n v="0"/>
    <x v="0"/>
    <x v="3"/>
  </r>
  <r>
    <n v="14551"/>
    <x v="1"/>
    <n v="69"/>
    <n v="0"/>
    <n v="0"/>
    <x v="1"/>
    <x v="1"/>
    <x v="0"/>
    <x v="0"/>
    <n v="102.48"/>
    <n v="30.2"/>
    <x v="0"/>
    <n v="0"/>
    <x v="0"/>
    <x v="0"/>
  </r>
  <r>
    <n v="22098"/>
    <x v="1"/>
    <n v="29"/>
    <n v="0"/>
    <n v="0"/>
    <x v="2"/>
    <x v="0"/>
    <x v="1"/>
    <x v="1"/>
    <n v="69.12"/>
    <n v="26.8"/>
    <x v="1"/>
    <n v="0"/>
    <x v="2"/>
    <x v="3"/>
  </r>
  <r>
    <n v="17771"/>
    <x v="1"/>
    <n v="64"/>
    <n v="1"/>
    <n v="0"/>
    <x v="0"/>
    <x v="0"/>
    <x v="2"/>
    <x v="0"/>
    <n v="211.12"/>
    <n v="22"/>
    <x v="1"/>
    <n v="0"/>
    <x v="0"/>
    <x v="2"/>
  </r>
  <r>
    <n v="11803"/>
    <x v="1"/>
    <n v="16"/>
    <n v="0"/>
    <n v="0"/>
    <x v="2"/>
    <x v="1"/>
    <x v="0"/>
    <x v="1"/>
    <n v="95.38"/>
    <n v="34.299999999999997"/>
    <x v="0"/>
    <n v="0"/>
    <x v="2"/>
    <x v="0"/>
  </r>
  <r>
    <n v="34356"/>
    <x v="1"/>
    <n v="75"/>
    <n v="0"/>
    <n v="0"/>
    <x v="1"/>
    <x v="0"/>
    <x v="0"/>
    <x v="1"/>
    <n v="108.72"/>
    <n v="29.2"/>
    <x v="0"/>
    <n v="0"/>
    <x v="0"/>
    <x v="3"/>
  </r>
  <r>
    <n v="26528"/>
    <x v="1"/>
    <n v="17"/>
    <n v="0"/>
    <n v="0"/>
    <x v="2"/>
    <x v="1"/>
    <x v="0"/>
    <x v="1"/>
    <n v="88.65"/>
    <n v="30.3"/>
    <x v="1"/>
    <n v="0"/>
    <x v="2"/>
    <x v="0"/>
  </r>
  <r>
    <n v="51554"/>
    <x v="0"/>
    <n v="42"/>
    <n v="0"/>
    <n v="0"/>
    <x v="2"/>
    <x v="0"/>
    <x v="0"/>
    <x v="0"/>
    <n v="177.91"/>
    <s v="N/A"/>
    <x v="3"/>
    <n v="0"/>
    <x v="1"/>
    <x v="1"/>
  </r>
  <r>
    <n v="2296"/>
    <x v="0"/>
    <n v="78"/>
    <n v="1"/>
    <n v="0"/>
    <x v="0"/>
    <x v="0"/>
    <x v="1"/>
    <x v="0"/>
    <n v="90.19"/>
    <s v="N/A"/>
    <x v="3"/>
    <n v="0"/>
    <x v="0"/>
    <x v="1"/>
  </r>
  <r>
    <n v="10624"/>
    <x v="0"/>
    <n v="24"/>
    <n v="0"/>
    <n v="0"/>
    <x v="2"/>
    <x v="0"/>
    <x v="0"/>
    <x v="1"/>
    <n v="73.78"/>
    <n v="21.4"/>
    <x v="2"/>
    <n v="0"/>
    <x v="2"/>
    <x v="2"/>
  </r>
  <r>
    <n v="1681"/>
    <x v="1"/>
    <n v="68"/>
    <n v="0"/>
    <n v="0"/>
    <x v="1"/>
    <x v="1"/>
    <x v="0"/>
    <x v="0"/>
    <n v="82.85"/>
    <s v="N/A"/>
    <x v="2"/>
    <n v="0"/>
    <x v="0"/>
    <x v="1"/>
  </r>
  <r>
    <n v="36375"/>
    <x v="0"/>
    <n v="50"/>
    <n v="0"/>
    <n v="0"/>
    <x v="2"/>
    <x v="0"/>
    <x v="0"/>
    <x v="1"/>
    <n v="59.48"/>
    <n v="26.6"/>
    <x v="3"/>
    <n v="0"/>
    <x v="1"/>
    <x v="3"/>
  </r>
  <r>
    <n v="8117"/>
    <x v="0"/>
    <n v="52"/>
    <n v="0"/>
    <n v="0"/>
    <x v="2"/>
    <x v="0"/>
    <x v="0"/>
    <x v="1"/>
    <n v="75.77"/>
    <n v="30"/>
    <x v="0"/>
    <n v="0"/>
    <x v="1"/>
    <x v="0"/>
  </r>
  <r>
    <n v="49849"/>
    <x v="1"/>
    <n v="82"/>
    <n v="0"/>
    <n v="0"/>
    <x v="1"/>
    <x v="0"/>
    <x v="0"/>
    <x v="1"/>
    <n v="80.959999999999994"/>
    <n v="33.700000000000003"/>
    <x v="0"/>
    <n v="0"/>
    <x v="0"/>
    <x v="0"/>
  </r>
  <r>
    <n v="19436"/>
    <x v="0"/>
    <n v="56"/>
    <n v="0"/>
    <n v="0"/>
    <x v="2"/>
    <x v="0"/>
    <x v="0"/>
    <x v="1"/>
    <n v="82.4"/>
    <n v="30.9"/>
    <x v="2"/>
    <n v="0"/>
    <x v="1"/>
    <x v="0"/>
  </r>
  <r>
    <n v="10523"/>
    <x v="0"/>
    <n v="56"/>
    <n v="0"/>
    <n v="0"/>
    <x v="2"/>
    <x v="0"/>
    <x v="0"/>
    <x v="0"/>
    <n v="78.930000000000007"/>
    <n v="31.1"/>
    <x v="3"/>
    <n v="0"/>
    <x v="1"/>
    <x v="0"/>
  </r>
  <r>
    <n v="39322"/>
    <x v="0"/>
    <n v="18"/>
    <n v="0"/>
    <n v="0"/>
    <x v="2"/>
    <x v="1"/>
    <x v="0"/>
    <x v="0"/>
    <n v="80.59"/>
    <n v="23"/>
    <x v="3"/>
    <n v="0"/>
    <x v="2"/>
    <x v="2"/>
  </r>
  <r>
    <n v="53265"/>
    <x v="1"/>
    <n v="33"/>
    <n v="0"/>
    <n v="0"/>
    <x v="2"/>
    <x v="0"/>
    <x v="1"/>
    <x v="0"/>
    <n v="70.59"/>
    <n v="20.2"/>
    <x v="3"/>
    <n v="0"/>
    <x v="2"/>
    <x v="2"/>
  </r>
  <r>
    <n v="40379"/>
    <x v="1"/>
    <n v="57"/>
    <n v="0"/>
    <n v="0"/>
    <x v="2"/>
    <x v="0"/>
    <x v="0"/>
    <x v="1"/>
    <n v="98.57"/>
    <n v="31.6"/>
    <x v="1"/>
    <n v="0"/>
    <x v="1"/>
    <x v="0"/>
  </r>
  <r>
    <n v="66841"/>
    <x v="0"/>
    <n v="30"/>
    <n v="0"/>
    <n v="0"/>
    <x v="2"/>
    <x v="1"/>
    <x v="0"/>
    <x v="1"/>
    <n v="61.87"/>
    <n v="23.9"/>
    <x v="3"/>
    <n v="0"/>
    <x v="2"/>
    <x v="2"/>
  </r>
  <r>
    <n v="38900"/>
    <x v="1"/>
    <n v="52"/>
    <n v="0"/>
    <n v="0"/>
    <x v="2"/>
    <x v="0"/>
    <x v="0"/>
    <x v="0"/>
    <n v="68.88"/>
    <n v="26.1"/>
    <x v="3"/>
    <n v="0"/>
    <x v="1"/>
    <x v="3"/>
  </r>
  <r>
    <n v="18180"/>
    <x v="1"/>
    <n v="3"/>
    <n v="0"/>
    <n v="0"/>
    <x v="2"/>
    <x v="1"/>
    <x v="3"/>
    <x v="0"/>
    <n v="66.25"/>
    <n v="15.8"/>
    <x v="3"/>
    <n v="0"/>
    <x v="2"/>
    <x v="4"/>
  </r>
  <r>
    <n v="1183"/>
    <x v="0"/>
    <n v="39"/>
    <n v="0"/>
    <n v="0"/>
    <x v="2"/>
    <x v="0"/>
    <x v="0"/>
    <x v="1"/>
    <n v="84.18"/>
    <s v="N/A"/>
    <x v="2"/>
    <n v="0"/>
    <x v="2"/>
    <x v="1"/>
  </r>
  <r>
    <n v="22964"/>
    <x v="0"/>
    <n v="44"/>
    <n v="0"/>
    <n v="0"/>
    <x v="2"/>
    <x v="0"/>
    <x v="2"/>
    <x v="1"/>
    <n v="69.23"/>
    <n v="28.7"/>
    <x v="2"/>
    <n v="0"/>
    <x v="1"/>
    <x v="3"/>
  </r>
  <r>
    <n v="64597"/>
    <x v="1"/>
    <n v="33"/>
    <n v="0"/>
    <n v="0"/>
    <x v="2"/>
    <x v="0"/>
    <x v="0"/>
    <x v="1"/>
    <n v="73.2"/>
    <n v="28.9"/>
    <x v="3"/>
    <n v="0"/>
    <x v="2"/>
    <x v="3"/>
  </r>
  <r>
    <n v="23893"/>
    <x v="0"/>
    <n v="24"/>
    <n v="0"/>
    <n v="0"/>
    <x v="2"/>
    <x v="0"/>
    <x v="0"/>
    <x v="0"/>
    <n v="103.45"/>
    <n v="25.1"/>
    <x v="2"/>
    <n v="0"/>
    <x v="2"/>
    <x v="3"/>
  </r>
  <r>
    <n v="51564"/>
    <x v="1"/>
    <n v="24"/>
    <n v="0"/>
    <n v="0"/>
    <x v="2"/>
    <x v="1"/>
    <x v="2"/>
    <x v="0"/>
    <n v="104.86"/>
    <n v="19.8"/>
    <x v="1"/>
    <n v="0"/>
    <x v="2"/>
    <x v="2"/>
  </r>
  <r>
    <n v="14410"/>
    <x v="0"/>
    <n v="54"/>
    <n v="0"/>
    <n v="1"/>
    <x v="2"/>
    <x v="0"/>
    <x v="2"/>
    <x v="0"/>
    <n v="90.3"/>
    <n v="30.8"/>
    <x v="2"/>
    <n v="0"/>
    <x v="1"/>
    <x v="0"/>
  </r>
  <r>
    <n v="4964"/>
    <x v="1"/>
    <n v="72"/>
    <n v="1"/>
    <n v="0"/>
    <x v="0"/>
    <x v="0"/>
    <x v="0"/>
    <x v="1"/>
    <n v="90.87"/>
    <n v="22.1"/>
    <x v="1"/>
    <n v="0"/>
    <x v="0"/>
    <x v="2"/>
  </r>
  <r>
    <n v="15020"/>
    <x v="1"/>
    <n v="37"/>
    <n v="0"/>
    <n v="0"/>
    <x v="2"/>
    <x v="1"/>
    <x v="2"/>
    <x v="1"/>
    <n v="76.209999999999994"/>
    <n v="20.399999999999999"/>
    <x v="3"/>
    <n v="0"/>
    <x v="2"/>
    <x v="2"/>
  </r>
  <r>
    <n v="27380"/>
    <x v="1"/>
    <n v="36"/>
    <n v="0"/>
    <n v="0"/>
    <x v="2"/>
    <x v="0"/>
    <x v="0"/>
    <x v="1"/>
    <n v="74.14"/>
    <n v="31.2"/>
    <x v="0"/>
    <n v="0"/>
    <x v="2"/>
    <x v="0"/>
  </r>
  <r>
    <n v="21523"/>
    <x v="1"/>
    <n v="22"/>
    <n v="0"/>
    <n v="0"/>
    <x v="2"/>
    <x v="1"/>
    <x v="2"/>
    <x v="0"/>
    <n v="87.25"/>
    <n v="24.9"/>
    <x v="2"/>
    <n v="0"/>
    <x v="2"/>
    <x v="2"/>
  </r>
  <r>
    <n v="8819"/>
    <x v="1"/>
    <n v="68"/>
    <n v="0"/>
    <n v="0"/>
    <x v="1"/>
    <x v="0"/>
    <x v="2"/>
    <x v="1"/>
    <n v="215.33"/>
    <n v="27"/>
    <x v="0"/>
    <n v="0"/>
    <x v="0"/>
    <x v="3"/>
  </r>
  <r>
    <n v="68408"/>
    <x v="0"/>
    <n v="24"/>
    <n v="0"/>
    <n v="0"/>
    <x v="2"/>
    <x v="1"/>
    <x v="0"/>
    <x v="0"/>
    <n v="88.38"/>
    <n v="20.100000000000001"/>
    <x v="2"/>
    <n v="0"/>
    <x v="2"/>
    <x v="2"/>
  </r>
  <r>
    <n v="8976"/>
    <x v="1"/>
    <n v="35"/>
    <n v="0"/>
    <n v="0"/>
    <x v="2"/>
    <x v="0"/>
    <x v="0"/>
    <x v="1"/>
    <n v="104.4"/>
    <n v="24.4"/>
    <x v="1"/>
    <n v="0"/>
    <x v="2"/>
    <x v="2"/>
  </r>
  <r>
    <n v="22290"/>
    <x v="1"/>
    <n v="32"/>
    <n v="0"/>
    <n v="0"/>
    <x v="2"/>
    <x v="0"/>
    <x v="0"/>
    <x v="0"/>
    <n v="104.92"/>
    <n v="22.6"/>
    <x v="1"/>
    <n v="0"/>
    <x v="2"/>
    <x v="2"/>
  </r>
  <r>
    <n v="7700"/>
    <x v="1"/>
    <n v="52"/>
    <n v="0"/>
    <n v="0"/>
    <x v="2"/>
    <x v="0"/>
    <x v="0"/>
    <x v="0"/>
    <n v="106.54"/>
    <n v="22.4"/>
    <x v="1"/>
    <n v="0"/>
    <x v="1"/>
    <x v="2"/>
  </r>
  <r>
    <n v="40503"/>
    <x v="0"/>
    <n v="21"/>
    <n v="0"/>
    <n v="0"/>
    <x v="2"/>
    <x v="1"/>
    <x v="0"/>
    <x v="1"/>
    <n v="62.91"/>
    <n v="26.2"/>
    <x v="1"/>
    <n v="0"/>
    <x v="2"/>
    <x v="3"/>
  </r>
  <r>
    <n v="47917"/>
    <x v="1"/>
    <n v="82"/>
    <n v="1"/>
    <n v="0"/>
    <x v="0"/>
    <x v="1"/>
    <x v="0"/>
    <x v="1"/>
    <n v="61.47"/>
    <n v="22.9"/>
    <x v="1"/>
    <n v="0"/>
    <x v="0"/>
    <x v="2"/>
  </r>
  <r>
    <n v="30303"/>
    <x v="0"/>
    <n v="33"/>
    <n v="0"/>
    <n v="0"/>
    <x v="2"/>
    <x v="1"/>
    <x v="0"/>
    <x v="1"/>
    <n v="88.5"/>
    <n v="32.6"/>
    <x v="0"/>
    <n v="0"/>
    <x v="2"/>
    <x v="0"/>
  </r>
  <r>
    <n v="63864"/>
    <x v="0"/>
    <n v="62"/>
    <n v="0"/>
    <n v="0"/>
    <x v="1"/>
    <x v="0"/>
    <x v="0"/>
    <x v="1"/>
    <n v="107.61"/>
    <n v="31.3"/>
    <x v="3"/>
    <n v="0"/>
    <x v="0"/>
    <x v="0"/>
  </r>
  <r>
    <n v="24177"/>
    <x v="1"/>
    <n v="57"/>
    <n v="1"/>
    <n v="0"/>
    <x v="2"/>
    <x v="0"/>
    <x v="0"/>
    <x v="0"/>
    <n v="90.77"/>
    <n v="43.9"/>
    <x v="0"/>
    <n v="0"/>
    <x v="1"/>
    <x v="0"/>
  </r>
  <r>
    <n v="57274"/>
    <x v="0"/>
    <n v="14"/>
    <n v="0"/>
    <n v="0"/>
    <x v="2"/>
    <x v="1"/>
    <x v="4"/>
    <x v="0"/>
    <n v="137.91"/>
    <n v="41.8"/>
    <x v="1"/>
    <n v="0"/>
    <x v="2"/>
    <x v="0"/>
  </r>
  <r>
    <n v="37213"/>
    <x v="0"/>
    <n v="60"/>
    <n v="0"/>
    <n v="0"/>
    <x v="1"/>
    <x v="0"/>
    <x v="1"/>
    <x v="1"/>
    <n v="212.02"/>
    <s v="N/A"/>
    <x v="3"/>
    <n v="0"/>
    <x v="0"/>
    <x v="1"/>
  </r>
  <r>
    <n v="59992"/>
    <x v="1"/>
    <n v="63"/>
    <n v="1"/>
    <n v="0"/>
    <x v="0"/>
    <x v="0"/>
    <x v="1"/>
    <x v="0"/>
    <n v="228.2"/>
    <n v="37.700000000000003"/>
    <x v="1"/>
    <n v="0"/>
    <x v="0"/>
    <x v="0"/>
  </r>
  <r>
    <n v="27382"/>
    <x v="1"/>
    <n v="50"/>
    <n v="0"/>
    <n v="0"/>
    <x v="2"/>
    <x v="0"/>
    <x v="2"/>
    <x v="0"/>
    <n v="92.15"/>
    <n v="20.8"/>
    <x v="1"/>
    <n v="0"/>
    <x v="1"/>
    <x v="2"/>
  </r>
  <r>
    <n v="61017"/>
    <x v="1"/>
    <n v="12"/>
    <n v="0"/>
    <n v="0"/>
    <x v="2"/>
    <x v="1"/>
    <x v="3"/>
    <x v="0"/>
    <n v="126.32"/>
    <n v="21.6"/>
    <x v="3"/>
    <n v="0"/>
    <x v="2"/>
    <x v="2"/>
  </r>
  <r>
    <n v="61699"/>
    <x v="0"/>
    <n v="80"/>
    <n v="0"/>
    <n v="0"/>
    <x v="1"/>
    <x v="0"/>
    <x v="0"/>
    <x v="1"/>
    <n v="94.96"/>
    <n v="22.1"/>
    <x v="0"/>
    <n v="0"/>
    <x v="0"/>
    <x v="2"/>
  </r>
  <r>
    <n v="14489"/>
    <x v="1"/>
    <n v="74"/>
    <n v="0"/>
    <n v="0"/>
    <x v="1"/>
    <x v="1"/>
    <x v="1"/>
    <x v="0"/>
    <n v="89.52"/>
    <n v="39.200000000000003"/>
    <x v="3"/>
    <n v="0"/>
    <x v="0"/>
    <x v="0"/>
  </r>
  <r>
    <n v="54053"/>
    <x v="0"/>
    <n v="46"/>
    <n v="0"/>
    <n v="0"/>
    <x v="2"/>
    <x v="0"/>
    <x v="0"/>
    <x v="1"/>
    <n v="66.59"/>
    <n v="36.700000000000003"/>
    <x v="0"/>
    <n v="0"/>
    <x v="1"/>
    <x v="0"/>
  </r>
  <r>
    <n v="38348"/>
    <x v="1"/>
    <n v="66"/>
    <n v="0"/>
    <n v="0"/>
    <x v="1"/>
    <x v="0"/>
    <x v="0"/>
    <x v="0"/>
    <n v="80.099999999999994"/>
    <n v="32"/>
    <x v="1"/>
    <n v="0"/>
    <x v="0"/>
    <x v="0"/>
  </r>
  <r>
    <n v="17668"/>
    <x v="0"/>
    <n v="26"/>
    <n v="0"/>
    <n v="0"/>
    <x v="2"/>
    <x v="0"/>
    <x v="1"/>
    <x v="0"/>
    <n v="73.72"/>
    <n v="25.9"/>
    <x v="2"/>
    <n v="0"/>
    <x v="2"/>
    <x v="3"/>
  </r>
  <r>
    <n v="11792"/>
    <x v="1"/>
    <n v="70"/>
    <n v="0"/>
    <n v="0"/>
    <x v="1"/>
    <x v="0"/>
    <x v="0"/>
    <x v="0"/>
    <n v="90.49"/>
    <n v="28.9"/>
    <x v="0"/>
    <n v="0"/>
    <x v="0"/>
    <x v="3"/>
  </r>
  <r>
    <n v="22917"/>
    <x v="1"/>
    <n v="62"/>
    <n v="0"/>
    <n v="0"/>
    <x v="1"/>
    <x v="0"/>
    <x v="0"/>
    <x v="0"/>
    <n v="92.99"/>
    <n v="29.3"/>
    <x v="0"/>
    <n v="0"/>
    <x v="0"/>
    <x v="3"/>
  </r>
  <r>
    <n v="36204"/>
    <x v="0"/>
    <n v="15"/>
    <n v="0"/>
    <n v="0"/>
    <x v="2"/>
    <x v="1"/>
    <x v="3"/>
    <x v="1"/>
    <n v="62.57"/>
    <n v="32.299999999999997"/>
    <x v="1"/>
    <n v="0"/>
    <x v="2"/>
    <x v="0"/>
  </r>
  <r>
    <n v="49554"/>
    <x v="0"/>
    <n v="67"/>
    <n v="0"/>
    <n v="0"/>
    <x v="1"/>
    <x v="0"/>
    <x v="0"/>
    <x v="1"/>
    <n v="65.510000000000005"/>
    <n v="33.200000000000003"/>
    <x v="0"/>
    <n v="0"/>
    <x v="0"/>
    <x v="0"/>
  </r>
  <r>
    <n v="72594"/>
    <x v="0"/>
    <n v="63"/>
    <n v="0"/>
    <n v="0"/>
    <x v="1"/>
    <x v="0"/>
    <x v="0"/>
    <x v="0"/>
    <n v="95.29"/>
    <n v="31.6"/>
    <x v="2"/>
    <n v="0"/>
    <x v="0"/>
    <x v="0"/>
  </r>
  <r>
    <n v="28027"/>
    <x v="1"/>
    <n v="42"/>
    <n v="0"/>
    <n v="0"/>
    <x v="2"/>
    <x v="0"/>
    <x v="2"/>
    <x v="0"/>
    <n v="83.7"/>
    <n v="20.6"/>
    <x v="1"/>
    <n v="0"/>
    <x v="1"/>
    <x v="2"/>
  </r>
  <r>
    <n v="54177"/>
    <x v="1"/>
    <n v="49"/>
    <n v="1"/>
    <n v="0"/>
    <x v="2"/>
    <x v="0"/>
    <x v="2"/>
    <x v="1"/>
    <n v="63.16"/>
    <n v="23.3"/>
    <x v="0"/>
    <n v="0"/>
    <x v="1"/>
    <x v="2"/>
  </r>
  <r>
    <n v="32602"/>
    <x v="0"/>
    <n v="78"/>
    <n v="0"/>
    <n v="1"/>
    <x v="0"/>
    <x v="0"/>
    <x v="1"/>
    <x v="0"/>
    <n v="87.77"/>
    <n v="30.8"/>
    <x v="3"/>
    <n v="0"/>
    <x v="0"/>
    <x v="0"/>
  </r>
  <r>
    <n v="1213"/>
    <x v="1"/>
    <n v="31"/>
    <n v="0"/>
    <n v="0"/>
    <x v="2"/>
    <x v="0"/>
    <x v="1"/>
    <x v="0"/>
    <n v="87.23"/>
    <s v="N/A"/>
    <x v="0"/>
    <n v="0"/>
    <x v="2"/>
    <x v="1"/>
  </r>
  <r>
    <n v="21534"/>
    <x v="0"/>
    <n v="67"/>
    <n v="0"/>
    <n v="0"/>
    <x v="1"/>
    <x v="0"/>
    <x v="0"/>
    <x v="0"/>
    <n v="260.85000000000002"/>
    <s v="N/A"/>
    <x v="3"/>
    <n v="0"/>
    <x v="0"/>
    <x v="1"/>
  </r>
  <r>
    <n v="6852"/>
    <x v="1"/>
    <n v="52"/>
    <n v="1"/>
    <n v="0"/>
    <x v="2"/>
    <x v="0"/>
    <x v="1"/>
    <x v="1"/>
    <n v="104.45"/>
    <s v="N/A"/>
    <x v="1"/>
    <n v="0"/>
    <x v="1"/>
    <x v="1"/>
  </r>
  <r>
    <n v="3379"/>
    <x v="1"/>
    <n v="61"/>
    <n v="0"/>
    <n v="0"/>
    <x v="1"/>
    <x v="0"/>
    <x v="0"/>
    <x v="0"/>
    <n v="87.52"/>
    <n v="23.7"/>
    <x v="3"/>
    <n v="0"/>
    <x v="0"/>
    <x v="2"/>
  </r>
  <r>
    <n v="41146"/>
    <x v="0"/>
    <n v="41"/>
    <n v="0"/>
    <n v="0"/>
    <x v="2"/>
    <x v="0"/>
    <x v="0"/>
    <x v="1"/>
    <n v="113.65"/>
    <n v="49.3"/>
    <x v="1"/>
    <n v="0"/>
    <x v="1"/>
    <x v="0"/>
  </r>
  <r>
    <n v="20391"/>
    <x v="1"/>
    <n v="73"/>
    <n v="0"/>
    <n v="0"/>
    <x v="1"/>
    <x v="0"/>
    <x v="2"/>
    <x v="1"/>
    <n v="65.930000000000007"/>
    <n v="30.3"/>
    <x v="1"/>
    <n v="0"/>
    <x v="0"/>
    <x v="0"/>
  </r>
  <r>
    <n v="69379"/>
    <x v="1"/>
    <n v="64"/>
    <n v="1"/>
    <n v="0"/>
    <x v="0"/>
    <x v="0"/>
    <x v="1"/>
    <x v="0"/>
    <n v="93.78"/>
    <n v="24.4"/>
    <x v="1"/>
    <n v="0"/>
    <x v="0"/>
    <x v="2"/>
  </r>
  <r>
    <n v="34778"/>
    <x v="0"/>
    <n v="65"/>
    <n v="0"/>
    <n v="0"/>
    <x v="1"/>
    <x v="0"/>
    <x v="0"/>
    <x v="1"/>
    <n v="223.9"/>
    <n v="28.2"/>
    <x v="0"/>
    <n v="0"/>
    <x v="0"/>
    <x v="3"/>
  </r>
  <r>
    <n v="49270"/>
    <x v="1"/>
    <n v="81"/>
    <n v="0"/>
    <n v="0"/>
    <x v="1"/>
    <x v="0"/>
    <x v="0"/>
    <x v="0"/>
    <n v="77.540000000000006"/>
    <n v="33.799999999999997"/>
    <x v="3"/>
    <n v="0"/>
    <x v="0"/>
    <x v="0"/>
  </r>
  <r>
    <n v="55407"/>
    <x v="1"/>
    <n v="47"/>
    <n v="0"/>
    <n v="0"/>
    <x v="2"/>
    <x v="0"/>
    <x v="0"/>
    <x v="0"/>
    <n v="93.18"/>
    <n v="42.6"/>
    <x v="0"/>
    <n v="0"/>
    <x v="1"/>
    <x v="0"/>
  </r>
  <r>
    <n v="36744"/>
    <x v="0"/>
    <n v="40"/>
    <n v="0"/>
    <n v="0"/>
    <x v="2"/>
    <x v="0"/>
    <x v="1"/>
    <x v="1"/>
    <n v="169.74"/>
    <n v="31.9"/>
    <x v="1"/>
    <n v="0"/>
    <x v="1"/>
    <x v="0"/>
  </r>
  <r>
    <n v="26603"/>
    <x v="0"/>
    <n v="46"/>
    <n v="1"/>
    <n v="0"/>
    <x v="2"/>
    <x v="0"/>
    <x v="1"/>
    <x v="0"/>
    <n v="101.93"/>
    <n v="34"/>
    <x v="3"/>
    <n v="0"/>
    <x v="1"/>
    <x v="0"/>
  </r>
  <r>
    <n v="71414"/>
    <x v="1"/>
    <n v="2"/>
    <n v="0"/>
    <n v="0"/>
    <x v="2"/>
    <x v="1"/>
    <x v="3"/>
    <x v="0"/>
    <n v="125.03"/>
    <n v="19.8"/>
    <x v="3"/>
    <n v="0"/>
    <x v="2"/>
    <x v="2"/>
  </r>
  <r>
    <n v="14517"/>
    <x v="0"/>
    <n v="56"/>
    <n v="0"/>
    <n v="0"/>
    <x v="2"/>
    <x v="0"/>
    <x v="0"/>
    <x v="0"/>
    <n v="82.25"/>
    <n v="30.5"/>
    <x v="0"/>
    <n v="0"/>
    <x v="1"/>
    <x v="0"/>
  </r>
  <r>
    <n v="69050"/>
    <x v="0"/>
    <n v="54"/>
    <n v="0"/>
    <n v="0"/>
    <x v="2"/>
    <x v="0"/>
    <x v="0"/>
    <x v="0"/>
    <n v="85.81"/>
    <n v="21.7"/>
    <x v="0"/>
    <n v="0"/>
    <x v="1"/>
    <x v="2"/>
  </r>
  <r>
    <n v="52080"/>
    <x v="1"/>
    <n v="26"/>
    <n v="0"/>
    <n v="0"/>
    <x v="2"/>
    <x v="1"/>
    <x v="0"/>
    <x v="1"/>
    <n v="85.27"/>
    <n v="24.6"/>
    <x v="1"/>
    <n v="0"/>
    <x v="2"/>
    <x v="2"/>
  </r>
  <r>
    <n v="27493"/>
    <x v="1"/>
    <n v="45"/>
    <n v="0"/>
    <n v="0"/>
    <x v="2"/>
    <x v="0"/>
    <x v="0"/>
    <x v="0"/>
    <n v="86.06"/>
    <n v="38.1"/>
    <x v="1"/>
    <n v="0"/>
    <x v="1"/>
    <x v="0"/>
  </r>
  <r>
    <n v="6295"/>
    <x v="1"/>
    <n v="57"/>
    <n v="0"/>
    <n v="0"/>
    <x v="2"/>
    <x v="0"/>
    <x v="2"/>
    <x v="0"/>
    <n v="104.36"/>
    <n v="19.2"/>
    <x v="2"/>
    <n v="0"/>
    <x v="1"/>
    <x v="2"/>
  </r>
  <r>
    <n v="20375"/>
    <x v="1"/>
    <n v="78"/>
    <n v="0"/>
    <n v="0"/>
    <x v="1"/>
    <x v="0"/>
    <x v="0"/>
    <x v="0"/>
    <n v="78.290000000000006"/>
    <n v="30.1"/>
    <x v="0"/>
    <n v="0"/>
    <x v="0"/>
    <x v="0"/>
  </r>
  <r>
    <n v="29017"/>
    <x v="0"/>
    <n v="2"/>
    <n v="0"/>
    <n v="0"/>
    <x v="2"/>
    <x v="1"/>
    <x v="3"/>
    <x v="0"/>
    <n v="93.55"/>
    <n v="23.3"/>
    <x v="3"/>
    <n v="0"/>
    <x v="2"/>
    <x v="2"/>
  </r>
  <r>
    <n v="56635"/>
    <x v="0"/>
    <n v="76"/>
    <n v="1"/>
    <n v="0"/>
    <x v="0"/>
    <x v="0"/>
    <x v="1"/>
    <x v="1"/>
    <n v="207.96"/>
    <n v="34.5"/>
    <x v="0"/>
    <n v="0"/>
    <x v="0"/>
    <x v="0"/>
  </r>
  <r>
    <n v="4280"/>
    <x v="1"/>
    <n v="51"/>
    <n v="0"/>
    <n v="0"/>
    <x v="2"/>
    <x v="0"/>
    <x v="2"/>
    <x v="1"/>
    <n v="105.52"/>
    <n v="30.8"/>
    <x v="1"/>
    <n v="0"/>
    <x v="1"/>
    <x v="0"/>
  </r>
  <r>
    <n v="22896"/>
    <x v="1"/>
    <n v="54"/>
    <n v="0"/>
    <n v="0"/>
    <x v="2"/>
    <x v="0"/>
    <x v="0"/>
    <x v="1"/>
    <n v="109.27"/>
    <n v="43.8"/>
    <x v="0"/>
    <n v="0"/>
    <x v="1"/>
    <x v="0"/>
  </r>
  <r>
    <n v="70297"/>
    <x v="1"/>
    <n v="36"/>
    <n v="0"/>
    <n v="0"/>
    <x v="2"/>
    <x v="0"/>
    <x v="0"/>
    <x v="0"/>
    <n v="91.34"/>
    <n v="29.9"/>
    <x v="1"/>
    <n v="0"/>
    <x v="2"/>
    <x v="3"/>
  </r>
  <r>
    <n v="47776"/>
    <x v="1"/>
    <n v="57"/>
    <n v="0"/>
    <n v="0"/>
    <x v="2"/>
    <x v="0"/>
    <x v="2"/>
    <x v="1"/>
    <n v="176.78"/>
    <n v="50.4"/>
    <x v="1"/>
    <n v="0"/>
    <x v="1"/>
    <x v="0"/>
  </r>
  <r>
    <n v="53141"/>
    <x v="1"/>
    <n v="25"/>
    <n v="0"/>
    <n v="0"/>
    <x v="2"/>
    <x v="1"/>
    <x v="0"/>
    <x v="1"/>
    <n v="67.73"/>
    <n v="22.6"/>
    <x v="1"/>
    <n v="0"/>
    <x v="2"/>
    <x v="2"/>
  </r>
  <r>
    <n v="16145"/>
    <x v="1"/>
    <n v="7"/>
    <n v="0"/>
    <n v="0"/>
    <x v="2"/>
    <x v="1"/>
    <x v="3"/>
    <x v="1"/>
    <n v="73.27"/>
    <n v="19.5"/>
    <x v="3"/>
    <n v="0"/>
    <x v="2"/>
    <x v="2"/>
  </r>
  <r>
    <n v="41593"/>
    <x v="1"/>
    <n v="76"/>
    <n v="0"/>
    <n v="0"/>
    <x v="1"/>
    <x v="0"/>
    <x v="1"/>
    <x v="1"/>
    <n v="70.290000000000006"/>
    <n v="33.4"/>
    <x v="0"/>
    <n v="0"/>
    <x v="0"/>
    <x v="0"/>
  </r>
  <r>
    <n v="50651"/>
    <x v="1"/>
    <n v="45"/>
    <n v="0"/>
    <n v="0"/>
    <x v="2"/>
    <x v="1"/>
    <x v="0"/>
    <x v="1"/>
    <n v="91.47"/>
    <n v="24.2"/>
    <x v="3"/>
    <n v="0"/>
    <x v="1"/>
    <x v="2"/>
  </r>
  <r>
    <n v="11111"/>
    <x v="1"/>
    <n v="66"/>
    <n v="1"/>
    <n v="0"/>
    <x v="0"/>
    <x v="0"/>
    <x v="2"/>
    <x v="0"/>
    <n v="205.01"/>
    <n v="52.7"/>
    <x v="0"/>
    <n v="0"/>
    <x v="0"/>
    <x v="0"/>
  </r>
  <r>
    <n v="15803"/>
    <x v="1"/>
    <n v="45"/>
    <n v="0"/>
    <n v="0"/>
    <x v="2"/>
    <x v="0"/>
    <x v="0"/>
    <x v="1"/>
    <n v="73.87"/>
    <n v="25.6"/>
    <x v="3"/>
    <n v="0"/>
    <x v="1"/>
    <x v="3"/>
  </r>
  <r>
    <n v="71597"/>
    <x v="1"/>
    <n v="79"/>
    <n v="1"/>
    <n v="0"/>
    <x v="0"/>
    <x v="0"/>
    <x v="0"/>
    <x v="1"/>
    <n v="64.44"/>
    <n v="26.9"/>
    <x v="0"/>
    <n v="0"/>
    <x v="0"/>
    <x v="3"/>
  </r>
  <r>
    <n v="22804"/>
    <x v="1"/>
    <n v="25"/>
    <n v="0"/>
    <n v="0"/>
    <x v="2"/>
    <x v="1"/>
    <x v="0"/>
    <x v="1"/>
    <n v="111.65"/>
    <n v="35.200000000000003"/>
    <x v="0"/>
    <n v="0"/>
    <x v="2"/>
    <x v="0"/>
  </r>
  <r>
    <n v="64498"/>
    <x v="1"/>
    <n v="53"/>
    <n v="0"/>
    <n v="0"/>
    <x v="2"/>
    <x v="0"/>
    <x v="0"/>
    <x v="1"/>
    <n v="90.65"/>
    <n v="22.1"/>
    <x v="0"/>
    <n v="0"/>
    <x v="1"/>
    <x v="2"/>
  </r>
  <r>
    <n v="41182"/>
    <x v="1"/>
    <n v="35"/>
    <n v="1"/>
    <n v="0"/>
    <x v="2"/>
    <x v="0"/>
    <x v="0"/>
    <x v="0"/>
    <n v="94.2"/>
    <n v="34.4"/>
    <x v="2"/>
    <n v="0"/>
    <x v="2"/>
    <x v="0"/>
  </r>
  <r>
    <n v="56606"/>
    <x v="1"/>
    <n v="78"/>
    <n v="0"/>
    <n v="0"/>
    <x v="1"/>
    <x v="0"/>
    <x v="1"/>
    <x v="0"/>
    <n v="56.95"/>
    <n v="26"/>
    <x v="3"/>
    <n v="0"/>
    <x v="0"/>
    <x v="3"/>
  </r>
  <r>
    <n v="36958"/>
    <x v="1"/>
    <n v="32"/>
    <n v="0"/>
    <n v="0"/>
    <x v="2"/>
    <x v="0"/>
    <x v="0"/>
    <x v="1"/>
    <n v="92.37"/>
    <n v="26.9"/>
    <x v="1"/>
    <n v="0"/>
    <x v="2"/>
    <x v="3"/>
  </r>
  <r>
    <n v="14877"/>
    <x v="0"/>
    <n v="0.56000000000000005"/>
    <n v="0"/>
    <n v="0"/>
    <x v="2"/>
    <x v="1"/>
    <x v="3"/>
    <x v="1"/>
    <n v="127.23"/>
    <n v="20.100000000000001"/>
    <x v="3"/>
    <n v="0"/>
    <x v="2"/>
    <x v="2"/>
  </r>
  <r>
    <n v="65988"/>
    <x v="1"/>
    <n v="26"/>
    <n v="0"/>
    <n v="0"/>
    <x v="2"/>
    <x v="1"/>
    <x v="0"/>
    <x v="1"/>
    <n v="191.78"/>
    <n v="24.7"/>
    <x v="3"/>
    <n v="0"/>
    <x v="2"/>
    <x v="2"/>
  </r>
  <r>
    <n v="50001"/>
    <x v="1"/>
    <n v="34"/>
    <n v="0"/>
    <n v="0"/>
    <x v="2"/>
    <x v="0"/>
    <x v="2"/>
    <x v="1"/>
    <n v="86.36"/>
    <n v="32.1"/>
    <x v="2"/>
    <n v="0"/>
    <x v="2"/>
    <x v="0"/>
  </r>
  <r>
    <n v="27034"/>
    <x v="1"/>
    <n v="65"/>
    <n v="0"/>
    <n v="0"/>
    <x v="1"/>
    <x v="0"/>
    <x v="2"/>
    <x v="0"/>
    <n v="82.72"/>
    <n v="29.8"/>
    <x v="2"/>
    <n v="0"/>
    <x v="0"/>
    <x v="3"/>
  </r>
  <r>
    <n v="8950"/>
    <x v="1"/>
    <n v="15"/>
    <n v="0"/>
    <n v="0"/>
    <x v="2"/>
    <x v="1"/>
    <x v="0"/>
    <x v="0"/>
    <n v="113.57"/>
    <n v="27.5"/>
    <x v="0"/>
    <n v="0"/>
    <x v="2"/>
    <x v="3"/>
  </r>
  <r>
    <n v="31850"/>
    <x v="1"/>
    <n v="17"/>
    <n v="0"/>
    <n v="0"/>
    <x v="2"/>
    <x v="1"/>
    <x v="0"/>
    <x v="0"/>
    <n v="89.58"/>
    <n v="22.8"/>
    <x v="3"/>
    <n v="0"/>
    <x v="2"/>
    <x v="2"/>
  </r>
  <r>
    <n v="14288"/>
    <x v="1"/>
    <n v="71"/>
    <n v="0"/>
    <n v="0"/>
    <x v="1"/>
    <x v="0"/>
    <x v="0"/>
    <x v="1"/>
    <n v="91.85"/>
    <n v="27.6"/>
    <x v="0"/>
    <n v="0"/>
    <x v="0"/>
    <x v="3"/>
  </r>
  <r>
    <n v="3180"/>
    <x v="1"/>
    <n v="42"/>
    <n v="0"/>
    <n v="0"/>
    <x v="2"/>
    <x v="0"/>
    <x v="2"/>
    <x v="0"/>
    <n v="88.89"/>
    <n v="33"/>
    <x v="1"/>
    <n v="0"/>
    <x v="1"/>
    <x v="0"/>
  </r>
  <r>
    <n v="13899"/>
    <x v="0"/>
    <n v="30"/>
    <n v="0"/>
    <n v="0"/>
    <x v="2"/>
    <x v="0"/>
    <x v="0"/>
    <x v="0"/>
    <n v="79.55"/>
    <n v="33.700000000000003"/>
    <x v="1"/>
    <n v="0"/>
    <x v="2"/>
    <x v="0"/>
  </r>
  <r>
    <n v="23730"/>
    <x v="1"/>
    <n v="75"/>
    <n v="0"/>
    <n v="0"/>
    <x v="1"/>
    <x v="0"/>
    <x v="1"/>
    <x v="0"/>
    <n v="108.62"/>
    <n v="25.1"/>
    <x v="3"/>
    <n v="0"/>
    <x v="0"/>
    <x v="3"/>
  </r>
  <r>
    <n v="6011"/>
    <x v="0"/>
    <n v="9"/>
    <n v="0"/>
    <n v="0"/>
    <x v="2"/>
    <x v="1"/>
    <x v="3"/>
    <x v="0"/>
    <n v="78.239999999999995"/>
    <n v="15.3"/>
    <x v="3"/>
    <n v="0"/>
    <x v="2"/>
    <x v="4"/>
  </r>
  <r>
    <n v="14376"/>
    <x v="0"/>
    <n v="47"/>
    <n v="0"/>
    <n v="0"/>
    <x v="2"/>
    <x v="0"/>
    <x v="0"/>
    <x v="1"/>
    <n v="88.49"/>
    <n v="22.2"/>
    <x v="2"/>
    <n v="0"/>
    <x v="1"/>
    <x v="2"/>
  </r>
  <r>
    <n v="22052"/>
    <x v="1"/>
    <n v="75"/>
    <n v="1"/>
    <n v="0"/>
    <x v="0"/>
    <x v="1"/>
    <x v="1"/>
    <x v="1"/>
    <n v="91.85"/>
    <n v="21.4"/>
    <x v="0"/>
    <n v="0"/>
    <x v="0"/>
    <x v="2"/>
  </r>
  <r>
    <n v="24836"/>
    <x v="1"/>
    <n v="61"/>
    <n v="0"/>
    <n v="0"/>
    <x v="1"/>
    <x v="0"/>
    <x v="0"/>
    <x v="1"/>
    <n v="72.010000000000005"/>
    <n v="26"/>
    <x v="0"/>
    <n v="0"/>
    <x v="0"/>
    <x v="3"/>
  </r>
  <r>
    <n v="11861"/>
    <x v="0"/>
    <n v="61"/>
    <n v="0"/>
    <n v="0"/>
    <x v="1"/>
    <x v="0"/>
    <x v="1"/>
    <x v="1"/>
    <n v="81.96"/>
    <n v="29.9"/>
    <x v="1"/>
    <n v="0"/>
    <x v="0"/>
    <x v="3"/>
  </r>
  <r>
    <n v="25613"/>
    <x v="1"/>
    <n v="27"/>
    <n v="0"/>
    <n v="0"/>
    <x v="2"/>
    <x v="0"/>
    <x v="0"/>
    <x v="0"/>
    <n v="70.56"/>
    <n v="28.6"/>
    <x v="2"/>
    <n v="0"/>
    <x v="2"/>
    <x v="3"/>
  </r>
  <r>
    <n v="71496"/>
    <x v="1"/>
    <n v="55"/>
    <n v="0"/>
    <n v="0"/>
    <x v="2"/>
    <x v="0"/>
    <x v="0"/>
    <x v="0"/>
    <n v="71.02"/>
    <n v="21.2"/>
    <x v="1"/>
    <n v="0"/>
    <x v="1"/>
    <x v="2"/>
  </r>
  <r>
    <n v="24074"/>
    <x v="1"/>
    <n v="2"/>
    <n v="0"/>
    <n v="0"/>
    <x v="2"/>
    <x v="1"/>
    <x v="3"/>
    <x v="1"/>
    <n v="99.75"/>
    <n v="16"/>
    <x v="3"/>
    <n v="0"/>
    <x v="2"/>
    <x v="4"/>
  </r>
  <r>
    <n v="44937"/>
    <x v="1"/>
    <n v="51"/>
    <n v="0"/>
    <n v="0"/>
    <x v="2"/>
    <x v="0"/>
    <x v="2"/>
    <x v="0"/>
    <n v="127.2"/>
    <n v="22.7"/>
    <x v="1"/>
    <n v="0"/>
    <x v="1"/>
    <x v="2"/>
  </r>
  <r>
    <n v="72082"/>
    <x v="1"/>
    <n v="45"/>
    <n v="0"/>
    <n v="0"/>
    <x v="2"/>
    <x v="0"/>
    <x v="1"/>
    <x v="1"/>
    <n v="69.760000000000005"/>
    <n v="25.3"/>
    <x v="2"/>
    <n v="0"/>
    <x v="1"/>
    <x v="3"/>
  </r>
  <r>
    <n v="53271"/>
    <x v="0"/>
    <n v="36"/>
    <n v="0"/>
    <n v="0"/>
    <x v="2"/>
    <x v="0"/>
    <x v="0"/>
    <x v="1"/>
    <n v="74.63"/>
    <n v="31.6"/>
    <x v="0"/>
    <n v="0"/>
    <x v="2"/>
    <x v="0"/>
  </r>
  <r>
    <n v="34077"/>
    <x v="0"/>
    <n v="46"/>
    <n v="0"/>
    <n v="0"/>
    <x v="2"/>
    <x v="0"/>
    <x v="2"/>
    <x v="1"/>
    <n v="102.27"/>
    <n v="38.9"/>
    <x v="0"/>
    <n v="0"/>
    <x v="1"/>
    <x v="0"/>
  </r>
  <r>
    <n v="42330"/>
    <x v="1"/>
    <n v="48"/>
    <n v="0"/>
    <n v="0"/>
    <x v="2"/>
    <x v="0"/>
    <x v="0"/>
    <x v="1"/>
    <n v="73.56"/>
    <n v="27.1"/>
    <x v="2"/>
    <n v="0"/>
    <x v="1"/>
    <x v="3"/>
  </r>
  <r>
    <n v="69487"/>
    <x v="1"/>
    <n v="79"/>
    <n v="0"/>
    <n v="0"/>
    <x v="1"/>
    <x v="0"/>
    <x v="1"/>
    <x v="0"/>
    <n v="57.77"/>
    <n v="24.1"/>
    <x v="0"/>
    <n v="0"/>
    <x v="0"/>
    <x v="2"/>
  </r>
  <r>
    <n v="70973"/>
    <x v="1"/>
    <n v="50"/>
    <n v="0"/>
    <n v="0"/>
    <x v="2"/>
    <x v="0"/>
    <x v="2"/>
    <x v="0"/>
    <n v="151.25"/>
    <n v="31.5"/>
    <x v="1"/>
    <n v="0"/>
    <x v="1"/>
    <x v="0"/>
  </r>
  <r>
    <n v="44986"/>
    <x v="1"/>
    <n v="79"/>
    <n v="0"/>
    <n v="0"/>
    <x v="1"/>
    <x v="0"/>
    <x v="1"/>
    <x v="0"/>
    <n v="78.319999999999993"/>
    <n v="32"/>
    <x v="3"/>
    <n v="0"/>
    <x v="0"/>
    <x v="0"/>
  </r>
  <r>
    <n v="2633"/>
    <x v="0"/>
    <n v="32"/>
    <n v="0"/>
    <n v="0"/>
    <x v="2"/>
    <x v="0"/>
    <x v="0"/>
    <x v="1"/>
    <n v="71.5"/>
    <n v="31.8"/>
    <x v="1"/>
    <n v="0"/>
    <x v="2"/>
    <x v="0"/>
  </r>
  <r>
    <n v="21834"/>
    <x v="1"/>
    <n v="36"/>
    <n v="0"/>
    <n v="0"/>
    <x v="2"/>
    <x v="0"/>
    <x v="0"/>
    <x v="0"/>
    <n v="84.7"/>
    <n v="34"/>
    <x v="1"/>
    <n v="0"/>
    <x v="2"/>
    <x v="0"/>
  </r>
  <r>
    <n v="49196"/>
    <x v="1"/>
    <n v="27"/>
    <n v="0"/>
    <n v="0"/>
    <x v="2"/>
    <x v="0"/>
    <x v="0"/>
    <x v="0"/>
    <n v="127.28"/>
    <n v="23.4"/>
    <x v="3"/>
    <n v="0"/>
    <x v="2"/>
    <x v="2"/>
  </r>
  <r>
    <n v="22939"/>
    <x v="1"/>
    <n v="22"/>
    <n v="0"/>
    <n v="0"/>
    <x v="2"/>
    <x v="1"/>
    <x v="0"/>
    <x v="1"/>
    <n v="80.72"/>
    <n v="29.3"/>
    <x v="3"/>
    <n v="0"/>
    <x v="2"/>
    <x v="3"/>
  </r>
  <r>
    <n v="55400"/>
    <x v="1"/>
    <n v="5"/>
    <n v="0"/>
    <n v="0"/>
    <x v="2"/>
    <x v="1"/>
    <x v="3"/>
    <x v="1"/>
    <n v="73.92"/>
    <n v="17.2"/>
    <x v="3"/>
    <n v="0"/>
    <x v="2"/>
    <x v="4"/>
  </r>
  <r>
    <n v="30870"/>
    <x v="0"/>
    <n v="9"/>
    <n v="0"/>
    <n v="0"/>
    <x v="2"/>
    <x v="1"/>
    <x v="3"/>
    <x v="0"/>
    <n v="93.24"/>
    <n v="31.9"/>
    <x v="3"/>
    <n v="0"/>
    <x v="2"/>
    <x v="0"/>
  </r>
  <r>
    <n v="247"/>
    <x v="0"/>
    <n v="31"/>
    <n v="0"/>
    <n v="0"/>
    <x v="2"/>
    <x v="1"/>
    <x v="0"/>
    <x v="0"/>
    <n v="72.599999999999994"/>
    <n v="31.6"/>
    <x v="1"/>
    <n v="0"/>
    <x v="2"/>
    <x v="0"/>
  </r>
  <r>
    <n v="7979"/>
    <x v="1"/>
    <n v="26"/>
    <n v="0"/>
    <n v="0"/>
    <x v="2"/>
    <x v="1"/>
    <x v="0"/>
    <x v="1"/>
    <n v="69.77"/>
    <n v="23.2"/>
    <x v="1"/>
    <n v="0"/>
    <x v="2"/>
    <x v="2"/>
  </r>
  <r>
    <n v="56189"/>
    <x v="0"/>
    <n v="43"/>
    <n v="0"/>
    <n v="0"/>
    <x v="2"/>
    <x v="1"/>
    <x v="2"/>
    <x v="0"/>
    <n v="84.43"/>
    <n v="30"/>
    <x v="2"/>
    <n v="0"/>
    <x v="1"/>
    <x v="0"/>
  </r>
  <r>
    <n v="3984"/>
    <x v="1"/>
    <n v="33"/>
    <n v="0"/>
    <n v="0"/>
    <x v="2"/>
    <x v="0"/>
    <x v="0"/>
    <x v="1"/>
    <n v="84.13"/>
    <n v="26.3"/>
    <x v="1"/>
    <n v="0"/>
    <x v="2"/>
    <x v="3"/>
  </r>
  <r>
    <n v="49753"/>
    <x v="0"/>
    <n v="34"/>
    <n v="0"/>
    <n v="0"/>
    <x v="2"/>
    <x v="1"/>
    <x v="1"/>
    <x v="1"/>
    <n v="81.540000000000006"/>
    <n v="31.8"/>
    <x v="0"/>
    <n v="0"/>
    <x v="2"/>
    <x v="0"/>
  </r>
  <r>
    <n v="71719"/>
    <x v="0"/>
    <n v="66"/>
    <n v="0"/>
    <n v="0"/>
    <x v="1"/>
    <x v="0"/>
    <x v="2"/>
    <x v="1"/>
    <n v="57.17"/>
    <n v="25.5"/>
    <x v="0"/>
    <n v="0"/>
    <x v="0"/>
    <x v="3"/>
  </r>
  <r>
    <n v="11313"/>
    <x v="1"/>
    <n v="44"/>
    <n v="0"/>
    <n v="0"/>
    <x v="2"/>
    <x v="0"/>
    <x v="0"/>
    <x v="1"/>
    <n v="86.15"/>
    <n v="21.3"/>
    <x v="1"/>
    <n v="0"/>
    <x v="1"/>
    <x v="2"/>
  </r>
  <r>
    <n v="38070"/>
    <x v="1"/>
    <n v="56"/>
    <n v="0"/>
    <n v="0"/>
    <x v="2"/>
    <x v="0"/>
    <x v="0"/>
    <x v="1"/>
    <n v="163.02000000000001"/>
    <n v="29.6"/>
    <x v="1"/>
    <n v="0"/>
    <x v="1"/>
    <x v="3"/>
  </r>
  <r>
    <n v="50455"/>
    <x v="1"/>
    <n v="67"/>
    <n v="0"/>
    <n v="0"/>
    <x v="1"/>
    <x v="0"/>
    <x v="1"/>
    <x v="0"/>
    <n v="110.41"/>
    <n v="28.7"/>
    <x v="1"/>
    <n v="0"/>
    <x v="0"/>
    <x v="3"/>
  </r>
  <r>
    <n v="31766"/>
    <x v="0"/>
    <n v="18"/>
    <n v="0"/>
    <n v="0"/>
    <x v="2"/>
    <x v="1"/>
    <x v="0"/>
    <x v="1"/>
    <n v="102.58"/>
    <n v="30.8"/>
    <x v="1"/>
    <n v="0"/>
    <x v="2"/>
    <x v="0"/>
  </r>
  <r>
    <n v="24245"/>
    <x v="0"/>
    <n v="55"/>
    <n v="0"/>
    <n v="0"/>
    <x v="2"/>
    <x v="0"/>
    <x v="0"/>
    <x v="0"/>
    <n v="90.97"/>
    <n v="32.1"/>
    <x v="3"/>
    <n v="0"/>
    <x v="1"/>
    <x v="0"/>
  </r>
  <r>
    <n v="50726"/>
    <x v="0"/>
    <n v="61"/>
    <n v="0"/>
    <n v="0"/>
    <x v="1"/>
    <x v="0"/>
    <x v="0"/>
    <x v="1"/>
    <n v="140.96"/>
    <n v="34"/>
    <x v="2"/>
    <n v="0"/>
    <x v="0"/>
    <x v="0"/>
  </r>
  <r>
    <n v="29955"/>
    <x v="0"/>
    <n v="0.08"/>
    <n v="0"/>
    <n v="0"/>
    <x v="2"/>
    <x v="1"/>
    <x v="3"/>
    <x v="1"/>
    <n v="70.33"/>
    <n v="16.899999999999999"/>
    <x v="3"/>
    <n v="0"/>
    <x v="2"/>
    <x v="4"/>
  </r>
  <r>
    <n v="64742"/>
    <x v="0"/>
    <n v="48"/>
    <n v="0"/>
    <n v="0"/>
    <x v="2"/>
    <x v="1"/>
    <x v="1"/>
    <x v="1"/>
    <n v="64.180000000000007"/>
    <n v="32.1"/>
    <x v="1"/>
    <n v="0"/>
    <x v="1"/>
    <x v="0"/>
  </r>
  <r>
    <n v="48518"/>
    <x v="0"/>
    <n v="44"/>
    <n v="0"/>
    <n v="0"/>
    <x v="2"/>
    <x v="0"/>
    <x v="1"/>
    <x v="1"/>
    <n v="127.57"/>
    <n v="22.6"/>
    <x v="1"/>
    <n v="0"/>
    <x v="1"/>
    <x v="2"/>
  </r>
  <r>
    <n v="42999"/>
    <x v="1"/>
    <n v="68"/>
    <n v="0"/>
    <n v="0"/>
    <x v="1"/>
    <x v="0"/>
    <x v="0"/>
    <x v="0"/>
    <n v="109.23"/>
    <n v="31.3"/>
    <x v="1"/>
    <n v="0"/>
    <x v="0"/>
    <x v="0"/>
  </r>
  <r>
    <n v="71447"/>
    <x v="0"/>
    <n v="52"/>
    <n v="0"/>
    <n v="1"/>
    <x v="2"/>
    <x v="0"/>
    <x v="0"/>
    <x v="0"/>
    <n v="124.49"/>
    <n v="29"/>
    <x v="1"/>
    <n v="0"/>
    <x v="1"/>
    <x v="3"/>
  </r>
  <r>
    <n v="61437"/>
    <x v="0"/>
    <n v="15"/>
    <n v="0"/>
    <n v="0"/>
    <x v="2"/>
    <x v="1"/>
    <x v="2"/>
    <x v="1"/>
    <n v="142.82"/>
    <n v="27.6"/>
    <x v="1"/>
    <n v="0"/>
    <x v="2"/>
    <x v="3"/>
  </r>
  <r>
    <n v="50428"/>
    <x v="0"/>
    <n v="2"/>
    <n v="0"/>
    <n v="0"/>
    <x v="2"/>
    <x v="1"/>
    <x v="3"/>
    <x v="1"/>
    <n v="75.69"/>
    <n v="17.7"/>
    <x v="3"/>
    <n v="0"/>
    <x v="2"/>
    <x v="4"/>
  </r>
  <r>
    <n v="8816"/>
    <x v="0"/>
    <n v="60"/>
    <n v="0"/>
    <n v="0"/>
    <x v="1"/>
    <x v="0"/>
    <x v="0"/>
    <x v="0"/>
    <n v="74.08"/>
    <n v="35.9"/>
    <x v="3"/>
    <n v="0"/>
    <x v="0"/>
    <x v="0"/>
  </r>
  <r>
    <n v="49556"/>
    <x v="1"/>
    <n v="37"/>
    <n v="0"/>
    <n v="0"/>
    <x v="2"/>
    <x v="0"/>
    <x v="2"/>
    <x v="0"/>
    <n v="75.98"/>
    <n v="33.799999999999997"/>
    <x v="3"/>
    <n v="0"/>
    <x v="2"/>
    <x v="0"/>
  </r>
  <r>
    <n v="67654"/>
    <x v="1"/>
    <n v="5"/>
    <n v="0"/>
    <n v="0"/>
    <x v="2"/>
    <x v="1"/>
    <x v="3"/>
    <x v="1"/>
    <n v="57.8"/>
    <n v="17.600000000000001"/>
    <x v="3"/>
    <n v="0"/>
    <x v="2"/>
    <x v="4"/>
  </r>
  <r>
    <n v="21989"/>
    <x v="1"/>
    <n v="25"/>
    <n v="0"/>
    <n v="0"/>
    <x v="2"/>
    <x v="1"/>
    <x v="0"/>
    <x v="0"/>
    <n v="76.44"/>
    <n v="48.3"/>
    <x v="3"/>
    <n v="0"/>
    <x v="2"/>
    <x v="0"/>
  </r>
  <r>
    <n v="46434"/>
    <x v="0"/>
    <n v="52"/>
    <n v="1"/>
    <n v="0"/>
    <x v="2"/>
    <x v="0"/>
    <x v="2"/>
    <x v="0"/>
    <n v="214.43"/>
    <n v="39.9"/>
    <x v="2"/>
    <n v="0"/>
    <x v="1"/>
    <x v="0"/>
  </r>
  <r>
    <n v="3205"/>
    <x v="1"/>
    <n v="79"/>
    <n v="0"/>
    <n v="0"/>
    <x v="1"/>
    <x v="0"/>
    <x v="1"/>
    <x v="0"/>
    <n v="79.03"/>
    <n v="11.3"/>
    <x v="3"/>
    <n v="0"/>
    <x v="0"/>
    <x v="4"/>
  </r>
  <r>
    <n v="68692"/>
    <x v="0"/>
    <n v="61"/>
    <n v="1"/>
    <n v="0"/>
    <x v="0"/>
    <x v="0"/>
    <x v="0"/>
    <x v="0"/>
    <n v="66.459999999999994"/>
    <n v="31.5"/>
    <x v="0"/>
    <n v="0"/>
    <x v="0"/>
    <x v="0"/>
  </r>
  <r>
    <n v="44531"/>
    <x v="0"/>
    <n v="36"/>
    <n v="0"/>
    <n v="0"/>
    <x v="2"/>
    <x v="0"/>
    <x v="0"/>
    <x v="0"/>
    <n v="56.42"/>
    <n v="29.6"/>
    <x v="1"/>
    <n v="0"/>
    <x v="2"/>
    <x v="3"/>
  </r>
  <r>
    <n v="70392"/>
    <x v="0"/>
    <n v="34"/>
    <n v="0"/>
    <n v="0"/>
    <x v="2"/>
    <x v="0"/>
    <x v="0"/>
    <x v="1"/>
    <n v="112.72"/>
    <n v="19.399999999999999"/>
    <x v="3"/>
    <n v="0"/>
    <x v="2"/>
    <x v="2"/>
  </r>
  <r>
    <n v="37025"/>
    <x v="1"/>
    <n v="2"/>
    <n v="0"/>
    <n v="0"/>
    <x v="2"/>
    <x v="1"/>
    <x v="3"/>
    <x v="0"/>
    <n v="114.02"/>
    <n v="18.100000000000001"/>
    <x v="3"/>
    <n v="0"/>
    <x v="2"/>
    <x v="4"/>
  </r>
  <r>
    <n v="68965"/>
    <x v="0"/>
    <n v="43"/>
    <n v="0"/>
    <n v="0"/>
    <x v="2"/>
    <x v="0"/>
    <x v="0"/>
    <x v="0"/>
    <n v="72.33"/>
    <n v="36.200000000000003"/>
    <x v="2"/>
    <n v="0"/>
    <x v="1"/>
    <x v="0"/>
  </r>
  <r>
    <n v="53843"/>
    <x v="1"/>
    <n v="1.48"/>
    <n v="0"/>
    <n v="0"/>
    <x v="2"/>
    <x v="1"/>
    <x v="3"/>
    <x v="1"/>
    <n v="55.59"/>
    <n v="17.899999999999999"/>
    <x v="3"/>
    <n v="0"/>
    <x v="2"/>
    <x v="4"/>
  </r>
  <r>
    <n v="5236"/>
    <x v="1"/>
    <n v="49"/>
    <n v="0"/>
    <n v="0"/>
    <x v="2"/>
    <x v="0"/>
    <x v="0"/>
    <x v="1"/>
    <n v="73.48"/>
    <n v="33"/>
    <x v="1"/>
    <n v="0"/>
    <x v="1"/>
    <x v="0"/>
  </r>
  <r>
    <n v="32110"/>
    <x v="1"/>
    <n v="2"/>
    <n v="0"/>
    <n v="0"/>
    <x v="2"/>
    <x v="1"/>
    <x v="3"/>
    <x v="0"/>
    <n v="105.05"/>
    <n v="20.399999999999999"/>
    <x v="3"/>
    <n v="0"/>
    <x v="2"/>
    <x v="2"/>
  </r>
  <r>
    <n v="17893"/>
    <x v="1"/>
    <n v="82"/>
    <n v="0"/>
    <n v="0"/>
    <x v="1"/>
    <x v="0"/>
    <x v="1"/>
    <x v="0"/>
    <n v="84.78"/>
    <n v="33.6"/>
    <x v="0"/>
    <n v="0"/>
    <x v="0"/>
    <x v="0"/>
  </r>
  <r>
    <n v="65794"/>
    <x v="1"/>
    <n v="81"/>
    <n v="1"/>
    <n v="0"/>
    <x v="0"/>
    <x v="0"/>
    <x v="0"/>
    <x v="1"/>
    <n v="164.77"/>
    <n v="34.5"/>
    <x v="1"/>
    <n v="0"/>
    <x v="0"/>
    <x v="0"/>
  </r>
  <r>
    <n v="65955"/>
    <x v="0"/>
    <n v="81"/>
    <n v="1"/>
    <n v="1"/>
    <x v="0"/>
    <x v="1"/>
    <x v="0"/>
    <x v="1"/>
    <n v="220.64"/>
    <n v="30"/>
    <x v="1"/>
    <n v="0"/>
    <x v="0"/>
    <x v="0"/>
  </r>
  <r>
    <n v="53924"/>
    <x v="1"/>
    <n v="1.08"/>
    <n v="0"/>
    <n v="0"/>
    <x v="2"/>
    <x v="1"/>
    <x v="3"/>
    <x v="0"/>
    <n v="159.38999999999999"/>
    <n v="12.8"/>
    <x v="3"/>
    <n v="0"/>
    <x v="2"/>
    <x v="4"/>
  </r>
  <r>
    <n v="70674"/>
    <x v="0"/>
    <n v="60"/>
    <n v="0"/>
    <n v="0"/>
    <x v="1"/>
    <x v="0"/>
    <x v="1"/>
    <x v="0"/>
    <n v="69.53"/>
    <n v="26.2"/>
    <x v="1"/>
    <n v="0"/>
    <x v="0"/>
    <x v="3"/>
  </r>
  <r>
    <n v="56410"/>
    <x v="0"/>
    <n v="1.88"/>
    <n v="0"/>
    <n v="0"/>
    <x v="2"/>
    <x v="1"/>
    <x v="3"/>
    <x v="0"/>
    <n v="81.42"/>
    <n v="13.5"/>
    <x v="3"/>
    <n v="0"/>
    <x v="2"/>
    <x v="4"/>
  </r>
  <r>
    <n v="9955"/>
    <x v="1"/>
    <n v="58"/>
    <n v="0"/>
    <n v="0"/>
    <x v="2"/>
    <x v="1"/>
    <x v="0"/>
    <x v="0"/>
    <n v="83.93"/>
    <n v="25.6"/>
    <x v="0"/>
    <n v="0"/>
    <x v="1"/>
    <x v="3"/>
  </r>
  <r>
    <n v="8410"/>
    <x v="1"/>
    <n v="8"/>
    <n v="0"/>
    <n v="0"/>
    <x v="2"/>
    <x v="1"/>
    <x v="3"/>
    <x v="1"/>
    <n v="98.9"/>
    <n v="18.8"/>
    <x v="3"/>
    <n v="0"/>
    <x v="2"/>
    <x v="2"/>
  </r>
  <r>
    <n v="46854"/>
    <x v="1"/>
    <n v="9"/>
    <n v="0"/>
    <n v="0"/>
    <x v="2"/>
    <x v="1"/>
    <x v="3"/>
    <x v="0"/>
    <n v="82.64"/>
    <n v="14.5"/>
    <x v="3"/>
    <n v="0"/>
    <x v="2"/>
    <x v="4"/>
  </r>
  <r>
    <n v="8168"/>
    <x v="1"/>
    <n v="34"/>
    <n v="0"/>
    <n v="0"/>
    <x v="2"/>
    <x v="0"/>
    <x v="0"/>
    <x v="1"/>
    <n v="112.54"/>
    <n v="23.4"/>
    <x v="0"/>
    <n v="0"/>
    <x v="2"/>
    <x v="2"/>
  </r>
  <r>
    <n v="30405"/>
    <x v="1"/>
    <n v="23"/>
    <n v="0"/>
    <n v="0"/>
    <x v="2"/>
    <x v="1"/>
    <x v="0"/>
    <x v="1"/>
    <n v="75.25"/>
    <n v="39.700000000000003"/>
    <x v="0"/>
    <n v="0"/>
    <x v="2"/>
    <x v="0"/>
  </r>
  <r>
    <n v="1301"/>
    <x v="1"/>
    <n v="74"/>
    <n v="0"/>
    <n v="0"/>
    <x v="1"/>
    <x v="1"/>
    <x v="1"/>
    <x v="0"/>
    <n v="204.77"/>
    <n v="40.799999999999997"/>
    <x v="1"/>
    <n v="0"/>
    <x v="0"/>
    <x v="0"/>
  </r>
  <r>
    <n v="42348"/>
    <x v="0"/>
    <n v="72"/>
    <n v="0"/>
    <n v="1"/>
    <x v="0"/>
    <x v="0"/>
    <x v="1"/>
    <x v="0"/>
    <n v="63.86"/>
    <n v="29.5"/>
    <x v="2"/>
    <n v="0"/>
    <x v="0"/>
    <x v="3"/>
  </r>
  <r>
    <n v="38560"/>
    <x v="0"/>
    <n v="47"/>
    <n v="0"/>
    <n v="0"/>
    <x v="2"/>
    <x v="0"/>
    <x v="0"/>
    <x v="1"/>
    <n v="72.2"/>
    <n v="33"/>
    <x v="3"/>
    <n v="0"/>
    <x v="1"/>
    <x v="0"/>
  </r>
  <r>
    <n v="48129"/>
    <x v="1"/>
    <n v="56"/>
    <n v="0"/>
    <n v="0"/>
    <x v="2"/>
    <x v="0"/>
    <x v="0"/>
    <x v="0"/>
    <n v="80.08"/>
    <n v="25.6"/>
    <x v="1"/>
    <n v="0"/>
    <x v="1"/>
    <x v="3"/>
  </r>
  <r>
    <n v="10511"/>
    <x v="0"/>
    <n v="5"/>
    <n v="0"/>
    <n v="0"/>
    <x v="2"/>
    <x v="1"/>
    <x v="3"/>
    <x v="0"/>
    <n v="101.61"/>
    <n v="33.1"/>
    <x v="3"/>
    <n v="0"/>
    <x v="2"/>
    <x v="0"/>
  </r>
  <r>
    <n v="42481"/>
    <x v="0"/>
    <n v="27"/>
    <n v="0"/>
    <n v="0"/>
    <x v="2"/>
    <x v="0"/>
    <x v="0"/>
    <x v="0"/>
    <n v="114.32"/>
    <n v="28.1"/>
    <x v="3"/>
    <n v="0"/>
    <x v="2"/>
    <x v="3"/>
  </r>
  <r>
    <n v="59872"/>
    <x v="1"/>
    <n v="38"/>
    <n v="0"/>
    <n v="0"/>
    <x v="2"/>
    <x v="0"/>
    <x v="0"/>
    <x v="1"/>
    <n v="80.819999999999993"/>
    <n v="49.3"/>
    <x v="1"/>
    <n v="0"/>
    <x v="2"/>
    <x v="0"/>
  </r>
  <r>
    <n v="56282"/>
    <x v="0"/>
    <n v="13"/>
    <n v="0"/>
    <n v="0"/>
    <x v="2"/>
    <x v="1"/>
    <x v="0"/>
    <x v="1"/>
    <n v="90.6"/>
    <n v="16.899999999999999"/>
    <x v="1"/>
    <n v="0"/>
    <x v="2"/>
    <x v="4"/>
  </r>
  <r>
    <n v="6540"/>
    <x v="1"/>
    <n v="41"/>
    <n v="0"/>
    <n v="0"/>
    <x v="2"/>
    <x v="0"/>
    <x v="0"/>
    <x v="1"/>
    <n v="93.67"/>
    <n v="35.9"/>
    <x v="3"/>
    <n v="0"/>
    <x v="1"/>
    <x v="0"/>
  </r>
  <r>
    <n v="31378"/>
    <x v="1"/>
    <n v="50"/>
    <n v="0"/>
    <n v="0"/>
    <x v="2"/>
    <x v="0"/>
    <x v="1"/>
    <x v="1"/>
    <n v="87.15"/>
    <n v="32.1"/>
    <x v="1"/>
    <n v="0"/>
    <x v="1"/>
    <x v="0"/>
  </r>
  <r>
    <n v="32317"/>
    <x v="1"/>
    <n v="41"/>
    <n v="0"/>
    <n v="0"/>
    <x v="2"/>
    <x v="0"/>
    <x v="0"/>
    <x v="0"/>
    <n v="80.72"/>
    <n v="34.1"/>
    <x v="2"/>
    <n v="0"/>
    <x v="1"/>
    <x v="0"/>
  </r>
  <r>
    <n v="9948"/>
    <x v="0"/>
    <n v="6"/>
    <n v="0"/>
    <n v="0"/>
    <x v="2"/>
    <x v="1"/>
    <x v="3"/>
    <x v="0"/>
    <n v="83.16"/>
    <n v="15.1"/>
    <x v="3"/>
    <n v="0"/>
    <x v="2"/>
    <x v="4"/>
  </r>
  <r>
    <n v="35182"/>
    <x v="1"/>
    <n v="62"/>
    <n v="0"/>
    <n v="0"/>
    <x v="1"/>
    <x v="0"/>
    <x v="2"/>
    <x v="1"/>
    <n v="98.14"/>
    <n v="42"/>
    <x v="3"/>
    <n v="0"/>
    <x v="0"/>
    <x v="0"/>
  </r>
  <r>
    <n v="5655"/>
    <x v="0"/>
    <n v="4"/>
    <n v="0"/>
    <n v="0"/>
    <x v="2"/>
    <x v="1"/>
    <x v="3"/>
    <x v="0"/>
    <n v="83.13"/>
    <n v="16.8"/>
    <x v="3"/>
    <n v="0"/>
    <x v="2"/>
    <x v="4"/>
  </r>
  <r>
    <n v="51762"/>
    <x v="1"/>
    <n v="59"/>
    <n v="0"/>
    <n v="0"/>
    <x v="2"/>
    <x v="0"/>
    <x v="0"/>
    <x v="1"/>
    <n v="134.24"/>
    <n v="28.8"/>
    <x v="3"/>
    <n v="0"/>
    <x v="1"/>
    <x v="3"/>
  </r>
  <r>
    <n v="68193"/>
    <x v="0"/>
    <n v="63"/>
    <n v="0"/>
    <n v="0"/>
    <x v="1"/>
    <x v="0"/>
    <x v="1"/>
    <x v="0"/>
    <n v="248.37"/>
    <n v="32.200000000000003"/>
    <x v="2"/>
    <n v="0"/>
    <x v="0"/>
    <x v="0"/>
  </r>
  <r>
    <n v="49459"/>
    <x v="0"/>
    <n v="9"/>
    <n v="0"/>
    <n v="0"/>
    <x v="2"/>
    <x v="1"/>
    <x v="3"/>
    <x v="1"/>
    <n v="61.75"/>
    <n v="16.2"/>
    <x v="3"/>
    <n v="0"/>
    <x v="2"/>
    <x v="4"/>
  </r>
  <r>
    <n v="54776"/>
    <x v="0"/>
    <n v="41"/>
    <n v="0"/>
    <n v="0"/>
    <x v="2"/>
    <x v="1"/>
    <x v="0"/>
    <x v="0"/>
    <n v="70.55"/>
    <n v="44.2"/>
    <x v="3"/>
    <n v="0"/>
    <x v="1"/>
    <x v="0"/>
  </r>
  <r>
    <n v="45701"/>
    <x v="1"/>
    <n v="72"/>
    <n v="0"/>
    <n v="1"/>
    <x v="0"/>
    <x v="1"/>
    <x v="1"/>
    <x v="1"/>
    <n v="124.38"/>
    <n v="23.4"/>
    <x v="0"/>
    <n v="0"/>
    <x v="0"/>
    <x v="2"/>
  </r>
  <r>
    <n v="7953"/>
    <x v="1"/>
    <n v="45"/>
    <n v="0"/>
    <n v="0"/>
    <x v="2"/>
    <x v="0"/>
    <x v="0"/>
    <x v="1"/>
    <n v="92.21"/>
    <n v="31"/>
    <x v="1"/>
    <n v="0"/>
    <x v="1"/>
    <x v="0"/>
  </r>
  <r>
    <n v="65508"/>
    <x v="0"/>
    <n v="80"/>
    <n v="0"/>
    <n v="0"/>
    <x v="1"/>
    <x v="0"/>
    <x v="2"/>
    <x v="0"/>
    <n v="148.72"/>
    <n v="28.7"/>
    <x v="1"/>
    <n v="0"/>
    <x v="0"/>
    <x v="3"/>
  </r>
  <r>
    <n v="68539"/>
    <x v="1"/>
    <n v="19"/>
    <n v="0"/>
    <n v="0"/>
    <x v="2"/>
    <x v="1"/>
    <x v="0"/>
    <x v="0"/>
    <n v="79.25"/>
    <n v="23.6"/>
    <x v="3"/>
    <n v="0"/>
    <x v="2"/>
    <x v="2"/>
  </r>
  <r>
    <n v="12022"/>
    <x v="0"/>
    <n v="37"/>
    <n v="0"/>
    <n v="0"/>
    <x v="2"/>
    <x v="0"/>
    <x v="2"/>
    <x v="0"/>
    <n v="82.09"/>
    <n v="35.700000000000003"/>
    <x v="2"/>
    <n v="0"/>
    <x v="2"/>
    <x v="0"/>
  </r>
  <r>
    <n v="3348"/>
    <x v="1"/>
    <n v="58"/>
    <n v="1"/>
    <n v="0"/>
    <x v="2"/>
    <x v="0"/>
    <x v="0"/>
    <x v="0"/>
    <n v="194.53"/>
    <n v="39.5"/>
    <x v="1"/>
    <n v="0"/>
    <x v="1"/>
    <x v="0"/>
  </r>
  <r>
    <n v="58466"/>
    <x v="0"/>
    <n v="77"/>
    <n v="0"/>
    <n v="0"/>
    <x v="1"/>
    <x v="0"/>
    <x v="0"/>
    <x v="1"/>
    <n v="98.84"/>
    <n v="27.3"/>
    <x v="3"/>
    <n v="0"/>
    <x v="0"/>
    <x v="3"/>
  </r>
  <r>
    <n v="50434"/>
    <x v="0"/>
    <n v="38"/>
    <n v="0"/>
    <n v="0"/>
    <x v="2"/>
    <x v="0"/>
    <x v="2"/>
    <x v="1"/>
    <n v="135.74"/>
    <n v="31.3"/>
    <x v="0"/>
    <n v="0"/>
    <x v="2"/>
    <x v="0"/>
  </r>
  <r>
    <n v="49974"/>
    <x v="0"/>
    <n v="49"/>
    <n v="0"/>
    <n v="0"/>
    <x v="2"/>
    <x v="0"/>
    <x v="0"/>
    <x v="1"/>
    <n v="66.55"/>
    <n v="33.4"/>
    <x v="3"/>
    <n v="0"/>
    <x v="1"/>
    <x v="0"/>
  </r>
  <r>
    <n v="54574"/>
    <x v="1"/>
    <n v="20"/>
    <n v="0"/>
    <n v="0"/>
    <x v="2"/>
    <x v="1"/>
    <x v="0"/>
    <x v="0"/>
    <n v="115.69"/>
    <n v="29.2"/>
    <x v="1"/>
    <n v="0"/>
    <x v="2"/>
    <x v="3"/>
  </r>
  <r>
    <n v="39342"/>
    <x v="0"/>
    <n v="23"/>
    <n v="0"/>
    <n v="0"/>
    <x v="2"/>
    <x v="1"/>
    <x v="0"/>
    <x v="1"/>
    <n v="67.760000000000005"/>
    <n v="26"/>
    <x v="1"/>
    <n v="0"/>
    <x v="2"/>
    <x v="3"/>
  </r>
  <r>
    <n v="2972"/>
    <x v="0"/>
    <n v="55"/>
    <n v="0"/>
    <n v="0"/>
    <x v="2"/>
    <x v="1"/>
    <x v="2"/>
    <x v="1"/>
    <n v="88.65"/>
    <n v="18.100000000000001"/>
    <x v="0"/>
    <n v="0"/>
    <x v="1"/>
    <x v="4"/>
  </r>
  <r>
    <n v="32717"/>
    <x v="0"/>
    <n v="16"/>
    <n v="0"/>
    <n v="0"/>
    <x v="2"/>
    <x v="1"/>
    <x v="3"/>
    <x v="1"/>
    <n v="106.11"/>
    <n v="22.4"/>
    <x v="3"/>
    <n v="0"/>
    <x v="2"/>
    <x v="2"/>
  </r>
  <r>
    <n v="14063"/>
    <x v="0"/>
    <n v="81"/>
    <n v="0"/>
    <n v="1"/>
    <x v="0"/>
    <x v="1"/>
    <x v="1"/>
    <x v="1"/>
    <n v="95.49"/>
    <n v="29.4"/>
    <x v="3"/>
    <n v="0"/>
    <x v="0"/>
    <x v="3"/>
  </r>
  <r>
    <n v="71724"/>
    <x v="1"/>
    <n v="23"/>
    <n v="0"/>
    <n v="0"/>
    <x v="2"/>
    <x v="1"/>
    <x v="0"/>
    <x v="0"/>
    <n v="59.07"/>
    <n v="21.6"/>
    <x v="1"/>
    <n v="0"/>
    <x v="2"/>
    <x v="2"/>
  </r>
  <r>
    <n v="4753"/>
    <x v="0"/>
    <n v="82"/>
    <n v="0"/>
    <n v="1"/>
    <x v="0"/>
    <x v="0"/>
    <x v="1"/>
    <x v="0"/>
    <n v="228.92"/>
    <n v="27.9"/>
    <x v="0"/>
    <n v="0"/>
    <x v="0"/>
    <x v="3"/>
  </r>
  <r>
    <n v="62076"/>
    <x v="0"/>
    <n v="48"/>
    <n v="0"/>
    <n v="0"/>
    <x v="2"/>
    <x v="0"/>
    <x v="0"/>
    <x v="1"/>
    <n v="62.89"/>
    <n v="29.6"/>
    <x v="3"/>
    <n v="0"/>
    <x v="1"/>
    <x v="3"/>
  </r>
  <r>
    <n v="6665"/>
    <x v="0"/>
    <n v="56"/>
    <n v="0"/>
    <n v="0"/>
    <x v="2"/>
    <x v="0"/>
    <x v="0"/>
    <x v="1"/>
    <n v="96.84"/>
    <n v="30.2"/>
    <x v="3"/>
    <n v="0"/>
    <x v="1"/>
    <x v="0"/>
  </r>
  <r>
    <n v="51385"/>
    <x v="0"/>
    <n v="61"/>
    <n v="0"/>
    <n v="0"/>
    <x v="1"/>
    <x v="0"/>
    <x v="0"/>
    <x v="1"/>
    <n v="81.25"/>
    <n v="43.4"/>
    <x v="2"/>
    <n v="0"/>
    <x v="0"/>
    <x v="0"/>
  </r>
  <r>
    <n v="66973"/>
    <x v="0"/>
    <n v="43"/>
    <n v="0"/>
    <n v="0"/>
    <x v="2"/>
    <x v="0"/>
    <x v="0"/>
    <x v="0"/>
    <n v="92.71"/>
    <n v="30.5"/>
    <x v="0"/>
    <n v="0"/>
    <x v="1"/>
    <x v="0"/>
  </r>
  <r>
    <n v="59671"/>
    <x v="1"/>
    <n v="39"/>
    <n v="0"/>
    <n v="0"/>
    <x v="2"/>
    <x v="1"/>
    <x v="0"/>
    <x v="1"/>
    <n v="85.59"/>
    <n v="33.200000000000003"/>
    <x v="3"/>
    <n v="0"/>
    <x v="2"/>
    <x v="0"/>
  </r>
  <r>
    <n v="3946"/>
    <x v="1"/>
    <n v="22"/>
    <n v="0"/>
    <n v="0"/>
    <x v="2"/>
    <x v="0"/>
    <x v="0"/>
    <x v="0"/>
    <n v="89.06"/>
    <n v="27.7"/>
    <x v="1"/>
    <n v="0"/>
    <x v="2"/>
    <x v="3"/>
  </r>
  <r>
    <n v="17623"/>
    <x v="0"/>
    <n v="41"/>
    <n v="0"/>
    <n v="0"/>
    <x v="2"/>
    <x v="1"/>
    <x v="1"/>
    <x v="0"/>
    <n v="87.44"/>
    <n v="33.5"/>
    <x v="3"/>
    <n v="0"/>
    <x v="1"/>
    <x v="0"/>
  </r>
  <r>
    <n v="50644"/>
    <x v="0"/>
    <n v="37"/>
    <n v="0"/>
    <n v="0"/>
    <x v="2"/>
    <x v="0"/>
    <x v="0"/>
    <x v="0"/>
    <n v="64.069999999999993"/>
    <n v="28"/>
    <x v="3"/>
    <n v="0"/>
    <x v="2"/>
    <x v="3"/>
  </r>
  <r>
    <n v="54294"/>
    <x v="1"/>
    <n v="65"/>
    <n v="0"/>
    <n v="0"/>
    <x v="1"/>
    <x v="0"/>
    <x v="2"/>
    <x v="0"/>
    <n v="79.39"/>
    <n v="31.5"/>
    <x v="0"/>
    <n v="0"/>
    <x v="0"/>
    <x v="0"/>
  </r>
  <r>
    <n v="46767"/>
    <x v="1"/>
    <n v="8"/>
    <n v="0"/>
    <n v="0"/>
    <x v="2"/>
    <x v="1"/>
    <x v="3"/>
    <x v="1"/>
    <n v="67.84"/>
    <n v="24"/>
    <x v="3"/>
    <n v="0"/>
    <x v="2"/>
    <x v="2"/>
  </r>
  <r>
    <n v="12911"/>
    <x v="1"/>
    <n v="51"/>
    <n v="0"/>
    <n v="0"/>
    <x v="2"/>
    <x v="0"/>
    <x v="0"/>
    <x v="1"/>
    <n v="81.73"/>
    <n v="27.4"/>
    <x v="1"/>
    <n v="0"/>
    <x v="1"/>
    <x v="3"/>
  </r>
  <r>
    <n v="16109"/>
    <x v="0"/>
    <n v="63"/>
    <n v="0"/>
    <n v="0"/>
    <x v="1"/>
    <x v="0"/>
    <x v="0"/>
    <x v="0"/>
    <n v="105.52"/>
    <n v="37.9"/>
    <x v="0"/>
    <n v="0"/>
    <x v="0"/>
    <x v="0"/>
  </r>
  <r>
    <n v="47499"/>
    <x v="1"/>
    <n v="48"/>
    <n v="0"/>
    <n v="0"/>
    <x v="2"/>
    <x v="0"/>
    <x v="2"/>
    <x v="1"/>
    <n v="77.55"/>
    <n v="26.2"/>
    <x v="3"/>
    <n v="0"/>
    <x v="1"/>
    <x v="3"/>
  </r>
  <r>
    <n v="8790"/>
    <x v="1"/>
    <n v="17"/>
    <n v="0"/>
    <n v="0"/>
    <x v="2"/>
    <x v="1"/>
    <x v="0"/>
    <x v="0"/>
    <n v="127.42"/>
    <n v="22.4"/>
    <x v="3"/>
    <n v="0"/>
    <x v="2"/>
    <x v="2"/>
  </r>
  <r>
    <n v="11259"/>
    <x v="1"/>
    <n v="53"/>
    <n v="0"/>
    <n v="0"/>
    <x v="2"/>
    <x v="0"/>
    <x v="0"/>
    <x v="0"/>
    <n v="227.68"/>
    <s v="N/A"/>
    <x v="1"/>
    <n v="0"/>
    <x v="1"/>
    <x v="1"/>
  </r>
  <r>
    <n v="12003"/>
    <x v="1"/>
    <n v="75"/>
    <n v="0"/>
    <n v="0"/>
    <x v="1"/>
    <x v="0"/>
    <x v="0"/>
    <x v="1"/>
    <n v="226.73"/>
    <n v="43.7"/>
    <x v="1"/>
    <n v="0"/>
    <x v="0"/>
    <x v="0"/>
  </r>
  <r>
    <n v="71099"/>
    <x v="1"/>
    <n v="51"/>
    <n v="0"/>
    <n v="0"/>
    <x v="2"/>
    <x v="0"/>
    <x v="1"/>
    <x v="0"/>
    <n v="89.74"/>
    <n v="28.4"/>
    <x v="1"/>
    <n v="0"/>
    <x v="1"/>
    <x v="3"/>
  </r>
  <r>
    <n v="62090"/>
    <x v="0"/>
    <n v="51"/>
    <n v="0"/>
    <n v="0"/>
    <x v="2"/>
    <x v="1"/>
    <x v="1"/>
    <x v="1"/>
    <n v="219.17"/>
    <n v="29.8"/>
    <x v="1"/>
    <n v="0"/>
    <x v="1"/>
    <x v="3"/>
  </r>
  <r>
    <n v="10138"/>
    <x v="1"/>
    <n v="41"/>
    <n v="0"/>
    <n v="0"/>
    <x v="2"/>
    <x v="0"/>
    <x v="0"/>
    <x v="0"/>
    <n v="74.849999999999994"/>
    <n v="24.8"/>
    <x v="0"/>
    <n v="0"/>
    <x v="1"/>
    <x v="2"/>
  </r>
  <r>
    <n v="71424"/>
    <x v="1"/>
    <n v="75"/>
    <n v="1"/>
    <n v="0"/>
    <x v="0"/>
    <x v="0"/>
    <x v="1"/>
    <x v="0"/>
    <n v="55.96"/>
    <n v="34.799999999999997"/>
    <x v="1"/>
    <n v="0"/>
    <x v="0"/>
    <x v="0"/>
  </r>
  <r>
    <n v="44759"/>
    <x v="0"/>
    <n v="57"/>
    <n v="0"/>
    <n v="0"/>
    <x v="2"/>
    <x v="0"/>
    <x v="0"/>
    <x v="0"/>
    <n v="215.92"/>
    <n v="27.4"/>
    <x v="2"/>
    <n v="0"/>
    <x v="1"/>
    <x v="3"/>
  </r>
  <r>
    <n v="21953"/>
    <x v="1"/>
    <n v="33"/>
    <n v="0"/>
    <n v="0"/>
    <x v="2"/>
    <x v="1"/>
    <x v="0"/>
    <x v="0"/>
    <n v="84.4"/>
    <s v="N/A"/>
    <x v="2"/>
    <n v="0"/>
    <x v="2"/>
    <x v="1"/>
  </r>
  <r>
    <n v="52234"/>
    <x v="1"/>
    <n v="72"/>
    <n v="0"/>
    <n v="0"/>
    <x v="1"/>
    <x v="0"/>
    <x v="2"/>
    <x v="0"/>
    <n v="104.05"/>
    <n v="33.5"/>
    <x v="1"/>
    <n v="0"/>
    <x v="0"/>
    <x v="0"/>
  </r>
  <r>
    <n v="46461"/>
    <x v="1"/>
    <n v="52"/>
    <n v="0"/>
    <n v="0"/>
    <x v="2"/>
    <x v="0"/>
    <x v="0"/>
    <x v="0"/>
    <n v="62.54"/>
    <n v="35"/>
    <x v="2"/>
    <n v="0"/>
    <x v="1"/>
    <x v="0"/>
  </r>
  <r>
    <n v="6973"/>
    <x v="0"/>
    <n v="11"/>
    <n v="0"/>
    <n v="0"/>
    <x v="2"/>
    <x v="1"/>
    <x v="3"/>
    <x v="1"/>
    <n v="87.54"/>
    <n v="24.4"/>
    <x v="3"/>
    <n v="0"/>
    <x v="2"/>
    <x v="2"/>
  </r>
  <r>
    <n v="5068"/>
    <x v="1"/>
    <n v="28"/>
    <n v="0"/>
    <n v="0"/>
    <x v="2"/>
    <x v="1"/>
    <x v="0"/>
    <x v="0"/>
    <n v="76.81"/>
    <n v="28.3"/>
    <x v="2"/>
    <n v="0"/>
    <x v="2"/>
    <x v="3"/>
  </r>
  <r>
    <n v="65277"/>
    <x v="1"/>
    <n v="78"/>
    <n v="1"/>
    <n v="0"/>
    <x v="0"/>
    <x v="1"/>
    <x v="1"/>
    <x v="1"/>
    <n v="198.12"/>
    <n v="29.1"/>
    <x v="1"/>
    <n v="0"/>
    <x v="0"/>
    <x v="3"/>
  </r>
  <r>
    <n v="52679"/>
    <x v="1"/>
    <n v="82"/>
    <n v="0"/>
    <n v="0"/>
    <x v="1"/>
    <x v="0"/>
    <x v="1"/>
    <x v="1"/>
    <n v="78"/>
    <n v="31.3"/>
    <x v="0"/>
    <n v="0"/>
    <x v="0"/>
    <x v="0"/>
  </r>
  <r>
    <n v="36728"/>
    <x v="0"/>
    <n v="74"/>
    <n v="0"/>
    <n v="0"/>
    <x v="1"/>
    <x v="0"/>
    <x v="0"/>
    <x v="0"/>
    <n v="79.44"/>
    <n v="32.799999999999997"/>
    <x v="1"/>
    <n v="0"/>
    <x v="0"/>
    <x v="0"/>
  </r>
  <r>
    <n v="46797"/>
    <x v="1"/>
    <n v="31"/>
    <n v="0"/>
    <n v="0"/>
    <x v="2"/>
    <x v="0"/>
    <x v="0"/>
    <x v="1"/>
    <n v="75.819999999999993"/>
    <n v="29.1"/>
    <x v="1"/>
    <n v="0"/>
    <x v="2"/>
    <x v="3"/>
  </r>
  <r>
    <n v="63898"/>
    <x v="1"/>
    <n v="53"/>
    <n v="1"/>
    <n v="0"/>
    <x v="2"/>
    <x v="0"/>
    <x v="0"/>
    <x v="0"/>
    <n v="240.86"/>
    <n v="31.9"/>
    <x v="1"/>
    <n v="0"/>
    <x v="1"/>
    <x v="0"/>
  </r>
  <r>
    <n v="11371"/>
    <x v="0"/>
    <n v="0.24"/>
    <n v="0"/>
    <n v="0"/>
    <x v="2"/>
    <x v="1"/>
    <x v="3"/>
    <x v="0"/>
    <n v="89.28"/>
    <n v="14.2"/>
    <x v="3"/>
    <n v="0"/>
    <x v="2"/>
    <x v="4"/>
  </r>
  <r>
    <n v="13155"/>
    <x v="1"/>
    <n v="67"/>
    <n v="1"/>
    <n v="0"/>
    <x v="0"/>
    <x v="0"/>
    <x v="2"/>
    <x v="1"/>
    <n v="263.56"/>
    <n v="26.3"/>
    <x v="1"/>
    <n v="0"/>
    <x v="0"/>
    <x v="3"/>
  </r>
  <r>
    <n v="27125"/>
    <x v="1"/>
    <n v="17"/>
    <n v="0"/>
    <n v="0"/>
    <x v="2"/>
    <x v="1"/>
    <x v="0"/>
    <x v="0"/>
    <n v="81.13"/>
    <n v="22.8"/>
    <x v="1"/>
    <n v="0"/>
    <x v="2"/>
    <x v="2"/>
  </r>
  <r>
    <n v="15383"/>
    <x v="1"/>
    <n v="29"/>
    <n v="0"/>
    <n v="0"/>
    <x v="2"/>
    <x v="0"/>
    <x v="0"/>
    <x v="0"/>
    <n v="118.44"/>
    <n v="24.8"/>
    <x v="1"/>
    <n v="0"/>
    <x v="2"/>
    <x v="2"/>
  </r>
  <r>
    <n v="19828"/>
    <x v="1"/>
    <n v="56"/>
    <n v="1"/>
    <n v="0"/>
    <x v="2"/>
    <x v="0"/>
    <x v="0"/>
    <x v="1"/>
    <n v="97.37"/>
    <n v="34.1"/>
    <x v="2"/>
    <n v="0"/>
    <x v="1"/>
    <x v="0"/>
  </r>
  <r>
    <n v="6289"/>
    <x v="1"/>
    <n v="15"/>
    <n v="0"/>
    <n v="0"/>
    <x v="2"/>
    <x v="1"/>
    <x v="3"/>
    <x v="0"/>
    <n v="80.510000000000005"/>
    <n v="21.5"/>
    <x v="3"/>
    <n v="0"/>
    <x v="2"/>
    <x v="2"/>
  </r>
  <r>
    <n v="44243"/>
    <x v="1"/>
    <n v="29"/>
    <n v="0"/>
    <n v="0"/>
    <x v="2"/>
    <x v="1"/>
    <x v="0"/>
    <x v="1"/>
    <n v="78.88"/>
    <n v="26.1"/>
    <x v="1"/>
    <n v="0"/>
    <x v="2"/>
    <x v="3"/>
  </r>
  <r>
    <n v="40167"/>
    <x v="1"/>
    <n v="79"/>
    <n v="1"/>
    <n v="1"/>
    <x v="0"/>
    <x v="0"/>
    <x v="2"/>
    <x v="1"/>
    <n v="83.61"/>
    <n v="21.4"/>
    <x v="2"/>
    <n v="0"/>
    <x v="0"/>
    <x v="2"/>
  </r>
  <r>
    <n v="38078"/>
    <x v="1"/>
    <n v="82"/>
    <n v="1"/>
    <n v="1"/>
    <x v="0"/>
    <x v="0"/>
    <x v="0"/>
    <x v="0"/>
    <n v="73.19"/>
    <n v="33.5"/>
    <x v="1"/>
    <n v="0"/>
    <x v="0"/>
    <x v="0"/>
  </r>
  <r>
    <n v="34257"/>
    <x v="0"/>
    <n v="17"/>
    <n v="0"/>
    <n v="0"/>
    <x v="2"/>
    <x v="1"/>
    <x v="2"/>
    <x v="0"/>
    <n v="68.91"/>
    <n v="23"/>
    <x v="3"/>
    <n v="0"/>
    <x v="2"/>
    <x v="2"/>
  </r>
  <r>
    <n v="21653"/>
    <x v="0"/>
    <n v="8"/>
    <n v="0"/>
    <n v="0"/>
    <x v="2"/>
    <x v="1"/>
    <x v="3"/>
    <x v="1"/>
    <n v="104.3"/>
    <n v="18.5"/>
    <x v="3"/>
    <n v="0"/>
    <x v="2"/>
    <x v="2"/>
  </r>
  <r>
    <n v="63764"/>
    <x v="0"/>
    <n v="23"/>
    <n v="0"/>
    <n v="0"/>
    <x v="2"/>
    <x v="1"/>
    <x v="0"/>
    <x v="0"/>
    <n v="87.87"/>
    <n v="23.4"/>
    <x v="1"/>
    <n v="0"/>
    <x v="2"/>
    <x v="2"/>
  </r>
  <r>
    <n v="22194"/>
    <x v="1"/>
    <n v="36"/>
    <n v="0"/>
    <n v="0"/>
    <x v="2"/>
    <x v="0"/>
    <x v="0"/>
    <x v="0"/>
    <n v="96.7"/>
    <n v="31.4"/>
    <x v="3"/>
    <n v="0"/>
    <x v="2"/>
    <x v="0"/>
  </r>
  <r>
    <n v="16010"/>
    <x v="0"/>
    <n v="47"/>
    <n v="0"/>
    <n v="0"/>
    <x v="2"/>
    <x v="0"/>
    <x v="0"/>
    <x v="1"/>
    <n v="91.05"/>
    <n v="31.1"/>
    <x v="0"/>
    <n v="0"/>
    <x v="1"/>
    <x v="0"/>
  </r>
  <r>
    <n v="5074"/>
    <x v="0"/>
    <n v="24"/>
    <n v="0"/>
    <n v="0"/>
    <x v="2"/>
    <x v="1"/>
    <x v="0"/>
    <x v="1"/>
    <n v="200.14"/>
    <n v="37.700000000000003"/>
    <x v="2"/>
    <n v="0"/>
    <x v="2"/>
    <x v="0"/>
  </r>
  <r>
    <n v="10243"/>
    <x v="1"/>
    <n v="60"/>
    <n v="0"/>
    <n v="0"/>
    <x v="1"/>
    <x v="0"/>
    <x v="2"/>
    <x v="0"/>
    <n v="73.040000000000006"/>
    <n v="25.3"/>
    <x v="1"/>
    <n v="0"/>
    <x v="0"/>
    <x v="3"/>
  </r>
  <r>
    <n v="52588"/>
    <x v="1"/>
    <n v="63"/>
    <n v="0"/>
    <n v="0"/>
    <x v="1"/>
    <x v="0"/>
    <x v="0"/>
    <x v="1"/>
    <n v="85.81"/>
    <n v="35.6"/>
    <x v="1"/>
    <n v="0"/>
    <x v="0"/>
    <x v="0"/>
  </r>
  <r>
    <n v="56996"/>
    <x v="0"/>
    <n v="44"/>
    <n v="0"/>
    <n v="0"/>
    <x v="2"/>
    <x v="0"/>
    <x v="0"/>
    <x v="0"/>
    <n v="65.41"/>
    <n v="24.8"/>
    <x v="2"/>
    <n v="0"/>
    <x v="1"/>
    <x v="2"/>
  </r>
  <r>
    <n v="28315"/>
    <x v="0"/>
    <n v="38"/>
    <n v="0"/>
    <n v="0"/>
    <x v="2"/>
    <x v="0"/>
    <x v="0"/>
    <x v="1"/>
    <n v="108.68"/>
    <n v="32.700000000000003"/>
    <x v="1"/>
    <n v="0"/>
    <x v="2"/>
    <x v="0"/>
  </r>
  <r>
    <n v="15104"/>
    <x v="1"/>
    <n v="26"/>
    <n v="0"/>
    <n v="0"/>
    <x v="2"/>
    <x v="0"/>
    <x v="0"/>
    <x v="1"/>
    <n v="88.79"/>
    <n v="24.9"/>
    <x v="1"/>
    <n v="0"/>
    <x v="2"/>
    <x v="2"/>
  </r>
  <r>
    <n v="26604"/>
    <x v="1"/>
    <n v="18"/>
    <n v="0"/>
    <n v="0"/>
    <x v="2"/>
    <x v="1"/>
    <x v="0"/>
    <x v="1"/>
    <n v="107.82"/>
    <n v="26"/>
    <x v="1"/>
    <n v="0"/>
    <x v="2"/>
    <x v="3"/>
  </r>
  <r>
    <n v="27916"/>
    <x v="0"/>
    <n v="18"/>
    <n v="0"/>
    <n v="0"/>
    <x v="2"/>
    <x v="1"/>
    <x v="0"/>
    <x v="0"/>
    <n v="97.39"/>
    <n v="22.8"/>
    <x v="1"/>
    <n v="0"/>
    <x v="2"/>
    <x v="2"/>
  </r>
  <r>
    <n v="60249"/>
    <x v="0"/>
    <n v="13"/>
    <n v="0"/>
    <n v="0"/>
    <x v="2"/>
    <x v="1"/>
    <x v="0"/>
    <x v="0"/>
    <n v="141.09"/>
    <n v="24"/>
    <x v="3"/>
    <n v="0"/>
    <x v="2"/>
    <x v="2"/>
  </r>
  <r>
    <n v="45787"/>
    <x v="0"/>
    <n v="13"/>
    <n v="0"/>
    <n v="0"/>
    <x v="2"/>
    <x v="1"/>
    <x v="3"/>
    <x v="0"/>
    <n v="122.38"/>
    <n v="20.3"/>
    <x v="3"/>
    <n v="0"/>
    <x v="2"/>
    <x v="2"/>
  </r>
  <r>
    <n v="65526"/>
    <x v="1"/>
    <n v="47"/>
    <n v="0"/>
    <n v="0"/>
    <x v="2"/>
    <x v="0"/>
    <x v="0"/>
    <x v="0"/>
    <n v="77.91"/>
    <n v="30.3"/>
    <x v="0"/>
    <n v="0"/>
    <x v="1"/>
    <x v="0"/>
  </r>
  <r>
    <n v="72354"/>
    <x v="1"/>
    <n v="80"/>
    <n v="1"/>
    <n v="0"/>
    <x v="0"/>
    <x v="0"/>
    <x v="1"/>
    <x v="1"/>
    <n v="103.6"/>
    <n v="23.7"/>
    <x v="1"/>
    <n v="0"/>
    <x v="0"/>
    <x v="2"/>
  </r>
  <r>
    <n v="38938"/>
    <x v="1"/>
    <n v="24"/>
    <n v="0"/>
    <n v="0"/>
    <x v="2"/>
    <x v="1"/>
    <x v="0"/>
    <x v="1"/>
    <n v="159.69999999999999"/>
    <n v="25.7"/>
    <x v="3"/>
    <n v="0"/>
    <x v="2"/>
    <x v="3"/>
  </r>
  <r>
    <n v="39017"/>
    <x v="1"/>
    <n v="72"/>
    <n v="0"/>
    <n v="0"/>
    <x v="1"/>
    <x v="0"/>
    <x v="2"/>
    <x v="1"/>
    <n v="118.22"/>
    <n v="21.9"/>
    <x v="0"/>
    <n v="0"/>
    <x v="0"/>
    <x v="2"/>
  </r>
  <r>
    <n v="13219"/>
    <x v="0"/>
    <n v="5"/>
    <n v="0"/>
    <n v="0"/>
    <x v="2"/>
    <x v="1"/>
    <x v="3"/>
    <x v="0"/>
    <n v="84.5"/>
    <n v="15.8"/>
    <x v="3"/>
    <n v="0"/>
    <x v="2"/>
    <x v="4"/>
  </r>
  <r>
    <n v="3003"/>
    <x v="1"/>
    <n v="51"/>
    <n v="0"/>
    <n v="0"/>
    <x v="2"/>
    <x v="0"/>
    <x v="2"/>
    <x v="1"/>
    <n v="85.59"/>
    <n v="30.5"/>
    <x v="1"/>
    <n v="0"/>
    <x v="1"/>
    <x v="0"/>
  </r>
  <r>
    <n v="34543"/>
    <x v="1"/>
    <n v="82"/>
    <n v="0"/>
    <n v="0"/>
    <x v="1"/>
    <x v="0"/>
    <x v="1"/>
    <x v="1"/>
    <n v="84.42"/>
    <n v="25.7"/>
    <x v="3"/>
    <n v="0"/>
    <x v="0"/>
    <x v="3"/>
  </r>
  <r>
    <n v="21762"/>
    <x v="0"/>
    <n v="5"/>
    <n v="0"/>
    <n v="0"/>
    <x v="2"/>
    <x v="1"/>
    <x v="3"/>
    <x v="1"/>
    <n v="100.98"/>
    <n v="19"/>
    <x v="3"/>
    <n v="0"/>
    <x v="2"/>
    <x v="2"/>
  </r>
  <r>
    <n v="22003"/>
    <x v="0"/>
    <n v="66"/>
    <n v="0"/>
    <n v="0"/>
    <x v="1"/>
    <x v="0"/>
    <x v="0"/>
    <x v="1"/>
    <n v="81.11"/>
    <n v="28.8"/>
    <x v="0"/>
    <n v="0"/>
    <x v="0"/>
    <x v="3"/>
  </r>
  <r>
    <n v="6731"/>
    <x v="1"/>
    <n v="53"/>
    <n v="0"/>
    <n v="0"/>
    <x v="2"/>
    <x v="1"/>
    <x v="0"/>
    <x v="1"/>
    <n v="235.45"/>
    <s v="N/A"/>
    <x v="0"/>
    <n v="0"/>
    <x v="1"/>
    <x v="1"/>
  </r>
  <r>
    <n v="19032"/>
    <x v="1"/>
    <n v="15"/>
    <n v="0"/>
    <n v="0"/>
    <x v="2"/>
    <x v="1"/>
    <x v="0"/>
    <x v="1"/>
    <n v="79.2"/>
    <n v="22.4"/>
    <x v="1"/>
    <n v="0"/>
    <x v="2"/>
    <x v="2"/>
  </r>
  <r>
    <n v="55370"/>
    <x v="1"/>
    <n v="53"/>
    <n v="0"/>
    <n v="0"/>
    <x v="2"/>
    <x v="0"/>
    <x v="0"/>
    <x v="0"/>
    <n v="207.71"/>
    <n v="32.4"/>
    <x v="3"/>
    <n v="0"/>
    <x v="1"/>
    <x v="0"/>
  </r>
  <r>
    <n v="57288"/>
    <x v="1"/>
    <n v="78"/>
    <n v="0"/>
    <n v="0"/>
    <x v="1"/>
    <x v="0"/>
    <x v="0"/>
    <x v="1"/>
    <n v="99.84"/>
    <n v="36.6"/>
    <x v="1"/>
    <n v="0"/>
    <x v="0"/>
    <x v="0"/>
  </r>
  <r>
    <n v="31925"/>
    <x v="1"/>
    <n v="62"/>
    <n v="0"/>
    <n v="0"/>
    <x v="1"/>
    <x v="0"/>
    <x v="0"/>
    <x v="1"/>
    <n v="98.05"/>
    <n v="27.9"/>
    <x v="1"/>
    <n v="0"/>
    <x v="0"/>
    <x v="3"/>
  </r>
  <r>
    <n v="8264"/>
    <x v="0"/>
    <n v="41"/>
    <n v="0"/>
    <n v="0"/>
    <x v="2"/>
    <x v="0"/>
    <x v="1"/>
    <x v="1"/>
    <n v="105.9"/>
    <n v="27.7"/>
    <x v="3"/>
    <n v="0"/>
    <x v="1"/>
    <x v="3"/>
  </r>
  <r>
    <n v="448"/>
    <x v="1"/>
    <n v="49"/>
    <n v="0"/>
    <n v="0"/>
    <x v="2"/>
    <x v="0"/>
    <x v="0"/>
    <x v="1"/>
    <n v="107.55"/>
    <s v="N/A"/>
    <x v="3"/>
    <n v="0"/>
    <x v="1"/>
    <x v="1"/>
  </r>
  <r>
    <n v="38783"/>
    <x v="1"/>
    <n v="41"/>
    <n v="0"/>
    <n v="0"/>
    <x v="2"/>
    <x v="0"/>
    <x v="1"/>
    <x v="0"/>
    <n v="146.21"/>
    <n v="34.299999999999997"/>
    <x v="3"/>
    <n v="0"/>
    <x v="1"/>
    <x v="0"/>
  </r>
  <r>
    <n v="45961"/>
    <x v="1"/>
    <n v="78"/>
    <n v="0"/>
    <n v="0"/>
    <x v="1"/>
    <x v="0"/>
    <x v="0"/>
    <x v="0"/>
    <n v="79.94"/>
    <n v="26.7"/>
    <x v="1"/>
    <n v="0"/>
    <x v="0"/>
    <x v="3"/>
  </r>
  <r>
    <n v="27518"/>
    <x v="0"/>
    <n v="14"/>
    <n v="0"/>
    <n v="0"/>
    <x v="2"/>
    <x v="1"/>
    <x v="1"/>
    <x v="1"/>
    <n v="72.28"/>
    <n v="19"/>
    <x v="3"/>
    <n v="0"/>
    <x v="2"/>
    <x v="2"/>
  </r>
  <r>
    <n v="51106"/>
    <x v="1"/>
    <n v="1.48"/>
    <n v="0"/>
    <n v="0"/>
    <x v="2"/>
    <x v="1"/>
    <x v="3"/>
    <x v="1"/>
    <n v="123.1"/>
    <n v="20.6"/>
    <x v="3"/>
    <n v="0"/>
    <x v="2"/>
    <x v="2"/>
  </r>
  <r>
    <n v="42251"/>
    <x v="0"/>
    <n v="71"/>
    <n v="1"/>
    <n v="1"/>
    <x v="0"/>
    <x v="0"/>
    <x v="1"/>
    <x v="1"/>
    <n v="67.06"/>
    <n v="26.7"/>
    <x v="2"/>
    <n v="0"/>
    <x v="0"/>
    <x v="3"/>
  </r>
  <r>
    <n v="33115"/>
    <x v="0"/>
    <n v="32"/>
    <n v="0"/>
    <n v="0"/>
    <x v="2"/>
    <x v="0"/>
    <x v="0"/>
    <x v="1"/>
    <n v="82.68"/>
    <n v="29.2"/>
    <x v="1"/>
    <n v="0"/>
    <x v="2"/>
    <x v="3"/>
  </r>
  <r>
    <n v="31701"/>
    <x v="0"/>
    <n v="16"/>
    <n v="0"/>
    <n v="0"/>
    <x v="2"/>
    <x v="1"/>
    <x v="0"/>
    <x v="1"/>
    <n v="125.89"/>
    <n v="21.3"/>
    <x v="1"/>
    <n v="0"/>
    <x v="2"/>
    <x v="2"/>
  </r>
  <r>
    <n v="21661"/>
    <x v="1"/>
    <n v="68"/>
    <n v="0"/>
    <n v="0"/>
    <x v="1"/>
    <x v="0"/>
    <x v="2"/>
    <x v="0"/>
    <n v="228.05"/>
    <n v="51.9"/>
    <x v="3"/>
    <n v="0"/>
    <x v="0"/>
    <x v="0"/>
  </r>
  <r>
    <n v="18837"/>
    <x v="0"/>
    <n v="0.56000000000000005"/>
    <n v="0"/>
    <n v="0"/>
    <x v="2"/>
    <x v="1"/>
    <x v="3"/>
    <x v="0"/>
    <n v="98.23"/>
    <n v="14.1"/>
    <x v="3"/>
    <n v="0"/>
    <x v="2"/>
    <x v="4"/>
  </r>
  <r>
    <n v="57777"/>
    <x v="1"/>
    <n v="59"/>
    <n v="0"/>
    <n v="0"/>
    <x v="2"/>
    <x v="0"/>
    <x v="1"/>
    <x v="0"/>
    <n v="90.06"/>
    <n v="28.9"/>
    <x v="2"/>
    <n v="0"/>
    <x v="1"/>
    <x v="3"/>
  </r>
  <r>
    <n v="62610"/>
    <x v="0"/>
    <n v="32"/>
    <n v="0"/>
    <n v="0"/>
    <x v="2"/>
    <x v="0"/>
    <x v="0"/>
    <x v="0"/>
    <n v="119.9"/>
    <n v="30.9"/>
    <x v="2"/>
    <n v="0"/>
    <x v="2"/>
    <x v="0"/>
  </r>
  <r>
    <n v="2730"/>
    <x v="0"/>
    <n v="58"/>
    <n v="0"/>
    <n v="0"/>
    <x v="2"/>
    <x v="0"/>
    <x v="0"/>
    <x v="0"/>
    <n v="94.53"/>
    <n v="36.1"/>
    <x v="1"/>
    <n v="0"/>
    <x v="1"/>
    <x v="0"/>
  </r>
  <r>
    <n v="51116"/>
    <x v="1"/>
    <n v="40"/>
    <n v="0"/>
    <n v="0"/>
    <x v="2"/>
    <x v="0"/>
    <x v="1"/>
    <x v="0"/>
    <n v="64.66"/>
    <n v="25"/>
    <x v="0"/>
    <n v="0"/>
    <x v="1"/>
    <x v="3"/>
  </r>
  <r>
    <n v="22607"/>
    <x v="1"/>
    <n v="41"/>
    <n v="0"/>
    <n v="0"/>
    <x v="2"/>
    <x v="0"/>
    <x v="0"/>
    <x v="0"/>
    <n v="103.79"/>
    <n v="28.6"/>
    <x v="1"/>
    <n v="0"/>
    <x v="1"/>
    <x v="3"/>
  </r>
  <r>
    <n v="11595"/>
    <x v="1"/>
    <n v="21"/>
    <n v="0"/>
    <n v="0"/>
    <x v="2"/>
    <x v="1"/>
    <x v="0"/>
    <x v="0"/>
    <n v="88.51"/>
    <n v="20.5"/>
    <x v="1"/>
    <n v="0"/>
    <x v="2"/>
    <x v="2"/>
  </r>
  <r>
    <n v="24355"/>
    <x v="1"/>
    <n v="1.88"/>
    <n v="0"/>
    <n v="0"/>
    <x v="2"/>
    <x v="1"/>
    <x v="3"/>
    <x v="1"/>
    <n v="97.26"/>
    <n v="16.7"/>
    <x v="3"/>
    <n v="0"/>
    <x v="2"/>
    <x v="4"/>
  </r>
  <r>
    <n v="32563"/>
    <x v="0"/>
    <n v="55"/>
    <n v="0"/>
    <n v="0"/>
    <x v="2"/>
    <x v="0"/>
    <x v="2"/>
    <x v="0"/>
    <n v="92.59"/>
    <n v="36.6"/>
    <x v="1"/>
    <n v="0"/>
    <x v="1"/>
    <x v="0"/>
  </r>
  <r>
    <n v="18266"/>
    <x v="1"/>
    <n v="67"/>
    <n v="0"/>
    <n v="0"/>
    <x v="1"/>
    <x v="0"/>
    <x v="0"/>
    <x v="1"/>
    <n v="102.89"/>
    <n v="26.4"/>
    <x v="1"/>
    <n v="0"/>
    <x v="0"/>
    <x v="3"/>
  </r>
  <r>
    <n v="60088"/>
    <x v="0"/>
    <n v="49"/>
    <n v="1"/>
    <n v="0"/>
    <x v="2"/>
    <x v="0"/>
    <x v="1"/>
    <x v="1"/>
    <n v="92.26"/>
    <n v="33.1"/>
    <x v="0"/>
    <n v="0"/>
    <x v="1"/>
    <x v="0"/>
  </r>
  <r>
    <n v="14912"/>
    <x v="1"/>
    <n v="42"/>
    <n v="0"/>
    <n v="0"/>
    <x v="2"/>
    <x v="0"/>
    <x v="0"/>
    <x v="1"/>
    <n v="80"/>
    <n v="27.5"/>
    <x v="1"/>
    <n v="0"/>
    <x v="1"/>
    <x v="3"/>
  </r>
  <r>
    <n v="49939"/>
    <x v="1"/>
    <n v="54"/>
    <n v="0"/>
    <n v="0"/>
    <x v="2"/>
    <x v="0"/>
    <x v="1"/>
    <x v="0"/>
    <n v="56.75"/>
    <n v="26.9"/>
    <x v="1"/>
    <n v="0"/>
    <x v="1"/>
    <x v="3"/>
  </r>
  <r>
    <n v="64534"/>
    <x v="1"/>
    <n v="25"/>
    <n v="0"/>
    <n v="0"/>
    <x v="2"/>
    <x v="0"/>
    <x v="0"/>
    <x v="0"/>
    <n v="104.66"/>
    <n v="23.9"/>
    <x v="1"/>
    <n v="0"/>
    <x v="2"/>
    <x v="2"/>
  </r>
  <r>
    <n v="62914"/>
    <x v="0"/>
    <n v="62"/>
    <n v="0"/>
    <n v="0"/>
    <x v="1"/>
    <x v="0"/>
    <x v="0"/>
    <x v="1"/>
    <n v="60.39"/>
    <n v="26.9"/>
    <x v="3"/>
    <n v="0"/>
    <x v="0"/>
    <x v="3"/>
  </r>
  <r>
    <n v="4297"/>
    <x v="0"/>
    <n v="75"/>
    <n v="0"/>
    <n v="0"/>
    <x v="1"/>
    <x v="0"/>
    <x v="2"/>
    <x v="0"/>
    <n v="223.14"/>
    <n v="27.8"/>
    <x v="1"/>
    <n v="0"/>
    <x v="0"/>
    <x v="3"/>
  </r>
  <r>
    <n v="20399"/>
    <x v="1"/>
    <n v="72"/>
    <n v="1"/>
    <n v="0"/>
    <x v="0"/>
    <x v="0"/>
    <x v="0"/>
    <x v="0"/>
    <n v="105.51"/>
    <n v="32.700000000000003"/>
    <x v="1"/>
    <n v="0"/>
    <x v="0"/>
    <x v="0"/>
  </r>
  <r>
    <n v="1112"/>
    <x v="1"/>
    <n v="14"/>
    <n v="0"/>
    <n v="0"/>
    <x v="2"/>
    <x v="1"/>
    <x v="0"/>
    <x v="0"/>
    <n v="83.42"/>
    <n v="28.7"/>
    <x v="1"/>
    <n v="0"/>
    <x v="2"/>
    <x v="3"/>
  </r>
  <r>
    <n v="13276"/>
    <x v="1"/>
    <n v="38"/>
    <n v="0"/>
    <n v="0"/>
    <x v="2"/>
    <x v="0"/>
    <x v="0"/>
    <x v="0"/>
    <n v="71.06"/>
    <n v="22.6"/>
    <x v="3"/>
    <n v="0"/>
    <x v="2"/>
    <x v="2"/>
  </r>
  <r>
    <n v="1260"/>
    <x v="0"/>
    <n v="59"/>
    <n v="0"/>
    <n v="0"/>
    <x v="2"/>
    <x v="0"/>
    <x v="2"/>
    <x v="0"/>
    <n v="101.24"/>
    <n v="26.5"/>
    <x v="1"/>
    <n v="0"/>
    <x v="1"/>
    <x v="3"/>
  </r>
  <r>
    <n v="40509"/>
    <x v="1"/>
    <n v="23"/>
    <n v="0"/>
    <n v="0"/>
    <x v="2"/>
    <x v="1"/>
    <x v="0"/>
    <x v="0"/>
    <n v="91.19"/>
    <n v="28.3"/>
    <x v="1"/>
    <n v="0"/>
    <x v="2"/>
    <x v="3"/>
  </r>
  <r>
    <n v="15241"/>
    <x v="1"/>
    <n v="63"/>
    <n v="1"/>
    <n v="1"/>
    <x v="0"/>
    <x v="1"/>
    <x v="2"/>
    <x v="0"/>
    <n v="174.43"/>
    <n v="24.3"/>
    <x v="1"/>
    <n v="0"/>
    <x v="0"/>
    <x v="2"/>
  </r>
  <r>
    <n v="31344"/>
    <x v="0"/>
    <n v="82"/>
    <n v="0"/>
    <n v="0"/>
    <x v="1"/>
    <x v="0"/>
    <x v="1"/>
    <x v="0"/>
    <n v="214.51"/>
    <n v="24"/>
    <x v="0"/>
    <n v="0"/>
    <x v="0"/>
    <x v="2"/>
  </r>
  <r>
    <n v="55169"/>
    <x v="0"/>
    <n v="34"/>
    <n v="0"/>
    <n v="0"/>
    <x v="2"/>
    <x v="0"/>
    <x v="0"/>
    <x v="1"/>
    <n v="72.64"/>
    <n v="32.4"/>
    <x v="1"/>
    <n v="0"/>
    <x v="2"/>
    <x v="0"/>
  </r>
  <r>
    <n v="55740"/>
    <x v="1"/>
    <n v="8"/>
    <n v="0"/>
    <n v="0"/>
    <x v="2"/>
    <x v="1"/>
    <x v="3"/>
    <x v="0"/>
    <n v="62.69"/>
    <n v="28.7"/>
    <x v="3"/>
    <n v="0"/>
    <x v="2"/>
    <x v="3"/>
  </r>
  <r>
    <n v="62513"/>
    <x v="1"/>
    <n v="28"/>
    <n v="0"/>
    <n v="0"/>
    <x v="2"/>
    <x v="0"/>
    <x v="0"/>
    <x v="1"/>
    <n v="141.16"/>
    <n v="36.700000000000003"/>
    <x v="1"/>
    <n v="0"/>
    <x v="2"/>
    <x v="0"/>
  </r>
  <r>
    <n v="18040"/>
    <x v="1"/>
    <n v="49"/>
    <n v="0"/>
    <n v="0"/>
    <x v="2"/>
    <x v="0"/>
    <x v="2"/>
    <x v="1"/>
    <n v="89.61"/>
    <n v="27.7"/>
    <x v="1"/>
    <n v="0"/>
    <x v="1"/>
    <x v="3"/>
  </r>
  <r>
    <n v="10374"/>
    <x v="1"/>
    <n v="24"/>
    <n v="0"/>
    <n v="0"/>
    <x v="2"/>
    <x v="0"/>
    <x v="0"/>
    <x v="1"/>
    <n v="76.42"/>
    <n v="24.8"/>
    <x v="2"/>
    <n v="0"/>
    <x v="2"/>
    <x v="2"/>
  </r>
  <r>
    <n v="37209"/>
    <x v="0"/>
    <n v="17"/>
    <n v="0"/>
    <n v="0"/>
    <x v="2"/>
    <x v="1"/>
    <x v="4"/>
    <x v="1"/>
    <n v="124.38"/>
    <n v="31.2"/>
    <x v="1"/>
    <n v="0"/>
    <x v="2"/>
    <x v="0"/>
  </r>
  <r>
    <n v="62306"/>
    <x v="1"/>
    <n v="69"/>
    <n v="1"/>
    <n v="0"/>
    <x v="0"/>
    <x v="0"/>
    <x v="1"/>
    <x v="0"/>
    <n v="111.81"/>
    <n v="26.1"/>
    <x v="0"/>
    <n v="0"/>
    <x v="0"/>
    <x v="3"/>
  </r>
  <r>
    <n v="54101"/>
    <x v="1"/>
    <n v="58"/>
    <n v="0"/>
    <n v="0"/>
    <x v="2"/>
    <x v="0"/>
    <x v="1"/>
    <x v="1"/>
    <n v="57.57"/>
    <n v="26.8"/>
    <x v="3"/>
    <n v="0"/>
    <x v="1"/>
    <x v="3"/>
  </r>
  <r>
    <n v="12259"/>
    <x v="0"/>
    <n v="50"/>
    <n v="0"/>
    <n v="0"/>
    <x v="2"/>
    <x v="0"/>
    <x v="0"/>
    <x v="0"/>
    <n v="77.819999999999993"/>
    <n v="26.7"/>
    <x v="0"/>
    <n v="0"/>
    <x v="1"/>
    <x v="3"/>
  </r>
  <r>
    <n v="37634"/>
    <x v="0"/>
    <n v="5"/>
    <n v="0"/>
    <n v="0"/>
    <x v="2"/>
    <x v="1"/>
    <x v="3"/>
    <x v="0"/>
    <n v="60.09"/>
    <n v="19.600000000000001"/>
    <x v="3"/>
    <n v="0"/>
    <x v="2"/>
    <x v="2"/>
  </r>
  <r>
    <n v="22548"/>
    <x v="1"/>
    <n v="34"/>
    <n v="0"/>
    <n v="0"/>
    <x v="2"/>
    <x v="0"/>
    <x v="0"/>
    <x v="0"/>
    <n v="91.02"/>
    <n v="25.8"/>
    <x v="1"/>
    <n v="0"/>
    <x v="2"/>
    <x v="3"/>
  </r>
  <r>
    <n v="65407"/>
    <x v="1"/>
    <n v="64"/>
    <n v="0"/>
    <n v="0"/>
    <x v="1"/>
    <x v="0"/>
    <x v="1"/>
    <x v="1"/>
    <n v="65.459999999999994"/>
    <n v="32.5"/>
    <x v="0"/>
    <n v="0"/>
    <x v="0"/>
    <x v="0"/>
  </r>
  <r>
    <n v="50723"/>
    <x v="0"/>
    <n v="47"/>
    <n v="0"/>
    <n v="0"/>
    <x v="2"/>
    <x v="0"/>
    <x v="0"/>
    <x v="1"/>
    <n v="131.19"/>
    <n v="28.3"/>
    <x v="2"/>
    <n v="0"/>
    <x v="1"/>
    <x v="3"/>
  </r>
  <r>
    <n v="20890"/>
    <x v="1"/>
    <n v="61"/>
    <n v="0"/>
    <n v="0"/>
    <x v="1"/>
    <x v="0"/>
    <x v="0"/>
    <x v="1"/>
    <n v="79.89"/>
    <n v="24.5"/>
    <x v="2"/>
    <n v="0"/>
    <x v="0"/>
    <x v="2"/>
  </r>
  <r>
    <n v="52472"/>
    <x v="0"/>
    <n v="14"/>
    <n v="0"/>
    <n v="0"/>
    <x v="2"/>
    <x v="1"/>
    <x v="3"/>
    <x v="0"/>
    <n v="74.540000000000006"/>
    <n v="25.2"/>
    <x v="3"/>
    <n v="0"/>
    <x v="2"/>
    <x v="3"/>
  </r>
  <r>
    <n v="42859"/>
    <x v="1"/>
    <n v="57"/>
    <n v="0"/>
    <n v="0"/>
    <x v="2"/>
    <x v="0"/>
    <x v="0"/>
    <x v="0"/>
    <n v="231.31"/>
    <n v="32.299999999999997"/>
    <x v="1"/>
    <n v="0"/>
    <x v="1"/>
    <x v="0"/>
  </r>
  <r>
    <n v="3167"/>
    <x v="0"/>
    <n v="53"/>
    <n v="0"/>
    <n v="1"/>
    <x v="2"/>
    <x v="0"/>
    <x v="0"/>
    <x v="0"/>
    <n v="91.57"/>
    <n v="30.1"/>
    <x v="0"/>
    <n v="0"/>
    <x v="1"/>
    <x v="0"/>
  </r>
  <r>
    <n v="56469"/>
    <x v="0"/>
    <n v="67"/>
    <n v="0"/>
    <n v="0"/>
    <x v="1"/>
    <x v="0"/>
    <x v="0"/>
    <x v="0"/>
    <n v="238.78"/>
    <n v="35.700000000000003"/>
    <x v="0"/>
    <n v="0"/>
    <x v="0"/>
    <x v="0"/>
  </r>
  <r>
    <n v="23851"/>
    <x v="1"/>
    <n v="57"/>
    <n v="0"/>
    <n v="0"/>
    <x v="2"/>
    <x v="1"/>
    <x v="0"/>
    <x v="1"/>
    <n v="87.18"/>
    <n v="20"/>
    <x v="0"/>
    <n v="0"/>
    <x v="1"/>
    <x v="2"/>
  </r>
  <r>
    <n v="30571"/>
    <x v="1"/>
    <n v="38"/>
    <n v="0"/>
    <n v="0"/>
    <x v="2"/>
    <x v="0"/>
    <x v="2"/>
    <x v="1"/>
    <n v="78.94"/>
    <n v="23.5"/>
    <x v="3"/>
    <n v="0"/>
    <x v="2"/>
    <x v="2"/>
  </r>
  <r>
    <n v="67786"/>
    <x v="1"/>
    <n v="13"/>
    <n v="0"/>
    <n v="0"/>
    <x v="2"/>
    <x v="1"/>
    <x v="3"/>
    <x v="1"/>
    <n v="69.010000000000005"/>
    <n v="23.4"/>
    <x v="3"/>
    <n v="0"/>
    <x v="2"/>
    <x v="2"/>
  </r>
  <r>
    <n v="41404"/>
    <x v="1"/>
    <n v="37"/>
    <n v="0"/>
    <n v="0"/>
    <x v="2"/>
    <x v="0"/>
    <x v="0"/>
    <x v="1"/>
    <n v="110.28"/>
    <n v="22.3"/>
    <x v="1"/>
    <n v="0"/>
    <x v="2"/>
    <x v="2"/>
  </r>
  <r>
    <n v="33960"/>
    <x v="0"/>
    <n v="39"/>
    <n v="1"/>
    <n v="0"/>
    <x v="2"/>
    <x v="0"/>
    <x v="1"/>
    <x v="0"/>
    <n v="71.66"/>
    <n v="28.7"/>
    <x v="1"/>
    <n v="0"/>
    <x v="2"/>
    <x v="3"/>
  </r>
  <r>
    <n v="70833"/>
    <x v="1"/>
    <n v="13"/>
    <n v="0"/>
    <n v="0"/>
    <x v="2"/>
    <x v="1"/>
    <x v="0"/>
    <x v="0"/>
    <n v="62.57"/>
    <n v="20.9"/>
    <x v="3"/>
    <n v="0"/>
    <x v="2"/>
    <x v="2"/>
  </r>
  <r>
    <n v="65731"/>
    <x v="0"/>
    <n v="57"/>
    <n v="0"/>
    <n v="0"/>
    <x v="2"/>
    <x v="0"/>
    <x v="1"/>
    <x v="0"/>
    <n v="83.64"/>
    <n v="29.4"/>
    <x v="2"/>
    <n v="0"/>
    <x v="1"/>
    <x v="3"/>
  </r>
  <r>
    <n v="57968"/>
    <x v="1"/>
    <n v="11"/>
    <n v="0"/>
    <n v="0"/>
    <x v="2"/>
    <x v="1"/>
    <x v="3"/>
    <x v="0"/>
    <n v="107.18"/>
    <n v="27.6"/>
    <x v="3"/>
    <n v="0"/>
    <x v="2"/>
    <x v="3"/>
  </r>
  <r>
    <n v="57539"/>
    <x v="1"/>
    <n v="68"/>
    <n v="0"/>
    <n v="0"/>
    <x v="1"/>
    <x v="0"/>
    <x v="0"/>
    <x v="1"/>
    <n v="233.59"/>
    <n v="43.9"/>
    <x v="1"/>
    <n v="0"/>
    <x v="0"/>
    <x v="0"/>
  </r>
  <r>
    <n v="17745"/>
    <x v="0"/>
    <n v="79"/>
    <n v="1"/>
    <n v="0"/>
    <x v="0"/>
    <x v="0"/>
    <x v="1"/>
    <x v="0"/>
    <n v="84.88"/>
    <n v="28.7"/>
    <x v="0"/>
    <n v="0"/>
    <x v="0"/>
    <x v="3"/>
  </r>
  <r>
    <n v="33252"/>
    <x v="1"/>
    <n v="24"/>
    <n v="0"/>
    <n v="0"/>
    <x v="2"/>
    <x v="1"/>
    <x v="0"/>
    <x v="1"/>
    <n v="97.95"/>
    <n v="34.700000000000003"/>
    <x v="3"/>
    <n v="0"/>
    <x v="2"/>
    <x v="0"/>
  </r>
  <r>
    <n v="69789"/>
    <x v="1"/>
    <n v="44"/>
    <n v="0"/>
    <n v="0"/>
    <x v="2"/>
    <x v="0"/>
    <x v="0"/>
    <x v="1"/>
    <n v="58.19"/>
    <n v="37.1"/>
    <x v="3"/>
    <n v="0"/>
    <x v="1"/>
    <x v="0"/>
  </r>
  <r>
    <n v="40076"/>
    <x v="1"/>
    <n v="46"/>
    <n v="0"/>
    <n v="0"/>
    <x v="2"/>
    <x v="0"/>
    <x v="0"/>
    <x v="1"/>
    <n v="70.11"/>
    <n v="24.2"/>
    <x v="1"/>
    <n v="0"/>
    <x v="1"/>
    <x v="2"/>
  </r>
  <r>
    <n v="10323"/>
    <x v="1"/>
    <n v="66"/>
    <n v="0"/>
    <n v="0"/>
    <x v="1"/>
    <x v="0"/>
    <x v="0"/>
    <x v="0"/>
    <n v="112.77"/>
    <n v="22.7"/>
    <x v="2"/>
    <n v="0"/>
    <x v="0"/>
    <x v="2"/>
  </r>
  <r>
    <n v="23514"/>
    <x v="1"/>
    <n v="61"/>
    <n v="0"/>
    <n v="0"/>
    <x v="1"/>
    <x v="0"/>
    <x v="1"/>
    <x v="0"/>
    <n v="75.459999999999994"/>
    <n v="29.3"/>
    <x v="0"/>
    <n v="0"/>
    <x v="0"/>
    <x v="3"/>
  </r>
  <r>
    <n v="37395"/>
    <x v="1"/>
    <n v="16"/>
    <n v="0"/>
    <n v="0"/>
    <x v="2"/>
    <x v="1"/>
    <x v="0"/>
    <x v="0"/>
    <n v="63.63"/>
    <n v="20"/>
    <x v="2"/>
    <n v="0"/>
    <x v="2"/>
    <x v="2"/>
  </r>
  <r>
    <n v="8240"/>
    <x v="1"/>
    <n v="37"/>
    <n v="0"/>
    <n v="0"/>
    <x v="2"/>
    <x v="0"/>
    <x v="0"/>
    <x v="0"/>
    <n v="100.22"/>
    <n v="22.7"/>
    <x v="2"/>
    <n v="0"/>
    <x v="2"/>
    <x v="2"/>
  </r>
  <r>
    <n v="9620"/>
    <x v="1"/>
    <n v="43"/>
    <n v="0"/>
    <n v="0"/>
    <x v="2"/>
    <x v="0"/>
    <x v="2"/>
    <x v="1"/>
    <n v="81.77"/>
    <n v="25.4"/>
    <x v="1"/>
    <n v="0"/>
    <x v="1"/>
    <x v="3"/>
  </r>
  <r>
    <n v="7092"/>
    <x v="1"/>
    <n v="27"/>
    <n v="0"/>
    <n v="0"/>
    <x v="2"/>
    <x v="0"/>
    <x v="0"/>
    <x v="1"/>
    <n v="94.25"/>
    <n v="37.6"/>
    <x v="1"/>
    <n v="0"/>
    <x v="2"/>
    <x v="0"/>
  </r>
  <r>
    <n v="50216"/>
    <x v="0"/>
    <n v="44"/>
    <n v="1"/>
    <n v="0"/>
    <x v="2"/>
    <x v="0"/>
    <x v="1"/>
    <x v="1"/>
    <n v="188.13"/>
    <n v="44.7"/>
    <x v="0"/>
    <n v="0"/>
    <x v="1"/>
    <x v="0"/>
  </r>
  <r>
    <n v="59506"/>
    <x v="0"/>
    <n v="14"/>
    <n v="0"/>
    <n v="0"/>
    <x v="2"/>
    <x v="1"/>
    <x v="0"/>
    <x v="1"/>
    <n v="164.7"/>
    <n v="26.3"/>
    <x v="3"/>
    <n v="0"/>
    <x v="2"/>
    <x v="3"/>
  </r>
  <r>
    <n v="43397"/>
    <x v="0"/>
    <n v="81"/>
    <n v="0"/>
    <n v="1"/>
    <x v="0"/>
    <x v="0"/>
    <x v="1"/>
    <x v="1"/>
    <n v="68.27"/>
    <n v="25"/>
    <x v="3"/>
    <n v="0"/>
    <x v="0"/>
    <x v="3"/>
  </r>
  <r>
    <n v="62384"/>
    <x v="0"/>
    <n v="52"/>
    <n v="0"/>
    <n v="1"/>
    <x v="2"/>
    <x v="1"/>
    <x v="1"/>
    <x v="1"/>
    <n v="79.81"/>
    <s v="N/A"/>
    <x v="0"/>
    <n v="0"/>
    <x v="1"/>
    <x v="1"/>
  </r>
  <r>
    <n v="10651"/>
    <x v="0"/>
    <n v="54"/>
    <n v="1"/>
    <n v="0"/>
    <x v="2"/>
    <x v="0"/>
    <x v="2"/>
    <x v="1"/>
    <n v="100.12"/>
    <n v="32.299999999999997"/>
    <x v="0"/>
    <n v="0"/>
    <x v="1"/>
    <x v="0"/>
  </r>
  <r>
    <n v="69750"/>
    <x v="1"/>
    <n v="77"/>
    <n v="0"/>
    <n v="0"/>
    <x v="1"/>
    <x v="0"/>
    <x v="1"/>
    <x v="0"/>
    <n v="151.22999999999999"/>
    <n v="24.9"/>
    <x v="1"/>
    <n v="0"/>
    <x v="0"/>
    <x v="2"/>
  </r>
  <r>
    <n v="55455"/>
    <x v="0"/>
    <n v="27"/>
    <n v="0"/>
    <n v="0"/>
    <x v="2"/>
    <x v="1"/>
    <x v="0"/>
    <x v="1"/>
    <n v="112.41"/>
    <n v="33.700000000000003"/>
    <x v="1"/>
    <n v="0"/>
    <x v="2"/>
    <x v="0"/>
  </r>
  <r>
    <n v="34230"/>
    <x v="1"/>
    <n v="35"/>
    <n v="0"/>
    <n v="0"/>
    <x v="2"/>
    <x v="0"/>
    <x v="1"/>
    <x v="0"/>
    <n v="205.97"/>
    <n v="26.6"/>
    <x v="0"/>
    <n v="0"/>
    <x v="2"/>
    <x v="3"/>
  </r>
  <r>
    <n v="65154"/>
    <x v="1"/>
    <n v="30"/>
    <n v="0"/>
    <n v="0"/>
    <x v="2"/>
    <x v="0"/>
    <x v="0"/>
    <x v="0"/>
    <n v="112.19"/>
    <n v="53.4"/>
    <x v="1"/>
    <n v="0"/>
    <x v="2"/>
    <x v="0"/>
  </r>
  <r>
    <n v="36298"/>
    <x v="1"/>
    <n v="48"/>
    <n v="0"/>
    <n v="0"/>
    <x v="2"/>
    <x v="0"/>
    <x v="1"/>
    <x v="1"/>
    <n v="71.930000000000007"/>
    <n v="41.7"/>
    <x v="1"/>
    <n v="0"/>
    <x v="1"/>
    <x v="0"/>
  </r>
  <r>
    <n v="13171"/>
    <x v="1"/>
    <n v="15"/>
    <n v="0"/>
    <n v="0"/>
    <x v="2"/>
    <x v="1"/>
    <x v="3"/>
    <x v="0"/>
    <n v="190.89"/>
    <n v="22"/>
    <x v="1"/>
    <n v="0"/>
    <x v="2"/>
    <x v="2"/>
  </r>
  <r>
    <n v="62983"/>
    <x v="1"/>
    <n v="26"/>
    <n v="0"/>
    <n v="0"/>
    <x v="2"/>
    <x v="0"/>
    <x v="0"/>
    <x v="0"/>
    <n v="138.02000000000001"/>
    <n v="20.3"/>
    <x v="2"/>
    <n v="0"/>
    <x v="2"/>
    <x v="2"/>
  </r>
  <r>
    <n v="44834"/>
    <x v="1"/>
    <n v="38"/>
    <n v="0"/>
    <n v="0"/>
    <x v="2"/>
    <x v="0"/>
    <x v="0"/>
    <x v="1"/>
    <n v="66.16"/>
    <n v="42.7"/>
    <x v="3"/>
    <n v="0"/>
    <x v="2"/>
    <x v="0"/>
  </r>
  <r>
    <n v="67411"/>
    <x v="0"/>
    <n v="29"/>
    <n v="0"/>
    <n v="0"/>
    <x v="2"/>
    <x v="1"/>
    <x v="0"/>
    <x v="1"/>
    <n v="105.73"/>
    <n v="28.2"/>
    <x v="2"/>
    <n v="0"/>
    <x v="2"/>
    <x v="3"/>
  </r>
  <r>
    <n v="5455"/>
    <x v="0"/>
    <n v="49"/>
    <n v="0"/>
    <n v="0"/>
    <x v="2"/>
    <x v="0"/>
    <x v="0"/>
    <x v="1"/>
    <n v="78.34"/>
    <n v="32.5"/>
    <x v="3"/>
    <n v="0"/>
    <x v="1"/>
    <x v="0"/>
  </r>
  <r>
    <n v="49267"/>
    <x v="1"/>
    <n v="55"/>
    <n v="0"/>
    <n v="0"/>
    <x v="2"/>
    <x v="0"/>
    <x v="0"/>
    <x v="0"/>
    <n v="102.1"/>
    <n v="22.5"/>
    <x v="0"/>
    <n v="0"/>
    <x v="1"/>
    <x v="2"/>
  </r>
  <r>
    <n v="60464"/>
    <x v="0"/>
    <n v="52"/>
    <n v="0"/>
    <n v="0"/>
    <x v="2"/>
    <x v="0"/>
    <x v="0"/>
    <x v="0"/>
    <n v="97.37"/>
    <n v="26.5"/>
    <x v="2"/>
    <n v="0"/>
    <x v="1"/>
    <x v="3"/>
  </r>
  <r>
    <n v="56286"/>
    <x v="0"/>
    <n v="49"/>
    <n v="0"/>
    <n v="0"/>
    <x v="2"/>
    <x v="0"/>
    <x v="0"/>
    <x v="0"/>
    <n v="193.87"/>
    <n v="41"/>
    <x v="3"/>
    <n v="0"/>
    <x v="1"/>
    <x v="0"/>
  </r>
  <r>
    <n v="5223"/>
    <x v="1"/>
    <n v="21"/>
    <n v="0"/>
    <n v="0"/>
    <x v="2"/>
    <x v="1"/>
    <x v="0"/>
    <x v="1"/>
    <n v="78.319999999999993"/>
    <n v="27"/>
    <x v="3"/>
    <n v="0"/>
    <x v="2"/>
    <x v="3"/>
  </r>
  <r>
    <n v="53302"/>
    <x v="1"/>
    <n v="24"/>
    <n v="0"/>
    <n v="0"/>
    <x v="2"/>
    <x v="0"/>
    <x v="0"/>
    <x v="1"/>
    <n v="130"/>
    <n v="25.9"/>
    <x v="0"/>
    <n v="0"/>
    <x v="2"/>
    <x v="3"/>
  </r>
  <r>
    <n v="59309"/>
    <x v="0"/>
    <n v="18"/>
    <n v="0"/>
    <n v="0"/>
    <x v="2"/>
    <x v="1"/>
    <x v="1"/>
    <x v="0"/>
    <n v="74"/>
    <n v="23.7"/>
    <x v="3"/>
    <n v="0"/>
    <x v="2"/>
    <x v="2"/>
  </r>
  <r>
    <n v="69824"/>
    <x v="0"/>
    <n v="52"/>
    <n v="0"/>
    <n v="0"/>
    <x v="2"/>
    <x v="0"/>
    <x v="0"/>
    <x v="1"/>
    <n v="111.04"/>
    <n v="30"/>
    <x v="1"/>
    <n v="0"/>
    <x v="1"/>
    <x v="0"/>
  </r>
  <r>
    <n v="13173"/>
    <x v="0"/>
    <n v="70"/>
    <n v="1"/>
    <n v="0"/>
    <x v="0"/>
    <x v="0"/>
    <x v="0"/>
    <x v="0"/>
    <n v="214.77"/>
    <n v="15"/>
    <x v="0"/>
    <n v="0"/>
    <x v="0"/>
    <x v="4"/>
  </r>
  <r>
    <n v="52579"/>
    <x v="1"/>
    <n v="51"/>
    <n v="0"/>
    <n v="0"/>
    <x v="2"/>
    <x v="0"/>
    <x v="1"/>
    <x v="1"/>
    <n v="97.25"/>
    <n v="21.5"/>
    <x v="1"/>
    <n v="0"/>
    <x v="1"/>
    <x v="2"/>
  </r>
  <r>
    <n v="59451"/>
    <x v="0"/>
    <n v="58"/>
    <n v="0"/>
    <n v="0"/>
    <x v="2"/>
    <x v="0"/>
    <x v="0"/>
    <x v="0"/>
    <n v="79.95"/>
    <n v="25.9"/>
    <x v="1"/>
    <n v="0"/>
    <x v="1"/>
    <x v="3"/>
  </r>
  <r>
    <n v="56875"/>
    <x v="1"/>
    <n v="46"/>
    <n v="0"/>
    <n v="0"/>
    <x v="2"/>
    <x v="0"/>
    <x v="2"/>
    <x v="0"/>
    <n v="162.24"/>
    <n v="24.3"/>
    <x v="2"/>
    <n v="0"/>
    <x v="1"/>
    <x v="2"/>
  </r>
  <r>
    <n v="16774"/>
    <x v="1"/>
    <n v="79"/>
    <n v="0"/>
    <n v="0"/>
    <x v="1"/>
    <x v="1"/>
    <x v="1"/>
    <x v="0"/>
    <n v="74.36"/>
    <n v="39.200000000000003"/>
    <x v="3"/>
    <n v="0"/>
    <x v="0"/>
    <x v="0"/>
  </r>
  <r>
    <n v="61672"/>
    <x v="1"/>
    <n v="11"/>
    <n v="0"/>
    <n v="0"/>
    <x v="2"/>
    <x v="1"/>
    <x v="3"/>
    <x v="0"/>
    <n v="69.680000000000007"/>
    <n v="14.4"/>
    <x v="3"/>
    <n v="0"/>
    <x v="2"/>
    <x v="4"/>
  </r>
  <r>
    <n v="25811"/>
    <x v="1"/>
    <n v="61"/>
    <n v="0"/>
    <n v="0"/>
    <x v="1"/>
    <x v="0"/>
    <x v="0"/>
    <x v="0"/>
    <n v="98.35"/>
    <n v="26.6"/>
    <x v="1"/>
    <n v="0"/>
    <x v="0"/>
    <x v="3"/>
  </r>
  <r>
    <n v="7780"/>
    <x v="0"/>
    <n v="51"/>
    <n v="0"/>
    <n v="0"/>
    <x v="2"/>
    <x v="0"/>
    <x v="1"/>
    <x v="0"/>
    <n v="75.73"/>
    <n v="30.7"/>
    <x v="1"/>
    <n v="0"/>
    <x v="1"/>
    <x v="0"/>
  </r>
  <r>
    <n v="58149"/>
    <x v="1"/>
    <n v="21"/>
    <n v="0"/>
    <n v="0"/>
    <x v="2"/>
    <x v="1"/>
    <x v="0"/>
    <x v="1"/>
    <n v="85.86"/>
    <n v="35.4"/>
    <x v="3"/>
    <n v="0"/>
    <x v="2"/>
    <x v="0"/>
  </r>
  <r>
    <n v="38742"/>
    <x v="1"/>
    <n v="71"/>
    <n v="0"/>
    <n v="0"/>
    <x v="1"/>
    <x v="0"/>
    <x v="0"/>
    <x v="0"/>
    <n v="80.34"/>
    <n v="29.2"/>
    <x v="1"/>
    <n v="0"/>
    <x v="0"/>
    <x v="3"/>
  </r>
  <r>
    <n v="29613"/>
    <x v="1"/>
    <n v="13"/>
    <n v="0"/>
    <n v="0"/>
    <x v="2"/>
    <x v="1"/>
    <x v="0"/>
    <x v="1"/>
    <n v="73.760000000000005"/>
    <n v="26.7"/>
    <x v="3"/>
    <n v="0"/>
    <x v="2"/>
    <x v="3"/>
  </r>
  <r>
    <n v="20655"/>
    <x v="0"/>
    <n v="16"/>
    <n v="0"/>
    <n v="0"/>
    <x v="2"/>
    <x v="1"/>
    <x v="0"/>
    <x v="1"/>
    <n v="94.96"/>
    <n v="21.5"/>
    <x v="1"/>
    <n v="0"/>
    <x v="2"/>
    <x v="2"/>
  </r>
  <r>
    <n v="53897"/>
    <x v="1"/>
    <n v="61"/>
    <n v="0"/>
    <n v="0"/>
    <x v="1"/>
    <x v="0"/>
    <x v="0"/>
    <x v="0"/>
    <n v="108.18"/>
    <n v="19.100000000000001"/>
    <x v="1"/>
    <n v="0"/>
    <x v="0"/>
    <x v="2"/>
  </r>
  <r>
    <n v="29792"/>
    <x v="1"/>
    <n v="49"/>
    <n v="0"/>
    <n v="0"/>
    <x v="2"/>
    <x v="0"/>
    <x v="0"/>
    <x v="1"/>
    <n v="85.23"/>
    <n v="25.4"/>
    <x v="3"/>
    <n v="0"/>
    <x v="1"/>
    <x v="3"/>
  </r>
  <r>
    <n v="15990"/>
    <x v="0"/>
    <n v="65"/>
    <n v="1"/>
    <n v="0"/>
    <x v="0"/>
    <x v="0"/>
    <x v="2"/>
    <x v="1"/>
    <n v="189.88"/>
    <n v="34"/>
    <x v="1"/>
    <n v="0"/>
    <x v="0"/>
    <x v="0"/>
  </r>
  <r>
    <n v="45112"/>
    <x v="0"/>
    <n v="40"/>
    <n v="0"/>
    <n v="0"/>
    <x v="2"/>
    <x v="1"/>
    <x v="2"/>
    <x v="0"/>
    <n v="197.11"/>
    <n v="23.9"/>
    <x v="1"/>
    <n v="0"/>
    <x v="1"/>
    <x v="2"/>
  </r>
  <r>
    <n v="28385"/>
    <x v="1"/>
    <n v="44"/>
    <n v="0"/>
    <n v="0"/>
    <x v="2"/>
    <x v="0"/>
    <x v="0"/>
    <x v="1"/>
    <n v="100.08"/>
    <n v="20.9"/>
    <x v="2"/>
    <n v="0"/>
    <x v="1"/>
    <x v="2"/>
  </r>
  <r>
    <n v="63423"/>
    <x v="0"/>
    <n v="11"/>
    <n v="0"/>
    <n v="0"/>
    <x v="2"/>
    <x v="1"/>
    <x v="3"/>
    <x v="1"/>
    <n v="68.62"/>
    <n v="18.2"/>
    <x v="3"/>
    <n v="0"/>
    <x v="2"/>
    <x v="4"/>
  </r>
  <r>
    <n v="187"/>
    <x v="1"/>
    <n v="20"/>
    <n v="0"/>
    <n v="0"/>
    <x v="2"/>
    <x v="1"/>
    <x v="0"/>
    <x v="1"/>
    <n v="84.07"/>
    <n v="27.6"/>
    <x v="2"/>
    <n v="0"/>
    <x v="2"/>
    <x v="3"/>
  </r>
  <r>
    <n v="18891"/>
    <x v="0"/>
    <n v="24"/>
    <n v="0"/>
    <n v="0"/>
    <x v="2"/>
    <x v="1"/>
    <x v="2"/>
    <x v="1"/>
    <n v="99.65"/>
    <n v="50.3"/>
    <x v="1"/>
    <n v="0"/>
    <x v="2"/>
    <x v="0"/>
  </r>
  <r>
    <n v="34657"/>
    <x v="1"/>
    <n v="44"/>
    <n v="0"/>
    <n v="0"/>
    <x v="2"/>
    <x v="0"/>
    <x v="1"/>
    <x v="0"/>
    <n v="82.33"/>
    <n v="24.5"/>
    <x v="1"/>
    <n v="0"/>
    <x v="1"/>
    <x v="2"/>
  </r>
  <r>
    <n v="40546"/>
    <x v="0"/>
    <n v="5"/>
    <n v="0"/>
    <n v="0"/>
    <x v="2"/>
    <x v="1"/>
    <x v="3"/>
    <x v="0"/>
    <n v="94.49"/>
    <n v="16.600000000000001"/>
    <x v="3"/>
    <n v="0"/>
    <x v="2"/>
    <x v="4"/>
  </r>
  <r>
    <n v="56755"/>
    <x v="0"/>
    <n v="41"/>
    <n v="0"/>
    <n v="0"/>
    <x v="2"/>
    <x v="0"/>
    <x v="0"/>
    <x v="1"/>
    <n v="108.71"/>
    <n v="24"/>
    <x v="1"/>
    <n v="0"/>
    <x v="1"/>
    <x v="2"/>
  </r>
  <r>
    <n v="71097"/>
    <x v="1"/>
    <n v="23"/>
    <n v="0"/>
    <n v="0"/>
    <x v="2"/>
    <x v="1"/>
    <x v="0"/>
    <x v="0"/>
    <n v="64.94"/>
    <n v="18.8"/>
    <x v="1"/>
    <n v="0"/>
    <x v="2"/>
    <x v="2"/>
  </r>
  <r>
    <n v="21025"/>
    <x v="1"/>
    <n v="7"/>
    <n v="0"/>
    <n v="0"/>
    <x v="2"/>
    <x v="1"/>
    <x v="3"/>
    <x v="0"/>
    <n v="98.22"/>
    <n v="34"/>
    <x v="3"/>
    <n v="0"/>
    <x v="2"/>
    <x v="0"/>
  </r>
  <r>
    <n v="69020"/>
    <x v="1"/>
    <n v="74"/>
    <n v="0"/>
    <n v="0"/>
    <x v="1"/>
    <x v="0"/>
    <x v="0"/>
    <x v="0"/>
    <n v="83.5"/>
    <n v="25.8"/>
    <x v="1"/>
    <n v="0"/>
    <x v="0"/>
    <x v="3"/>
  </r>
  <r>
    <n v="48883"/>
    <x v="0"/>
    <n v="61"/>
    <n v="0"/>
    <n v="0"/>
    <x v="1"/>
    <x v="0"/>
    <x v="2"/>
    <x v="1"/>
    <n v="192.47"/>
    <n v="30.3"/>
    <x v="1"/>
    <n v="0"/>
    <x v="0"/>
    <x v="0"/>
  </r>
  <r>
    <n v="71297"/>
    <x v="1"/>
    <n v="80"/>
    <n v="1"/>
    <n v="0"/>
    <x v="0"/>
    <x v="0"/>
    <x v="0"/>
    <x v="0"/>
    <n v="125.89"/>
    <n v="28.9"/>
    <x v="2"/>
    <n v="0"/>
    <x v="0"/>
    <x v="3"/>
  </r>
  <r>
    <n v="52216"/>
    <x v="1"/>
    <n v="35"/>
    <n v="0"/>
    <n v="0"/>
    <x v="2"/>
    <x v="0"/>
    <x v="0"/>
    <x v="0"/>
    <n v="87.72"/>
    <n v="21.3"/>
    <x v="1"/>
    <n v="0"/>
    <x v="2"/>
    <x v="2"/>
  </r>
  <r>
    <n v="20421"/>
    <x v="1"/>
    <n v="43"/>
    <n v="0"/>
    <n v="0"/>
    <x v="2"/>
    <x v="0"/>
    <x v="0"/>
    <x v="1"/>
    <n v="68.94"/>
    <n v="26.8"/>
    <x v="1"/>
    <n v="0"/>
    <x v="1"/>
    <x v="3"/>
  </r>
  <r>
    <n v="36896"/>
    <x v="0"/>
    <n v="25"/>
    <n v="0"/>
    <n v="0"/>
    <x v="2"/>
    <x v="0"/>
    <x v="0"/>
    <x v="1"/>
    <n v="66.510000000000005"/>
    <n v="29.2"/>
    <x v="3"/>
    <n v="0"/>
    <x v="2"/>
    <x v="3"/>
  </r>
  <r>
    <n v="23535"/>
    <x v="0"/>
    <n v="72"/>
    <n v="0"/>
    <n v="1"/>
    <x v="0"/>
    <x v="0"/>
    <x v="1"/>
    <x v="0"/>
    <n v="85.82"/>
    <n v="25"/>
    <x v="0"/>
    <n v="0"/>
    <x v="0"/>
    <x v="3"/>
  </r>
  <r>
    <n v="1323"/>
    <x v="1"/>
    <n v="45"/>
    <n v="0"/>
    <n v="0"/>
    <x v="2"/>
    <x v="0"/>
    <x v="0"/>
    <x v="1"/>
    <n v="87.47"/>
    <n v="21.5"/>
    <x v="1"/>
    <n v="0"/>
    <x v="1"/>
    <x v="2"/>
  </r>
  <r>
    <n v="47309"/>
    <x v="0"/>
    <n v="9"/>
    <n v="0"/>
    <n v="0"/>
    <x v="2"/>
    <x v="1"/>
    <x v="3"/>
    <x v="0"/>
    <n v="87.74"/>
    <n v="17.100000000000001"/>
    <x v="3"/>
    <n v="0"/>
    <x v="2"/>
    <x v="4"/>
  </r>
  <r>
    <n v="34161"/>
    <x v="0"/>
    <n v="33"/>
    <n v="1"/>
    <n v="0"/>
    <x v="2"/>
    <x v="0"/>
    <x v="0"/>
    <x v="1"/>
    <n v="85.12"/>
    <n v="32.5"/>
    <x v="1"/>
    <n v="0"/>
    <x v="2"/>
    <x v="0"/>
  </r>
  <r>
    <n v="57405"/>
    <x v="0"/>
    <n v="53"/>
    <n v="0"/>
    <n v="0"/>
    <x v="2"/>
    <x v="0"/>
    <x v="1"/>
    <x v="0"/>
    <n v="103.37"/>
    <n v="26.9"/>
    <x v="0"/>
    <n v="0"/>
    <x v="1"/>
    <x v="3"/>
  </r>
  <r>
    <n v="15824"/>
    <x v="1"/>
    <n v="67"/>
    <n v="0"/>
    <n v="0"/>
    <x v="1"/>
    <x v="0"/>
    <x v="0"/>
    <x v="1"/>
    <n v="81.680000000000007"/>
    <n v="30.4"/>
    <x v="1"/>
    <n v="0"/>
    <x v="0"/>
    <x v="0"/>
  </r>
  <r>
    <n v="32103"/>
    <x v="0"/>
    <n v="59"/>
    <n v="0"/>
    <n v="0"/>
    <x v="2"/>
    <x v="0"/>
    <x v="1"/>
    <x v="0"/>
    <n v="76.510000000000005"/>
    <n v="29.8"/>
    <x v="1"/>
    <n v="0"/>
    <x v="1"/>
    <x v="3"/>
  </r>
  <r>
    <n v="18205"/>
    <x v="1"/>
    <n v="1.32"/>
    <n v="0"/>
    <n v="0"/>
    <x v="2"/>
    <x v="1"/>
    <x v="3"/>
    <x v="1"/>
    <n v="110.17"/>
    <n v="20.3"/>
    <x v="3"/>
    <n v="0"/>
    <x v="2"/>
    <x v="2"/>
  </r>
  <r>
    <n v="71420"/>
    <x v="0"/>
    <n v="27"/>
    <n v="0"/>
    <n v="0"/>
    <x v="2"/>
    <x v="1"/>
    <x v="2"/>
    <x v="1"/>
    <n v="65.12"/>
    <n v="41.1"/>
    <x v="2"/>
    <n v="0"/>
    <x v="2"/>
    <x v="0"/>
  </r>
  <r>
    <n v="298"/>
    <x v="1"/>
    <n v="41"/>
    <n v="0"/>
    <n v="0"/>
    <x v="2"/>
    <x v="0"/>
    <x v="1"/>
    <x v="1"/>
    <n v="76.66"/>
    <s v="N/A"/>
    <x v="3"/>
    <n v="0"/>
    <x v="1"/>
    <x v="1"/>
  </r>
  <r>
    <n v="15136"/>
    <x v="0"/>
    <n v="64"/>
    <n v="0"/>
    <n v="1"/>
    <x v="0"/>
    <x v="0"/>
    <x v="0"/>
    <x v="1"/>
    <n v="109.88"/>
    <n v="33.9"/>
    <x v="3"/>
    <n v="0"/>
    <x v="0"/>
    <x v="0"/>
  </r>
  <r>
    <n v="9879"/>
    <x v="1"/>
    <n v="55"/>
    <n v="0"/>
    <n v="1"/>
    <x v="2"/>
    <x v="0"/>
    <x v="0"/>
    <x v="0"/>
    <n v="199.38"/>
    <n v="39"/>
    <x v="3"/>
    <n v="0"/>
    <x v="1"/>
    <x v="0"/>
  </r>
  <r>
    <n v="68302"/>
    <x v="1"/>
    <n v="40"/>
    <n v="0"/>
    <n v="0"/>
    <x v="2"/>
    <x v="0"/>
    <x v="0"/>
    <x v="0"/>
    <n v="65.77"/>
    <n v="31.2"/>
    <x v="1"/>
    <n v="0"/>
    <x v="1"/>
    <x v="0"/>
  </r>
  <r>
    <n v="65507"/>
    <x v="0"/>
    <n v="33"/>
    <n v="0"/>
    <n v="0"/>
    <x v="2"/>
    <x v="0"/>
    <x v="0"/>
    <x v="1"/>
    <n v="55.72"/>
    <n v="38.200000000000003"/>
    <x v="1"/>
    <n v="0"/>
    <x v="2"/>
    <x v="0"/>
  </r>
  <r>
    <n v="63949"/>
    <x v="1"/>
    <n v="33"/>
    <n v="0"/>
    <n v="0"/>
    <x v="2"/>
    <x v="0"/>
    <x v="2"/>
    <x v="0"/>
    <n v="75.67"/>
    <n v="44.7"/>
    <x v="1"/>
    <n v="0"/>
    <x v="2"/>
    <x v="0"/>
  </r>
  <r>
    <n v="62475"/>
    <x v="0"/>
    <n v="39"/>
    <n v="1"/>
    <n v="0"/>
    <x v="2"/>
    <x v="0"/>
    <x v="0"/>
    <x v="1"/>
    <n v="88.18"/>
    <n v="33.5"/>
    <x v="2"/>
    <n v="0"/>
    <x v="2"/>
    <x v="0"/>
  </r>
  <r>
    <n v="35648"/>
    <x v="1"/>
    <n v="74"/>
    <n v="0"/>
    <n v="0"/>
    <x v="1"/>
    <x v="0"/>
    <x v="1"/>
    <x v="1"/>
    <n v="95.94"/>
    <n v="27"/>
    <x v="1"/>
    <n v="0"/>
    <x v="0"/>
    <x v="3"/>
  </r>
  <r>
    <n v="72276"/>
    <x v="0"/>
    <n v="38"/>
    <n v="0"/>
    <n v="0"/>
    <x v="2"/>
    <x v="0"/>
    <x v="0"/>
    <x v="0"/>
    <n v="86.93"/>
    <n v="31.1"/>
    <x v="1"/>
    <n v="0"/>
    <x v="2"/>
    <x v="0"/>
  </r>
  <r>
    <n v="49661"/>
    <x v="0"/>
    <n v="53"/>
    <n v="0"/>
    <n v="0"/>
    <x v="2"/>
    <x v="0"/>
    <x v="2"/>
    <x v="0"/>
    <n v="85.17"/>
    <n v="29.2"/>
    <x v="1"/>
    <n v="0"/>
    <x v="1"/>
    <x v="3"/>
  </r>
  <r>
    <n v="31590"/>
    <x v="0"/>
    <n v="22"/>
    <n v="0"/>
    <n v="0"/>
    <x v="2"/>
    <x v="1"/>
    <x v="0"/>
    <x v="0"/>
    <n v="111.1"/>
    <n v="26.6"/>
    <x v="1"/>
    <n v="0"/>
    <x v="2"/>
    <x v="3"/>
  </r>
  <r>
    <n v="8584"/>
    <x v="1"/>
    <n v="5"/>
    <n v="0"/>
    <n v="0"/>
    <x v="2"/>
    <x v="1"/>
    <x v="3"/>
    <x v="1"/>
    <n v="92"/>
    <n v="17.899999999999999"/>
    <x v="3"/>
    <n v="0"/>
    <x v="2"/>
    <x v="4"/>
  </r>
  <r>
    <n v="7964"/>
    <x v="0"/>
    <n v="24"/>
    <n v="0"/>
    <n v="0"/>
    <x v="2"/>
    <x v="1"/>
    <x v="0"/>
    <x v="0"/>
    <n v="97.47"/>
    <n v="24.2"/>
    <x v="0"/>
    <n v="0"/>
    <x v="2"/>
    <x v="2"/>
  </r>
  <r>
    <n v="25130"/>
    <x v="1"/>
    <n v="27"/>
    <n v="0"/>
    <n v="0"/>
    <x v="2"/>
    <x v="0"/>
    <x v="0"/>
    <x v="0"/>
    <n v="79.209999999999994"/>
    <n v="19.5"/>
    <x v="3"/>
    <n v="0"/>
    <x v="2"/>
    <x v="2"/>
  </r>
  <r>
    <n v="3531"/>
    <x v="0"/>
    <n v="41"/>
    <n v="0"/>
    <n v="0"/>
    <x v="2"/>
    <x v="0"/>
    <x v="0"/>
    <x v="1"/>
    <n v="83.97"/>
    <n v="28.5"/>
    <x v="0"/>
    <n v="0"/>
    <x v="1"/>
    <x v="3"/>
  </r>
  <r>
    <n v="6529"/>
    <x v="1"/>
    <n v="20"/>
    <n v="0"/>
    <n v="0"/>
    <x v="2"/>
    <x v="1"/>
    <x v="0"/>
    <x v="0"/>
    <n v="98.55"/>
    <n v="21.3"/>
    <x v="1"/>
    <n v="0"/>
    <x v="2"/>
    <x v="2"/>
  </r>
  <r>
    <n v="22272"/>
    <x v="1"/>
    <n v="71"/>
    <n v="1"/>
    <n v="0"/>
    <x v="0"/>
    <x v="0"/>
    <x v="0"/>
    <x v="1"/>
    <n v="202.98"/>
    <n v="41.3"/>
    <x v="1"/>
    <n v="0"/>
    <x v="0"/>
    <x v="0"/>
  </r>
  <r>
    <n v="40702"/>
    <x v="1"/>
    <n v="65"/>
    <n v="0"/>
    <n v="0"/>
    <x v="1"/>
    <x v="1"/>
    <x v="2"/>
    <x v="0"/>
    <n v="60.7"/>
    <n v="31.3"/>
    <x v="1"/>
    <n v="0"/>
    <x v="0"/>
    <x v="0"/>
  </r>
  <r>
    <n v="1656"/>
    <x v="0"/>
    <n v="38"/>
    <n v="0"/>
    <n v="0"/>
    <x v="2"/>
    <x v="0"/>
    <x v="0"/>
    <x v="0"/>
    <n v="92.22"/>
    <n v="40.799999999999997"/>
    <x v="1"/>
    <n v="0"/>
    <x v="2"/>
    <x v="0"/>
  </r>
  <r>
    <n v="51988"/>
    <x v="1"/>
    <n v="25"/>
    <n v="0"/>
    <n v="0"/>
    <x v="2"/>
    <x v="0"/>
    <x v="0"/>
    <x v="1"/>
    <n v="79.94"/>
    <n v="36.6"/>
    <x v="3"/>
    <n v="0"/>
    <x v="2"/>
    <x v="0"/>
  </r>
  <r>
    <n v="48323"/>
    <x v="0"/>
    <n v="53"/>
    <n v="0"/>
    <n v="0"/>
    <x v="2"/>
    <x v="0"/>
    <x v="2"/>
    <x v="1"/>
    <n v="83.68"/>
    <n v="26.7"/>
    <x v="3"/>
    <n v="0"/>
    <x v="1"/>
    <x v="3"/>
  </r>
  <r>
    <n v="35155"/>
    <x v="1"/>
    <n v="50"/>
    <n v="0"/>
    <n v="0"/>
    <x v="2"/>
    <x v="0"/>
    <x v="1"/>
    <x v="0"/>
    <n v="69.92"/>
    <n v="18.7"/>
    <x v="0"/>
    <n v="0"/>
    <x v="1"/>
    <x v="2"/>
  </r>
  <r>
    <n v="46314"/>
    <x v="1"/>
    <n v="1.24"/>
    <n v="0"/>
    <n v="0"/>
    <x v="2"/>
    <x v="1"/>
    <x v="3"/>
    <x v="1"/>
    <n v="136.96"/>
    <n v="15.2"/>
    <x v="3"/>
    <n v="0"/>
    <x v="2"/>
    <x v="4"/>
  </r>
  <r>
    <n v="12906"/>
    <x v="1"/>
    <n v="55"/>
    <n v="0"/>
    <n v="0"/>
    <x v="2"/>
    <x v="0"/>
    <x v="1"/>
    <x v="1"/>
    <n v="95.32"/>
    <n v="26.8"/>
    <x v="1"/>
    <n v="0"/>
    <x v="1"/>
    <x v="3"/>
  </r>
  <r>
    <n v="24961"/>
    <x v="1"/>
    <n v="38"/>
    <n v="0"/>
    <n v="0"/>
    <x v="2"/>
    <x v="0"/>
    <x v="0"/>
    <x v="1"/>
    <n v="107.78"/>
    <n v="25.1"/>
    <x v="1"/>
    <n v="0"/>
    <x v="2"/>
    <x v="3"/>
  </r>
  <r>
    <n v="14000"/>
    <x v="1"/>
    <n v="72"/>
    <n v="1"/>
    <n v="1"/>
    <x v="0"/>
    <x v="0"/>
    <x v="0"/>
    <x v="0"/>
    <n v="198.32"/>
    <n v="31.3"/>
    <x v="0"/>
    <n v="0"/>
    <x v="0"/>
    <x v="0"/>
  </r>
  <r>
    <n v="23047"/>
    <x v="0"/>
    <n v="43"/>
    <n v="0"/>
    <n v="0"/>
    <x v="2"/>
    <x v="0"/>
    <x v="0"/>
    <x v="0"/>
    <n v="100.16"/>
    <n v="59.7"/>
    <x v="1"/>
    <n v="0"/>
    <x v="1"/>
    <x v="0"/>
  </r>
  <r>
    <n v="6827"/>
    <x v="0"/>
    <n v="30"/>
    <n v="0"/>
    <n v="0"/>
    <x v="2"/>
    <x v="0"/>
    <x v="0"/>
    <x v="0"/>
    <n v="96.02"/>
    <n v="29.8"/>
    <x v="1"/>
    <n v="0"/>
    <x v="2"/>
    <x v="3"/>
  </r>
  <r>
    <n v="44656"/>
    <x v="1"/>
    <n v="69"/>
    <n v="1"/>
    <n v="0"/>
    <x v="0"/>
    <x v="0"/>
    <x v="0"/>
    <x v="1"/>
    <n v="112.69"/>
    <n v="33.5"/>
    <x v="0"/>
    <n v="0"/>
    <x v="0"/>
    <x v="0"/>
  </r>
  <r>
    <n v="59801"/>
    <x v="1"/>
    <n v="61"/>
    <n v="0"/>
    <n v="0"/>
    <x v="1"/>
    <x v="0"/>
    <x v="0"/>
    <x v="0"/>
    <n v="60.61"/>
    <n v="24.5"/>
    <x v="1"/>
    <n v="0"/>
    <x v="0"/>
    <x v="2"/>
  </r>
  <r>
    <n v="51073"/>
    <x v="1"/>
    <n v="34"/>
    <n v="0"/>
    <n v="0"/>
    <x v="2"/>
    <x v="0"/>
    <x v="1"/>
    <x v="0"/>
    <n v="79.77"/>
    <n v="33.6"/>
    <x v="1"/>
    <n v="0"/>
    <x v="2"/>
    <x v="0"/>
  </r>
  <r>
    <n v="34966"/>
    <x v="1"/>
    <n v="43"/>
    <n v="0"/>
    <n v="0"/>
    <x v="2"/>
    <x v="0"/>
    <x v="1"/>
    <x v="0"/>
    <n v="87.41"/>
    <n v="39.700000000000003"/>
    <x v="0"/>
    <n v="0"/>
    <x v="1"/>
    <x v="0"/>
  </r>
  <r>
    <n v="41122"/>
    <x v="1"/>
    <n v="62"/>
    <n v="0"/>
    <n v="0"/>
    <x v="1"/>
    <x v="0"/>
    <x v="0"/>
    <x v="1"/>
    <n v="226.38"/>
    <n v="47.4"/>
    <x v="1"/>
    <n v="0"/>
    <x v="0"/>
    <x v="0"/>
  </r>
  <r>
    <n v="4449"/>
    <x v="0"/>
    <n v="48"/>
    <n v="0"/>
    <n v="0"/>
    <x v="2"/>
    <x v="0"/>
    <x v="2"/>
    <x v="1"/>
    <n v="124.64"/>
    <n v="26.4"/>
    <x v="2"/>
    <n v="0"/>
    <x v="1"/>
    <x v="3"/>
  </r>
  <r>
    <n v="54726"/>
    <x v="1"/>
    <n v="37"/>
    <n v="0"/>
    <n v="0"/>
    <x v="2"/>
    <x v="0"/>
    <x v="0"/>
    <x v="0"/>
    <n v="69.42"/>
    <n v="33"/>
    <x v="1"/>
    <n v="0"/>
    <x v="2"/>
    <x v="0"/>
  </r>
  <r>
    <n v="1772"/>
    <x v="1"/>
    <n v="64"/>
    <n v="0"/>
    <n v="0"/>
    <x v="1"/>
    <x v="0"/>
    <x v="2"/>
    <x v="0"/>
    <n v="77.680000000000007"/>
    <n v="31.4"/>
    <x v="1"/>
    <n v="0"/>
    <x v="0"/>
    <x v="0"/>
  </r>
  <r>
    <n v="4850"/>
    <x v="0"/>
    <n v="51"/>
    <n v="0"/>
    <n v="0"/>
    <x v="2"/>
    <x v="0"/>
    <x v="0"/>
    <x v="1"/>
    <n v="112.79"/>
    <n v="27.2"/>
    <x v="1"/>
    <n v="0"/>
    <x v="1"/>
    <x v="3"/>
  </r>
  <r>
    <n v="44886"/>
    <x v="0"/>
    <n v="69"/>
    <n v="1"/>
    <n v="0"/>
    <x v="0"/>
    <x v="0"/>
    <x v="1"/>
    <x v="1"/>
    <n v="236.79"/>
    <n v="35.700000000000003"/>
    <x v="0"/>
    <n v="0"/>
    <x v="0"/>
    <x v="0"/>
  </r>
  <r>
    <n v="26076"/>
    <x v="1"/>
    <n v="75"/>
    <n v="1"/>
    <n v="0"/>
    <x v="0"/>
    <x v="0"/>
    <x v="1"/>
    <x v="1"/>
    <n v="219.82"/>
    <n v="29.5"/>
    <x v="0"/>
    <n v="0"/>
    <x v="0"/>
    <x v="3"/>
  </r>
  <r>
    <n v="54962"/>
    <x v="1"/>
    <n v="27"/>
    <n v="0"/>
    <n v="0"/>
    <x v="2"/>
    <x v="1"/>
    <x v="0"/>
    <x v="0"/>
    <n v="82.05"/>
    <n v="21"/>
    <x v="3"/>
    <n v="0"/>
    <x v="2"/>
    <x v="2"/>
  </r>
  <r>
    <n v="1116"/>
    <x v="1"/>
    <n v="49"/>
    <n v="0"/>
    <n v="0"/>
    <x v="2"/>
    <x v="1"/>
    <x v="2"/>
    <x v="1"/>
    <n v="104.08"/>
    <n v="26.6"/>
    <x v="1"/>
    <n v="0"/>
    <x v="1"/>
    <x v="3"/>
  </r>
  <r>
    <n v="28247"/>
    <x v="0"/>
    <n v="82"/>
    <n v="0"/>
    <n v="0"/>
    <x v="1"/>
    <x v="1"/>
    <x v="1"/>
    <x v="0"/>
    <n v="101.57"/>
    <n v="24.3"/>
    <x v="2"/>
    <n v="0"/>
    <x v="0"/>
    <x v="2"/>
  </r>
  <r>
    <n v="39563"/>
    <x v="1"/>
    <n v="36"/>
    <n v="0"/>
    <n v="0"/>
    <x v="2"/>
    <x v="0"/>
    <x v="0"/>
    <x v="1"/>
    <n v="71.319999999999993"/>
    <n v="43.9"/>
    <x v="2"/>
    <n v="0"/>
    <x v="2"/>
    <x v="0"/>
  </r>
  <r>
    <n v="49553"/>
    <x v="0"/>
    <n v="1.88"/>
    <n v="0"/>
    <n v="0"/>
    <x v="2"/>
    <x v="1"/>
    <x v="3"/>
    <x v="1"/>
    <n v="143.97"/>
    <s v="N/A"/>
    <x v="3"/>
    <n v="0"/>
    <x v="2"/>
    <x v="1"/>
  </r>
  <r>
    <n v="14872"/>
    <x v="0"/>
    <n v="45"/>
    <n v="1"/>
    <n v="0"/>
    <x v="2"/>
    <x v="0"/>
    <x v="1"/>
    <x v="1"/>
    <n v="239.19"/>
    <n v="52.5"/>
    <x v="3"/>
    <n v="0"/>
    <x v="1"/>
    <x v="0"/>
  </r>
  <r>
    <n v="57598"/>
    <x v="1"/>
    <n v="64"/>
    <n v="0"/>
    <n v="0"/>
    <x v="1"/>
    <x v="0"/>
    <x v="0"/>
    <x v="1"/>
    <n v="78.45"/>
    <n v="27"/>
    <x v="0"/>
    <n v="0"/>
    <x v="0"/>
    <x v="3"/>
  </r>
  <r>
    <n v="70022"/>
    <x v="0"/>
    <n v="32"/>
    <n v="0"/>
    <n v="0"/>
    <x v="2"/>
    <x v="1"/>
    <x v="0"/>
    <x v="1"/>
    <n v="61.11"/>
    <n v="32.700000000000003"/>
    <x v="1"/>
    <n v="0"/>
    <x v="2"/>
    <x v="0"/>
  </r>
  <r>
    <n v="70365"/>
    <x v="1"/>
    <n v="15"/>
    <n v="0"/>
    <n v="0"/>
    <x v="2"/>
    <x v="1"/>
    <x v="0"/>
    <x v="0"/>
    <n v="87.29"/>
    <n v="29.4"/>
    <x v="3"/>
    <n v="0"/>
    <x v="2"/>
    <x v="3"/>
  </r>
  <r>
    <n v="57219"/>
    <x v="1"/>
    <n v="1.64"/>
    <n v="0"/>
    <n v="0"/>
    <x v="2"/>
    <x v="1"/>
    <x v="3"/>
    <x v="1"/>
    <n v="82.49"/>
    <n v="15.1"/>
    <x v="3"/>
    <n v="0"/>
    <x v="2"/>
    <x v="4"/>
  </r>
  <r>
    <n v="28344"/>
    <x v="0"/>
    <n v="34"/>
    <n v="0"/>
    <n v="0"/>
    <x v="2"/>
    <x v="0"/>
    <x v="0"/>
    <x v="0"/>
    <n v="83.15"/>
    <n v="32.1"/>
    <x v="3"/>
    <n v="0"/>
    <x v="2"/>
    <x v="0"/>
  </r>
  <r>
    <n v="50785"/>
    <x v="0"/>
    <n v="17"/>
    <n v="0"/>
    <n v="0"/>
    <x v="2"/>
    <x v="1"/>
    <x v="0"/>
    <x v="1"/>
    <n v="83.26"/>
    <n v="32.9"/>
    <x v="1"/>
    <n v="0"/>
    <x v="2"/>
    <x v="0"/>
  </r>
  <r>
    <n v="17251"/>
    <x v="1"/>
    <n v="76"/>
    <n v="1"/>
    <n v="0"/>
    <x v="0"/>
    <x v="0"/>
    <x v="1"/>
    <x v="0"/>
    <n v="78.7"/>
    <n v="27.6"/>
    <x v="0"/>
    <n v="0"/>
    <x v="0"/>
    <x v="3"/>
  </r>
  <r>
    <n v="48459"/>
    <x v="0"/>
    <n v="61"/>
    <n v="0"/>
    <n v="0"/>
    <x v="1"/>
    <x v="0"/>
    <x v="1"/>
    <x v="0"/>
    <n v="111.94"/>
    <n v="26.5"/>
    <x v="2"/>
    <n v="0"/>
    <x v="0"/>
    <x v="3"/>
  </r>
  <r>
    <n v="68843"/>
    <x v="0"/>
    <n v="30"/>
    <n v="0"/>
    <n v="0"/>
    <x v="2"/>
    <x v="0"/>
    <x v="0"/>
    <x v="1"/>
    <n v="104.77"/>
    <n v="19.2"/>
    <x v="2"/>
    <n v="0"/>
    <x v="2"/>
    <x v="2"/>
  </r>
  <r>
    <n v="27523"/>
    <x v="1"/>
    <n v="18"/>
    <n v="0"/>
    <n v="0"/>
    <x v="2"/>
    <x v="1"/>
    <x v="0"/>
    <x v="0"/>
    <n v="104.26"/>
    <n v="25.9"/>
    <x v="3"/>
    <n v="0"/>
    <x v="2"/>
    <x v="3"/>
  </r>
  <r>
    <n v="61651"/>
    <x v="0"/>
    <n v="48"/>
    <n v="0"/>
    <n v="0"/>
    <x v="2"/>
    <x v="0"/>
    <x v="0"/>
    <x v="1"/>
    <n v="113.84"/>
    <n v="21.9"/>
    <x v="1"/>
    <n v="0"/>
    <x v="1"/>
    <x v="2"/>
  </r>
  <r>
    <n v="22877"/>
    <x v="0"/>
    <n v="0.16"/>
    <n v="0"/>
    <n v="0"/>
    <x v="2"/>
    <x v="1"/>
    <x v="3"/>
    <x v="0"/>
    <n v="114.71"/>
    <n v="17.399999999999999"/>
    <x v="3"/>
    <n v="0"/>
    <x v="2"/>
    <x v="4"/>
  </r>
  <r>
    <n v="52859"/>
    <x v="1"/>
    <n v="4"/>
    <n v="0"/>
    <n v="0"/>
    <x v="2"/>
    <x v="1"/>
    <x v="3"/>
    <x v="0"/>
    <n v="61.54"/>
    <n v="13.2"/>
    <x v="3"/>
    <n v="0"/>
    <x v="2"/>
    <x v="4"/>
  </r>
  <r>
    <n v="55631"/>
    <x v="0"/>
    <n v="38"/>
    <n v="0"/>
    <n v="0"/>
    <x v="2"/>
    <x v="0"/>
    <x v="0"/>
    <x v="1"/>
    <n v="133.62"/>
    <n v="25.2"/>
    <x v="1"/>
    <n v="0"/>
    <x v="2"/>
    <x v="3"/>
  </r>
  <r>
    <n v="7003"/>
    <x v="1"/>
    <n v="27"/>
    <n v="0"/>
    <n v="0"/>
    <x v="2"/>
    <x v="0"/>
    <x v="0"/>
    <x v="1"/>
    <n v="111.96"/>
    <n v="28.2"/>
    <x v="1"/>
    <n v="0"/>
    <x v="2"/>
    <x v="3"/>
  </r>
  <r>
    <n v="68447"/>
    <x v="1"/>
    <n v="50"/>
    <n v="0"/>
    <n v="0"/>
    <x v="2"/>
    <x v="1"/>
    <x v="0"/>
    <x v="0"/>
    <n v="112.44"/>
    <n v="31.5"/>
    <x v="3"/>
    <n v="0"/>
    <x v="1"/>
    <x v="0"/>
  </r>
  <r>
    <n v="13817"/>
    <x v="0"/>
    <n v="19"/>
    <n v="0"/>
    <n v="0"/>
    <x v="2"/>
    <x v="1"/>
    <x v="0"/>
    <x v="0"/>
    <n v="123.61"/>
    <n v="25.2"/>
    <x v="3"/>
    <n v="0"/>
    <x v="2"/>
    <x v="3"/>
  </r>
  <r>
    <n v="12117"/>
    <x v="0"/>
    <n v="8"/>
    <n v="0"/>
    <n v="0"/>
    <x v="2"/>
    <x v="1"/>
    <x v="3"/>
    <x v="0"/>
    <n v="84.68"/>
    <n v="14.5"/>
    <x v="3"/>
    <n v="0"/>
    <x v="2"/>
    <x v="4"/>
  </r>
  <r>
    <n v="40210"/>
    <x v="0"/>
    <n v="78"/>
    <n v="0"/>
    <n v="1"/>
    <x v="0"/>
    <x v="0"/>
    <x v="1"/>
    <x v="1"/>
    <n v="206.62"/>
    <n v="28"/>
    <x v="0"/>
    <n v="0"/>
    <x v="0"/>
    <x v="3"/>
  </r>
  <r>
    <n v="23360"/>
    <x v="0"/>
    <n v="0.8"/>
    <n v="0"/>
    <n v="0"/>
    <x v="2"/>
    <x v="1"/>
    <x v="3"/>
    <x v="1"/>
    <n v="114.54"/>
    <n v="15.1"/>
    <x v="3"/>
    <n v="0"/>
    <x v="2"/>
    <x v="4"/>
  </r>
  <r>
    <n v="28447"/>
    <x v="1"/>
    <n v="53"/>
    <n v="1"/>
    <n v="0"/>
    <x v="2"/>
    <x v="0"/>
    <x v="0"/>
    <x v="1"/>
    <n v="216.88"/>
    <n v="31.4"/>
    <x v="2"/>
    <n v="0"/>
    <x v="1"/>
    <x v="0"/>
  </r>
  <r>
    <n v="72398"/>
    <x v="1"/>
    <n v="73"/>
    <n v="1"/>
    <n v="0"/>
    <x v="0"/>
    <x v="0"/>
    <x v="0"/>
    <x v="0"/>
    <n v="110.38"/>
    <n v="26.3"/>
    <x v="1"/>
    <n v="0"/>
    <x v="0"/>
    <x v="3"/>
  </r>
  <r>
    <n v="7859"/>
    <x v="0"/>
    <n v="34"/>
    <n v="0"/>
    <n v="0"/>
    <x v="2"/>
    <x v="0"/>
    <x v="0"/>
    <x v="0"/>
    <n v="99.23"/>
    <s v="N/A"/>
    <x v="2"/>
    <n v="0"/>
    <x v="2"/>
    <x v="1"/>
  </r>
  <r>
    <n v="20140"/>
    <x v="0"/>
    <n v="58"/>
    <n v="0"/>
    <n v="0"/>
    <x v="2"/>
    <x v="0"/>
    <x v="2"/>
    <x v="1"/>
    <n v="204.92"/>
    <n v="39.6"/>
    <x v="1"/>
    <n v="0"/>
    <x v="1"/>
    <x v="0"/>
  </r>
  <r>
    <n v="46903"/>
    <x v="1"/>
    <n v="62"/>
    <n v="0"/>
    <n v="0"/>
    <x v="1"/>
    <x v="0"/>
    <x v="0"/>
    <x v="0"/>
    <n v="56.74"/>
    <n v="28.9"/>
    <x v="1"/>
    <n v="0"/>
    <x v="0"/>
    <x v="3"/>
  </r>
  <r>
    <n v="61333"/>
    <x v="1"/>
    <n v="78"/>
    <n v="0"/>
    <n v="0"/>
    <x v="1"/>
    <x v="1"/>
    <x v="1"/>
    <x v="1"/>
    <n v="68.349999999999994"/>
    <n v="31.4"/>
    <x v="3"/>
    <n v="0"/>
    <x v="0"/>
    <x v="0"/>
  </r>
  <r>
    <n v="7403"/>
    <x v="1"/>
    <n v="51"/>
    <n v="0"/>
    <n v="0"/>
    <x v="2"/>
    <x v="0"/>
    <x v="0"/>
    <x v="0"/>
    <n v="83.52"/>
    <n v="34.299999999999997"/>
    <x v="3"/>
    <n v="0"/>
    <x v="1"/>
    <x v="0"/>
  </r>
  <r>
    <n v="69370"/>
    <x v="0"/>
    <n v="78"/>
    <n v="0"/>
    <n v="0"/>
    <x v="1"/>
    <x v="0"/>
    <x v="2"/>
    <x v="0"/>
    <n v="59.74"/>
    <n v="27"/>
    <x v="0"/>
    <n v="0"/>
    <x v="0"/>
    <x v="3"/>
  </r>
  <r>
    <n v="43549"/>
    <x v="1"/>
    <n v="40"/>
    <n v="1"/>
    <n v="0"/>
    <x v="2"/>
    <x v="0"/>
    <x v="0"/>
    <x v="1"/>
    <n v="81.59"/>
    <n v="27.2"/>
    <x v="1"/>
    <n v="0"/>
    <x v="1"/>
    <x v="3"/>
  </r>
  <r>
    <n v="2903"/>
    <x v="1"/>
    <n v="35"/>
    <n v="0"/>
    <n v="0"/>
    <x v="2"/>
    <x v="1"/>
    <x v="0"/>
    <x v="1"/>
    <n v="123.83"/>
    <n v="23.8"/>
    <x v="1"/>
    <n v="0"/>
    <x v="2"/>
    <x v="2"/>
  </r>
  <r>
    <n v="70268"/>
    <x v="0"/>
    <n v="82"/>
    <n v="0"/>
    <n v="0"/>
    <x v="1"/>
    <x v="0"/>
    <x v="0"/>
    <x v="0"/>
    <n v="226.84"/>
    <n v="25.3"/>
    <x v="0"/>
    <n v="0"/>
    <x v="0"/>
    <x v="3"/>
  </r>
  <r>
    <n v="11003"/>
    <x v="1"/>
    <n v="46"/>
    <n v="0"/>
    <n v="0"/>
    <x v="2"/>
    <x v="0"/>
    <x v="1"/>
    <x v="1"/>
    <n v="93.2"/>
    <n v="32.6"/>
    <x v="3"/>
    <n v="0"/>
    <x v="1"/>
    <x v="0"/>
  </r>
  <r>
    <n v="61475"/>
    <x v="1"/>
    <n v="51"/>
    <n v="1"/>
    <n v="0"/>
    <x v="2"/>
    <x v="0"/>
    <x v="0"/>
    <x v="1"/>
    <n v="85.84"/>
    <n v="31.8"/>
    <x v="1"/>
    <n v="0"/>
    <x v="1"/>
    <x v="0"/>
  </r>
  <r>
    <n v="27608"/>
    <x v="1"/>
    <n v="53"/>
    <n v="0"/>
    <n v="0"/>
    <x v="2"/>
    <x v="0"/>
    <x v="2"/>
    <x v="0"/>
    <n v="74.64"/>
    <n v="22.4"/>
    <x v="3"/>
    <n v="0"/>
    <x v="1"/>
    <x v="2"/>
  </r>
  <r>
    <n v="9923"/>
    <x v="0"/>
    <n v="55"/>
    <n v="0"/>
    <n v="1"/>
    <x v="2"/>
    <x v="0"/>
    <x v="0"/>
    <x v="0"/>
    <n v="80.17"/>
    <n v="28"/>
    <x v="1"/>
    <n v="0"/>
    <x v="1"/>
    <x v="3"/>
  </r>
  <r>
    <n v="28091"/>
    <x v="1"/>
    <n v="43"/>
    <n v="0"/>
    <n v="0"/>
    <x v="2"/>
    <x v="0"/>
    <x v="2"/>
    <x v="0"/>
    <n v="85.03"/>
    <n v="23.9"/>
    <x v="0"/>
    <n v="0"/>
    <x v="1"/>
    <x v="2"/>
  </r>
  <r>
    <n v="59749"/>
    <x v="0"/>
    <n v="81"/>
    <n v="0"/>
    <n v="0"/>
    <x v="1"/>
    <x v="0"/>
    <x v="0"/>
    <x v="0"/>
    <n v="234.35"/>
    <n v="25.3"/>
    <x v="0"/>
    <n v="0"/>
    <x v="0"/>
    <x v="3"/>
  </r>
  <r>
    <n v="8719"/>
    <x v="0"/>
    <n v="12"/>
    <n v="0"/>
    <n v="0"/>
    <x v="2"/>
    <x v="1"/>
    <x v="3"/>
    <x v="0"/>
    <n v="116.25"/>
    <n v="16.399999999999999"/>
    <x v="0"/>
    <n v="0"/>
    <x v="2"/>
    <x v="4"/>
  </r>
  <r>
    <n v="58154"/>
    <x v="1"/>
    <n v="20"/>
    <n v="0"/>
    <n v="0"/>
    <x v="2"/>
    <x v="1"/>
    <x v="0"/>
    <x v="0"/>
    <n v="66.55"/>
    <n v="26.9"/>
    <x v="2"/>
    <n v="0"/>
    <x v="2"/>
    <x v="3"/>
  </r>
  <r>
    <n v="31712"/>
    <x v="1"/>
    <n v="53"/>
    <n v="0"/>
    <n v="0"/>
    <x v="2"/>
    <x v="0"/>
    <x v="0"/>
    <x v="0"/>
    <n v="88.38"/>
    <n v="25.4"/>
    <x v="1"/>
    <n v="0"/>
    <x v="1"/>
    <x v="3"/>
  </r>
  <r>
    <n v="14249"/>
    <x v="1"/>
    <n v="1.32"/>
    <n v="0"/>
    <n v="0"/>
    <x v="2"/>
    <x v="1"/>
    <x v="3"/>
    <x v="0"/>
    <n v="81.05"/>
    <n v="18.7"/>
    <x v="3"/>
    <n v="0"/>
    <x v="2"/>
    <x v="2"/>
  </r>
  <r>
    <n v="30693"/>
    <x v="1"/>
    <n v="22"/>
    <n v="0"/>
    <n v="0"/>
    <x v="2"/>
    <x v="1"/>
    <x v="0"/>
    <x v="0"/>
    <n v="68.400000000000006"/>
    <n v="37.5"/>
    <x v="1"/>
    <n v="0"/>
    <x v="2"/>
    <x v="0"/>
  </r>
  <r>
    <n v="18866"/>
    <x v="1"/>
    <n v="75"/>
    <n v="0"/>
    <n v="0"/>
    <x v="1"/>
    <x v="0"/>
    <x v="1"/>
    <x v="0"/>
    <n v="96.95"/>
    <n v="41.4"/>
    <x v="1"/>
    <n v="0"/>
    <x v="0"/>
    <x v="0"/>
  </r>
  <r>
    <n v="36909"/>
    <x v="1"/>
    <n v="66"/>
    <n v="0"/>
    <n v="0"/>
    <x v="1"/>
    <x v="0"/>
    <x v="1"/>
    <x v="1"/>
    <n v="66.239999999999995"/>
    <n v="37.5"/>
    <x v="1"/>
    <n v="0"/>
    <x v="0"/>
    <x v="0"/>
  </r>
  <r>
    <n v="63562"/>
    <x v="0"/>
    <n v="7"/>
    <n v="0"/>
    <n v="0"/>
    <x v="2"/>
    <x v="1"/>
    <x v="3"/>
    <x v="1"/>
    <n v="91.81"/>
    <n v="15.8"/>
    <x v="3"/>
    <n v="0"/>
    <x v="2"/>
    <x v="4"/>
  </r>
  <r>
    <n v="29352"/>
    <x v="1"/>
    <n v="26"/>
    <n v="0"/>
    <n v="0"/>
    <x v="2"/>
    <x v="1"/>
    <x v="0"/>
    <x v="0"/>
    <n v="84.86"/>
    <n v="37.6"/>
    <x v="1"/>
    <n v="0"/>
    <x v="2"/>
    <x v="0"/>
  </r>
  <r>
    <n v="44024"/>
    <x v="1"/>
    <n v="14"/>
    <n v="0"/>
    <n v="0"/>
    <x v="2"/>
    <x v="1"/>
    <x v="0"/>
    <x v="1"/>
    <n v="118.88"/>
    <n v="30.5"/>
    <x v="1"/>
    <n v="0"/>
    <x v="2"/>
    <x v="0"/>
  </r>
  <r>
    <n v="24068"/>
    <x v="1"/>
    <n v="32"/>
    <n v="0"/>
    <n v="0"/>
    <x v="2"/>
    <x v="0"/>
    <x v="0"/>
    <x v="0"/>
    <n v="85.91"/>
    <n v="22.1"/>
    <x v="3"/>
    <n v="0"/>
    <x v="2"/>
    <x v="2"/>
  </r>
  <r>
    <n v="57602"/>
    <x v="0"/>
    <n v="6"/>
    <n v="0"/>
    <n v="0"/>
    <x v="2"/>
    <x v="1"/>
    <x v="3"/>
    <x v="1"/>
    <n v="115.4"/>
    <n v="19.2"/>
    <x v="3"/>
    <n v="0"/>
    <x v="2"/>
    <x v="2"/>
  </r>
  <r>
    <n v="16536"/>
    <x v="1"/>
    <n v="42"/>
    <n v="0"/>
    <n v="0"/>
    <x v="2"/>
    <x v="0"/>
    <x v="1"/>
    <x v="1"/>
    <n v="75.34"/>
    <n v="38"/>
    <x v="1"/>
    <n v="0"/>
    <x v="1"/>
    <x v="0"/>
  </r>
  <r>
    <n v="6639"/>
    <x v="0"/>
    <n v="4"/>
    <n v="0"/>
    <n v="0"/>
    <x v="2"/>
    <x v="1"/>
    <x v="3"/>
    <x v="1"/>
    <n v="100.19"/>
    <n v="18.7"/>
    <x v="3"/>
    <n v="0"/>
    <x v="2"/>
    <x v="2"/>
  </r>
  <r>
    <n v="6528"/>
    <x v="0"/>
    <n v="75"/>
    <n v="0"/>
    <n v="0"/>
    <x v="1"/>
    <x v="0"/>
    <x v="2"/>
    <x v="0"/>
    <n v="200.73"/>
    <n v="25.7"/>
    <x v="0"/>
    <n v="0"/>
    <x v="0"/>
    <x v="3"/>
  </r>
  <r>
    <n v="42594"/>
    <x v="0"/>
    <n v="80"/>
    <n v="1"/>
    <n v="0"/>
    <x v="0"/>
    <x v="0"/>
    <x v="2"/>
    <x v="0"/>
    <n v="114.09"/>
    <n v="30.1"/>
    <x v="1"/>
    <n v="0"/>
    <x v="0"/>
    <x v="0"/>
  </r>
  <r>
    <n v="59045"/>
    <x v="1"/>
    <n v="52"/>
    <n v="0"/>
    <n v="0"/>
    <x v="2"/>
    <x v="0"/>
    <x v="0"/>
    <x v="0"/>
    <n v="67.3"/>
    <n v="36.299999999999997"/>
    <x v="1"/>
    <n v="0"/>
    <x v="1"/>
    <x v="0"/>
  </r>
  <r>
    <n v="31608"/>
    <x v="0"/>
    <n v="11"/>
    <n v="0"/>
    <n v="0"/>
    <x v="2"/>
    <x v="1"/>
    <x v="3"/>
    <x v="1"/>
    <n v="96.91"/>
    <n v="20.399999999999999"/>
    <x v="3"/>
    <n v="0"/>
    <x v="2"/>
    <x v="2"/>
  </r>
  <r>
    <n v="47949"/>
    <x v="0"/>
    <n v="14"/>
    <n v="0"/>
    <n v="0"/>
    <x v="2"/>
    <x v="1"/>
    <x v="3"/>
    <x v="1"/>
    <n v="116.2"/>
    <n v="20.9"/>
    <x v="3"/>
    <n v="0"/>
    <x v="2"/>
    <x v="2"/>
  </r>
  <r>
    <n v="41362"/>
    <x v="1"/>
    <n v="74"/>
    <n v="0"/>
    <n v="0"/>
    <x v="1"/>
    <x v="0"/>
    <x v="1"/>
    <x v="1"/>
    <n v="72.540000000000006"/>
    <n v="28.4"/>
    <x v="1"/>
    <n v="0"/>
    <x v="0"/>
    <x v="3"/>
  </r>
  <r>
    <n v="18187"/>
    <x v="0"/>
    <n v="58"/>
    <n v="0"/>
    <n v="0"/>
    <x v="2"/>
    <x v="0"/>
    <x v="0"/>
    <x v="1"/>
    <n v="96.01"/>
    <n v="33.799999999999997"/>
    <x v="3"/>
    <n v="0"/>
    <x v="1"/>
    <x v="0"/>
  </r>
  <r>
    <n v="8983"/>
    <x v="1"/>
    <n v="80"/>
    <n v="1"/>
    <n v="0"/>
    <x v="0"/>
    <x v="0"/>
    <x v="0"/>
    <x v="0"/>
    <n v="89.16"/>
    <n v="24"/>
    <x v="1"/>
    <n v="0"/>
    <x v="0"/>
    <x v="2"/>
  </r>
  <r>
    <n v="20098"/>
    <x v="1"/>
    <n v="31"/>
    <n v="0"/>
    <n v="0"/>
    <x v="2"/>
    <x v="0"/>
    <x v="1"/>
    <x v="1"/>
    <n v="108.64"/>
    <n v="43.3"/>
    <x v="1"/>
    <n v="0"/>
    <x v="2"/>
    <x v="0"/>
  </r>
  <r>
    <n v="3777"/>
    <x v="1"/>
    <n v="28"/>
    <n v="1"/>
    <n v="0"/>
    <x v="2"/>
    <x v="0"/>
    <x v="2"/>
    <x v="1"/>
    <n v="83.66"/>
    <n v="36.4"/>
    <x v="1"/>
    <n v="0"/>
    <x v="2"/>
    <x v="0"/>
  </r>
  <r>
    <n v="11651"/>
    <x v="1"/>
    <n v="25"/>
    <n v="0"/>
    <n v="0"/>
    <x v="2"/>
    <x v="0"/>
    <x v="0"/>
    <x v="1"/>
    <n v="81.209999999999994"/>
    <n v="37.9"/>
    <x v="1"/>
    <n v="0"/>
    <x v="2"/>
    <x v="0"/>
  </r>
  <r>
    <n v="28527"/>
    <x v="0"/>
    <n v="71"/>
    <n v="0"/>
    <n v="0"/>
    <x v="1"/>
    <x v="1"/>
    <x v="0"/>
    <x v="0"/>
    <n v="86.96"/>
    <n v="32.6"/>
    <x v="1"/>
    <n v="0"/>
    <x v="0"/>
    <x v="0"/>
  </r>
  <r>
    <n v="63282"/>
    <x v="1"/>
    <n v="51"/>
    <n v="0"/>
    <n v="0"/>
    <x v="2"/>
    <x v="0"/>
    <x v="2"/>
    <x v="1"/>
    <n v="92.95"/>
    <n v="23.9"/>
    <x v="1"/>
    <n v="0"/>
    <x v="1"/>
    <x v="2"/>
  </r>
  <r>
    <n v="37038"/>
    <x v="0"/>
    <n v="15"/>
    <n v="0"/>
    <n v="0"/>
    <x v="2"/>
    <x v="1"/>
    <x v="3"/>
    <x v="0"/>
    <n v="95.86"/>
    <n v="18.100000000000001"/>
    <x v="3"/>
    <n v="0"/>
    <x v="2"/>
    <x v="4"/>
  </r>
  <r>
    <n v="4528"/>
    <x v="0"/>
    <n v="45"/>
    <n v="1"/>
    <n v="0"/>
    <x v="2"/>
    <x v="1"/>
    <x v="0"/>
    <x v="1"/>
    <n v="85.52"/>
    <n v="36.4"/>
    <x v="1"/>
    <n v="0"/>
    <x v="1"/>
    <x v="0"/>
  </r>
  <r>
    <n v="41665"/>
    <x v="0"/>
    <n v="53"/>
    <n v="0"/>
    <n v="0"/>
    <x v="2"/>
    <x v="0"/>
    <x v="2"/>
    <x v="1"/>
    <n v="159.38999999999999"/>
    <n v="29.2"/>
    <x v="1"/>
    <n v="0"/>
    <x v="1"/>
    <x v="3"/>
  </r>
  <r>
    <n v="26539"/>
    <x v="0"/>
    <n v="69"/>
    <n v="0"/>
    <n v="0"/>
    <x v="1"/>
    <x v="0"/>
    <x v="1"/>
    <x v="0"/>
    <n v="202.51"/>
    <n v="30.8"/>
    <x v="0"/>
    <n v="0"/>
    <x v="0"/>
    <x v="0"/>
  </r>
  <r>
    <n v="25325"/>
    <x v="1"/>
    <n v="42"/>
    <n v="0"/>
    <n v="0"/>
    <x v="2"/>
    <x v="0"/>
    <x v="0"/>
    <x v="1"/>
    <n v="82.24"/>
    <n v="23.8"/>
    <x v="0"/>
    <n v="0"/>
    <x v="1"/>
    <x v="2"/>
  </r>
  <r>
    <n v="69462"/>
    <x v="1"/>
    <n v="4"/>
    <n v="0"/>
    <n v="0"/>
    <x v="2"/>
    <x v="1"/>
    <x v="3"/>
    <x v="1"/>
    <n v="109.81"/>
    <n v="17.899999999999999"/>
    <x v="3"/>
    <n v="0"/>
    <x v="2"/>
    <x v="4"/>
  </r>
  <r>
    <n v="29816"/>
    <x v="0"/>
    <n v="64"/>
    <n v="1"/>
    <n v="0"/>
    <x v="0"/>
    <x v="0"/>
    <x v="0"/>
    <x v="1"/>
    <n v="91.85"/>
    <n v="31.8"/>
    <x v="0"/>
    <n v="0"/>
    <x v="0"/>
    <x v="0"/>
  </r>
  <r>
    <n v="47784"/>
    <x v="1"/>
    <n v="5"/>
    <n v="0"/>
    <n v="0"/>
    <x v="2"/>
    <x v="1"/>
    <x v="3"/>
    <x v="1"/>
    <n v="123.49"/>
    <n v="19.5"/>
    <x v="3"/>
    <n v="0"/>
    <x v="2"/>
    <x v="2"/>
  </r>
  <r>
    <n v="18181"/>
    <x v="0"/>
    <n v="44"/>
    <n v="0"/>
    <n v="0"/>
    <x v="2"/>
    <x v="0"/>
    <x v="0"/>
    <x v="1"/>
    <n v="105.49"/>
    <n v="31.5"/>
    <x v="2"/>
    <n v="0"/>
    <x v="1"/>
    <x v="0"/>
  </r>
  <r>
    <n v="8614"/>
    <x v="0"/>
    <n v="78"/>
    <n v="0"/>
    <n v="1"/>
    <x v="0"/>
    <x v="0"/>
    <x v="1"/>
    <x v="0"/>
    <n v="101.53"/>
    <n v="24.1"/>
    <x v="0"/>
    <n v="0"/>
    <x v="0"/>
    <x v="2"/>
  </r>
  <r>
    <n v="347"/>
    <x v="1"/>
    <n v="16"/>
    <n v="0"/>
    <n v="0"/>
    <x v="2"/>
    <x v="1"/>
    <x v="0"/>
    <x v="0"/>
    <n v="89.45"/>
    <s v="N/A"/>
    <x v="3"/>
    <n v="0"/>
    <x v="2"/>
    <x v="1"/>
  </r>
  <r>
    <n v="61336"/>
    <x v="1"/>
    <n v="69"/>
    <n v="0"/>
    <n v="0"/>
    <x v="1"/>
    <x v="0"/>
    <x v="1"/>
    <x v="0"/>
    <n v="126.04"/>
    <n v="35.9"/>
    <x v="1"/>
    <n v="0"/>
    <x v="0"/>
    <x v="0"/>
  </r>
  <r>
    <n v="27647"/>
    <x v="0"/>
    <n v="80"/>
    <n v="0"/>
    <n v="1"/>
    <x v="0"/>
    <x v="0"/>
    <x v="1"/>
    <x v="1"/>
    <n v="95.49"/>
    <n v="31.6"/>
    <x v="3"/>
    <n v="0"/>
    <x v="0"/>
    <x v="0"/>
  </r>
  <r>
    <n v="25676"/>
    <x v="1"/>
    <n v="7"/>
    <n v="0"/>
    <n v="0"/>
    <x v="2"/>
    <x v="1"/>
    <x v="3"/>
    <x v="1"/>
    <n v="89.38"/>
    <n v="19"/>
    <x v="3"/>
    <n v="0"/>
    <x v="2"/>
    <x v="2"/>
  </r>
  <r>
    <n v="65894"/>
    <x v="1"/>
    <n v="2"/>
    <n v="0"/>
    <n v="0"/>
    <x v="2"/>
    <x v="1"/>
    <x v="3"/>
    <x v="0"/>
    <n v="82.3"/>
    <n v="18.8"/>
    <x v="3"/>
    <n v="0"/>
    <x v="2"/>
    <x v="2"/>
  </r>
  <r>
    <n v="2291"/>
    <x v="1"/>
    <n v="80"/>
    <n v="1"/>
    <n v="0"/>
    <x v="0"/>
    <x v="0"/>
    <x v="1"/>
    <x v="0"/>
    <n v="218"/>
    <n v="33.5"/>
    <x v="3"/>
    <n v="0"/>
    <x v="0"/>
    <x v="0"/>
  </r>
  <r>
    <n v="25630"/>
    <x v="1"/>
    <n v="69"/>
    <n v="0"/>
    <n v="0"/>
    <x v="1"/>
    <x v="0"/>
    <x v="1"/>
    <x v="0"/>
    <n v="79.7"/>
    <n v="25"/>
    <x v="1"/>
    <n v="0"/>
    <x v="0"/>
    <x v="3"/>
  </r>
  <r>
    <n v="38575"/>
    <x v="0"/>
    <n v="58"/>
    <n v="1"/>
    <n v="0"/>
    <x v="2"/>
    <x v="0"/>
    <x v="1"/>
    <x v="1"/>
    <n v="209.15"/>
    <n v="52.9"/>
    <x v="0"/>
    <n v="0"/>
    <x v="1"/>
    <x v="0"/>
  </r>
  <r>
    <n v="29326"/>
    <x v="1"/>
    <n v="75"/>
    <n v="0"/>
    <n v="0"/>
    <x v="1"/>
    <x v="0"/>
    <x v="1"/>
    <x v="1"/>
    <n v="70.22"/>
    <n v="24.8"/>
    <x v="0"/>
    <n v="0"/>
    <x v="0"/>
    <x v="2"/>
  </r>
  <r>
    <n v="59292"/>
    <x v="1"/>
    <n v="60"/>
    <n v="0"/>
    <n v="0"/>
    <x v="1"/>
    <x v="0"/>
    <x v="1"/>
    <x v="1"/>
    <n v="83.57"/>
    <n v="24.5"/>
    <x v="1"/>
    <n v="0"/>
    <x v="0"/>
    <x v="2"/>
  </r>
  <r>
    <n v="52051"/>
    <x v="1"/>
    <n v="75"/>
    <n v="0"/>
    <n v="0"/>
    <x v="1"/>
    <x v="0"/>
    <x v="1"/>
    <x v="0"/>
    <n v="60.6"/>
    <n v="40.4"/>
    <x v="2"/>
    <n v="0"/>
    <x v="0"/>
    <x v="0"/>
  </r>
  <r>
    <n v="64508"/>
    <x v="1"/>
    <n v="10"/>
    <n v="0"/>
    <n v="0"/>
    <x v="2"/>
    <x v="1"/>
    <x v="3"/>
    <x v="0"/>
    <n v="97.24"/>
    <n v="20.2"/>
    <x v="3"/>
    <n v="0"/>
    <x v="2"/>
    <x v="2"/>
  </r>
  <r>
    <n v="36593"/>
    <x v="0"/>
    <n v="38"/>
    <n v="0"/>
    <n v="0"/>
    <x v="2"/>
    <x v="1"/>
    <x v="0"/>
    <x v="1"/>
    <n v="162.72"/>
    <n v="31.9"/>
    <x v="2"/>
    <n v="0"/>
    <x v="2"/>
    <x v="0"/>
  </r>
  <r>
    <n v="39834"/>
    <x v="0"/>
    <n v="28"/>
    <n v="0"/>
    <n v="0"/>
    <x v="2"/>
    <x v="1"/>
    <x v="0"/>
    <x v="0"/>
    <n v="73.27"/>
    <n v="25.4"/>
    <x v="2"/>
    <n v="0"/>
    <x v="2"/>
    <x v="3"/>
  </r>
  <r>
    <n v="54111"/>
    <x v="1"/>
    <n v="3"/>
    <n v="0"/>
    <n v="0"/>
    <x v="2"/>
    <x v="1"/>
    <x v="3"/>
    <x v="0"/>
    <n v="92.62"/>
    <n v="15.4"/>
    <x v="3"/>
    <n v="0"/>
    <x v="2"/>
    <x v="4"/>
  </r>
  <r>
    <n v="53476"/>
    <x v="1"/>
    <n v="31"/>
    <n v="0"/>
    <n v="0"/>
    <x v="2"/>
    <x v="0"/>
    <x v="0"/>
    <x v="0"/>
    <n v="90"/>
    <n v="38.6"/>
    <x v="1"/>
    <n v="0"/>
    <x v="2"/>
    <x v="0"/>
  </r>
  <r>
    <n v="479"/>
    <x v="1"/>
    <n v="59"/>
    <n v="1"/>
    <n v="0"/>
    <x v="2"/>
    <x v="0"/>
    <x v="0"/>
    <x v="1"/>
    <n v="78.28"/>
    <n v="31"/>
    <x v="0"/>
    <n v="0"/>
    <x v="1"/>
    <x v="0"/>
  </r>
  <r>
    <n v="37237"/>
    <x v="1"/>
    <n v="31"/>
    <n v="0"/>
    <n v="0"/>
    <x v="2"/>
    <x v="1"/>
    <x v="0"/>
    <x v="1"/>
    <n v="87.81"/>
    <n v="26.4"/>
    <x v="2"/>
    <n v="0"/>
    <x v="2"/>
    <x v="3"/>
  </r>
  <r>
    <n v="5496"/>
    <x v="1"/>
    <n v="45"/>
    <n v="0"/>
    <n v="0"/>
    <x v="2"/>
    <x v="0"/>
    <x v="0"/>
    <x v="0"/>
    <n v="202.66"/>
    <s v="N/A"/>
    <x v="1"/>
    <n v="0"/>
    <x v="1"/>
    <x v="1"/>
  </r>
  <r>
    <n v="56075"/>
    <x v="1"/>
    <n v="58"/>
    <n v="0"/>
    <n v="0"/>
    <x v="2"/>
    <x v="0"/>
    <x v="0"/>
    <x v="1"/>
    <n v="196.5"/>
    <n v="37.700000000000003"/>
    <x v="1"/>
    <n v="0"/>
    <x v="1"/>
    <x v="0"/>
  </r>
  <r>
    <n v="46130"/>
    <x v="1"/>
    <n v="57"/>
    <n v="0"/>
    <n v="0"/>
    <x v="2"/>
    <x v="0"/>
    <x v="1"/>
    <x v="0"/>
    <n v="142.31"/>
    <n v="35.200000000000003"/>
    <x v="2"/>
    <n v="0"/>
    <x v="1"/>
    <x v="0"/>
  </r>
  <r>
    <n v="7730"/>
    <x v="0"/>
    <n v="31"/>
    <n v="0"/>
    <n v="0"/>
    <x v="2"/>
    <x v="1"/>
    <x v="0"/>
    <x v="1"/>
    <n v="94.96"/>
    <n v="54.7"/>
    <x v="2"/>
    <n v="0"/>
    <x v="2"/>
    <x v="0"/>
  </r>
  <r>
    <n v="12380"/>
    <x v="0"/>
    <n v="43"/>
    <n v="0"/>
    <n v="0"/>
    <x v="2"/>
    <x v="0"/>
    <x v="2"/>
    <x v="1"/>
    <n v="83.78"/>
    <n v="21.6"/>
    <x v="1"/>
    <n v="0"/>
    <x v="1"/>
    <x v="2"/>
  </r>
  <r>
    <n v="15324"/>
    <x v="1"/>
    <n v="40"/>
    <n v="0"/>
    <n v="0"/>
    <x v="2"/>
    <x v="1"/>
    <x v="0"/>
    <x v="0"/>
    <n v="86.1"/>
    <n v="23.9"/>
    <x v="3"/>
    <n v="0"/>
    <x v="1"/>
    <x v="2"/>
  </r>
  <r>
    <n v="11658"/>
    <x v="0"/>
    <n v="1.08"/>
    <n v="0"/>
    <n v="0"/>
    <x v="2"/>
    <x v="1"/>
    <x v="3"/>
    <x v="1"/>
    <n v="74.5"/>
    <s v="N/A"/>
    <x v="3"/>
    <n v="0"/>
    <x v="2"/>
    <x v="1"/>
  </r>
  <r>
    <n v="22778"/>
    <x v="0"/>
    <n v="34"/>
    <n v="0"/>
    <n v="0"/>
    <x v="2"/>
    <x v="0"/>
    <x v="0"/>
    <x v="0"/>
    <n v="66.959999999999994"/>
    <n v="26.1"/>
    <x v="1"/>
    <n v="0"/>
    <x v="2"/>
    <x v="3"/>
  </r>
  <r>
    <n v="4128"/>
    <x v="1"/>
    <n v="55"/>
    <n v="0"/>
    <n v="0"/>
    <x v="2"/>
    <x v="0"/>
    <x v="0"/>
    <x v="1"/>
    <n v="76.7"/>
    <n v="39.700000000000003"/>
    <x v="0"/>
    <n v="0"/>
    <x v="1"/>
    <x v="0"/>
  </r>
  <r>
    <n v="36825"/>
    <x v="1"/>
    <n v="39"/>
    <n v="0"/>
    <n v="0"/>
    <x v="2"/>
    <x v="0"/>
    <x v="0"/>
    <x v="1"/>
    <n v="103.12"/>
    <n v="29.9"/>
    <x v="0"/>
    <n v="0"/>
    <x v="2"/>
    <x v="3"/>
  </r>
  <r>
    <n v="1454"/>
    <x v="1"/>
    <n v="42"/>
    <n v="0"/>
    <n v="0"/>
    <x v="2"/>
    <x v="1"/>
    <x v="0"/>
    <x v="0"/>
    <n v="84.03"/>
    <n v="31.4"/>
    <x v="1"/>
    <n v="0"/>
    <x v="1"/>
    <x v="0"/>
  </r>
  <r>
    <n v="12674"/>
    <x v="0"/>
    <n v="44"/>
    <n v="0"/>
    <n v="0"/>
    <x v="2"/>
    <x v="0"/>
    <x v="0"/>
    <x v="1"/>
    <n v="74.150000000000006"/>
    <n v="34.5"/>
    <x v="0"/>
    <n v="0"/>
    <x v="1"/>
    <x v="0"/>
  </r>
  <r>
    <n v="55375"/>
    <x v="0"/>
    <n v="69"/>
    <n v="1"/>
    <n v="0"/>
    <x v="0"/>
    <x v="0"/>
    <x v="0"/>
    <x v="1"/>
    <n v="73.290000000000006"/>
    <n v="29.4"/>
    <x v="1"/>
    <n v="0"/>
    <x v="0"/>
    <x v="3"/>
  </r>
  <r>
    <n v="3726"/>
    <x v="0"/>
    <n v="16"/>
    <n v="0"/>
    <n v="0"/>
    <x v="2"/>
    <x v="1"/>
    <x v="0"/>
    <x v="0"/>
    <n v="115.16"/>
    <n v="26.9"/>
    <x v="3"/>
    <n v="0"/>
    <x v="2"/>
    <x v="3"/>
  </r>
  <r>
    <n v="48652"/>
    <x v="1"/>
    <n v="8"/>
    <n v="0"/>
    <n v="0"/>
    <x v="2"/>
    <x v="1"/>
    <x v="3"/>
    <x v="0"/>
    <n v="83.55"/>
    <n v="22.4"/>
    <x v="3"/>
    <n v="0"/>
    <x v="2"/>
    <x v="2"/>
  </r>
  <r>
    <n v="68657"/>
    <x v="1"/>
    <n v="1.48"/>
    <n v="0"/>
    <n v="0"/>
    <x v="2"/>
    <x v="1"/>
    <x v="3"/>
    <x v="0"/>
    <n v="61.53"/>
    <n v="20.5"/>
    <x v="3"/>
    <n v="0"/>
    <x v="2"/>
    <x v="2"/>
  </r>
  <r>
    <n v="17337"/>
    <x v="1"/>
    <n v="1.88"/>
    <n v="0"/>
    <n v="0"/>
    <x v="2"/>
    <x v="1"/>
    <x v="3"/>
    <x v="1"/>
    <n v="100.74"/>
    <n v="18.600000000000001"/>
    <x v="3"/>
    <n v="0"/>
    <x v="2"/>
    <x v="2"/>
  </r>
  <r>
    <n v="44831"/>
    <x v="1"/>
    <n v="69"/>
    <n v="0"/>
    <n v="0"/>
    <x v="1"/>
    <x v="1"/>
    <x v="0"/>
    <x v="0"/>
    <n v="59.31"/>
    <n v="31.4"/>
    <x v="2"/>
    <n v="0"/>
    <x v="0"/>
    <x v="0"/>
  </r>
  <r>
    <n v="68420"/>
    <x v="1"/>
    <n v="13"/>
    <n v="0"/>
    <n v="0"/>
    <x v="2"/>
    <x v="1"/>
    <x v="3"/>
    <x v="0"/>
    <n v="63.22"/>
    <n v="18.5"/>
    <x v="0"/>
    <n v="0"/>
    <x v="2"/>
    <x v="2"/>
  </r>
  <r>
    <n v="39632"/>
    <x v="1"/>
    <n v="53"/>
    <n v="0"/>
    <n v="0"/>
    <x v="2"/>
    <x v="0"/>
    <x v="0"/>
    <x v="0"/>
    <n v="209.5"/>
    <n v="41.8"/>
    <x v="1"/>
    <n v="0"/>
    <x v="1"/>
    <x v="0"/>
  </r>
  <r>
    <n v="49095"/>
    <x v="1"/>
    <n v="16"/>
    <n v="0"/>
    <n v="0"/>
    <x v="2"/>
    <x v="1"/>
    <x v="3"/>
    <x v="0"/>
    <n v="64.510000000000005"/>
    <n v="21.2"/>
    <x v="3"/>
    <n v="0"/>
    <x v="2"/>
    <x v="2"/>
  </r>
  <r>
    <n v="46292"/>
    <x v="0"/>
    <n v="64"/>
    <n v="0"/>
    <n v="0"/>
    <x v="1"/>
    <x v="0"/>
    <x v="0"/>
    <x v="1"/>
    <n v="90.07"/>
    <n v="28.6"/>
    <x v="1"/>
    <n v="0"/>
    <x v="0"/>
    <x v="3"/>
  </r>
  <r>
    <n v="43492"/>
    <x v="1"/>
    <n v="7"/>
    <n v="0"/>
    <n v="0"/>
    <x v="2"/>
    <x v="1"/>
    <x v="3"/>
    <x v="0"/>
    <n v="113.95"/>
    <n v="16"/>
    <x v="3"/>
    <n v="0"/>
    <x v="2"/>
    <x v="4"/>
  </r>
  <r>
    <n v="55766"/>
    <x v="0"/>
    <n v="41"/>
    <n v="0"/>
    <n v="0"/>
    <x v="2"/>
    <x v="0"/>
    <x v="0"/>
    <x v="1"/>
    <n v="119.32"/>
    <n v="30.6"/>
    <x v="3"/>
    <n v="0"/>
    <x v="1"/>
    <x v="0"/>
  </r>
  <r>
    <n v="17740"/>
    <x v="0"/>
    <n v="65"/>
    <n v="0"/>
    <n v="0"/>
    <x v="1"/>
    <x v="0"/>
    <x v="0"/>
    <x v="1"/>
    <n v="99.12"/>
    <n v="29"/>
    <x v="0"/>
    <n v="0"/>
    <x v="0"/>
    <x v="3"/>
  </r>
  <r>
    <n v="64189"/>
    <x v="0"/>
    <n v="61"/>
    <n v="0"/>
    <n v="0"/>
    <x v="1"/>
    <x v="0"/>
    <x v="1"/>
    <x v="1"/>
    <n v="152.84"/>
    <n v="28.6"/>
    <x v="3"/>
    <n v="0"/>
    <x v="0"/>
    <x v="3"/>
  </r>
  <r>
    <n v="24202"/>
    <x v="0"/>
    <n v="63"/>
    <n v="0"/>
    <n v="0"/>
    <x v="1"/>
    <x v="0"/>
    <x v="0"/>
    <x v="1"/>
    <n v="78.23"/>
    <n v="34.799999999999997"/>
    <x v="1"/>
    <n v="0"/>
    <x v="0"/>
    <x v="0"/>
  </r>
  <r>
    <n v="32514"/>
    <x v="0"/>
    <n v="1.8"/>
    <n v="0"/>
    <n v="0"/>
    <x v="2"/>
    <x v="1"/>
    <x v="3"/>
    <x v="0"/>
    <n v="68.8"/>
    <s v="N/A"/>
    <x v="3"/>
    <n v="0"/>
    <x v="2"/>
    <x v="1"/>
  </r>
  <r>
    <n v="9866"/>
    <x v="1"/>
    <n v="54"/>
    <n v="0"/>
    <n v="0"/>
    <x v="2"/>
    <x v="0"/>
    <x v="0"/>
    <x v="0"/>
    <n v="76.05"/>
    <n v="42"/>
    <x v="3"/>
    <n v="0"/>
    <x v="1"/>
    <x v="0"/>
  </r>
  <r>
    <n v="54816"/>
    <x v="1"/>
    <n v="14"/>
    <n v="0"/>
    <n v="0"/>
    <x v="2"/>
    <x v="1"/>
    <x v="3"/>
    <x v="1"/>
    <n v="116.49"/>
    <n v="30.3"/>
    <x v="1"/>
    <n v="0"/>
    <x v="2"/>
    <x v="0"/>
  </r>
  <r>
    <n v="59880"/>
    <x v="0"/>
    <n v="45"/>
    <n v="0"/>
    <n v="0"/>
    <x v="2"/>
    <x v="0"/>
    <x v="0"/>
    <x v="1"/>
    <n v="99.91"/>
    <n v="30.9"/>
    <x v="3"/>
    <n v="0"/>
    <x v="1"/>
    <x v="0"/>
  </r>
  <r>
    <n v="20625"/>
    <x v="0"/>
    <n v="51"/>
    <n v="1"/>
    <n v="0"/>
    <x v="2"/>
    <x v="0"/>
    <x v="0"/>
    <x v="0"/>
    <n v="76.099999999999994"/>
    <n v="32.1"/>
    <x v="2"/>
    <n v="0"/>
    <x v="1"/>
    <x v="0"/>
  </r>
  <r>
    <n v="65969"/>
    <x v="0"/>
    <n v="8"/>
    <n v="0"/>
    <n v="0"/>
    <x v="2"/>
    <x v="1"/>
    <x v="3"/>
    <x v="1"/>
    <n v="121.99"/>
    <n v="19.600000000000001"/>
    <x v="3"/>
    <n v="0"/>
    <x v="2"/>
    <x v="2"/>
  </r>
  <r>
    <n v="56923"/>
    <x v="0"/>
    <n v="52"/>
    <n v="1"/>
    <n v="0"/>
    <x v="2"/>
    <x v="0"/>
    <x v="0"/>
    <x v="1"/>
    <n v="116.21"/>
    <n v="32.799999999999997"/>
    <x v="2"/>
    <n v="0"/>
    <x v="1"/>
    <x v="0"/>
  </r>
  <r>
    <n v="44001"/>
    <x v="1"/>
    <n v="39"/>
    <n v="0"/>
    <n v="0"/>
    <x v="2"/>
    <x v="0"/>
    <x v="0"/>
    <x v="0"/>
    <n v="55.28"/>
    <n v="31.5"/>
    <x v="3"/>
    <n v="0"/>
    <x v="2"/>
    <x v="0"/>
  </r>
  <r>
    <n v="51852"/>
    <x v="1"/>
    <n v="13"/>
    <n v="0"/>
    <n v="0"/>
    <x v="2"/>
    <x v="1"/>
    <x v="3"/>
    <x v="1"/>
    <n v="219.81"/>
    <s v="N/A"/>
    <x v="3"/>
    <n v="0"/>
    <x v="2"/>
    <x v="1"/>
  </r>
  <r>
    <n v="27176"/>
    <x v="1"/>
    <n v="69"/>
    <n v="0"/>
    <n v="0"/>
    <x v="1"/>
    <x v="0"/>
    <x v="0"/>
    <x v="1"/>
    <n v="103.73"/>
    <n v="34.700000000000003"/>
    <x v="1"/>
    <n v="0"/>
    <x v="0"/>
    <x v="0"/>
  </r>
  <r>
    <n v="70874"/>
    <x v="0"/>
    <n v="71"/>
    <n v="1"/>
    <n v="0"/>
    <x v="0"/>
    <x v="0"/>
    <x v="2"/>
    <x v="0"/>
    <n v="153.08000000000001"/>
    <n v="21.5"/>
    <x v="3"/>
    <n v="0"/>
    <x v="0"/>
    <x v="2"/>
  </r>
  <r>
    <n v="34287"/>
    <x v="1"/>
    <n v="73"/>
    <n v="0"/>
    <n v="0"/>
    <x v="1"/>
    <x v="0"/>
    <x v="1"/>
    <x v="1"/>
    <n v="98.69"/>
    <n v="27.6"/>
    <x v="3"/>
    <n v="0"/>
    <x v="0"/>
    <x v="3"/>
  </r>
  <r>
    <n v="23052"/>
    <x v="1"/>
    <n v="54"/>
    <n v="0"/>
    <n v="0"/>
    <x v="2"/>
    <x v="0"/>
    <x v="0"/>
    <x v="1"/>
    <n v="94.11"/>
    <n v="28.6"/>
    <x v="0"/>
    <n v="0"/>
    <x v="1"/>
    <x v="3"/>
  </r>
  <r>
    <n v="67499"/>
    <x v="0"/>
    <n v="10"/>
    <n v="0"/>
    <n v="0"/>
    <x v="2"/>
    <x v="1"/>
    <x v="3"/>
    <x v="1"/>
    <n v="117.03"/>
    <n v="21.1"/>
    <x v="1"/>
    <n v="0"/>
    <x v="2"/>
    <x v="2"/>
  </r>
  <r>
    <n v="5380"/>
    <x v="1"/>
    <n v="26"/>
    <n v="0"/>
    <n v="0"/>
    <x v="2"/>
    <x v="0"/>
    <x v="0"/>
    <x v="0"/>
    <n v="91.35"/>
    <n v="23.8"/>
    <x v="1"/>
    <n v="0"/>
    <x v="2"/>
    <x v="2"/>
  </r>
  <r>
    <n v="20154"/>
    <x v="1"/>
    <n v="41"/>
    <n v="0"/>
    <n v="0"/>
    <x v="2"/>
    <x v="0"/>
    <x v="0"/>
    <x v="1"/>
    <n v="82.48"/>
    <n v="33.5"/>
    <x v="3"/>
    <n v="0"/>
    <x v="1"/>
    <x v="0"/>
  </r>
  <r>
    <n v="29546"/>
    <x v="0"/>
    <n v="71"/>
    <n v="0"/>
    <n v="0"/>
    <x v="1"/>
    <x v="0"/>
    <x v="2"/>
    <x v="1"/>
    <n v="99.76"/>
    <n v="33.4"/>
    <x v="0"/>
    <n v="0"/>
    <x v="0"/>
    <x v="0"/>
  </r>
  <r>
    <n v="3718"/>
    <x v="1"/>
    <n v="46"/>
    <n v="0"/>
    <n v="0"/>
    <x v="2"/>
    <x v="0"/>
    <x v="2"/>
    <x v="0"/>
    <n v="111.1"/>
    <n v="23.3"/>
    <x v="2"/>
    <n v="0"/>
    <x v="1"/>
    <x v="2"/>
  </r>
  <r>
    <n v="43734"/>
    <x v="0"/>
    <n v="15"/>
    <n v="0"/>
    <n v="0"/>
    <x v="2"/>
    <x v="1"/>
    <x v="0"/>
    <x v="1"/>
    <n v="122.25"/>
    <n v="21"/>
    <x v="1"/>
    <n v="0"/>
    <x v="2"/>
    <x v="2"/>
  </r>
  <r>
    <n v="41917"/>
    <x v="1"/>
    <n v="29"/>
    <n v="0"/>
    <n v="0"/>
    <x v="2"/>
    <x v="1"/>
    <x v="0"/>
    <x v="0"/>
    <n v="84.19"/>
    <n v="21.2"/>
    <x v="1"/>
    <n v="0"/>
    <x v="2"/>
    <x v="2"/>
  </r>
  <r>
    <n v="8050"/>
    <x v="0"/>
    <n v="8"/>
    <n v="0"/>
    <n v="0"/>
    <x v="2"/>
    <x v="1"/>
    <x v="3"/>
    <x v="0"/>
    <n v="84.6"/>
    <n v="18.399999999999999"/>
    <x v="3"/>
    <n v="0"/>
    <x v="2"/>
    <x v="4"/>
  </r>
  <r>
    <n v="44426"/>
    <x v="1"/>
    <n v="21"/>
    <n v="0"/>
    <n v="0"/>
    <x v="2"/>
    <x v="0"/>
    <x v="0"/>
    <x v="0"/>
    <n v="126.35"/>
    <n v="26.9"/>
    <x v="1"/>
    <n v="0"/>
    <x v="2"/>
    <x v="3"/>
  </r>
  <r>
    <n v="34700"/>
    <x v="1"/>
    <n v="56"/>
    <n v="1"/>
    <n v="0"/>
    <x v="2"/>
    <x v="1"/>
    <x v="1"/>
    <x v="0"/>
    <n v="87.5"/>
    <n v="20.2"/>
    <x v="0"/>
    <n v="0"/>
    <x v="1"/>
    <x v="2"/>
  </r>
  <r>
    <n v="70230"/>
    <x v="1"/>
    <n v="14"/>
    <n v="0"/>
    <n v="0"/>
    <x v="2"/>
    <x v="1"/>
    <x v="1"/>
    <x v="1"/>
    <n v="77.52"/>
    <n v="21.9"/>
    <x v="1"/>
    <n v="0"/>
    <x v="2"/>
    <x v="2"/>
  </r>
  <r>
    <n v="68721"/>
    <x v="1"/>
    <n v="78"/>
    <n v="0"/>
    <n v="0"/>
    <x v="1"/>
    <x v="0"/>
    <x v="0"/>
    <x v="1"/>
    <n v="133.13"/>
    <n v="24.2"/>
    <x v="3"/>
    <n v="0"/>
    <x v="0"/>
    <x v="2"/>
  </r>
  <r>
    <n v="23170"/>
    <x v="1"/>
    <n v="36"/>
    <n v="0"/>
    <n v="0"/>
    <x v="2"/>
    <x v="1"/>
    <x v="0"/>
    <x v="0"/>
    <n v="96.1"/>
    <n v="29.6"/>
    <x v="1"/>
    <n v="0"/>
    <x v="2"/>
    <x v="3"/>
  </r>
  <r>
    <n v="5731"/>
    <x v="1"/>
    <n v="57"/>
    <n v="1"/>
    <n v="0"/>
    <x v="2"/>
    <x v="0"/>
    <x v="0"/>
    <x v="0"/>
    <n v="108.61"/>
    <n v="38.1"/>
    <x v="2"/>
    <n v="0"/>
    <x v="1"/>
    <x v="0"/>
  </r>
  <r>
    <n v="62791"/>
    <x v="0"/>
    <n v="79"/>
    <n v="1"/>
    <n v="1"/>
    <x v="0"/>
    <x v="0"/>
    <x v="1"/>
    <x v="1"/>
    <n v="205.23"/>
    <n v="22"/>
    <x v="1"/>
    <n v="0"/>
    <x v="0"/>
    <x v="2"/>
  </r>
  <r>
    <n v="18943"/>
    <x v="0"/>
    <n v="26"/>
    <n v="0"/>
    <n v="0"/>
    <x v="2"/>
    <x v="1"/>
    <x v="2"/>
    <x v="1"/>
    <n v="76.739999999999995"/>
    <n v="29.8"/>
    <x v="3"/>
    <n v="0"/>
    <x v="2"/>
    <x v="3"/>
  </r>
  <r>
    <n v="45472"/>
    <x v="0"/>
    <n v="22"/>
    <n v="0"/>
    <n v="0"/>
    <x v="2"/>
    <x v="0"/>
    <x v="0"/>
    <x v="0"/>
    <n v="138.55000000000001"/>
    <n v="24"/>
    <x v="1"/>
    <n v="0"/>
    <x v="2"/>
    <x v="2"/>
  </r>
  <r>
    <n v="3942"/>
    <x v="0"/>
    <n v="72"/>
    <n v="0"/>
    <n v="1"/>
    <x v="0"/>
    <x v="0"/>
    <x v="0"/>
    <x v="0"/>
    <n v="234.27"/>
    <n v="26.9"/>
    <x v="1"/>
    <n v="0"/>
    <x v="0"/>
    <x v="3"/>
  </r>
  <r>
    <n v="30201"/>
    <x v="1"/>
    <n v="54"/>
    <n v="0"/>
    <n v="0"/>
    <x v="2"/>
    <x v="0"/>
    <x v="0"/>
    <x v="0"/>
    <n v="75.16"/>
    <n v="38"/>
    <x v="1"/>
    <n v="0"/>
    <x v="1"/>
    <x v="0"/>
  </r>
  <r>
    <n v="38284"/>
    <x v="0"/>
    <n v="8"/>
    <n v="0"/>
    <n v="0"/>
    <x v="2"/>
    <x v="1"/>
    <x v="3"/>
    <x v="1"/>
    <n v="77.08"/>
    <n v="16.899999999999999"/>
    <x v="3"/>
    <n v="0"/>
    <x v="2"/>
    <x v="4"/>
  </r>
  <r>
    <n v="53552"/>
    <x v="1"/>
    <n v="62"/>
    <n v="0"/>
    <n v="0"/>
    <x v="1"/>
    <x v="0"/>
    <x v="0"/>
    <x v="0"/>
    <n v="101.19"/>
    <n v="23.4"/>
    <x v="1"/>
    <n v="0"/>
    <x v="0"/>
    <x v="2"/>
  </r>
  <r>
    <n v="59663"/>
    <x v="1"/>
    <n v="28"/>
    <n v="0"/>
    <n v="0"/>
    <x v="2"/>
    <x v="1"/>
    <x v="0"/>
    <x v="0"/>
    <n v="107.74"/>
    <n v="38.5"/>
    <x v="1"/>
    <n v="0"/>
    <x v="2"/>
    <x v="0"/>
  </r>
  <r>
    <n v="68631"/>
    <x v="1"/>
    <n v="50"/>
    <n v="0"/>
    <n v="0"/>
    <x v="2"/>
    <x v="0"/>
    <x v="0"/>
    <x v="1"/>
    <n v="62.32"/>
    <n v="21.6"/>
    <x v="3"/>
    <n v="0"/>
    <x v="1"/>
    <x v="2"/>
  </r>
  <r>
    <n v="49900"/>
    <x v="0"/>
    <n v="7"/>
    <n v="0"/>
    <n v="0"/>
    <x v="2"/>
    <x v="1"/>
    <x v="3"/>
    <x v="0"/>
    <n v="56.32"/>
    <n v="15.9"/>
    <x v="3"/>
    <n v="0"/>
    <x v="2"/>
    <x v="4"/>
  </r>
  <r>
    <n v="18140"/>
    <x v="1"/>
    <n v="33"/>
    <n v="0"/>
    <n v="0"/>
    <x v="2"/>
    <x v="0"/>
    <x v="0"/>
    <x v="1"/>
    <n v="131.28"/>
    <n v="25.1"/>
    <x v="1"/>
    <n v="0"/>
    <x v="2"/>
    <x v="3"/>
  </r>
  <r>
    <n v="52340"/>
    <x v="0"/>
    <n v="55"/>
    <n v="0"/>
    <n v="0"/>
    <x v="2"/>
    <x v="0"/>
    <x v="0"/>
    <x v="0"/>
    <n v="67.02"/>
    <n v="41.1"/>
    <x v="2"/>
    <n v="0"/>
    <x v="1"/>
    <x v="0"/>
  </r>
  <r>
    <n v="2327"/>
    <x v="1"/>
    <n v="25"/>
    <n v="0"/>
    <n v="0"/>
    <x v="2"/>
    <x v="1"/>
    <x v="0"/>
    <x v="1"/>
    <n v="76.72"/>
    <n v="21.5"/>
    <x v="3"/>
    <n v="0"/>
    <x v="2"/>
    <x v="2"/>
  </r>
  <r>
    <n v="55137"/>
    <x v="1"/>
    <n v="25"/>
    <n v="0"/>
    <n v="0"/>
    <x v="2"/>
    <x v="1"/>
    <x v="0"/>
    <x v="0"/>
    <n v="125.98"/>
    <n v="21"/>
    <x v="2"/>
    <n v="0"/>
    <x v="2"/>
    <x v="2"/>
  </r>
  <r>
    <n v="458"/>
    <x v="1"/>
    <n v="37"/>
    <n v="0"/>
    <n v="0"/>
    <x v="2"/>
    <x v="0"/>
    <x v="2"/>
    <x v="0"/>
    <n v="72.09"/>
    <n v="24.1"/>
    <x v="2"/>
    <n v="0"/>
    <x v="2"/>
    <x v="2"/>
  </r>
  <r>
    <n v="57044"/>
    <x v="0"/>
    <n v="58"/>
    <n v="0"/>
    <n v="0"/>
    <x v="2"/>
    <x v="0"/>
    <x v="0"/>
    <x v="0"/>
    <n v="88.05"/>
    <n v="30.6"/>
    <x v="3"/>
    <n v="0"/>
    <x v="1"/>
    <x v="0"/>
  </r>
  <r>
    <n v="71548"/>
    <x v="0"/>
    <n v="45"/>
    <n v="0"/>
    <n v="0"/>
    <x v="2"/>
    <x v="0"/>
    <x v="2"/>
    <x v="0"/>
    <n v="55.47"/>
    <n v="19.8"/>
    <x v="2"/>
    <n v="0"/>
    <x v="1"/>
    <x v="2"/>
  </r>
  <r>
    <n v="67438"/>
    <x v="1"/>
    <n v="60"/>
    <n v="0"/>
    <n v="0"/>
    <x v="1"/>
    <x v="0"/>
    <x v="2"/>
    <x v="1"/>
    <n v="145.94"/>
    <n v="29.2"/>
    <x v="3"/>
    <n v="0"/>
    <x v="0"/>
    <x v="3"/>
  </r>
  <r>
    <n v="36524"/>
    <x v="0"/>
    <n v="66"/>
    <n v="0"/>
    <n v="1"/>
    <x v="0"/>
    <x v="0"/>
    <x v="0"/>
    <x v="1"/>
    <n v="239.21"/>
    <n v="33.700000000000003"/>
    <x v="0"/>
    <n v="0"/>
    <x v="0"/>
    <x v="0"/>
  </r>
  <r>
    <n v="61827"/>
    <x v="0"/>
    <n v="80"/>
    <n v="0"/>
    <n v="0"/>
    <x v="1"/>
    <x v="0"/>
    <x v="1"/>
    <x v="1"/>
    <n v="196.08"/>
    <n v="31"/>
    <x v="0"/>
    <n v="0"/>
    <x v="0"/>
    <x v="0"/>
  </r>
  <r>
    <n v="31454"/>
    <x v="1"/>
    <n v="38"/>
    <n v="0"/>
    <n v="0"/>
    <x v="2"/>
    <x v="0"/>
    <x v="2"/>
    <x v="1"/>
    <n v="93.93"/>
    <n v="21.5"/>
    <x v="1"/>
    <n v="0"/>
    <x v="2"/>
    <x v="2"/>
  </r>
  <r>
    <n v="15663"/>
    <x v="1"/>
    <n v="11"/>
    <n v="0"/>
    <n v="0"/>
    <x v="2"/>
    <x v="1"/>
    <x v="3"/>
    <x v="0"/>
    <n v="76.739999999999995"/>
    <n v="19.100000000000001"/>
    <x v="3"/>
    <n v="0"/>
    <x v="2"/>
    <x v="2"/>
  </r>
  <r>
    <n v="4707"/>
    <x v="1"/>
    <n v="63"/>
    <n v="0"/>
    <n v="0"/>
    <x v="1"/>
    <x v="0"/>
    <x v="0"/>
    <x v="0"/>
    <n v="83.74"/>
    <n v="21.4"/>
    <x v="3"/>
    <n v="0"/>
    <x v="0"/>
    <x v="2"/>
  </r>
  <r>
    <n v="55885"/>
    <x v="0"/>
    <n v="19"/>
    <n v="0"/>
    <n v="0"/>
    <x v="2"/>
    <x v="1"/>
    <x v="0"/>
    <x v="0"/>
    <n v="119.58"/>
    <n v="24.8"/>
    <x v="3"/>
    <n v="0"/>
    <x v="2"/>
    <x v="2"/>
  </r>
  <r>
    <n v="47563"/>
    <x v="1"/>
    <n v="17"/>
    <n v="0"/>
    <n v="0"/>
    <x v="2"/>
    <x v="1"/>
    <x v="0"/>
    <x v="1"/>
    <n v="68.66"/>
    <n v="35.1"/>
    <x v="1"/>
    <n v="0"/>
    <x v="2"/>
    <x v="0"/>
  </r>
  <r>
    <n v="63729"/>
    <x v="1"/>
    <n v="19"/>
    <n v="0"/>
    <n v="0"/>
    <x v="2"/>
    <x v="1"/>
    <x v="0"/>
    <x v="0"/>
    <n v="65.790000000000006"/>
    <n v="28.6"/>
    <x v="2"/>
    <n v="0"/>
    <x v="2"/>
    <x v="3"/>
  </r>
  <r>
    <n v="5286"/>
    <x v="1"/>
    <n v="40"/>
    <n v="0"/>
    <n v="0"/>
    <x v="2"/>
    <x v="0"/>
    <x v="2"/>
    <x v="0"/>
    <n v="176.38"/>
    <n v="35.700000000000003"/>
    <x v="1"/>
    <n v="0"/>
    <x v="1"/>
    <x v="0"/>
  </r>
  <r>
    <n v="29878"/>
    <x v="0"/>
    <n v="49"/>
    <n v="0"/>
    <n v="0"/>
    <x v="2"/>
    <x v="0"/>
    <x v="0"/>
    <x v="0"/>
    <n v="175.74"/>
    <n v="45.4"/>
    <x v="3"/>
    <n v="0"/>
    <x v="1"/>
    <x v="0"/>
  </r>
  <r>
    <n v="42628"/>
    <x v="1"/>
    <n v="69"/>
    <n v="0"/>
    <n v="1"/>
    <x v="0"/>
    <x v="1"/>
    <x v="0"/>
    <x v="0"/>
    <n v="193.45"/>
    <n v="34.5"/>
    <x v="1"/>
    <n v="0"/>
    <x v="0"/>
    <x v="0"/>
  </r>
  <r>
    <n v="5006"/>
    <x v="1"/>
    <n v="46"/>
    <n v="0"/>
    <n v="0"/>
    <x v="2"/>
    <x v="0"/>
    <x v="1"/>
    <x v="1"/>
    <n v="85.84"/>
    <n v="21.2"/>
    <x v="1"/>
    <n v="0"/>
    <x v="1"/>
    <x v="2"/>
  </r>
  <r>
    <n v="11250"/>
    <x v="0"/>
    <n v="78"/>
    <n v="0"/>
    <n v="0"/>
    <x v="1"/>
    <x v="0"/>
    <x v="1"/>
    <x v="1"/>
    <n v="93.85"/>
    <n v="22.7"/>
    <x v="0"/>
    <n v="0"/>
    <x v="0"/>
    <x v="2"/>
  </r>
  <r>
    <n v="41858"/>
    <x v="1"/>
    <n v="63"/>
    <n v="0"/>
    <n v="1"/>
    <x v="0"/>
    <x v="0"/>
    <x v="0"/>
    <x v="1"/>
    <n v="86.21"/>
    <n v="39.1"/>
    <x v="1"/>
    <n v="0"/>
    <x v="0"/>
    <x v="0"/>
  </r>
  <r>
    <n v="15742"/>
    <x v="1"/>
    <n v="3"/>
    <n v="0"/>
    <n v="0"/>
    <x v="2"/>
    <x v="1"/>
    <x v="3"/>
    <x v="1"/>
    <n v="75.41"/>
    <n v="21.9"/>
    <x v="3"/>
    <n v="0"/>
    <x v="2"/>
    <x v="2"/>
  </r>
  <r>
    <n v="27300"/>
    <x v="1"/>
    <n v="1.8"/>
    <n v="0"/>
    <n v="0"/>
    <x v="2"/>
    <x v="1"/>
    <x v="3"/>
    <x v="1"/>
    <n v="95.28"/>
    <n v="16.5"/>
    <x v="3"/>
    <n v="0"/>
    <x v="2"/>
    <x v="4"/>
  </r>
  <r>
    <n v="34965"/>
    <x v="1"/>
    <n v="18"/>
    <n v="0"/>
    <n v="0"/>
    <x v="2"/>
    <x v="1"/>
    <x v="0"/>
    <x v="0"/>
    <n v="95.87"/>
    <n v="23"/>
    <x v="1"/>
    <n v="0"/>
    <x v="2"/>
    <x v="2"/>
  </r>
  <r>
    <n v="65748"/>
    <x v="1"/>
    <n v="46"/>
    <n v="0"/>
    <n v="0"/>
    <x v="2"/>
    <x v="0"/>
    <x v="0"/>
    <x v="0"/>
    <n v="180.45"/>
    <n v="22.5"/>
    <x v="1"/>
    <n v="0"/>
    <x v="1"/>
    <x v="2"/>
  </r>
  <r>
    <n v="44635"/>
    <x v="1"/>
    <n v="8"/>
    <n v="0"/>
    <n v="0"/>
    <x v="2"/>
    <x v="1"/>
    <x v="3"/>
    <x v="0"/>
    <n v="95.39"/>
    <n v="20.399999999999999"/>
    <x v="3"/>
    <n v="0"/>
    <x v="2"/>
    <x v="2"/>
  </r>
  <r>
    <n v="72284"/>
    <x v="1"/>
    <n v="53"/>
    <n v="0"/>
    <n v="0"/>
    <x v="2"/>
    <x v="0"/>
    <x v="0"/>
    <x v="1"/>
    <n v="60.77"/>
    <n v="28.7"/>
    <x v="2"/>
    <n v="0"/>
    <x v="1"/>
    <x v="3"/>
  </r>
  <r>
    <n v="20217"/>
    <x v="1"/>
    <n v="38"/>
    <n v="0"/>
    <n v="0"/>
    <x v="2"/>
    <x v="0"/>
    <x v="2"/>
    <x v="0"/>
    <n v="102.84"/>
    <n v="22.4"/>
    <x v="1"/>
    <n v="0"/>
    <x v="2"/>
    <x v="2"/>
  </r>
  <r>
    <n v="44259"/>
    <x v="1"/>
    <n v="74"/>
    <n v="0"/>
    <n v="0"/>
    <x v="1"/>
    <x v="0"/>
    <x v="0"/>
    <x v="0"/>
    <n v="130.37"/>
    <n v="26.3"/>
    <x v="3"/>
    <n v="0"/>
    <x v="0"/>
    <x v="3"/>
  </r>
  <r>
    <n v="52668"/>
    <x v="1"/>
    <n v="24"/>
    <n v="0"/>
    <n v="0"/>
    <x v="2"/>
    <x v="1"/>
    <x v="0"/>
    <x v="0"/>
    <n v="65.44"/>
    <n v="23.6"/>
    <x v="1"/>
    <n v="0"/>
    <x v="2"/>
    <x v="2"/>
  </r>
  <r>
    <n v="37446"/>
    <x v="0"/>
    <n v="78"/>
    <n v="0"/>
    <n v="0"/>
    <x v="1"/>
    <x v="0"/>
    <x v="0"/>
    <x v="1"/>
    <n v="79.84"/>
    <n v="25.9"/>
    <x v="1"/>
    <n v="0"/>
    <x v="0"/>
    <x v="3"/>
  </r>
  <r>
    <n v="46895"/>
    <x v="0"/>
    <n v="60"/>
    <n v="0"/>
    <n v="0"/>
    <x v="1"/>
    <x v="0"/>
    <x v="0"/>
    <x v="1"/>
    <n v="62.61"/>
    <n v="30.7"/>
    <x v="1"/>
    <n v="0"/>
    <x v="0"/>
    <x v="0"/>
  </r>
  <r>
    <n v="57667"/>
    <x v="0"/>
    <n v="12"/>
    <n v="0"/>
    <n v="0"/>
    <x v="2"/>
    <x v="1"/>
    <x v="3"/>
    <x v="0"/>
    <n v="70.069999999999993"/>
    <n v="24.5"/>
    <x v="0"/>
    <n v="0"/>
    <x v="2"/>
    <x v="2"/>
  </r>
  <r>
    <n v="41962"/>
    <x v="1"/>
    <n v="32"/>
    <n v="0"/>
    <n v="0"/>
    <x v="2"/>
    <x v="0"/>
    <x v="0"/>
    <x v="1"/>
    <n v="108.8"/>
    <n v="24"/>
    <x v="3"/>
    <n v="0"/>
    <x v="2"/>
    <x v="2"/>
  </r>
  <r>
    <n v="25495"/>
    <x v="0"/>
    <n v="5"/>
    <n v="0"/>
    <n v="0"/>
    <x v="2"/>
    <x v="1"/>
    <x v="3"/>
    <x v="0"/>
    <n v="112.11"/>
    <n v="20.100000000000001"/>
    <x v="3"/>
    <n v="0"/>
    <x v="2"/>
    <x v="2"/>
  </r>
  <r>
    <n v="2029"/>
    <x v="1"/>
    <n v="40"/>
    <n v="0"/>
    <n v="0"/>
    <x v="2"/>
    <x v="0"/>
    <x v="0"/>
    <x v="1"/>
    <n v="92.35"/>
    <n v="38"/>
    <x v="1"/>
    <n v="0"/>
    <x v="1"/>
    <x v="0"/>
  </r>
  <r>
    <n v="13993"/>
    <x v="1"/>
    <n v="19"/>
    <n v="0"/>
    <n v="0"/>
    <x v="2"/>
    <x v="1"/>
    <x v="0"/>
    <x v="0"/>
    <n v="76.569999999999993"/>
    <n v="26.6"/>
    <x v="3"/>
    <n v="0"/>
    <x v="2"/>
    <x v="3"/>
  </r>
  <r>
    <n v="18876"/>
    <x v="1"/>
    <n v="28"/>
    <n v="0"/>
    <n v="0"/>
    <x v="2"/>
    <x v="0"/>
    <x v="0"/>
    <x v="0"/>
    <n v="69.5"/>
    <n v="24.5"/>
    <x v="1"/>
    <n v="0"/>
    <x v="2"/>
    <x v="2"/>
  </r>
  <r>
    <n v="22865"/>
    <x v="1"/>
    <n v="61"/>
    <n v="0"/>
    <n v="0"/>
    <x v="1"/>
    <x v="0"/>
    <x v="0"/>
    <x v="1"/>
    <n v="219.38"/>
    <s v="N/A"/>
    <x v="1"/>
    <n v="0"/>
    <x v="0"/>
    <x v="1"/>
  </r>
  <r>
    <n v="365"/>
    <x v="1"/>
    <n v="44"/>
    <n v="1"/>
    <n v="0"/>
    <x v="2"/>
    <x v="0"/>
    <x v="0"/>
    <x v="1"/>
    <n v="69.48"/>
    <n v="41.3"/>
    <x v="1"/>
    <n v="0"/>
    <x v="1"/>
    <x v="0"/>
  </r>
  <r>
    <n v="37631"/>
    <x v="0"/>
    <n v="50"/>
    <n v="0"/>
    <n v="0"/>
    <x v="2"/>
    <x v="0"/>
    <x v="2"/>
    <x v="0"/>
    <n v="89.18"/>
    <n v="34.799999999999997"/>
    <x v="2"/>
    <n v="0"/>
    <x v="1"/>
    <x v="0"/>
  </r>
  <r>
    <n v="5500"/>
    <x v="1"/>
    <n v="50"/>
    <n v="0"/>
    <n v="1"/>
    <x v="2"/>
    <x v="0"/>
    <x v="2"/>
    <x v="0"/>
    <n v="68.09"/>
    <n v="35.5"/>
    <x v="2"/>
    <n v="0"/>
    <x v="1"/>
    <x v="0"/>
  </r>
  <r>
    <n v="53217"/>
    <x v="1"/>
    <n v="18"/>
    <n v="0"/>
    <n v="0"/>
    <x v="2"/>
    <x v="1"/>
    <x v="0"/>
    <x v="1"/>
    <n v="92.71"/>
    <n v="24.1"/>
    <x v="3"/>
    <n v="0"/>
    <x v="2"/>
    <x v="2"/>
  </r>
  <r>
    <n v="56712"/>
    <x v="0"/>
    <n v="1.64"/>
    <n v="0"/>
    <n v="0"/>
    <x v="2"/>
    <x v="1"/>
    <x v="3"/>
    <x v="1"/>
    <n v="56.21"/>
    <n v="19"/>
    <x v="3"/>
    <n v="0"/>
    <x v="2"/>
    <x v="2"/>
  </r>
  <r>
    <n v="10055"/>
    <x v="1"/>
    <n v="37"/>
    <n v="0"/>
    <n v="0"/>
    <x v="2"/>
    <x v="1"/>
    <x v="2"/>
    <x v="1"/>
    <n v="72.08"/>
    <s v="N/A"/>
    <x v="0"/>
    <n v="0"/>
    <x v="2"/>
    <x v="1"/>
  </r>
  <r>
    <n v="4959"/>
    <x v="1"/>
    <n v="5"/>
    <n v="0"/>
    <n v="0"/>
    <x v="2"/>
    <x v="1"/>
    <x v="3"/>
    <x v="0"/>
    <n v="82.56"/>
    <n v="16.600000000000001"/>
    <x v="3"/>
    <n v="0"/>
    <x v="2"/>
    <x v="4"/>
  </r>
  <r>
    <n v="22155"/>
    <x v="1"/>
    <n v="39"/>
    <n v="0"/>
    <n v="0"/>
    <x v="2"/>
    <x v="0"/>
    <x v="0"/>
    <x v="0"/>
    <n v="78.239999999999995"/>
    <n v="28.6"/>
    <x v="3"/>
    <n v="0"/>
    <x v="2"/>
    <x v="3"/>
  </r>
  <r>
    <n v="22860"/>
    <x v="1"/>
    <n v="65"/>
    <n v="0"/>
    <n v="0"/>
    <x v="1"/>
    <x v="0"/>
    <x v="2"/>
    <x v="1"/>
    <n v="84.66"/>
    <n v="22.4"/>
    <x v="1"/>
    <n v="0"/>
    <x v="0"/>
    <x v="2"/>
  </r>
  <r>
    <n v="6960"/>
    <x v="1"/>
    <n v="26"/>
    <n v="0"/>
    <n v="0"/>
    <x v="2"/>
    <x v="1"/>
    <x v="2"/>
    <x v="0"/>
    <n v="90.35"/>
    <n v="38.6"/>
    <x v="3"/>
    <n v="0"/>
    <x v="2"/>
    <x v="0"/>
  </r>
  <r>
    <n v="57209"/>
    <x v="0"/>
    <n v="42"/>
    <n v="0"/>
    <n v="0"/>
    <x v="2"/>
    <x v="0"/>
    <x v="2"/>
    <x v="1"/>
    <n v="68.12"/>
    <n v="32"/>
    <x v="3"/>
    <n v="0"/>
    <x v="1"/>
    <x v="0"/>
  </r>
  <r>
    <n v="66581"/>
    <x v="1"/>
    <n v="34"/>
    <n v="0"/>
    <n v="0"/>
    <x v="2"/>
    <x v="0"/>
    <x v="0"/>
    <x v="1"/>
    <n v="59.14"/>
    <n v="40.1"/>
    <x v="1"/>
    <n v="0"/>
    <x v="2"/>
    <x v="0"/>
  </r>
  <r>
    <n v="17347"/>
    <x v="1"/>
    <n v="45"/>
    <n v="0"/>
    <n v="0"/>
    <x v="2"/>
    <x v="0"/>
    <x v="2"/>
    <x v="0"/>
    <n v="85.64"/>
    <n v="32"/>
    <x v="0"/>
    <n v="0"/>
    <x v="1"/>
    <x v="0"/>
  </r>
  <r>
    <n v="58422"/>
    <x v="0"/>
    <n v="43"/>
    <n v="0"/>
    <n v="0"/>
    <x v="2"/>
    <x v="0"/>
    <x v="2"/>
    <x v="1"/>
    <n v="56.08"/>
    <n v="23.9"/>
    <x v="3"/>
    <n v="0"/>
    <x v="1"/>
    <x v="2"/>
  </r>
  <r>
    <n v="19043"/>
    <x v="1"/>
    <n v="40"/>
    <n v="0"/>
    <n v="0"/>
    <x v="2"/>
    <x v="1"/>
    <x v="0"/>
    <x v="1"/>
    <n v="99"/>
    <n v="25"/>
    <x v="1"/>
    <n v="0"/>
    <x v="1"/>
    <x v="3"/>
  </r>
  <r>
    <n v="52897"/>
    <x v="0"/>
    <n v="35"/>
    <n v="0"/>
    <n v="0"/>
    <x v="2"/>
    <x v="1"/>
    <x v="0"/>
    <x v="0"/>
    <n v="93.6"/>
    <n v="28.5"/>
    <x v="2"/>
    <n v="0"/>
    <x v="2"/>
    <x v="3"/>
  </r>
  <r>
    <n v="16329"/>
    <x v="1"/>
    <n v="2"/>
    <n v="0"/>
    <n v="0"/>
    <x v="2"/>
    <x v="1"/>
    <x v="3"/>
    <x v="0"/>
    <n v="105.75"/>
    <n v="19.8"/>
    <x v="3"/>
    <n v="0"/>
    <x v="2"/>
    <x v="2"/>
  </r>
  <r>
    <n v="40353"/>
    <x v="1"/>
    <n v="61"/>
    <n v="0"/>
    <n v="0"/>
    <x v="1"/>
    <x v="0"/>
    <x v="0"/>
    <x v="0"/>
    <n v="114.09"/>
    <n v="25.7"/>
    <x v="1"/>
    <n v="0"/>
    <x v="0"/>
    <x v="3"/>
  </r>
  <r>
    <n v="56778"/>
    <x v="0"/>
    <n v="64"/>
    <n v="1"/>
    <n v="0"/>
    <x v="0"/>
    <x v="0"/>
    <x v="0"/>
    <x v="0"/>
    <n v="57.42"/>
    <n v="28"/>
    <x v="2"/>
    <n v="0"/>
    <x v="0"/>
    <x v="3"/>
  </r>
  <r>
    <n v="41153"/>
    <x v="1"/>
    <n v="32"/>
    <n v="0"/>
    <n v="0"/>
    <x v="2"/>
    <x v="0"/>
    <x v="0"/>
    <x v="0"/>
    <n v="100.01"/>
    <n v="37.200000000000003"/>
    <x v="1"/>
    <n v="0"/>
    <x v="2"/>
    <x v="0"/>
  </r>
  <r>
    <n v="63725"/>
    <x v="0"/>
    <n v="23"/>
    <n v="0"/>
    <n v="0"/>
    <x v="2"/>
    <x v="1"/>
    <x v="0"/>
    <x v="0"/>
    <n v="62"/>
    <n v="24.8"/>
    <x v="0"/>
    <n v="0"/>
    <x v="2"/>
    <x v="2"/>
  </r>
  <r>
    <n v="19675"/>
    <x v="1"/>
    <n v="51"/>
    <n v="0"/>
    <n v="0"/>
    <x v="2"/>
    <x v="0"/>
    <x v="1"/>
    <x v="1"/>
    <n v="103.61"/>
    <n v="39.200000000000003"/>
    <x v="1"/>
    <n v="0"/>
    <x v="1"/>
    <x v="0"/>
  </r>
  <r>
    <n v="72784"/>
    <x v="1"/>
    <n v="52"/>
    <n v="0"/>
    <n v="0"/>
    <x v="2"/>
    <x v="0"/>
    <x v="0"/>
    <x v="1"/>
    <n v="118.46"/>
    <n v="61.6"/>
    <x v="2"/>
    <n v="0"/>
    <x v="1"/>
    <x v="0"/>
  </r>
  <r>
    <n v="8541"/>
    <x v="1"/>
    <n v="75"/>
    <n v="0"/>
    <n v="0"/>
    <x v="1"/>
    <x v="0"/>
    <x v="2"/>
    <x v="1"/>
    <n v="94.77"/>
    <n v="27.2"/>
    <x v="1"/>
    <n v="0"/>
    <x v="0"/>
    <x v="3"/>
  </r>
  <r>
    <n v="45565"/>
    <x v="1"/>
    <n v="40"/>
    <n v="0"/>
    <n v="0"/>
    <x v="2"/>
    <x v="0"/>
    <x v="0"/>
    <x v="0"/>
    <n v="72.12"/>
    <n v="38"/>
    <x v="1"/>
    <n v="0"/>
    <x v="1"/>
    <x v="0"/>
  </r>
  <r>
    <n v="36431"/>
    <x v="0"/>
    <n v="39"/>
    <n v="0"/>
    <n v="0"/>
    <x v="2"/>
    <x v="0"/>
    <x v="2"/>
    <x v="1"/>
    <n v="155.22999999999999"/>
    <n v="36.200000000000003"/>
    <x v="1"/>
    <n v="0"/>
    <x v="2"/>
    <x v="0"/>
  </r>
  <r>
    <n v="6171"/>
    <x v="0"/>
    <n v="6"/>
    <n v="0"/>
    <n v="0"/>
    <x v="2"/>
    <x v="1"/>
    <x v="3"/>
    <x v="0"/>
    <n v="90.6"/>
    <n v="16.600000000000001"/>
    <x v="3"/>
    <n v="0"/>
    <x v="2"/>
    <x v="4"/>
  </r>
  <r>
    <n v="29419"/>
    <x v="1"/>
    <n v="32"/>
    <n v="0"/>
    <n v="0"/>
    <x v="2"/>
    <x v="0"/>
    <x v="0"/>
    <x v="0"/>
    <n v="81.92"/>
    <n v="38"/>
    <x v="1"/>
    <n v="0"/>
    <x v="2"/>
    <x v="0"/>
  </r>
  <r>
    <n v="65673"/>
    <x v="1"/>
    <n v="55"/>
    <n v="0"/>
    <n v="0"/>
    <x v="2"/>
    <x v="1"/>
    <x v="1"/>
    <x v="1"/>
    <n v="67.099999999999994"/>
    <n v="31.4"/>
    <x v="1"/>
    <n v="0"/>
    <x v="1"/>
    <x v="0"/>
  </r>
  <r>
    <n v="64662"/>
    <x v="1"/>
    <n v="23"/>
    <n v="0"/>
    <n v="0"/>
    <x v="2"/>
    <x v="1"/>
    <x v="0"/>
    <x v="1"/>
    <n v="58.01"/>
    <n v="35.299999999999997"/>
    <x v="1"/>
    <n v="0"/>
    <x v="2"/>
    <x v="0"/>
  </r>
  <r>
    <n v="51693"/>
    <x v="1"/>
    <n v="52"/>
    <n v="0"/>
    <n v="0"/>
    <x v="2"/>
    <x v="0"/>
    <x v="0"/>
    <x v="1"/>
    <n v="173.9"/>
    <n v="35.799999999999997"/>
    <x v="1"/>
    <n v="0"/>
    <x v="1"/>
    <x v="0"/>
  </r>
  <r>
    <n v="50495"/>
    <x v="0"/>
    <n v="58"/>
    <n v="1"/>
    <n v="0"/>
    <x v="2"/>
    <x v="0"/>
    <x v="0"/>
    <x v="1"/>
    <n v="106.27"/>
    <n v="28.6"/>
    <x v="1"/>
    <n v="0"/>
    <x v="1"/>
    <x v="3"/>
  </r>
  <r>
    <n v="37086"/>
    <x v="0"/>
    <n v="17"/>
    <n v="0"/>
    <n v="0"/>
    <x v="2"/>
    <x v="1"/>
    <x v="0"/>
    <x v="1"/>
    <n v="60.57"/>
    <n v="34"/>
    <x v="3"/>
    <n v="0"/>
    <x v="2"/>
    <x v="0"/>
  </r>
  <r>
    <n v="71396"/>
    <x v="0"/>
    <n v="3"/>
    <n v="0"/>
    <n v="0"/>
    <x v="2"/>
    <x v="1"/>
    <x v="3"/>
    <x v="0"/>
    <n v="105.34"/>
    <n v="15.5"/>
    <x v="3"/>
    <n v="0"/>
    <x v="2"/>
    <x v="4"/>
  </r>
  <r>
    <n v="27854"/>
    <x v="1"/>
    <n v="23"/>
    <n v="0"/>
    <n v="0"/>
    <x v="2"/>
    <x v="1"/>
    <x v="0"/>
    <x v="1"/>
    <n v="96.28"/>
    <n v="31.1"/>
    <x v="1"/>
    <n v="0"/>
    <x v="2"/>
    <x v="0"/>
  </r>
  <r>
    <n v="53759"/>
    <x v="0"/>
    <n v="56"/>
    <n v="0"/>
    <n v="0"/>
    <x v="2"/>
    <x v="0"/>
    <x v="1"/>
    <x v="0"/>
    <n v="122.73"/>
    <n v="37.5"/>
    <x v="0"/>
    <n v="0"/>
    <x v="1"/>
    <x v="0"/>
  </r>
  <r>
    <n v="14407"/>
    <x v="0"/>
    <n v="45"/>
    <n v="0"/>
    <n v="0"/>
    <x v="2"/>
    <x v="1"/>
    <x v="1"/>
    <x v="0"/>
    <n v="104.12"/>
    <n v="37.700000000000003"/>
    <x v="3"/>
    <n v="0"/>
    <x v="1"/>
    <x v="0"/>
  </r>
  <r>
    <n v="887"/>
    <x v="1"/>
    <n v="14"/>
    <n v="0"/>
    <n v="0"/>
    <x v="2"/>
    <x v="1"/>
    <x v="0"/>
    <x v="0"/>
    <n v="69.739999999999995"/>
    <n v="24.2"/>
    <x v="0"/>
    <n v="0"/>
    <x v="2"/>
    <x v="2"/>
  </r>
  <r>
    <n v="13328"/>
    <x v="1"/>
    <n v="45"/>
    <n v="0"/>
    <n v="0"/>
    <x v="2"/>
    <x v="0"/>
    <x v="0"/>
    <x v="1"/>
    <n v="106.95"/>
    <n v="33.4"/>
    <x v="3"/>
    <n v="0"/>
    <x v="1"/>
    <x v="0"/>
  </r>
  <r>
    <n v="62507"/>
    <x v="1"/>
    <n v="57"/>
    <n v="0"/>
    <n v="0"/>
    <x v="2"/>
    <x v="0"/>
    <x v="0"/>
    <x v="0"/>
    <n v="94.63"/>
    <n v="33"/>
    <x v="1"/>
    <n v="0"/>
    <x v="1"/>
    <x v="0"/>
  </r>
  <r>
    <n v="51797"/>
    <x v="1"/>
    <n v="35"/>
    <n v="0"/>
    <n v="0"/>
    <x v="2"/>
    <x v="0"/>
    <x v="0"/>
    <x v="0"/>
    <n v="86.97"/>
    <n v="25.7"/>
    <x v="3"/>
    <n v="0"/>
    <x v="2"/>
    <x v="3"/>
  </r>
  <r>
    <n v="61536"/>
    <x v="1"/>
    <n v="8"/>
    <n v="0"/>
    <n v="0"/>
    <x v="2"/>
    <x v="1"/>
    <x v="3"/>
    <x v="1"/>
    <n v="76.12"/>
    <n v="19.399999999999999"/>
    <x v="3"/>
    <n v="0"/>
    <x v="2"/>
    <x v="2"/>
  </r>
  <r>
    <n v="71221"/>
    <x v="1"/>
    <n v="42"/>
    <n v="0"/>
    <n v="0"/>
    <x v="2"/>
    <x v="0"/>
    <x v="2"/>
    <x v="0"/>
    <n v="99.94"/>
    <n v="33.4"/>
    <x v="1"/>
    <n v="0"/>
    <x v="1"/>
    <x v="0"/>
  </r>
  <r>
    <n v="6948"/>
    <x v="0"/>
    <n v="8"/>
    <n v="0"/>
    <n v="0"/>
    <x v="2"/>
    <x v="1"/>
    <x v="3"/>
    <x v="0"/>
    <n v="91.53"/>
    <n v="18"/>
    <x v="3"/>
    <n v="0"/>
    <x v="2"/>
    <x v="4"/>
  </r>
  <r>
    <n v="66083"/>
    <x v="0"/>
    <n v="62"/>
    <n v="0"/>
    <n v="0"/>
    <x v="1"/>
    <x v="0"/>
    <x v="0"/>
    <x v="1"/>
    <n v="145.46"/>
    <n v="40.1"/>
    <x v="1"/>
    <n v="0"/>
    <x v="0"/>
    <x v="0"/>
  </r>
  <r>
    <n v="21238"/>
    <x v="1"/>
    <n v="43"/>
    <n v="0"/>
    <n v="0"/>
    <x v="2"/>
    <x v="0"/>
    <x v="0"/>
    <x v="0"/>
    <n v="74.86"/>
    <n v="26.9"/>
    <x v="1"/>
    <n v="0"/>
    <x v="1"/>
    <x v="3"/>
  </r>
  <r>
    <n v="70992"/>
    <x v="1"/>
    <n v="8"/>
    <n v="0"/>
    <n v="0"/>
    <x v="2"/>
    <x v="1"/>
    <x v="3"/>
    <x v="0"/>
    <n v="74.42"/>
    <n v="22.5"/>
    <x v="3"/>
    <n v="0"/>
    <x v="2"/>
    <x v="2"/>
  </r>
  <r>
    <n v="20376"/>
    <x v="0"/>
    <n v="40"/>
    <n v="0"/>
    <n v="0"/>
    <x v="2"/>
    <x v="0"/>
    <x v="1"/>
    <x v="0"/>
    <n v="70.069999999999993"/>
    <n v="27.6"/>
    <x v="2"/>
    <n v="0"/>
    <x v="1"/>
    <x v="3"/>
  </r>
  <r>
    <n v="6613"/>
    <x v="0"/>
    <n v="2"/>
    <n v="0"/>
    <n v="0"/>
    <x v="2"/>
    <x v="1"/>
    <x v="3"/>
    <x v="0"/>
    <n v="89.85"/>
    <n v="23.3"/>
    <x v="3"/>
    <n v="0"/>
    <x v="2"/>
    <x v="2"/>
  </r>
  <r>
    <n v="27818"/>
    <x v="1"/>
    <n v="27"/>
    <n v="0"/>
    <n v="0"/>
    <x v="2"/>
    <x v="1"/>
    <x v="0"/>
    <x v="1"/>
    <n v="104.21"/>
    <n v="35.700000000000003"/>
    <x v="1"/>
    <n v="0"/>
    <x v="2"/>
    <x v="0"/>
  </r>
  <r>
    <n v="3062"/>
    <x v="1"/>
    <n v="47"/>
    <n v="0"/>
    <n v="0"/>
    <x v="2"/>
    <x v="0"/>
    <x v="1"/>
    <x v="1"/>
    <n v="157.77000000000001"/>
    <n v="28.4"/>
    <x v="1"/>
    <n v="0"/>
    <x v="1"/>
    <x v="3"/>
  </r>
  <r>
    <n v="11692"/>
    <x v="1"/>
    <n v="53"/>
    <n v="0"/>
    <n v="0"/>
    <x v="2"/>
    <x v="1"/>
    <x v="2"/>
    <x v="0"/>
    <n v="101.81"/>
    <n v="29.4"/>
    <x v="2"/>
    <n v="0"/>
    <x v="1"/>
    <x v="3"/>
  </r>
  <r>
    <n v="25070"/>
    <x v="0"/>
    <n v="62"/>
    <n v="0"/>
    <n v="0"/>
    <x v="1"/>
    <x v="0"/>
    <x v="2"/>
    <x v="1"/>
    <n v="103"/>
    <n v="31.9"/>
    <x v="3"/>
    <n v="0"/>
    <x v="0"/>
    <x v="0"/>
  </r>
  <r>
    <n v="39556"/>
    <x v="0"/>
    <n v="50"/>
    <n v="0"/>
    <n v="0"/>
    <x v="2"/>
    <x v="0"/>
    <x v="1"/>
    <x v="0"/>
    <n v="101.85"/>
    <n v="25.1"/>
    <x v="2"/>
    <n v="0"/>
    <x v="1"/>
    <x v="3"/>
  </r>
  <r>
    <n v="18437"/>
    <x v="0"/>
    <n v="26"/>
    <n v="0"/>
    <n v="0"/>
    <x v="2"/>
    <x v="1"/>
    <x v="0"/>
    <x v="0"/>
    <n v="85.92"/>
    <n v="35.6"/>
    <x v="2"/>
    <n v="0"/>
    <x v="2"/>
    <x v="0"/>
  </r>
  <r>
    <n v="59540"/>
    <x v="1"/>
    <n v="19"/>
    <n v="0"/>
    <n v="0"/>
    <x v="2"/>
    <x v="1"/>
    <x v="0"/>
    <x v="1"/>
    <n v="56.85"/>
    <n v="21.1"/>
    <x v="1"/>
    <n v="0"/>
    <x v="2"/>
    <x v="2"/>
  </r>
  <r>
    <n v="13857"/>
    <x v="0"/>
    <n v="0.32"/>
    <n v="0"/>
    <n v="0"/>
    <x v="2"/>
    <x v="1"/>
    <x v="3"/>
    <x v="0"/>
    <n v="89.04"/>
    <n v="17.8"/>
    <x v="3"/>
    <n v="0"/>
    <x v="2"/>
    <x v="4"/>
  </r>
  <r>
    <n v="57924"/>
    <x v="1"/>
    <n v="45"/>
    <n v="0"/>
    <n v="0"/>
    <x v="2"/>
    <x v="0"/>
    <x v="2"/>
    <x v="1"/>
    <n v="63.01"/>
    <n v="31.5"/>
    <x v="1"/>
    <n v="0"/>
    <x v="1"/>
    <x v="0"/>
  </r>
  <r>
    <n v="38069"/>
    <x v="0"/>
    <n v="45"/>
    <n v="0"/>
    <n v="0"/>
    <x v="2"/>
    <x v="0"/>
    <x v="0"/>
    <x v="1"/>
    <n v="65.48"/>
    <n v="26.6"/>
    <x v="3"/>
    <n v="0"/>
    <x v="1"/>
    <x v="3"/>
  </r>
  <r>
    <n v="48871"/>
    <x v="1"/>
    <n v="54"/>
    <n v="0"/>
    <n v="0"/>
    <x v="2"/>
    <x v="0"/>
    <x v="0"/>
    <x v="1"/>
    <n v="68.599999999999994"/>
    <n v="44.8"/>
    <x v="2"/>
    <n v="0"/>
    <x v="1"/>
    <x v="0"/>
  </r>
  <r>
    <n v="63420"/>
    <x v="0"/>
    <n v="64"/>
    <n v="1"/>
    <n v="0"/>
    <x v="0"/>
    <x v="0"/>
    <x v="0"/>
    <x v="0"/>
    <n v="81.680000000000007"/>
    <n v="31.3"/>
    <x v="0"/>
    <n v="0"/>
    <x v="0"/>
    <x v="0"/>
  </r>
  <r>
    <n v="67665"/>
    <x v="0"/>
    <n v="2"/>
    <n v="0"/>
    <n v="0"/>
    <x v="2"/>
    <x v="1"/>
    <x v="3"/>
    <x v="0"/>
    <n v="65.209999999999994"/>
    <n v="17.2"/>
    <x v="3"/>
    <n v="0"/>
    <x v="2"/>
    <x v="4"/>
  </r>
  <r>
    <n v="50638"/>
    <x v="1"/>
    <n v="66"/>
    <n v="0"/>
    <n v="0"/>
    <x v="1"/>
    <x v="0"/>
    <x v="2"/>
    <x v="0"/>
    <n v="72.53"/>
    <n v="25.3"/>
    <x v="2"/>
    <n v="0"/>
    <x v="0"/>
    <x v="3"/>
  </r>
  <r>
    <n v="43892"/>
    <x v="1"/>
    <n v="73"/>
    <n v="0"/>
    <n v="0"/>
    <x v="1"/>
    <x v="0"/>
    <x v="0"/>
    <x v="1"/>
    <n v="81.78"/>
    <n v="28.8"/>
    <x v="1"/>
    <n v="0"/>
    <x v="0"/>
    <x v="3"/>
  </r>
  <r>
    <n v="9335"/>
    <x v="1"/>
    <n v="31"/>
    <n v="0"/>
    <n v="0"/>
    <x v="2"/>
    <x v="1"/>
    <x v="0"/>
    <x v="1"/>
    <n v="116.85"/>
    <n v="49.9"/>
    <x v="2"/>
    <n v="0"/>
    <x v="2"/>
    <x v="0"/>
  </r>
  <r>
    <n v="38830"/>
    <x v="1"/>
    <n v="1.88"/>
    <n v="0"/>
    <n v="0"/>
    <x v="2"/>
    <x v="1"/>
    <x v="3"/>
    <x v="1"/>
    <n v="80.83"/>
    <n v="18"/>
    <x v="3"/>
    <n v="0"/>
    <x v="2"/>
    <x v="4"/>
  </r>
  <r>
    <n v="14019"/>
    <x v="1"/>
    <n v="58"/>
    <n v="0"/>
    <n v="0"/>
    <x v="2"/>
    <x v="0"/>
    <x v="0"/>
    <x v="0"/>
    <n v="96.21"/>
    <n v="23.5"/>
    <x v="1"/>
    <n v="0"/>
    <x v="1"/>
    <x v="2"/>
  </r>
  <r>
    <n v="65888"/>
    <x v="0"/>
    <n v="12"/>
    <n v="0"/>
    <n v="0"/>
    <x v="2"/>
    <x v="1"/>
    <x v="3"/>
    <x v="1"/>
    <n v="117.04"/>
    <n v="18.100000000000001"/>
    <x v="3"/>
    <n v="0"/>
    <x v="2"/>
    <x v="4"/>
  </r>
  <r>
    <n v="62986"/>
    <x v="1"/>
    <n v="60"/>
    <n v="1"/>
    <n v="0"/>
    <x v="0"/>
    <x v="0"/>
    <x v="0"/>
    <x v="1"/>
    <n v="78.260000000000005"/>
    <n v="41.7"/>
    <x v="0"/>
    <n v="0"/>
    <x v="0"/>
    <x v="0"/>
  </r>
  <r>
    <n v="61409"/>
    <x v="0"/>
    <n v="32"/>
    <n v="1"/>
    <n v="0"/>
    <x v="2"/>
    <x v="1"/>
    <x v="2"/>
    <x v="0"/>
    <n v="58.24"/>
    <s v="N/A"/>
    <x v="0"/>
    <n v="0"/>
    <x v="2"/>
    <x v="1"/>
  </r>
  <r>
    <n v="72041"/>
    <x v="0"/>
    <n v="23"/>
    <n v="0"/>
    <n v="0"/>
    <x v="2"/>
    <x v="1"/>
    <x v="0"/>
    <x v="0"/>
    <n v="82.53"/>
    <n v="20.7"/>
    <x v="2"/>
    <n v="0"/>
    <x v="2"/>
    <x v="2"/>
  </r>
  <r>
    <n v="51584"/>
    <x v="0"/>
    <n v="26"/>
    <n v="0"/>
    <n v="0"/>
    <x v="2"/>
    <x v="1"/>
    <x v="0"/>
    <x v="0"/>
    <n v="71.25"/>
    <n v="30.3"/>
    <x v="2"/>
    <n v="0"/>
    <x v="2"/>
    <x v="0"/>
  </r>
  <r>
    <n v="56476"/>
    <x v="0"/>
    <n v="36"/>
    <n v="0"/>
    <n v="0"/>
    <x v="2"/>
    <x v="0"/>
    <x v="0"/>
    <x v="1"/>
    <n v="129.72999999999999"/>
    <n v="27.8"/>
    <x v="1"/>
    <n v="0"/>
    <x v="2"/>
    <x v="3"/>
  </r>
  <r>
    <n v="51740"/>
    <x v="1"/>
    <n v="3"/>
    <n v="0"/>
    <n v="0"/>
    <x v="2"/>
    <x v="1"/>
    <x v="3"/>
    <x v="0"/>
    <n v="115.47"/>
    <n v="18.899999999999999"/>
    <x v="3"/>
    <n v="0"/>
    <x v="2"/>
    <x v="2"/>
  </r>
  <r>
    <n v="45983"/>
    <x v="0"/>
    <n v="21"/>
    <n v="0"/>
    <n v="0"/>
    <x v="2"/>
    <x v="1"/>
    <x v="0"/>
    <x v="0"/>
    <n v="56.79"/>
    <n v="20.399999999999999"/>
    <x v="3"/>
    <n v="0"/>
    <x v="2"/>
    <x v="2"/>
  </r>
  <r>
    <n v="16079"/>
    <x v="1"/>
    <n v="67"/>
    <n v="0"/>
    <n v="0"/>
    <x v="1"/>
    <x v="0"/>
    <x v="0"/>
    <x v="0"/>
    <n v="100.16"/>
    <n v="31.8"/>
    <x v="3"/>
    <n v="0"/>
    <x v="0"/>
    <x v="0"/>
  </r>
  <r>
    <n v="24920"/>
    <x v="1"/>
    <n v="35"/>
    <n v="0"/>
    <n v="0"/>
    <x v="2"/>
    <x v="0"/>
    <x v="2"/>
    <x v="1"/>
    <n v="97.6"/>
    <n v="44.8"/>
    <x v="2"/>
    <n v="0"/>
    <x v="2"/>
    <x v="0"/>
  </r>
  <r>
    <n v="72818"/>
    <x v="1"/>
    <n v="26"/>
    <n v="0"/>
    <n v="0"/>
    <x v="2"/>
    <x v="1"/>
    <x v="0"/>
    <x v="1"/>
    <n v="90.54"/>
    <n v="37.1"/>
    <x v="3"/>
    <n v="0"/>
    <x v="2"/>
    <x v="0"/>
  </r>
  <r>
    <n v="65944"/>
    <x v="1"/>
    <n v="47"/>
    <n v="0"/>
    <n v="0"/>
    <x v="2"/>
    <x v="0"/>
    <x v="1"/>
    <x v="0"/>
    <n v="105.88"/>
    <n v="39.9"/>
    <x v="2"/>
    <n v="0"/>
    <x v="1"/>
    <x v="0"/>
  </r>
  <r>
    <n v="63836"/>
    <x v="0"/>
    <n v="81"/>
    <n v="1"/>
    <n v="1"/>
    <x v="0"/>
    <x v="0"/>
    <x v="2"/>
    <x v="1"/>
    <n v="217.94"/>
    <n v="24.1"/>
    <x v="0"/>
    <n v="0"/>
    <x v="0"/>
    <x v="2"/>
  </r>
  <r>
    <n v="46729"/>
    <x v="1"/>
    <n v="1.64"/>
    <n v="0"/>
    <n v="0"/>
    <x v="2"/>
    <x v="1"/>
    <x v="3"/>
    <x v="0"/>
    <n v="69.89"/>
    <n v="18.100000000000001"/>
    <x v="3"/>
    <n v="0"/>
    <x v="2"/>
    <x v="4"/>
  </r>
  <r>
    <n v="44642"/>
    <x v="0"/>
    <n v="52"/>
    <n v="0"/>
    <n v="0"/>
    <x v="2"/>
    <x v="0"/>
    <x v="2"/>
    <x v="0"/>
    <n v="93.28"/>
    <n v="36.299999999999997"/>
    <x v="1"/>
    <n v="0"/>
    <x v="1"/>
    <x v="0"/>
  </r>
  <r>
    <n v="70693"/>
    <x v="1"/>
    <n v="28"/>
    <n v="0"/>
    <n v="1"/>
    <x v="2"/>
    <x v="0"/>
    <x v="0"/>
    <x v="1"/>
    <n v="111.27"/>
    <n v="19.100000000000001"/>
    <x v="2"/>
    <n v="0"/>
    <x v="2"/>
    <x v="2"/>
  </r>
  <r>
    <n v="54065"/>
    <x v="1"/>
    <n v="45"/>
    <n v="0"/>
    <n v="0"/>
    <x v="2"/>
    <x v="0"/>
    <x v="0"/>
    <x v="0"/>
    <n v="91.04"/>
    <n v="21.1"/>
    <x v="1"/>
    <n v="0"/>
    <x v="1"/>
    <x v="2"/>
  </r>
  <r>
    <n v="9926"/>
    <x v="0"/>
    <n v="20"/>
    <n v="0"/>
    <n v="0"/>
    <x v="2"/>
    <x v="1"/>
    <x v="0"/>
    <x v="0"/>
    <n v="87.2"/>
    <n v="28.9"/>
    <x v="2"/>
    <n v="0"/>
    <x v="2"/>
    <x v="3"/>
  </r>
  <r>
    <n v="29201"/>
    <x v="0"/>
    <n v="1.56"/>
    <n v="0"/>
    <n v="0"/>
    <x v="2"/>
    <x v="1"/>
    <x v="3"/>
    <x v="1"/>
    <n v="109.12"/>
    <n v="18.899999999999999"/>
    <x v="3"/>
    <n v="0"/>
    <x v="2"/>
    <x v="2"/>
  </r>
  <r>
    <n v="33308"/>
    <x v="1"/>
    <n v="65"/>
    <n v="0"/>
    <n v="0"/>
    <x v="1"/>
    <x v="1"/>
    <x v="0"/>
    <x v="0"/>
    <n v="216.64"/>
    <n v="43.3"/>
    <x v="0"/>
    <n v="0"/>
    <x v="0"/>
    <x v="0"/>
  </r>
  <r>
    <n v="15937"/>
    <x v="0"/>
    <n v="45"/>
    <n v="1"/>
    <n v="0"/>
    <x v="2"/>
    <x v="0"/>
    <x v="1"/>
    <x v="1"/>
    <n v="74.28"/>
    <n v="37.200000000000003"/>
    <x v="0"/>
    <n v="0"/>
    <x v="1"/>
    <x v="0"/>
  </r>
  <r>
    <n v="53748"/>
    <x v="0"/>
    <n v="77"/>
    <n v="0"/>
    <n v="0"/>
    <x v="1"/>
    <x v="0"/>
    <x v="1"/>
    <x v="0"/>
    <n v="57.6"/>
    <n v="32.200000000000003"/>
    <x v="3"/>
    <n v="0"/>
    <x v="0"/>
    <x v="0"/>
  </r>
  <r>
    <n v="47803"/>
    <x v="0"/>
    <n v="37"/>
    <n v="0"/>
    <n v="0"/>
    <x v="2"/>
    <x v="0"/>
    <x v="2"/>
    <x v="0"/>
    <n v="173.97"/>
    <n v="26.3"/>
    <x v="3"/>
    <n v="0"/>
    <x v="2"/>
    <x v="3"/>
  </r>
  <r>
    <n v="41554"/>
    <x v="1"/>
    <n v="50"/>
    <n v="0"/>
    <n v="0"/>
    <x v="2"/>
    <x v="0"/>
    <x v="0"/>
    <x v="1"/>
    <n v="65.25"/>
    <n v="25.4"/>
    <x v="2"/>
    <n v="0"/>
    <x v="1"/>
    <x v="3"/>
  </r>
  <r>
    <n v="69435"/>
    <x v="1"/>
    <n v="0.56000000000000005"/>
    <n v="0"/>
    <n v="0"/>
    <x v="2"/>
    <x v="1"/>
    <x v="3"/>
    <x v="0"/>
    <n v="80.92"/>
    <n v="18.3"/>
    <x v="3"/>
    <n v="0"/>
    <x v="2"/>
    <x v="4"/>
  </r>
  <r>
    <n v="41049"/>
    <x v="1"/>
    <n v="30"/>
    <n v="0"/>
    <n v="0"/>
    <x v="2"/>
    <x v="0"/>
    <x v="0"/>
    <x v="1"/>
    <n v="124.37"/>
    <n v="21.4"/>
    <x v="1"/>
    <n v="0"/>
    <x v="2"/>
    <x v="2"/>
  </r>
  <r>
    <n v="13859"/>
    <x v="1"/>
    <n v="31"/>
    <n v="0"/>
    <n v="0"/>
    <x v="2"/>
    <x v="1"/>
    <x v="0"/>
    <x v="0"/>
    <n v="102.39"/>
    <n v="22.9"/>
    <x v="2"/>
    <n v="0"/>
    <x v="2"/>
    <x v="2"/>
  </r>
  <r>
    <n v="24257"/>
    <x v="0"/>
    <n v="4"/>
    <n v="0"/>
    <n v="0"/>
    <x v="2"/>
    <x v="1"/>
    <x v="3"/>
    <x v="1"/>
    <n v="90.42"/>
    <n v="16.2"/>
    <x v="3"/>
    <n v="0"/>
    <x v="2"/>
    <x v="4"/>
  </r>
  <r>
    <n v="14417"/>
    <x v="0"/>
    <n v="65"/>
    <n v="1"/>
    <n v="0"/>
    <x v="0"/>
    <x v="0"/>
    <x v="0"/>
    <x v="1"/>
    <n v="79.17"/>
    <n v="29.6"/>
    <x v="3"/>
    <n v="0"/>
    <x v="0"/>
    <x v="3"/>
  </r>
  <r>
    <n v="45260"/>
    <x v="1"/>
    <n v="68"/>
    <n v="0"/>
    <n v="0"/>
    <x v="1"/>
    <x v="0"/>
    <x v="1"/>
    <x v="0"/>
    <n v="71.08"/>
    <n v="21.5"/>
    <x v="1"/>
    <n v="0"/>
    <x v="0"/>
    <x v="2"/>
  </r>
  <r>
    <n v="12807"/>
    <x v="1"/>
    <n v="63"/>
    <n v="1"/>
    <n v="0"/>
    <x v="0"/>
    <x v="0"/>
    <x v="0"/>
    <x v="0"/>
    <n v="81.540000000000006"/>
    <n v="24.2"/>
    <x v="1"/>
    <n v="0"/>
    <x v="0"/>
    <x v="2"/>
  </r>
  <r>
    <n v="71417"/>
    <x v="0"/>
    <n v="46"/>
    <n v="0"/>
    <n v="0"/>
    <x v="2"/>
    <x v="1"/>
    <x v="0"/>
    <x v="0"/>
    <n v="159.66999999999999"/>
    <n v="37.299999999999997"/>
    <x v="1"/>
    <n v="0"/>
    <x v="1"/>
    <x v="0"/>
  </r>
  <r>
    <n v="37479"/>
    <x v="1"/>
    <n v="54"/>
    <n v="0"/>
    <n v="0"/>
    <x v="2"/>
    <x v="0"/>
    <x v="0"/>
    <x v="0"/>
    <n v="93.96"/>
    <n v="33.299999999999997"/>
    <x v="2"/>
    <n v="0"/>
    <x v="1"/>
    <x v="0"/>
  </r>
  <r>
    <n v="23850"/>
    <x v="0"/>
    <n v="66"/>
    <n v="0"/>
    <n v="0"/>
    <x v="1"/>
    <x v="0"/>
    <x v="0"/>
    <x v="0"/>
    <n v="103.01"/>
    <n v="33.1"/>
    <x v="1"/>
    <n v="0"/>
    <x v="0"/>
    <x v="0"/>
  </r>
  <r>
    <n v="17791"/>
    <x v="1"/>
    <n v="29"/>
    <n v="0"/>
    <n v="0"/>
    <x v="2"/>
    <x v="0"/>
    <x v="2"/>
    <x v="1"/>
    <n v="92.49"/>
    <n v="22.2"/>
    <x v="1"/>
    <n v="0"/>
    <x v="2"/>
    <x v="2"/>
  </r>
  <r>
    <n v="2544"/>
    <x v="0"/>
    <n v="78"/>
    <n v="0"/>
    <n v="0"/>
    <x v="1"/>
    <x v="0"/>
    <x v="0"/>
    <x v="0"/>
    <n v="208.85"/>
    <n v="24.4"/>
    <x v="0"/>
    <n v="0"/>
    <x v="0"/>
    <x v="2"/>
  </r>
  <r>
    <n v="4961"/>
    <x v="0"/>
    <n v="56"/>
    <n v="0"/>
    <n v="0"/>
    <x v="2"/>
    <x v="0"/>
    <x v="2"/>
    <x v="0"/>
    <n v="122.39"/>
    <n v="30.3"/>
    <x v="3"/>
    <n v="0"/>
    <x v="1"/>
    <x v="0"/>
  </r>
  <r>
    <n v="2702"/>
    <x v="1"/>
    <n v="57"/>
    <n v="0"/>
    <n v="0"/>
    <x v="2"/>
    <x v="0"/>
    <x v="0"/>
    <x v="1"/>
    <n v="65.91"/>
    <n v="28.2"/>
    <x v="3"/>
    <n v="0"/>
    <x v="1"/>
    <x v="3"/>
  </r>
  <r>
    <n v="11208"/>
    <x v="1"/>
    <n v="2"/>
    <n v="0"/>
    <n v="0"/>
    <x v="2"/>
    <x v="1"/>
    <x v="3"/>
    <x v="1"/>
    <n v="70.25"/>
    <n v="17"/>
    <x v="3"/>
    <n v="0"/>
    <x v="2"/>
    <x v="4"/>
  </r>
  <r>
    <n v="4077"/>
    <x v="0"/>
    <n v="49"/>
    <n v="0"/>
    <n v="0"/>
    <x v="2"/>
    <x v="0"/>
    <x v="0"/>
    <x v="0"/>
    <n v="219.7"/>
    <n v="53.8"/>
    <x v="3"/>
    <n v="0"/>
    <x v="1"/>
    <x v="0"/>
  </r>
  <r>
    <n v="36548"/>
    <x v="0"/>
    <n v="31"/>
    <n v="0"/>
    <n v="0"/>
    <x v="2"/>
    <x v="0"/>
    <x v="2"/>
    <x v="0"/>
    <n v="65.7"/>
    <n v="30.4"/>
    <x v="0"/>
    <n v="0"/>
    <x v="2"/>
    <x v="0"/>
  </r>
  <r>
    <n v="71596"/>
    <x v="1"/>
    <n v="47"/>
    <n v="0"/>
    <n v="0"/>
    <x v="2"/>
    <x v="0"/>
    <x v="0"/>
    <x v="0"/>
    <n v="67.08"/>
    <n v="22.3"/>
    <x v="3"/>
    <n v="0"/>
    <x v="1"/>
    <x v="2"/>
  </r>
  <r>
    <n v="61050"/>
    <x v="0"/>
    <n v="37"/>
    <n v="0"/>
    <n v="0"/>
    <x v="2"/>
    <x v="0"/>
    <x v="2"/>
    <x v="1"/>
    <n v="107.58"/>
    <n v="25.3"/>
    <x v="1"/>
    <n v="0"/>
    <x v="2"/>
    <x v="3"/>
  </r>
  <r>
    <n v="6172"/>
    <x v="1"/>
    <n v="79"/>
    <n v="0"/>
    <n v="0"/>
    <x v="1"/>
    <x v="0"/>
    <x v="0"/>
    <x v="1"/>
    <n v="208.05"/>
    <s v="N/A"/>
    <x v="2"/>
    <n v="0"/>
    <x v="0"/>
    <x v="1"/>
  </r>
  <r>
    <n v="15098"/>
    <x v="1"/>
    <n v="65"/>
    <n v="0"/>
    <n v="0"/>
    <x v="1"/>
    <x v="0"/>
    <x v="0"/>
    <x v="1"/>
    <n v="95.87"/>
    <n v="29.8"/>
    <x v="1"/>
    <n v="0"/>
    <x v="0"/>
    <x v="3"/>
  </r>
  <r>
    <n v="34895"/>
    <x v="0"/>
    <n v="61"/>
    <n v="0"/>
    <n v="0"/>
    <x v="1"/>
    <x v="0"/>
    <x v="0"/>
    <x v="0"/>
    <n v="68.17"/>
    <n v="43.8"/>
    <x v="0"/>
    <n v="0"/>
    <x v="0"/>
    <x v="0"/>
  </r>
  <r>
    <n v="6443"/>
    <x v="1"/>
    <n v="66"/>
    <n v="0"/>
    <n v="0"/>
    <x v="1"/>
    <x v="0"/>
    <x v="0"/>
    <x v="0"/>
    <n v="95.37"/>
    <n v="34.5"/>
    <x v="2"/>
    <n v="0"/>
    <x v="0"/>
    <x v="0"/>
  </r>
  <r>
    <n v="67635"/>
    <x v="0"/>
    <n v="24"/>
    <n v="0"/>
    <n v="0"/>
    <x v="2"/>
    <x v="1"/>
    <x v="0"/>
    <x v="0"/>
    <n v="90"/>
    <n v="25.5"/>
    <x v="1"/>
    <n v="0"/>
    <x v="2"/>
    <x v="3"/>
  </r>
  <r>
    <n v="19931"/>
    <x v="0"/>
    <n v="66"/>
    <n v="0"/>
    <n v="0"/>
    <x v="1"/>
    <x v="0"/>
    <x v="1"/>
    <x v="1"/>
    <n v="106.1"/>
    <n v="31.5"/>
    <x v="2"/>
    <n v="0"/>
    <x v="0"/>
    <x v="0"/>
  </r>
  <r>
    <n v="57302"/>
    <x v="1"/>
    <n v="64"/>
    <n v="1"/>
    <n v="0"/>
    <x v="0"/>
    <x v="0"/>
    <x v="0"/>
    <x v="1"/>
    <n v="56.13"/>
    <n v="39.200000000000003"/>
    <x v="3"/>
    <n v="0"/>
    <x v="0"/>
    <x v="0"/>
  </r>
  <r>
    <n v="26197"/>
    <x v="1"/>
    <n v="38"/>
    <n v="0"/>
    <n v="0"/>
    <x v="2"/>
    <x v="0"/>
    <x v="0"/>
    <x v="1"/>
    <n v="104.03"/>
    <n v="47.3"/>
    <x v="2"/>
    <n v="0"/>
    <x v="2"/>
    <x v="0"/>
  </r>
  <r>
    <n v="54982"/>
    <x v="1"/>
    <n v="7"/>
    <n v="0"/>
    <n v="0"/>
    <x v="2"/>
    <x v="1"/>
    <x v="3"/>
    <x v="1"/>
    <n v="157.01"/>
    <n v="17"/>
    <x v="3"/>
    <n v="0"/>
    <x v="2"/>
    <x v="4"/>
  </r>
  <r>
    <n v="13398"/>
    <x v="1"/>
    <n v="63"/>
    <n v="0"/>
    <n v="0"/>
    <x v="1"/>
    <x v="0"/>
    <x v="0"/>
    <x v="0"/>
    <n v="84.35"/>
    <n v="38.200000000000003"/>
    <x v="1"/>
    <n v="0"/>
    <x v="0"/>
    <x v="0"/>
  </r>
  <r>
    <n v="21101"/>
    <x v="0"/>
    <n v="71"/>
    <n v="0"/>
    <n v="0"/>
    <x v="1"/>
    <x v="0"/>
    <x v="0"/>
    <x v="1"/>
    <n v="67.989999999999995"/>
    <n v="31.1"/>
    <x v="1"/>
    <n v="0"/>
    <x v="0"/>
    <x v="0"/>
  </r>
  <r>
    <n v="39958"/>
    <x v="0"/>
    <n v="18"/>
    <n v="0"/>
    <n v="0"/>
    <x v="2"/>
    <x v="1"/>
    <x v="0"/>
    <x v="1"/>
    <n v="118.93"/>
    <n v="22.4"/>
    <x v="1"/>
    <n v="0"/>
    <x v="2"/>
    <x v="2"/>
  </r>
  <r>
    <n v="51894"/>
    <x v="1"/>
    <n v="65"/>
    <n v="0"/>
    <n v="0"/>
    <x v="1"/>
    <x v="0"/>
    <x v="0"/>
    <x v="1"/>
    <n v="185.28"/>
    <n v="32"/>
    <x v="2"/>
    <n v="0"/>
    <x v="0"/>
    <x v="0"/>
  </r>
  <r>
    <n v="56001"/>
    <x v="0"/>
    <n v="57"/>
    <n v="0"/>
    <n v="0"/>
    <x v="2"/>
    <x v="0"/>
    <x v="0"/>
    <x v="1"/>
    <n v="82.08"/>
    <n v="24.7"/>
    <x v="3"/>
    <n v="0"/>
    <x v="1"/>
    <x v="2"/>
  </r>
  <r>
    <n v="56137"/>
    <x v="1"/>
    <n v="62"/>
    <n v="0"/>
    <n v="0"/>
    <x v="1"/>
    <x v="0"/>
    <x v="0"/>
    <x v="0"/>
    <n v="88.32"/>
    <n v="36.299999999999997"/>
    <x v="3"/>
    <n v="0"/>
    <x v="0"/>
    <x v="0"/>
  </r>
  <r>
    <n v="25900"/>
    <x v="0"/>
    <n v="1.8"/>
    <n v="0"/>
    <n v="0"/>
    <x v="2"/>
    <x v="1"/>
    <x v="3"/>
    <x v="1"/>
    <n v="85.16"/>
    <n v="20.2"/>
    <x v="3"/>
    <n v="0"/>
    <x v="2"/>
    <x v="2"/>
  </r>
  <r>
    <n v="69213"/>
    <x v="0"/>
    <n v="35"/>
    <n v="0"/>
    <n v="0"/>
    <x v="2"/>
    <x v="1"/>
    <x v="0"/>
    <x v="1"/>
    <n v="69.540000000000006"/>
    <n v="27.4"/>
    <x v="1"/>
    <n v="0"/>
    <x v="2"/>
    <x v="3"/>
  </r>
  <r>
    <n v="38613"/>
    <x v="1"/>
    <n v="50"/>
    <n v="0"/>
    <n v="0"/>
    <x v="2"/>
    <x v="0"/>
    <x v="2"/>
    <x v="1"/>
    <n v="62.12"/>
    <n v="29.6"/>
    <x v="1"/>
    <n v="0"/>
    <x v="1"/>
    <x v="3"/>
  </r>
  <r>
    <n v="27660"/>
    <x v="1"/>
    <n v="73"/>
    <n v="1"/>
    <n v="0"/>
    <x v="0"/>
    <x v="1"/>
    <x v="1"/>
    <x v="1"/>
    <n v="198.3"/>
    <n v="54.3"/>
    <x v="0"/>
    <n v="0"/>
    <x v="0"/>
    <x v="0"/>
  </r>
  <r>
    <n v="33790"/>
    <x v="1"/>
    <n v="23"/>
    <n v="0"/>
    <n v="0"/>
    <x v="2"/>
    <x v="1"/>
    <x v="0"/>
    <x v="1"/>
    <n v="100.06"/>
    <n v="28.6"/>
    <x v="1"/>
    <n v="0"/>
    <x v="2"/>
    <x v="3"/>
  </r>
  <r>
    <n v="50845"/>
    <x v="1"/>
    <n v="32"/>
    <n v="0"/>
    <n v="0"/>
    <x v="2"/>
    <x v="0"/>
    <x v="2"/>
    <x v="0"/>
    <n v="101.13"/>
    <n v="43.9"/>
    <x v="0"/>
    <n v="0"/>
    <x v="2"/>
    <x v="0"/>
  </r>
  <r>
    <n v="44628"/>
    <x v="1"/>
    <n v="38"/>
    <n v="0"/>
    <n v="0"/>
    <x v="2"/>
    <x v="0"/>
    <x v="0"/>
    <x v="1"/>
    <n v="91.09"/>
    <n v="22.2"/>
    <x v="1"/>
    <n v="0"/>
    <x v="2"/>
    <x v="2"/>
  </r>
  <r>
    <n v="38951"/>
    <x v="1"/>
    <n v="50"/>
    <n v="0"/>
    <n v="0"/>
    <x v="2"/>
    <x v="0"/>
    <x v="1"/>
    <x v="1"/>
    <n v="61.54"/>
    <n v="28.4"/>
    <x v="3"/>
    <n v="0"/>
    <x v="1"/>
    <x v="3"/>
  </r>
  <r>
    <n v="52792"/>
    <x v="1"/>
    <n v="39"/>
    <n v="0"/>
    <n v="0"/>
    <x v="2"/>
    <x v="0"/>
    <x v="0"/>
    <x v="0"/>
    <n v="62.02"/>
    <n v="23.7"/>
    <x v="2"/>
    <n v="0"/>
    <x v="2"/>
    <x v="2"/>
  </r>
  <r>
    <n v="27675"/>
    <x v="1"/>
    <n v="7"/>
    <n v="0"/>
    <n v="0"/>
    <x v="2"/>
    <x v="1"/>
    <x v="3"/>
    <x v="0"/>
    <n v="103.11"/>
    <n v="18.3"/>
    <x v="3"/>
    <n v="0"/>
    <x v="2"/>
    <x v="4"/>
  </r>
  <r>
    <n v="6903"/>
    <x v="1"/>
    <n v="15"/>
    <n v="0"/>
    <n v="0"/>
    <x v="2"/>
    <x v="1"/>
    <x v="3"/>
    <x v="1"/>
    <n v="77.569999999999993"/>
    <n v="18.3"/>
    <x v="3"/>
    <n v="0"/>
    <x v="2"/>
    <x v="4"/>
  </r>
  <r>
    <n v="35463"/>
    <x v="0"/>
    <n v="67"/>
    <n v="0"/>
    <n v="0"/>
    <x v="1"/>
    <x v="0"/>
    <x v="0"/>
    <x v="0"/>
    <n v="97.34"/>
    <n v="28.9"/>
    <x v="1"/>
    <n v="0"/>
    <x v="0"/>
    <x v="3"/>
  </r>
  <r>
    <n v="172"/>
    <x v="0"/>
    <n v="8"/>
    <n v="0"/>
    <n v="0"/>
    <x v="2"/>
    <x v="1"/>
    <x v="3"/>
    <x v="0"/>
    <n v="78.760000000000005"/>
    <s v="N/A"/>
    <x v="3"/>
    <n v="0"/>
    <x v="2"/>
    <x v="1"/>
  </r>
  <r>
    <n v="16876"/>
    <x v="1"/>
    <n v="32"/>
    <n v="0"/>
    <n v="0"/>
    <x v="2"/>
    <x v="0"/>
    <x v="0"/>
    <x v="1"/>
    <n v="67.099999999999994"/>
    <n v="27.1"/>
    <x v="3"/>
    <n v="0"/>
    <x v="2"/>
    <x v="3"/>
  </r>
  <r>
    <n v="60926"/>
    <x v="0"/>
    <n v="5"/>
    <n v="0"/>
    <n v="0"/>
    <x v="2"/>
    <x v="1"/>
    <x v="3"/>
    <x v="0"/>
    <n v="79.89"/>
    <n v="13.8"/>
    <x v="3"/>
    <n v="0"/>
    <x v="2"/>
    <x v="4"/>
  </r>
  <r>
    <n v="21333"/>
    <x v="0"/>
    <n v="56"/>
    <n v="1"/>
    <n v="0"/>
    <x v="2"/>
    <x v="0"/>
    <x v="0"/>
    <x v="1"/>
    <n v="206.66"/>
    <n v="21.9"/>
    <x v="2"/>
    <n v="0"/>
    <x v="1"/>
    <x v="2"/>
  </r>
  <r>
    <n v="69183"/>
    <x v="0"/>
    <n v="49"/>
    <n v="0"/>
    <n v="0"/>
    <x v="2"/>
    <x v="1"/>
    <x v="0"/>
    <x v="0"/>
    <n v="95.79"/>
    <n v="24"/>
    <x v="3"/>
    <n v="0"/>
    <x v="1"/>
    <x v="2"/>
  </r>
  <r>
    <n v="2313"/>
    <x v="1"/>
    <n v="75"/>
    <n v="0"/>
    <n v="1"/>
    <x v="0"/>
    <x v="0"/>
    <x v="1"/>
    <x v="0"/>
    <n v="83.88"/>
    <s v="N/A"/>
    <x v="2"/>
    <n v="0"/>
    <x v="0"/>
    <x v="1"/>
  </r>
  <r>
    <n v="8041"/>
    <x v="1"/>
    <n v="11"/>
    <n v="0"/>
    <n v="0"/>
    <x v="2"/>
    <x v="1"/>
    <x v="3"/>
    <x v="1"/>
    <n v="93.51"/>
    <n v="20.8"/>
    <x v="3"/>
    <n v="0"/>
    <x v="2"/>
    <x v="2"/>
  </r>
  <r>
    <n v="68171"/>
    <x v="0"/>
    <n v="61"/>
    <n v="0"/>
    <n v="0"/>
    <x v="1"/>
    <x v="0"/>
    <x v="1"/>
    <x v="0"/>
    <n v="116.78"/>
    <n v="39.799999999999997"/>
    <x v="0"/>
    <n v="0"/>
    <x v="0"/>
    <x v="0"/>
  </r>
  <r>
    <n v="27948"/>
    <x v="0"/>
    <n v="76"/>
    <n v="0"/>
    <n v="0"/>
    <x v="1"/>
    <x v="0"/>
    <x v="1"/>
    <x v="1"/>
    <n v="117.63"/>
    <n v="26.2"/>
    <x v="1"/>
    <n v="0"/>
    <x v="0"/>
    <x v="3"/>
  </r>
  <r>
    <n v="45673"/>
    <x v="1"/>
    <n v="34"/>
    <n v="0"/>
    <n v="0"/>
    <x v="2"/>
    <x v="0"/>
    <x v="0"/>
    <x v="1"/>
    <n v="60.01"/>
    <n v="43.9"/>
    <x v="3"/>
    <n v="0"/>
    <x v="2"/>
    <x v="0"/>
  </r>
  <r>
    <n v="50810"/>
    <x v="0"/>
    <n v="20"/>
    <n v="0"/>
    <n v="0"/>
    <x v="2"/>
    <x v="1"/>
    <x v="0"/>
    <x v="1"/>
    <n v="64.599999999999994"/>
    <n v="27.3"/>
    <x v="3"/>
    <n v="0"/>
    <x v="2"/>
    <x v="3"/>
  </r>
  <r>
    <n v="2467"/>
    <x v="1"/>
    <n v="79"/>
    <n v="1"/>
    <n v="0"/>
    <x v="0"/>
    <x v="0"/>
    <x v="1"/>
    <x v="1"/>
    <n v="92.43"/>
    <s v="N/A"/>
    <x v="1"/>
    <n v="0"/>
    <x v="0"/>
    <x v="1"/>
  </r>
  <r>
    <n v="64165"/>
    <x v="1"/>
    <n v="24"/>
    <n v="0"/>
    <n v="0"/>
    <x v="2"/>
    <x v="1"/>
    <x v="0"/>
    <x v="0"/>
    <n v="71.63"/>
    <n v="22"/>
    <x v="0"/>
    <n v="0"/>
    <x v="2"/>
    <x v="2"/>
  </r>
  <r>
    <n v="22352"/>
    <x v="1"/>
    <n v="39"/>
    <n v="0"/>
    <n v="0"/>
    <x v="2"/>
    <x v="0"/>
    <x v="1"/>
    <x v="0"/>
    <n v="87.79"/>
    <n v="40"/>
    <x v="0"/>
    <n v="0"/>
    <x v="2"/>
    <x v="0"/>
  </r>
  <r>
    <n v="62990"/>
    <x v="1"/>
    <n v="55"/>
    <n v="0"/>
    <n v="0"/>
    <x v="2"/>
    <x v="0"/>
    <x v="2"/>
    <x v="1"/>
    <n v="99.64"/>
    <n v="20.100000000000001"/>
    <x v="0"/>
    <n v="0"/>
    <x v="1"/>
    <x v="2"/>
  </r>
  <r>
    <n v="1737"/>
    <x v="1"/>
    <n v="16"/>
    <n v="0"/>
    <n v="0"/>
    <x v="2"/>
    <x v="1"/>
    <x v="0"/>
    <x v="1"/>
    <n v="86.53"/>
    <n v="42.2"/>
    <x v="1"/>
    <n v="0"/>
    <x v="2"/>
    <x v="0"/>
  </r>
  <r>
    <n v="26357"/>
    <x v="0"/>
    <n v="36"/>
    <n v="0"/>
    <n v="0"/>
    <x v="2"/>
    <x v="1"/>
    <x v="0"/>
    <x v="0"/>
    <n v="200.68"/>
    <n v="25.8"/>
    <x v="3"/>
    <n v="0"/>
    <x v="2"/>
    <x v="3"/>
  </r>
  <r>
    <n v="28013"/>
    <x v="1"/>
    <n v="38"/>
    <n v="0"/>
    <n v="0"/>
    <x v="2"/>
    <x v="0"/>
    <x v="1"/>
    <x v="0"/>
    <n v="98.37"/>
    <n v="27.2"/>
    <x v="1"/>
    <n v="0"/>
    <x v="2"/>
    <x v="3"/>
  </r>
  <r>
    <n v="24727"/>
    <x v="0"/>
    <n v="20"/>
    <n v="0"/>
    <n v="0"/>
    <x v="2"/>
    <x v="1"/>
    <x v="0"/>
    <x v="1"/>
    <n v="117.98"/>
    <n v="30.9"/>
    <x v="2"/>
    <n v="0"/>
    <x v="2"/>
    <x v="0"/>
  </r>
  <r>
    <n v="37608"/>
    <x v="1"/>
    <n v="38"/>
    <n v="0"/>
    <n v="0"/>
    <x v="2"/>
    <x v="1"/>
    <x v="0"/>
    <x v="0"/>
    <n v="218.6"/>
    <n v="47.9"/>
    <x v="0"/>
    <n v="0"/>
    <x v="2"/>
    <x v="0"/>
  </r>
  <r>
    <n v="13870"/>
    <x v="1"/>
    <n v="52"/>
    <n v="0"/>
    <n v="0"/>
    <x v="2"/>
    <x v="0"/>
    <x v="0"/>
    <x v="0"/>
    <n v="101.3"/>
    <n v="33.1"/>
    <x v="2"/>
    <n v="0"/>
    <x v="1"/>
    <x v="0"/>
  </r>
  <r>
    <n v="4655"/>
    <x v="0"/>
    <n v="49"/>
    <n v="0"/>
    <n v="0"/>
    <x v="2"/>
    <x v="0"/>
    <x v="0"/>
    <x v="0"/>
    <n v="79.510000000000005"/>
    <n v="37.799999999999997"/>
    <x v="1"/>
    <n v="0"/>
    <x v="1"/>
    <x v="0"/>
  </r>
  <r>
    <n v="55356"/>
    <x v="1"/>
    <n v="80"/>
    <n v="0"/>
    <n v="0"/>
    <x v="1"/>
    <x v="0"/>
    <x v="1"/>
    <x v="0"/>
    <n v="223.26"/>
    <n v="25.4"/>
    <x v="1"/>
    <n v="0"/>
    <x v="0"/>
    <x v="3"/>
  </r>
  <r>
    <n v="49400"/>
    <x v="0"/>
    <n v="75"/>
    <n v="0"/>
    <n v="0"/>
    <x v="1"/>
    <x v="0"/>
    <x v="0"/>
    <x v="1"/>
    <n v="97.22"/>
    <n v="28.4"/>
    <x v="1"/>
    <n v="0"/>
    <x v="0"/>
    <x v="3"/>
  </r>
  <r>
    <n v="38132"/>
    <x v="1"/>
    <n v="13"/>
    <n v="0"/>
    <n v="0"/>
    <x v="2"/>
    <x v="1"/>
    <x v="0"/>
    <x v="1"/>
    <n v="172.27"/>
    <n v="16.600000000000001"/>
    <x v="1"/>
    <n v="0"/>
    <x v="2"/>
    <x v="4"/>
  </r>
  <r>
    <n v="50136"/>
    <x v="1"/>
    <n v="54"/>
    <n v="1"/>
    <n v="0"/>
    <x v="2"/>
    <x v="0"/>
    <x v="0"/>
    <x v="0"/>
    <n v="221.83"/>
    <n v="35.1"/>
    <x v="2"/>
    <n v="0"/>
    <x v="1"/>
    <x v="0"/>
  </r>
  <r>
    <n v="3094"/>
    <x v="0"/>
    <n v="28"/>
    <n v="0"/>
    <n v="0"/>
    <x v="2"/>
    <x v="1"/>
    <x v="0"/>
    <x v="0"/>
    <n v="74.61"/>
    <n v="32.700000000000003"/>
    <x v="3"/>
    <n v="0"/>
    <x v="2"/>
    <x v="0"/>
  </r>
  <r>
    <n v="42727"/>
    <x v="1"/>
    <n v="61"/>
    <n v="0"/>
    <n v="0"/>
    <x v="1"/>
    <x v="0"/>
    <x v="0"/>
    <x v="1"/>
    <n v="60.91"/>
    <n v="29.8"/>
    <x v="3"/>
    <n v="0"/>
    <x v="0"/>
    <x v="3"/>
  </r>
  <r>
    <n v="41500"/>
    <x v="0"/>
    <n v="0.16"/>
    <n v="0"/>
    <n v="0"/>
    <x v="2"/>
    <x v="1"/>
    <x v="3"/>
    <x v="1"/>
    <n v="69.790000000000006"/>
    <n v="13"/>
    <x v="3"/>
    <n v="0"/>
    <x v="2"/>
    <x v="4"/>
  </r>
  <r>
    <n v="33185"/>
    <x v="0"/>
    <n v="59"/>
    <n v="0"/>
    <n v="0"/>
    <x v="2"/>
    <x v="1"/>
    <x v="2"/>
    <x v="0"/>
    <n v="83.6"/>
    <n v="27.5"/>
    <x v="0"/>
    <n v="0"/>
    <x v="1"/>
    <x v="3"/>
  </r>
  <r>
    <n v="7057"/>
    <x v="0"/>
    <n v="12"/>
    <n v="0"/>
    <n v="0"/>
    <x v="2"/>
    <x v="1"/>
    <x v="3"/>
    <x v="0"/>
    <n v="83.95"/>
    <n v="23.6"/>
    <x v="3"/>
    <n v="0"/>
    <x v="2"/>
    <x v="2"/>
  </r>
  <r>
    <n v="48244"/>
    <x v="1"/>
    <n v="38"/>
    <n v="0"/>
    <n v="0"/>
    <x v="2"/>
    <x v="1"/>
    <x v="0"/>
    <x v="1"/>
    <n v="77.5"/>
    <n v="36.9"/>
    <x v="2"/>
    <n v="0"/>
    <x v="2"/>
    <x v="0"/>
  </r>
  <r>
    <n v="69559"/>
    <x v="0"/>
    <n v="15"/>
    <n v="0"/>
    <n v="0"/>
    <x v="2"/>
    <x v="1"/>
    <x v="4"/>
    <x v="0"/>
    <n v="64.290000000000006"/>
    <n v="16.7"/>
    <x v="3"/>
    <n v="0"/>
    <x v="2"/>
    <x v="4"/>
  </r>
  <r>
    <n v="61757"/>
    <x v="0"/>
    <n v="31"/>
    <n v="0"/>
    <n v="0"/>
    <x v="2"/>
    <x v="0"/>
    <x v="1"/>
    <x v="1"/>
    <n v="61.1"/>
    <n v="26.5"/>
    <x v="1"/>
    <n v="0"/>
    <x v="2"/>
    <x v="3"/>
  </r>
  <r>
    <n v="10541"/>
    <x v="0"/>
    <n v="52"/>
    <n v="1"/>
    <n v="0"/>
    <x v="2"/>
    <x v="0"/>
    <x v="0"/>
    <x v="1"/>
    <n v="100.71"/>
    <n v="37"/>
    <x v="1"/>
    <n v="0"/>
    <x v="1"/>
    <x v="0"/>
  </r>
  <r>
    <n v="48169"/>
    <x v="1"/>
    <n v="61"/>
    <n v="0"/>
    <n v="0"/>
    <x v="1"/>
    <x v="0"/>
    <x v="1"/>
    <x v="0"/>
    <n v="65.209999999999994"/>
    <n v="27.7"/>
    <x v="3"/>
    <n v="0"/>
    <x v="0"/>
    <x v="3"/>
  </r>
  <r>
    <n v="64202"/>
    <x v="0"/>
    <n v="50"/>
    <n v="0"/>
    <n v="0"/>
    <x v="2"/>
    <x v="0"/>
    <x v="0"/>
    <x v="1"/>
    <n v="119.77"/>
    <n v="23.5"/>
    <x v="3"/>
    <n v="0"/>
    <x v="1"/>
    <x v="2"/>
  </r>
  <r>
    <n v="7069"/>
    <x v="1"/>
    <n v="41"/>
    <n v="0"/>
    <n v="0"/>
    <x v="2"/>
    <x v="0"/>
    <x v="0"/>
    <x v="1"/>
    <n v="102.39"/>
    <n v="40.4"/>
    <x v="0"/>
    <n v="0"/>
    <x v="1"/>
    <x v="0"/>
  </r>
  <r>
    <n v="52050"/>
    <x v="0"/>
    <n v="20"/>
    <n v="0"/>
    <n v="0"/>
    <x v="2"/>
    <x v="1"/>
    <x v="0"/>
    <x v="0"/>
    <n v="59.67"/>
    <n v="27.7"/>
    <x v="1"/>
    <n v="0"/>
    <x v="2"/>
    <x v="3"/>
  </r>
  <r>
    <n v="31692"/>
    <x v="0"/>
    <n v="67"/>
    <n v="0"/>
    <n v="0"/>
    <x v="1"/>
    <x v="0"/>
    <x v="0"/>
    <x v="1"/>
    <n v="83.16"/>
    <n v="28.3"/>
    <x v="1"/>
    <n v="0"/>
    <x v="0"/>
    <x v="3"/>
  </r>
  <r>
    <n v="11192"/>
    <x v="1"/>
    <n v="45"/>
    <n v="0"/>
    <n v="0"/>
    <x v="2"/>
    <x v="0"/>
    <x v="0"/>
    <x v="1"/>
    <n v="218.1"/>
    <n v="55"/>
    <x v="2"/>
    <n v="0"/>
    <x v="1"/>
    <x v="0"/>
  </r>
  <r>
    <n v="69404"/>
    <x v="0"/>
    <n v="73"/>
    <n v="0"/>
    <n v="0"/>
    <x v="1"/>
    <x v="0"/>
    <x v="2"/>
    <x v="1"/>
    <n v="76.45"/>
    <n v="28.7"/>
    <x v="3"/>
    <n v="0"/>
    <x v="0"/>
    <x v="3"/>
  </r>
  <r>
    <n v="42700"/>
    <x v="1"/>
    <n v="52"/>
    <n v="0"/>
    <n v="0"/>
    <x v="2"/>
    <x v="0"/>
    <x v="0"/>
    <x v="1"/>
    <n v="200.46"/>
    <n v="25"/>
    <x v="3"/>
    <n v="0"/>
    <x v="1"/>
    <x v="3"/>
  </r>
  <r>
    <n v="7638"/>
    <x v="1"/>
    <n v="51"/>
    <n v="0"/>
    <n v="0"/>
    <x v="2"/>
    <x v="0"/>
    <x v="0"/>
    <x v="0"/>
    <n v="95.7"/>
    <n v="24.8"/>
    <x v="0"/>
    <n v="0"/>
    <x v="1"/>
    <x v="2"/>
  </r>
  <r>
    <n v="7298"/>
    <x v="1"/>
    <n v="56"/>
    <n v="0"/>
    <n v="0"/>
    <x v="2"/>
    <x v="0"/>
    <x v="1"/>
    <x v="1"/>
    <n v="70.23"/>
    <n v="35.5"/>
    <x v="1"/>
    <n v="0"/>
    <x v="1"/>
    <x v="0"/>
  </r>
  <r>
    <n v="43615"/>
    <x v="1"/>
    <n v="49"/>
    <n v="0"/>
    <n v="0"/>
    <x v="2"/>
    <x v="0"/>
    <x v="1"/>
    <x v="0"/>
    <n v="75.150000000000006"/>
    <n v="25"/>
    <x v="3"/>
    <n v="0"/>
    <x v="1"/>
    <x v="3"/>
  </r>
  <r>
    <n v="18134"/>
    <x v="0"/>
    <n v="10"/>
    <n v="0"/>
    <n v="0"/>
    <x v="2"/>
    <x v="1"/>
    <x v="3"/>
    <x v="1"/>
    <n v="95.8"/>
    <n v="17.3"/>
    <x v="3"/>
    <n v="0"/>
    <x v="2"/>
    <x v="4"/>
  </r>
  <r>
    <n v="19324"/>
    <x v="1"/>
    <n v="51"/>
    <n v="0"/>
    <n v="0"/>
    <x v="2"/>
    <x v="0"/>
    <x v="2"/>
    <x v="0"/>
    <n v="90.67"/>
    <n v="37.799999999999997"/>
    <x v="3"/>
    <n v="0"/>
    <x v="1"/>
    <x v="0"/>
  </r>
  <r>
    <n v="18827"/>
    <x v="0"/>
    <n v="57"/>
    <n v="0"/>
    <n v="0"/>
    <x v="2"/>
    <x v="0"/>
    <x v="1"/>
    <x v="1"/>
    <n v="84.79"/>
    <n v="32.799999999999997"/>
    <x v="0"/>
    <n v="0"/>
    <x v="1"/>
    <x v="0"/>
  </r>
  <r>
    <n v="68291"/>
    <x v="0"/>
    <n v="76"/>
    <n v="0"/>
    <n v="0"/>
    <x v="1"/>
    <x v="0"/>
    <x v="0"/>
    <x v="0"/>
    <n v="147.5"/>
    <n v="28.7"/>
    <x v="3"/>
    <n v="0"/>
    <x v="0"/>
    <x v="3"/>
  </r>
  <r>
    <n v="70661"/>
    <x v="1"/>
    <n v="28"/>
    <n v="0"/>
    <n v="0"/>
    <x v="2"/>
    <x v="1"/>
    <x v="0"/>
    <x v="1"/>
    <n v="134.12"/>
    <n v="28.8"/>
    <x v="0"/>
    <n v="0"/>
    <x v="2"/>
    <x v="3"/>
  </r>
  <r>
    <n v="6019"/>
    <x v="1"/>
    <n v="57"/>
    <n v="0"/>
    <n v="0"/>
    <x v="2"/>
    <x v="0"/>
    <x v="0"/>
    <x v="0"/>
    <n v="82.62"/>
    <n v="28.4"/>
    <x v="1"/>
    <n v="0"/>
    <x v="1"/>
    <x v="3"/>
  </r>
  <r>
    <n v="56616"/>
    <x v="0"/>
    <n v="39"/>
    <n v="0"/>
    <n v="0"/>
    <x v="2"/>
    <x v="0"/>
    <x v="0"/>
    <x v="1"/>
    <n v="125.11"/>
    <n v="24.9"/>
    <x v="0"/>
    <n v="0"/>
    <x v="2"/>
    <x v="2"/>
  </r>
  <r>
    <n v="14399"/>
    <x v="1"/>
    <n v="41"/>
    <n v="0"/>
    <n v="0"/>
    <x v="2"/>
    <x v="0"/>
    <x v="0"/>
    <x v="0"/>
    <n v="92.14"/>
    <n v="29.6"/>
    <x v="0"/>
    <n v="0"/>
    <x v="1"/>
    <x v="3"/>
  </r>
  <r>
    <n v="8009"/>
    <x v="1"/>
    <n v="72"/>
    <n v="1"/>
    <n v="1"/>
    <x v="0"/>
    <x v="0"/>
    <x v="0"/>
    <x v="0"/>
    <n v="217.79"/>
    <n v="26.1"/>
    <x v="0"/>
    <n v="0"/>
    <x v="0"/>
    <x v="3"/>
  </r>
  <r>
    <n v="30961"/>
    <x v="0"/>
    <n v="45"/>
    <n v="0"/>
    <n v="0"/>
    <x v="2"/>
    <x v="0"/>
    <x v="0"/>
    <x v="1"/>
    <n v="95.62"/>
    <n v="29.5"/>
    <x v="2"/>
    <n v="0"/>
    <x v="1"/>
    <x v="3"/>
  </r>
  <r>
    <n v="24201"/>
    <x v="0"/>
    <n v="33"/>
    <n v="0"/>
    <n v="0"/>
    <x v="2"/>
    <x v="0"/>
    <x v="0"/>
    <x v="1"/>
    <n v="93.8"/>
    <n v="23.9"/>
    <x v="1"/>
    <n v="0"/>
    <x v="2"/>
    <x v="2"/>
  </r>
  <r>
    <n v="18032"/>
    <x v="0"/>
    <n v="62"/>
    <n v="0"/>
    <n v="1"/>
    <x v="0"/>
    <x v="0"/>
    <x v="0"/>
    <x v="1"/>
    <n v="90.61"/>
    <n v="25.8"/>
    <x v="2"/>
    <n v="0"/>
    <x v="0"/>
    <x v="3"/>
  </r>
  <r>
    <n v="62396"/>
    <x v="1"/>
    <n v="27"/>
    <n v="0"/>
    <n v="0"/>
    <x v="2"/>
    <x v="0"/>
    <x v="0"/>
    <x v="0"/>
    <n v="139.19999999999999"/>
    <n v="36.200000000000003"/>
    <x v="1"/>
    <n v="0"/>
    <x v="2"/>
    <x v="0"/>
  </r>
  <r>
    <n v="67055"/>
    <x v="1"/>
    <n v="31"/>
    <n v="0"/>
    <n v="0"/>
    <x v="2"/>
    <x v="0"/>
    <x v="0"/>
    <x v="1"/>
    <n v="77.010000000000005"/>
    <n v="31.3"/>
    <x v="0"/>
    <n v="0"/>
    <x v="2"/>
    <x v="0"/>
  </r>
  <r>
    <n v="51024"/>
    <x v="1"/>
    <n v="24"/>
    <n v="0"/>
    <n v="0"/>
    <x v="2"/>
    <x v="0"/>
    <x v="0"/>
    <x v="0"/>
    <n v="105.26"/>
    <n v="26.1"/>
    <x v="1"/>
    <n v="0"/>
    <x v="2"/>
    <x v="3"/>
  </r>
  <r>
    <n v="60774"/>
    <x v="0"/>
    <n v="1.88"/>
    <n v="0"/>
    <n v="0"/>
    <x v="2"/>
    <x v="1"/>
    <x v="3"/>
    <x v="1"/>
    <n v="68.349999999999994"/>
    <n v="19.100000000000001"/>
    <x v="3"/>
    <n v="0"/>
    <x v="2"/>
    <x v="2"/>
  </r>
  <r>
    <n v="35039"/>
    <x v="1"/>
    <n v="28"/>
    <n v="0"/>
    <n v="0"/>
    <x v="2"/>
    <x v="1"/>
    <x v="0"/>
    <x v="1"/>
    <n v="99.07"/>
    <n v="17.600000000000001"/>
    <x v="1"/>
    <n v="0"/>
    <x v="2"/>
    <x v="4"/>
  </r>
  <r>
    <n v="46141"/>
    <x v="1"/>
    <n v="24"/>
    <n v="0"/>
    <n v="0"/>
    <x v="2"/>
    <x v="1"/>
    <x v="0"/>
    <x v="1"/>
    <n v="147.74"/>
    <n v="21.4"/>
    <x v="3"/>
    <n v="0"/>
    <x v="2"/>
    <x v="2"/>
  </r>
  <r>
    <n v="54240"/>
    <x v="1"/>
    <n v="30"/>
    <n v="0"/>
    <n v="0"/>
    <x v="2"/>
    <x v="0"/>
    <x v="2"/>
    <x v="0"/>
    <n v="61.29"/>
    <n v="24"/>
    <x v="3"/>
    <n v="0"/>
    <x v="2"/>
    <x v="2"/>
  </r>
  <r>
    <n v="15929"/>
    <x v="0"/>
    <n v="38"/>
    <n v="0"/>
    <n v="0"/>
    <x v="2"/>
    <x v="0"/>
    <x v="2"/>
    <x v="1"/>
    <n v="98.92"/>
    <n v="25.5"/>
    <x v="1"/>
    <n v="0"/>
    <x v="2"/>
    <x v="3"/>
  </r>
  <r>
    <n v="19849"/>
    <x v="1"/>
    <n v="1.64"/>
    <n v="0"/>
    <n v="0"/>
    <x v="2"/>
    <x v="1"/>
    <x v="3"/>
    <x v="0"/>
    <n v="90.74"/>
    <n v="19.899999999999999"/>
    <x v="3"/>
    <n v="0"/>
    <x v="2"/>
    <x v="2"/>
  </r>
  <r>
    <n v="43282"/>
    <x v="0"/>
    <n v="0.72"/>
    <n v="0"/>
    <n v="0"/>
    <x v="2"/>
    <x v="1"/>
    <x v="3"/>
    <x v="1"/>
    <n v="159.79"/>
    <n v="19.899999999999999"/>
    <x v="3"/>
    <n v="0"/>
    <x v="2"/>
    <x v="2"/>
  </r>
  <r>
    <n v="50372"/>
    <x v="0"/>
    <n v="57"/>
    <n v="0"/>
    <n v="0"/>
    <x v="2"/>
    <x v="0"/>
    <x v="0"/>
    <x v="1"/>
    <n v="233.47"/>
    <n v="35.5"/>
    <x v="1"/>
    <n v="0"/>
    <x v="1"/>
    <x v="0"/>
  </r>
  <r>
    <n v="5834"/>
    <x v="1"/>
    <n v="27"/>
    <n v="0"/>
    <n v="0"/>
    <x v="2"/>
    <x v="1"/>
    <x v="2"/>
    <x v="0"/>
    <n v="85.53"/>
    <n v="26.9"/>
    <x v="2"/>
    <n v="0"/>
    <x v="2"/>
    <x v="3"/>
  </r>
  <r>
    <n v="69847"/>
    <x v="1"/>
    <n v="30"/>
    <n v="0"/>
    <n v="0"/>
    <x v="2"/>
    <x v="0"/>
    <x v="1"/>
    <x v="0"/>
    <n v="76.7"/>
    <n v="24.2"/>
    <x v="1"/>
    <n v="0"/>
    <x v="2"/>
    <x v="2"/>
  </r>
  <r>
    <n v="67277"/>
    <x v="0"/>
    <n v="42"/>
    <n v="0"/>
    <n v="0"/>
    <x v="2"/>
    <x v="0"/>
    <x v="0"/>
    <x v="1"/>
    <n v="67.87"/>
    <n v="30"/>
    <x v="1"/>
    <n v="0"/>
    <x v="1"/>
    <x v="0"/>
  </r>
  <r>
    <n v="41181"/>
    <x v="0"/>
    <n v="36"/>
    <n v="0"/>
    <n v="0"/>
    <x v="2"/>
    <x v="0"/>
    <x v="0"/>
    <x v="0"/>
    <n v="77.260000000000005"/>
    <n v="30.9"/>
    <x v="1"/>
    <n v="0"/>
    <x v="2"/>
    <x v="0"/>
  </r>
  <r>
    <n v="36388"/>
    <x v="0"/>
    <n v="44"/>
    <n v="1"/>
    <n v="0"/>
    <x v="2"/>
    <x v="0"/>
    <x v="0"/>
    <x v="1"/>
    <n v="91.28"/>
    <n v="26.5"/>
    <x v="1"/>
    <n v="0"/>
    <x v="1"/>
    <x v="3"/>
  </r>
  <r>
    <n v="49272"/>
    <x v="0"/>
    <n v="59"/>
    <n v="0"/>
    <n v="0"/>
    <x v="2"/>
    <x v="0"/>
    <x v="2"/>
    <x v="0"/>
    <n v="129.19"/>
    <n v="30.6"/>
    <x v="1"/>
    <n v="0"/>
    <x v="1"/>
    <x v="0"/>
  </r>
  <r>
    <n v="52024"/>
    <x v="1"/>
    <n v="61"/>
    <n v="0"/>
    <n v="0"/>
    <x v="1"/>
    <x v="0"/>
    <x v="2"/>
    <x v="0"/>
    <n v="97.86"/>
    <n v="19.100000000000001"/>
    <x v="0"/>
    <n v="0"/>
    <x v="0"/>
    <x v="2"/>
  </r>
  <r>
    <n v="58508"/>
    <x v="1"/>
    <n v="18"/>
    <n v="0"/>
    <n v="0"/>
    <x v="2"/>
    <x v="1"/>
    <x v="2"/>
    <x v="1"/>
    <n v="112.33"/>
    <n v="23.2"/>
    <x v="0"/>
    <n v="0"/>
    <x v="2"/>
    <x v="2"/>
  </r>
  <r>
    <n v="64159"/>
    <x v="1"/>
    <n v="44"/>
    <n v="0"/>
    <n v="0"/>
    <x v="2"/>
    <x v="0"/>
    <x v="0"/>
    <x v="1"/>
    <n v="110.41"/>
    <n v="30.5"/>
    <x v="2"/>
    <n v="0"/>
    <x v="1"/>
    <x v="0"/>
  </r>
  <r>
    <n v="29453"/>
    <x v="0"/>
    <n v="16"/>
    <n v="0"/>
    <n v="0"/>
    <x v="2"/>
    <x v="1"/>
    <x v="3"/>
    <x v="1"/>
    <n v="91.58"/>
    <n v="15.8"/>
    <x v="3"/>
    <n v="0"/>
    <x v="2"/>
    <x v="4"/>
  </r>
  <r>
    <n v="52838"/>
    <x v="0"/>
    <n v="13"/>
    <n v="0"/>
    <n v="0"/>
    <x v="2"/>
    <x v="1"/>
    <x v="3"/>
    <x v="0"/>
    <n v="58.86"/>
    <n v="16.899999999999999"/>
    <x v="1"/>
    <n v="0"/>
    <x v="2"/>
    <x v="4"/>
  </r>
  <r>
    <n v="43024"/>
    <x v="0"/>
    <n v="9"/>
    <n v="0"/>
    <n v="0"/>
    <x v="2"/>
    <x v="1"/>
    <x v="3"/>
    <x v="1"/>
    <n v="76.88"/>
    <n v="18"/>
    <x v="3"/>
    <n v="0"/>
    <x v="2"/>
    <x v="4"/>
  </r>
  <r>
    <n v="8247"/>
    <x v="0"/>
    <n v="0.16"/>
    <n v="0"/>
    <n v="0"/>
    <x v="2"/>
    <x v="1"/>
    <x v="3"/>
    <x v="0"/>
    <n v="109.52"/>
    <n v="13.9"/>
    <x v="3"/>
    <n v="0"/>
    <x v="2"/>
    <x v="4"/>
  </r>
  <r>
    <n v="42159"/>
    <x v="1"/>
    <n v="81"/>
    <n v="1"/>
    <n v="0"/>
    <x v="0"/>
    <x v="0"/>
    <x v="1"/>
    <x v="0"/>
    <n v="181.23"/>
    <n v="36.700000000000003"/>
    <x v="1"/>
    <n v="0"/>
    <x v="0"/>
    <x v="0"/>
  </r>
  <r>
    <n v="37761"/>
    <x v="1"/>
    <n v="38"/>
    <n v="0"/>
    <n v="0"/>
    <x v="2"/>
    <x v="0"/>
    <x v="0"/>
    <x v="0"/>
    <n v="103.58"/>
    <n v="30.8"/>
    <x v="0"/>
    <n v="0"/>
    <x v="2"/>
    <x v="0"/>
  </r>
  <r>
    <n v="27624"/>
    <x v="1"/>
    <n v="58"/>
    <n v="0"/>
    <n v="0"/>
    <x v="2"/>
    <x v="0"/>
    <x v="1"/>
    <x v="1"/>
    <n v="81.96"/>
    <n v="34.6"/>
    <x v="1"/>
    <n v="0"/>
    <x v="1"/>
    <x v="0"/>
  </r>
  <r>
    <n v="40242"/>
    <x v="0"/>
    <n v="5"/>
    <n v="0"/>
    <n v="0"/>
    <x v="2"/>
    <x v="1"/>
    <x v="3"/>
    <x v="1"/>
    <n v="104.55"/>
    <n v="16.3"/>
    <x v="3"/>
    <n v="0"/>
    <x v="2"/>
    <x v="4"/>
  </r>
  <r>
    <n v="4383"/>
    <x v="1"/>
    <n v="64"/>
    <n v="0"/>
    <n v="0"/>
    <x v="1"/>
    <x v="0"/>
    <x v="2"/>
    <x v="0"/>
    <n v="76.12"/>
    <n v="38.200000000000003"/>
    <x v="0"/>
    <n v="0"/>
    <x v="0"/>
    <x v="0"/>
  </r>
  <r>
    <n v="58577"/>
    <x v="1"/>
    <n v="38"/>
    <n v="0"/>
    <n v="0"/>
    <x v="2"/>
    <x v="0"/>
    <x v="2"/>
    <x v="1"/>
    <n v="64.27"/>
    <n v="27.3"/>
    <x v="1"/>
    <n v="0"/>
    <x v="2"/>
    <x v="3"/>
  </r>
  <r>
    <n v="59916"/>
    <x v="1"/>
    <n v="56"/>
    <n v="0"/>
    <n v="0"/>
    <x v="2"/>
    <x v="0"/>
    <x v="0"/>
    <x v="1"/>
    <n v="200.98"/>
    <n v="30.4"/>
    <x v="2"/>
    <n v="0"/>
    <x v="1"/>
    <x v="0"/>
  </r>
  <r>
    <n v="44526"/>
    <x v="0"/>
    <n v="58"/>
    <n v="0"/>
    <n v="0"/>
    <x v="2"/>
    <x v="0"/>
    <x v="2"/>
    <x v="0"/>
    <n v="101.96"/>
    <n v="34.5"/>
    <x v="1"/>
    <n v="0"/>
    <x v="1"/>
    <x v="0"/>
  </r>
  <r>
    <n v="12990"/>
    <x v="0"/>
    <n v="9"/>
    <n v="0"/>
    <n v="0"/>
    <x v="2"/>
    <x v="1"/>
    <x v="3"/>
    <x v="1"/>
    <n v="84.17"/>
    <n v="17.399999999999999"/>
    <x v="3"/>
    <n v="0"/>
    <x v="2"/>
    <x v="4"/>
  </r>
  <r>
    <n v="14414"/>
    <x v="1"/>
    <n v="34"/>
    <n v="0"/>
    <n v="0"/>
    <x v="2"/>
    <x v="0"/>
    <x v="0"/>
    <x v="1"/>
    <n v="85.79"/>
    <n v="32"/>
    <x v="1"/>
    <n v="0"/>
    <x v="2"/>
    <x v="0"/>
  </r>
  <r>
    <n v="46343"/>
    <x v="1"/>
    <n v="79"/>
    <n v="0"/>
    <n v="0"/>
    <x v="1"/>
    <x v="0"/>
    <x v="0"/>
    <x v="0"/>
    <n v="71.459999999999994"/>
    <n v="33.4"/>
    <x v="3"/>
    <n v="0"/>
    <x v="0"/>
    <x v="0"/>
  </r>
  <r>
    <n v="29539"/>
    <x v="0"/>
    <n v="62"/>
    <n v="1"/>
    <n v="0"/>
    <x v="0"/>
    <x v="0"/>
    <x v="1"/>
    <x v="1"/>
    <n v="95.49"/>
    <n v="40.200000000000003"/>
    <x v="2"/>
    <n v="0"/>
    <x v="0"/>
    <x v="0"/>
  </r>
  <r>
    <n v="10924"/>
    <x v="1"/>
    <n v="60"/>
    <n v="0"/>
    <n v="0"/>
    <x v="1"/>
    <x v="0"/>
    <x v="0"/>
    <x v="1"/>
    <n v="87.62"/>
    <n v="30.1"/>
    <x v="2"/>
    <n v="0"/>
    <x v="0"/>
    <x v="0"/>
  </r>
  <r>
    <n v="30248"/>
    <x v="1"/>
    <n v="42"/>
    <n v="0"/>
    <n v="0"/>
    <x v="2"/>
    <x v="1"/>
    <x v="0"/>
    <x v="1"/>
    <n v="118.55"/>
    <n v="46.2"/>
    <x v="2"/>
    <n v="0"/>
    <x v="1"/>
    <x v="0"/>
  </r>
  <r>
    <n v="39769"/>
    <x v="1"/>
    <n v="59"/>
    <n v="0"/>
    <n v="0"/>
    <x v="2"/>
    <x v="0"/>
    <x v="1"/>
    <x v="0"/>
    <n v="82.14"/>
    <n v="35.6"/>
    <x v="2"/>
    <n v="0"/>
    <x v="1"/>
    <x v="0"/>
  </r>
  <r>
    <n v="28778"/>
    <x v="1"/>
    <n v="54"/>
    <n v="0"/>
    <n v="0"/>
    <x v="2"/>
    <x v="0"/>
    <x v="0"/>
    <x v="0"/>
    <n v="219.67"/>
    <n v="29.4"/>
    <x v="2"/>
    <n v="0"/>
    <x v="1"/>
    <x v="3"/>
  </r>
  <r>
    <n v="65257"/>
    <x v="0"/>
    <n v="59"/>
    <n v="0"/>
    <n v="0"/>
    <x v="2"/>
    <x v="0"/>
    <x v="0"/>
    <x v="0"/>
    <n v="135.84"/>
    <n v="27.3"/>
    <x v="1"/>
    <n v="0"/>
    <x v="1"/>
    <x v="3"/>
  </r>
  <r>
    <n v="7233"/>
    <x v="0"/>
    <n v="15"/>
    <n v="0"/>
    <n v="0"/>
    <x v="2"/>
    <x v="1"/>
    <x v="3"/>
    <x v="1"/>
    <n v="74.83"/>
    <n v="17.399999999999999"/>
    <x v="3"/>
    <n v="0"/>
    <x v="2"/>
    <x v="4"/>
  </r>
  <r>
    <n v="67773"/>
    <x v="1"/>
    <n v="14"/>
    <n v="0"/>
    <n v="0"/>
    <x v="2"/>
    <x v="1"/>
    <x v="3"/>
    <x v="0"/>
    <n v="60.37"/>
    <n v="26.9"/>
    <x v="3"/>
    <n v="0"/>
    <x v="2"/>
    <x v="3"/>
  </r>
  <r>
    <n v="14993"/>
    <x v="0"/>
    <n v="5"/>
    <n v="0"/>
    <n v="0"/>
    <x v="2"/>
    <x v="1"/>
    <x v="3"/>
    <x v="1"/>
    <n v="67.28"/>
    <n v="17.7"/>
    <x v="3"/>
    <n v="0"/>
    <x v="2"/>
    <x v="4"/>
  </r>
  <r>
    <n v="59054"/>
    <x v="0"/>
    <n v="17"/>
    <n v="0"/>
    <n v="0"/>
    <x v="2"/>
    <x v="1"/>
    <x v="0"/>
    <x v="1"/>
    <n v="77.790000000000006"/>
    <n v="23.6"/>
    <x v="3"/>
    <n v="0"/>
    <x v="2"/>
    <x v="2"/>
  </r>
  <r>
    <n v="22554"/>
    <x v="1"/>
    <n v="13"/>
    <n v="0"/>
    <n v="0"/>
    <x v="2"/>
    <x v="1"/>
    <x v="3"/>
    <x v="1"/>
    <n v="88.51"/>
    <n v="27.7"/>
    <x v="3"/>
    <n v="0"/>
    <x v="2"/>
    <x v="3"/>
  </r>
  <r>
    <n v="72512"/>
    <x v="1"/>
    <n v="48"/>
    <n v="0"/>
    <n v="0"/>
    <x v="2"/>
    <x v="0"/>
    <x v="1"/>
    <x v="0"/>
    <n v="90.38"/>
    <n v="38"/>
    <x v="2"/>
    <n v="0"/>
    <x v="1"/>
    <x v="0"/>
  </r>
  <r>
    <n v="56195"/>
    <x v="0"/>
    <n v="37"/>
    <n v="0"/>
    <n v="0"/>
    <x v="2"/>
    <x v="0"/>
    <x v="2"/>
    <x v="0"/>
    <n v="156.69"/>
    <n v="35.200000000000003"/>
    <x v="1"/>
    <n v="0"/>
    <x v="2"/>
    <x v="0"/>
  </r>
  <r>
    <n v="7524"/>
    <x v="1"/>
    <n v="69"/>
    <n v="0"/>
    <n v="1"/>
    <x v="0"/>
    <x v="0"/>
    <x v="0"/>
    <x v="0"/>
    <n v="207.6"/>
    <s v="N/A"/>
    <x v="1"/>
    <n v="0"/>
    <x v="0"/>
    <x v="1"/>
  </r>
  <r>
    <n v="45795"/>
    <x v="1"/>
    <n v="74"/>
    <n v="0"/>
    <n v="0"/>
    <x v="1"/>
    <x v="0"/>
    <x v="0"/>
    <x v="0"/>
    <n v="158.9"/>
    <n v="32.4"/>
    <x v="0"/>
    <n v="0"/>
    <x v="0"/>
    <x v="0"/>
  </r>
  <r>
    <n v="64433"/>
    <x v="0"/>
    <n v="54"/>
    <n v="0"/>
    <n v="0"/>
    <x v="2"/>
    <x v="0"/>
    <x v="0"/>
    <x v="0"/>
    <n v="247.97"/>
    <n v="36.1"/>
    <x v="0"/>
    <n v="0"/>
    <x v="1"/>
    <x v="0"/>
  </r>
  <r>
    <n v="70106"/>
    <x v="1"/>
    <n v="64"/>
    <n v="0"/>
    <n v="1"/>
    <x v="0"/>
    <x v="0"/>
    <x v="0"/>
    <x v="1"/>
    <n v="114.71"/>
    <n v="30.6"/>
    <x v="1"/>
    <n v="0"/>
    <x v="0"/>
    <x v="0"/>
  </r>
  <r>
    <n v="50072"/>
    <x v="1"/>
    <n v="26"/>
    <n v="0"/>
    <n v="0"/>
    <x v="2"/>
    <x v="1"/>
    <x v="0"/>
    <x v="1"/>
    <n v="58.55"/>
    <n v="29"/>
    <x v="1"/>
    <n v="0"/>
    <x v="2"/>
    <x v="3"/>
  </r>
  <r>
    <n v="52530"/>
    <x v="0"/>
    <n v="55"/>
    <n v="0"/>
    <n v="0"/>
    <x v="2"/>
    <x v="0"/>
    <x v="2"/>
    <x v="0"/>
    <n v="231.15"/>
    <n v="22.3"/>
    <x v="1"/>
    <n v="0"/>
    <x v="1"/>
    <x v="2"/>
  </r>
  <r>
    <n v="768"/>
    <x v="1"/>
    <n v="74"/>
    <n v="0"/>
    <n v="0"/>
    <x v="1"/>
    <x v="0"/>
    <x v="1"/>
    <x v="0"/>
    <n v="68.180000000000007"/>
    <n v="27.3"/>
    <x v="0"/>
    <n v="0"/>
    <x v="0"/>
    <x v="3"/>
  </r>
  <r>
    <n v="40255"/>
    <x v="1"/>
    <n v="0.48"/>
    <n v="0"/>
    <n v="0"/>
    <x v="2"/>
    <x v="1"/>
    <x v="3"/>
    <x v="1"/>
    <n v="118.75"/>
    <n v="17.399999999999999"/>
    <x v="3"/>
    <n v="0"/>
    <x v="2"/>
    <x v="4"/>
  </r>
  <r>
    <n v="50073"/>
    <x v="1"/>
    <n v="41"/>
    <n v="0"/>
    <n v="1"/>
    <x v="2"/>
    <x v="1"/>
    <x v="0"/>
    <x v="1"/>
    <n v="186.54"/>
    <n v="39"/>
    <x v="0"/>
    <n v="0"/>
    <x v="1"/>
    <x v="0"/>
  </r>
  <r>
    <n v="52439"/>
    <x v="0"/>
    <n v="68"/>
    <n v="0"/>
    <n v="1"/>
    <x v="0"/>
    <x v="0"/>
    <x v="0"/>
    <x v="1"/>
    <n v="96.14"/>
    <n v="26.7"/>
    <x v="1"/>
    <n v="0"/>
    <x v="0"/>
    <x v="3"/>
  </r>
  <r>
    <n v="65379"/>
    <x v="0"/>
    <n v="9"/>
    <n v="0"/>
    <n v="0"/>
    <x v="2"/>
    <x v="1"/>
    <x v="3"/>
    <x v="0"/>
    <n v="69.52"/>
    <n v="24.2"/>
    <x v="3"/>
    <n v="0"/>
    <x v="2"/>
    <x v="2"/>
  </r>
  <r>
    <n v="38605"/>
    <x v="1"/>
    <n v="36"/>
    <n v="0"/>
    <n v="0"/>
    <x v="2"/>
    <x v="0"/>
    <x v="0"/>
    <x v="1"/>
    <n v="101.93"/>
    <n v="22.8"/>
    <x v="2"/>
    <n v="0"/>
    <x v="2"/>
    <x v="2"/>
  </r>
  <r>
    <n v="35772"/>
    <x v="0"/>
    <n v="17"/>
    <n v="0"/>
    <n v="0"/>
    <x v="2"/>
    <x v="1"/>
    <x v="0"/>
    <x v="0"/>
    <n v="71.58"/>
    <n v="25.6"/>
    <x v="3"/>
    <n v="0"/>
    <x v="2"/>
    <x v="3"/>
  </r>
  <r>
    <n v="38014"/>
    <x v="0"/>
    <n v="24"/>
    <n v="0"/>
    <n v="0"/>
    <x v="2"/>
    <x v="0"/>
    <x v="0"/>
    <x v="0"/>
    <n v="83.1"/>
    <n v="21.9"/>
    <x v="2"/>
    <n v="0"/>
    <x v="2"/>
    <x v="2"/>
  </r>
  <r>
    <n v="68330"/>
    <x v="1"/>
    <n v="69"/>
    <n v="0"/>
    <n v="0"/>
    <x v="1"/>
    <x v="0"/>
    <x v="1"/>
    <x v="1"/>
    <n v="110.96"/>
    <n v="25.9"/>
    <x v="1"/>
    <n v="0"/>
    <x v="0"/>
    <x v="3"/>
  </r>
  <r>
    <n v="47271"/>
    <x v="0"/>
    <n v="38"/>
    <n v="0"/>
    <n v="0"/>
    <x v="2"/>
    <x v="0"/>
    <x v="2"/>
    <x v="0"/>
    <n v="122.83"/>
    <n v="30.6"/>
    <x v="3"/>
    <n v="0"/>
    <x v="2"/>
    <x v="0"/>
  </r>
  <r>
    <n v="26330"/>
    <x v="1"/>
    <n v="69"/>
    <n v="0"/>
    <n v="0"/>
    <x v="1"/>
    <x v="0"/>
    <x v="0"/>
    <x v="0"/>
    <n v="91.65"/>
    <n v="25.7"/>
    <x v="0"/>
    <n v="0"/>
    <x v="0"/>
    <x v="3"/>
  </r>
  <r>
    <n v="24022"/>
    <x v="1"/>
    <n v="32"/>
    <n v="0"/>
    <n v="0"/>
    <x v="2"/>
    <x v="1"/>
    <x v="0"/>
    <x v="0"/>
    <n v="84.1"/>
    <n v="33.299999999999997"/>
    <x v="3"/>
    <n v="0"/>
    <x v="2"/>
    <x v="0"/>
  </r>
  <r>
    <n v="45622"/>
    <x v="1"/>
    <n v="25"/>
    <n v="0"/>
    <n v="0"/>
    <x v="2"/>
    <x v="1"/>
    <x v="0"/>
    <x v="1"/>
    <n v="118.85"/>
    <n v="23.8"/>
    <x v="2"/>
    <n v="0"/>
    <x v="2"/>
    <x v="2"/>
  </r>
  <r>
    <n v="60732"/>
    <x v="0"/>
    <n v="2"/>
    <n v="0"/>
    <n v="0"/>
    <x v="2"/>
    <x v="1"/>
    <x v="3"/>
    <x v="0"/>
    <n v="89.32"/>
    <n v="17.2"/>
    <x v="3"/>
    <n v="0"/>
    <x v="2"/>
    <x v="4"/>
  </r>
  <r>
    <n v="53694"/>
    <x v="0"/>
    <n v="79"/>
    <n v="0"/>
    <n v="0"/>
    <x v="1"/>
    <x v="1"/>
    <x v="1"/>
    <x v="0"/>
    <n v="128.72"/>
    <n v="31"/>
    <x v="3"/>
    <n v="0"/>
    <x v="0"/>
    <x v="0"/>
  </r>
  <r>
    <n v="11280"/>
    <x v="1"/>
    <n v="28"/>
    <n v="0"/>
    <n v="0"/>
    <x v="2"/>
    <x v="0"/>
    <x v="0"/>
    <x v="0"/>
    <n v="98.05"/>
    <n v="24.7"/>
    <x v="1"/>
    <n v="0"/>
    <x v="2"/>
    <x v="2"/>
  </r>
  <r>
    <n v="28734"/>
    <x v="1"/>
    <n v="16"/>
    <n v="0"/>
    <n v="0"/>
    <x v="2"/>
    <x v="1"/>
    <x v="4"/>
    <x v="0"/>
    <n v="102.1"/>
    <n v="27.1"/>
    <x v="1"/>
    <n v="0"/>
    <x v="2"/>
    <x v="3"/>
  </r>
  <r>
    <n v="12693"/>
    <x v="0"/>
    <n v="31"/>
    <n v="0"/>
    <n v="0"/>
    <x v="2"/>
    <x v="0"/>
    <x v="0"/>
    <x v="0"/>
    <n v="108.62"/>
    <s v="N/A"/>
    <x v="2"/>
    <n v="0"/>
    <x v="2"/>
    <x v="1"/>
  </r>
  <r>
    <n v="17683"/>
    <x v="0"/>
    <n v="66"/>
    <n v="0"/>
    <n v="0"/>
    <x v="1"/>
    <x v="0"/>
    <x v="1"/>
    <x v="0"/>
    <n v="96.19"/>
    <n v="38.299999999999997"/>
    <x v="2"/>
    <n v="0"/>
    <x v="0"/>
    <x v="0"/>
  </r>
  <r>
    <n v="36155"/>
    <x v="1"/>
    <n v="57"/>
    <n v="1"/>
    <n v="0"/>
    <x v="2"/>
    <x v="0"/>
    <x v="0"/>
    <x v="0"/>
    <n v="98.07"/>
    <n v="50.9"/>
    <x v="0"/>
    <n v="0"/>
    <x v="1"/>
    <x v="0"/>
  </r>
  <r>
    <n v="31390"/>
    <x v="1"/>
    <n v="61"/>
    <n v="0"/>
    <n v="0"/>
    <x v="1"/>
    <x v="0"/>
    <x v="0"/>
    <x v="1"/>
    <n v="71.400000000000006"/>
    <n v="29.2"/>
    <x v="0"/>
    <n v="0"/>
    <x v="0"/>
    <x v="3"/>
  </r>
  <r>
    <n v="10636"/>
    <x v="1"/>
    <n v="74"/>
    <n v="0"/>
    <n v="0"/>
    <x v="1"/>
    <x v="0"/>
    <x v="1"/>
    <x v="1"/>
    <n v="82.27"/>
    <n v="23.6"/>
    <x v="0"/>
    <n v="0"/>
    <x v="0"/>
    <x v="2"/>
  </r>
  <r>
    <n v="71659"/>
    <x v="1"/>
    <n v="70"/>
    <n v="0"/>
    <n v="0"/>
    <x v="1"/>
    <x v="0"/>
    <x v="2"/>
    <x v="1"/>
    <n v="158.33000000000001"/>
    <n v="33.5"/>
    <x v="1"/>
    <n v="0"/>
    <x v="0"/>
    <x v="0"/>
  </r>
  <r>
    <n v="52305"/>
    <x v="1"/>
    <n v="8"/>
    <n v="0"/>
    <n v="0"/>
    <x v="2"/>
    <x v="1"/>
    <x v="3"/>
    <x v="1"/>
    <n v="102.5"/>
    <n v="16.3"/>
    <x v="3"/>
    <n v="0"/>
    <x v="2"/>
    <x v="4"/>
  </r>
  <r>
    <n v="9602"/>
    <x v="1"/>
    <n v="49"/>
    <n v="0"/>
    <n v="0"/>
    <x v="2"/>
    <x v="0"/>
    <x v="0"/>
    <x v="0"/>
    <n v="72.180000000000007"/>
    <n v="30.8"/>
    <x v="3"/>
    <n v="0"/>
    <x v="1"/>
    <x v="0"/>
  </r>
  <r>
    <n v="68407"/>
    <x v="0"/>
    <n v="30"/>
    <n v="0"/>
    <n v="0"/>
    <x v="2"/>
    <x v="0"/>
    <x v="2"/>
    <x v="0"/>
    <n v="95.94"/>
    <n v="31.1"/>
    <x v="1"/>
    <n v="0"/>
    <x v="2"/>
    <x v="0"/>
  </r>
  <r>
    <n v="72011"/>
    <x v="0"/>
    <n v="51"/>
    <n v="0"/>
    <n v="0"/>
    <x v="2"/>
    <x v="1"/>
    <x v="1"/>
    <x v="1"/>
    <n v="87.15"/>
    <n v="26.4"/>
    <x v="0"/>
    <n v="0"/>
    <x v="1"/>
    <x v="3"/>
  </r>
  <r>
    <n v="40568"/>
    <x v="1"/>
    <n v="10"/>
    <n v="0"/>
    <n v="0"/>
    <x v="2"/>
    <x v="1"/>
    <x v="3"/>
    <x v="0"/>
    <n v="82.59"/>
    <n v="18.600000000000001"/>
    <x v="0"/>
    <n v="0"/>
    <x v="2"/>
    <x v="2"/>
  </r>
  <r>
    <n v="50206"/>
    <x v="1"/>
    <n v="34"/>
    <n v="0"/>
    <n v="0"/>
    <x v="2"/>
    <x v="0"/>
    <x v="0"/>
    <x v="1"/>
    <n v="89.31"/>
    <n v="37.299999999999997"/>
    <x v="0"/>
    <n v="0"/>
    <x v="2"/>
    <x v="0"/>
  </r>
  <r>
    <n v="41191"/>
    <x v="0"/>
    <n v="40"/>
    <n v="0"/>
    <n v="0"/>
    <x v="2"/>
    <x v="0"/>
    <x v="0"/>
    <x v="1"/>
    <n v="64.84"/>
    <n v="26.6"/>
    <x v="1"/>
    <n v="0"/>
    <x v="1"/>
    <x v="3"/>
  </r>
  <r>
    <n v="7129"/>
    <x v="0"/>
    <n v="3"/>
    <n v="0"/>
    <n v="0"/>
    <x v="2"/>
    <x v="1"/>
    <x v="3"/>
    <x v="0"/>
    <n v="107.52"/>
    <n v="17.600000000000001"/>
    <x v="3"/>
    <n v="0"/>
    <x v="2"/>
    <x v="4"/>
  </r>
  <r>
    <n v="45485"/>
    <x v="1"/>
    <n v="45"/>
    <n v="0"/>
    <n v="0"/>
    <x v="2"/>
    <x v="0"/>
    <x v="1"/>
    <x v="0"/>
    <n v="92.76"/>
    <n v="22.3"/>
    <x v="3"/>
    <n v="0"/>
    <x v="1"/>
    <x v="2"/>
  </r>
  <r>
    <n v="32023"/>
    <x v="0"/>
    <n v="4"/>
    <n v="0"/>
    <n v="0"/>
    <x v="2"/>
    <x v="1"/>
    <x v="3"/>
    <x v="0"/>
    <n v="79.16"/>
    <n v="20.2"/>
    <x v="3"/>
    <n v="0"/>
    <x v="2"/>
    <x v="2"/>
  </r>
  <r>
    <n v="33064"/>
    <x v="0"/>
    <n v="52"/>
    <n v="0"/>
    <n v="1"/>
    <x v="2"/>
    <x v="0"/>
    <x v="0"/>
    <x v="0"/>
    <n v="87"/>
    <n v="30.9"/>
    <x v="1"/>
    <n v="0"/>
    <x v="1"/>
    <x v="0"/>
  </r>
  <r>
    <n v="60896"/>
    <x v="0"/>
    <n v="68"/>
    <n v="0"/>
    <n v="1"/>
    <x v="0"/>
    <x v="0"/>
    <x v="0"/>
    <x v="1"/>
    <n v="145.25"/>
    <n v="31.5"/>
    <x v="1"/>
    <n v="0"/>
    <x v="0"/>
    <x v="0"/>
  </r>
  <r>
    <n v="2109"/>
    <x v="1"/>
    <n v="8"/>
    <n v="0"/>
    <n v="0"/>
    <x v="2"/>
    <x v="1"/>
    <x v="3"/>
    <x v="0"/>
    <n v="125.14"/>
    <n v="29.7"/>
    <x v="3"/>
    <n v="0"/>
    <x v="2"/>
    <x v="3"/>
  </r>
  <r>
    <n v="27705"/>
    <x v="1"/>
    <n v="82"/>
    <n v="0"/>
    <n v="1"/>
    <x v="0"/>
    <x v="0"/>
    <x v="1"/>
    <x v="1"/>
    <n v="88.6"/>
    <n v="32.5"/>
    <x v="3"/>
    <n v="0"/>
    <x v="0"/>
    <x v="0"/>
  </r>
  <r>
    <n v="36850"/>
    <x v="0"/>
    <n v="36"/>
    <n v="0"/>
    <n v="0"/>
    <x v="2"/>
    <x v="0"/>
    <x v="2"/>
    <x v="0"/>
    <n v="57.59"/>
    <n v="32.799999999999997"/>
    <x v="3"/>
    <n v="0"/>
    <x v="2"/>
    <x v="0"/>
  </r>
  <r>
    <n v="52500"/>
    <x v="1"/>
    <n v="42"/>
    <n v="0"/>
    <n v="0"/>
    <x v="2"/>
    <x v="0"/>
    <x v="2"/>
    <x v="0"/>
    <n v="59.43"/>
    <n v="25.4"/>
    <x v="1"/>
    <n v="0"/>
    <x v="1"/>
    <x v="3"/>
  </r>
  <r>
    <n v="43698"/>
    <x v="1"/>
    <n v="27"/>
    <n v="0"/>
    <n v="0"/>
    <x v="2"/>
    <x v="1"/>
    <x v="2"/>
    <x v="1"/>
    <n v="65.430000000000007"/>
    <n v="27.2"/>
    <x v="3"/>
    <n v="0"/>
    <x v="2"/>
    <x v="3"/>
  </r>
  <r>
    <n v="49901"/>
    <x v="0"/>
    <n v="55"/>
    <n v="0"/>
    <n v="0"/>
    <x v="2"/>
    <x v="0"/>
    <x v="2"/>
    <x v="0"/>
    <n v="154.03"/>
    <n v="31.6"/>
    <x v="2"/>
    <n v="0"/>
    <x v="1"/>
    <x v="0"/>
  </r>
  <r>
    <n v="69120"/>
    <x v="1"/>
    <n v="31"/>
    <n v="0"/>
    <n v="0"/>
    <x v="2"/>
    <x v="0"/>
    <x v="1"/>
    <x v="1"/>
    <n v="139.81"/>
    <n v="39.6"/>
    <x v="1"/>
    <n v="0"/>
    <x v="2"/>
    <x v="0"/>
  </r>
  <r>
    <n v="25510"/>
    <x v="0"/>
    <n v="82"/>
    <n v="0"/>
    <n v="0"/>
    <x v="1"/>
    <x v="0"/>
    <x v="1"/>
    <x v="0"/>
    <n v="111.81"/>
    <n v="19.8"/>
    <x v="0"/>
    <n v="0"/>
    <x v="0"/>
    <x v="2"/>
  </r>
  <r>
    <n v="60416"/>
    <x v="1"/>
    <n v="57"/>
    <n v="0"/>
    <n v="0"/>
    <x v="2"/>
    <x v="0"/>
    <x v="1"/>
    <x v="0"/>
    <n v="106.84"/>
    <n v="29.6"/>
    <x v="1"/>
    <n v="0"/>
    <x v="1"/>
    <x v="3"/>
  </r>
  <r>
    <n v="15135"/>
    <x v="1"/>
    <n v="78"/>
    <n v="0"/>
    <n v="1"/>
    <x v="0"/>
    <x v="0"/>
    <x v="0"/>
    <x v="1"/>
    <n v="221.06"/>
    <n v="25.5"/>
    <x v="0"/>
    <n v="0"/>
    <x v="0"/>
    <x v="3"/>
  </r>
  <r>
    <n v="34660"/>
    <x v="0"/>
    <n v="55"/>
    <n v="0"/>
    <n v="0"/>
    <x v="2"/>
    <x v="0"/>
    <x v="1"/>
    <x v="0"/>
    <n v="69.97"/>
    <n v="25.8"/>
    <x v="0"/>
    <n v="0"/>
    <x v="1"/>
    <x v="3"/>
  </r>
  <r>
    <n v="11713"/>
    <x v="0"/>
    <n v="51"/>
    <n v="0"/>
    <n v="0"/>
    <x v="2"/>
    <x v="0"/>
    <x v="0"/>
    <x v="1"/>
    <n v="77.069999999999993"/>
    <n v="32.1"/>
    <x v="0"/>
    <n v="0"/>
    <x v="1"/>
    <x v="0"/>
  </r>
  <r>
    <n v="40704"/>
    <x v="0"/>
    <n v="80"/>
    <n v="0"/>
    <n v="0"/>
    <x v="1"/>
    <x v="1"/>
    <x v="0"/>
    <x v="0"/>
    <n v="59.49"/>
    <n v="25.6"/>
    <x v="3"/>
    <n v="0"/>
    <x v="0"/>
    <x v="3"/>
  </r>
  <r>
    <n v="71298"/>
    <x v="1"/>
    <n v="17"/>
    <n v="0"/>
    <n v="0"/>
    <x v="2"/>
    <x v="1"/>
    <x v="0"/>
    <x v="1"/>
    <n v="109.39"/>
    <n v="26.3"/>
    <x v="1"/>
    <n v="0"/>
    <x v="2"/>
    <x v="3"/>
  </r>
  <r>
    <n v="54497"/>
    <x v="1"/>
    <n v="61"/>
    <n v="0"/>
    <n v="0"/>
    <x v="1"/>
    <x v="0"/>
    <x v="0"/>
    <x v="1"/>
    <n v="93.97"/>
    <n v="39.4"/>
    <x v="3"/>
    <n v="0"/>
    <x v="0"/>
    <x v="0"/>
  </r>
  <r>
    <n v="30129"/>
    <x v="1"/>
    <n v="62"/>
    <n v="0"/>
    <n v="0"/>
    <x v="1"/>
    <x v="0"/>
    <x v="2"/>
    <x v="0"/>
    <n v="163.16999999999999"/>
    <n v="25.6"/>
    <x v="1"/>
    <n v="0"/>
    <x v="0"/>
    <x v="3"/>
  </r>
  <r>
    <n v="44965"/>
    <x v="1"/>
    <n v="14"/>
    <n v="0"/>
    <n v="0"/>
    <x v="2"/>
    <x v="1"/>
    <x v="1"/>
    <x v="0"/>
    <n v="124.39"/>
    <n v="34"/>
    <x v="3"/>
    <n v="0"/>
    <x v="2"/>
    <x v="0"/>
  </r>
  <r>
    <n v="38549"/>
    <x v="1"/>
    <n v="62"/>
    <n v="0"/>
    <n v="0"/>
    <x v="1"/>
    <x v="0"/>
    <x v="0"/>
    <x v="0"/>
    <n v="212.62"/>
    <n v="35.799999999999997"/>
    <x v="1"/>
    <n v="0"/>
    <x v="0"/>
    <x v="0"/>
  </r>
  <r>
    <n v="39236"/>
    <x v="1"/>
    <n v="56"/>
    <n v="0"/>
    <n v="0"/>
    <x v="2"/>
    <x v="1"/>
    <x v="1"/>
    <x v="0"/>
    <n v="128.63"/>
    <n v="24.9"/>
    <x v="2"/>
    <n v="0"/>
    <x v="1"/>
    <x v="2"/>
  </r>
  <r>
    <n v="50545"/>
    <x v="0"/>
    <n v="41"/>
    <n v="0"/>
    <n v="0"/>
    <x v="2"/>
    <x v="0"/>
    <x v="2"/>
    <x v="0"/>
    <n v="84.1"/>
    <n v="29.3"/>
    <x v="1"/>
    <n v="0"/>
    <x v="1"/>
    <x v="3"/>
  </r>
  <r>
    <n v="28435"/>
    <x v="1"/>
    <n v="59"/>
    <n v="0"/>
    <n v="0"/>
    <x v="2"/>
    <x v="0"/>
    <x v="1"/>
    <x v="0"/>
    <n v="77.599999999999994"/>
    <n v="23.4"/>
    <x v="3"/>
    <n v="0"/>
    <x v="1"/>
    <x v="2"/>
  </r>
  <r>
    <n v="4631"/>
    <x v="0"/>
    <n v="29"/>
    <n v="0"/>
    <n v="0"/>
    <x v="2"/>
    <x v="0"/>
    <x v="0"/>
    <x v="0"/>
    <n v="70.510000000000005"/>
    <n v="24.5"/>
    <x v="3"/>
    <n v="0"/>
    <x v="2"/>
    <x v="2"/>
  </r>
  <r>
    <n v="9912"/>
    <x v="0"/>
    <n v="39"/>
    <n v="0"/>
    <n v="0"/>
    <x v="2"/>
    <x v="0"/>
    <x v="0"/>
    <x v="1"/>
    <n v="109.19"/>
    <n v="29.8"/>
    <x v="3"/>
    <n v="0"/>
    <x v="2"/>
    <x v="3"/>
  </r>
  <r>
    <n v="43028"/>
    <x v="0"/>
    <n v="66"/>
    <n v="0"/>
    <n v="0"/>
    <x v="1"/>
    <x v="0"/>
    <x v="1"/>
    <x v="1"/>
    <n v="55.23"/>
    <n v="28.9"/>
    <x v="3"/>
    <n v="0"/>
    <x v="0"/>
    <x v="3"/>
  </r>
  <r>
    <n v="38894"/>
    <x v="1"/>
    <n v="35"/>
    <n v="0"/>
    <n v="0"/>
    <x v="2"/>
    <x v="0"/>
    <x v="0"/>
    <x v="0"/>
    <n v="120.15"/>
    <n v="27.3"/>
    <x v="1"/>
    <n v="0"/>
    <x v="2"/>
    <x v="3"/>
  </r>
  <r>
    <n v="41238"/>
    <x v="1"/>
    <n v="36"/>
    <n v="0"/>
    <n v="0"/>
    <x v="2"/>
    <x v="0"/>
    <x v="0"/>
    <x v="0"/>
    <n v="72.16"/>
    <n v="23.2"/>
    <x v="1"/>
    <n v="0"/>
    <x v="2"/>
    <x v="2"/>
  </r>
  <r>
    <n v="51828"/>
    <x v="0"/>
    <n v="35"/>
    <n v="0"/>
    <n v="0"/>
    <x v="2"/>
    <x v="0"/>
    <x v="0"/>
    <x v="1"/>
    <n v="95.89"/>
    <n v="34.200000000000003"/>
    <x v="3"/>
    <n v="0"/>
    <x v="2"/>
    <x v="0"/>
  </r>
  <r>
    <n v="64196"/>
    <x v="0"/>
    <n v="26"/>
    <n v="0"/>
    <n v="0"/>
    <x v="2"/>
    <x v="1"/>
    <x v="0"/>
    <x v="0"/>
    <n v="64.680000000000007"/>
    <n v="23.3"/>
    <x v="2"/>
    <n v="0"/>
    <x v="2"/>
    <x v="2"/>
  </r>
  <r>
    <n v="10626"/>
    <x v="1"/>
    <n v="31"/>
    <n v="0"/>
    <n v="0"/>
    <x v="2"/>
    <x v="1"/>
    <x v="0"/>
    <x v="1"/>
    <n v="70.510000000000005"/>
    <n v="26.9"/>
    <x v="0"/>
    <n v="0"/>
    <x v="2"/>
    <x v="3"/>
  </r>
  <r>
    <n v="4117"/>
    <x v="1"/>
    <n v="56"/>
    <n v="0"/>
    <n v="0"/>
    <x v="2"/>
    <x v="0"/>
    <x v="1"/>
    <x v="1"/>
    <n v="81.77"/>
    <n v="21.8"/>
    <x v="1"/>
    <n v="0"/>
    <x v="1"/>
    <x v="2"/>
  </r>
  <r>
    <n v="37993"/>
    <x v="1"/>
    <n v="36"/>
    <n v="0"/>
    <n v="0"/>
    <x v="2"/>
    <x v="0"/>
    <x v="2"/>
    <x v="0"/>
    <n v="66.47"/>
    <n v="26.9"/>
    <x v="1"/>
    <n v="0"/>
    <x v="2"/>
    <x v="3"/>
  </r>
  <r>
    <n v="57765"/>
    <x v="1"/>
    <n v="41"/>
    <n v="0"/>
    <n v="0"/>
    <x v="2"/>
    <x v="0"/>
    <x v="2"/>
    <x v="1"/>
    <n v="146.08000000000001"/>
    <n v="29.9"/>
    <x v="1"/>
    <n v="0"/>
    <x v="1"/>
    <x v="3"/>
  </r>
  <r>
    <n v="7841"/>
    <x v="1"/>
    <n v="50"/>
    <n v="0"/>
    <n v="0"/>
    <x v="2"/>
    <x v="0"/>
    <x v="0"/>
    <x v="0"/>
    <n v="91.68"/>
    <n v="22.4"/>
    <x v="1"/>
    <n v="0"/>
    <x v="1"/>
    <x v="2"/>
  </r>
  <r>
    <n v="18398"/>
    <x v="1"/>
    <n v="42"/>
    <n v="0"/>
    <n v="0"/>
    <x v="2"/>
    <x v="0"/>
    <x v="0"/>
    <x v="1"/>
    <n v="108.96"/>
    <n v="27.5"/>
    <x v="1"/>
    <n v="0"/>
    <x v="1"/>
    <x v="3"/>
  </r>
  <r>
    <n v="50210"/>
    <x v="0"/>
    <n v="79"/>
    <n v="0"/>
    <n v="0"/>
    <x v="1"/>
    <x v="0"/>
    <x v="1"/>
    <x v="0"/>
    <n v="113.41"/>
    <n v="35"/>
    <x v="1"/>
    <n v="0"/>
    <x v="0"/>
    <x v="0"/>
  </r>
  <r>
    <n v="52461"/>
    <x v="0"/>
    <n v="57"/>
    <n v="0"/>
    <n v="0"/>
    <x v="2"/>
    <x v="0"/>
    <x v="0"/>
    <x v="0"/>
    <n v="111.08"/>
    <n v="27.9"/>
    <x v="1"/>
    <n v="0"/>
    <x v="1"/>
    <x v="3"/>
  </r>
  <r>
    <n v="32523"/>
    <x v="0"/>
    <n v="68"/>
    <n v="0"/>
    <n v="1"/>
    <x v="0"/>
    <x v="0"/>
    <x v="0"/>
    <x v="0"/>
    <n v="217.74"/>
    <n v="25.5"/>
    <x v="3"/>
    <n v="0"/>
    <x v="0"/>
    <x v="3"/>
  </r>
  <r>
    <n v="49509"/>
    <x v="1"/>
    <n v="25"/>
    <n v="0"/>
    <n v="0"/>
    <x v="2"/>
    <x v="0"/>
    <x v="0"/>
    <x v="1"/>
    <n v="78.5"/>
    <n v="28.6"/>
    <x v="1"/>
    <n v="0"/>
    <x v="2"/>
    <x v="3"/>
  </r>
  <r>
    <n v="16377"/>
    <x v="0"/>
    <n v="69"/>
    <n v="0"/>
    <n v="0"/>
    <x v="1"/>
    <x v="0"/>
    <x v="0"/>
    <x v="0"/>
    <n v="89.06"/>
    <n v="34.799999999999997"/>
    <x v="0"/>
    <n v="0"/>
    <x v="0"/>
    <x v="0"/>
  </r>
  <r>
    <n v="13902"/>
    <x v="1"/>
    <n v="42"/>
    <n v="0"/>
    <n v="0"/>
    <x v="2"/>
    <x v="0"/>
    <x v="0"/>
    <x v="0"/>
    <n v="74.8"/>
    <n v="50.6"/>
    <x v="3"/>
    <n v="0"/>
    <x v="1"/>
    <x v="0"/>
  </r>
  <r>
    <n v="44047"/>
    <x v="0"/>
    <n v="37"/>
    <n v="0"/>
    <n v="0"/>
    <x v="2"/>
    <x v="0"/>
    <x v="2"/>
    <x v="1"/>
    <n v="80.2"/>
    <n v="30.9"/>
    <x v="1"/>
    <n v="0"/>
    <x v="2"/>
    <x v="0"/>
  </r>
  <r>
    <n v="34184"/>
    <x v="1"/>
    <n v="2"/>
    <n v="0"/>
    <n v="0"/>
    <x v="2"/>
    <x v="1"/>
    <x v="3"/>
    <x v="1"/>
    <n v="76.52"/>
    <n v="14.8"/>
    <x v="3"/>
    <n v="0"/>
    <x v="2"/>
    <x v="4"/>
  </r>
  <r>
    <n v="11312"/>
    <x v="1"/>
    <n v="78"/>
    <n v="0"/>
    <n v="0"/>
    <x v="1"/>
    <x v="0"/>
    <x v="1"/>
    <x v="1"/>
    <n v="208.99"/>
    <n v="31.4"/>
    <x v="0"/>
    <n v="0"/>
    <x v="0"/>
    <x v="0"/>
  </r>
  <r>
    <n v="39616"/>
    <x v="1"/>
    <n v="36"/>
    <n v="0"/>
    <n v="0"/>
    <x v="2"/>
    <x v="0"/>
    <x v="0"/>
    <x v="0"/>
    <n v="99.72"/>
    <n v="22.3"/>
    <x v="2"/>
    <n v="0"/>
    <x v="2"/>
    <x v="2"/>
  </r>
  <r>
    <n v="57322"/>
    <x v="0"/>
    <n v="10"/>
    <n v="0"/>
    <n v="0"/>
    <x v="2"/>
    <x v="1"/>
    <x v="3"/>
    <x v="0"/>
    <n v="102.97"/>
    <n v="19.100000000000001"/>
    <x v="3"/>
    <n v="0"/>
    <x v="2"/>
    <x v="2"/>
  </r>
  <r>
    <n v="28011"/>
    <x v="0"/>
    <n v="39"/>
    <n v="1"/>
    <n v="0"/>
    <x v="2"/>
    <x v="0"/>
    <x v="0"/>
    <x v="1"/>
    <n v="197.36"/>
    <n v="27.4"/>
    <x v="3"/>
    <n v="0"/>
    <x v="2"/>
    <x v="3"/>
  </r>
  <r>
    <n v="242"/>
    <x v="0"/>
    <n v="4"/>
    <n v="0"/>
    <n v="0"/>
    <x v="2"/>
    <x v="1"/>
    <x v="3"/>
    <x v="0"/>
    <n v="98.56"/>
    <n v="17.5"/>
    <x v="3"/>
    <n v="0"/>
    <x v="2"/>
    <x v="4"/>
  </r>
  <r>
    <n v="18178"/>
    <x v="1"/>
    <n v="48"/>
    <n v="0"/>
    <n v="0"/>
    <x v="2"/>
    <x v="0"/>
    <x v="0"/>
    <x v="0"/>
    <n v="86.06"/>
    <n v="36.200000000000003"/>
    <x v="1"/>
    <n v="0"/>
    <x v="1"/>
    <x v="0"/>
  </r>
  <r>
    <n v="51823"/>
    <x v="0"/>
    <n v="72"/>
    <n v="0"/>
    <n v="0"/>
    <x v="1"/>
    <x v="0"/>
    <x v="1"/>
    <x v="0"/>
    <n v="123.08"/>
    <n v="25.4"/>
    <x v="2"/>
    <n v="0"/>
    <x v="0"/>
    <x v="3"/>
  </r>
  <r>
    <n v="23439"/>
    <x v="0"/>
    <n v="63"/>
    <n v="0"/>
    <n v="1"/>
    <x v="0"/>
    <x v="1"/>
    <x v="0"/>
    <x v="0"/>
    <n v="75"/>
    <n v="25.7"/>
    <x v="2"/>
    <n v="0"/>
    <x v="0"/>
    <x v="3"/>
  </r>
  <r>
    <n v="12594"/>
    <x v="1"/>
    <n v="28"/>
    <n v="0"/>
    <n v="0"/>
    <x v="2"/>
    <x v="0"/>
    <x v="0"/>
    <x v="1"/>
    <n v="105.9"/>
    <n v="28.6"/>
    <x v="2"/>
    <n v="0"/>
    <x v="2"/>
    <x v="3"/>
  </r>
  <r>
    <n v="2692"/>
    <x v="1"/>
    <n v="80"/>
    <n v="0"/>
    <n v="0"/>
    <x v="1"/>
    <x v="0"/>
    <x v="1"/>
    <x v="0"/>
    <n v="73.87"/>
    <n v="33.700000000000003"/>
    <x v="1"/>
    <n v="0"/>
    <x v="0"/>
    <x v="0"/>
  </r>
  <r>
    <n v="26062"/>
    <x v="0"/>
    <n v="49"/>
    <n v="0"/>
    <n v="0"/>
    <x v="2"/>
    <x v="0"/>
    <x v="0"/>
    <x v="1"/>
    <n v="78.040000000000006"/>
    <n v="37.9"/>
    <x v="1"/>
    <n v="0"/>
    <x v="1"/>
    <x v="0"/>
  </r>
  <r>
    <n v="6805"/>
    <x v="0"/>
    <n v="57"/>
    <n v="0"/>
    <n v="0"/>
    <x v="2"/>
    <x v="1"/>
    <x v="0"/>
    <x v="0"/>
    <n v="107.74"/>
    <n v="28.4"/>
    <x v="3"/>
    <n v="0"/>
    <x v="1"/>
    <x v="3"/>
  </r>
  <r>
    <n v="45817"/>
    <x v="1"/>
    <n v="59"/>
    <n v="0"/>
    <n v="0"/>
    <x v="2"/>
    <x v="0"/>
    <x v="0"/>
    <x v="1"/>
    <n v="60.64"/>
    <n v="20"/>
    <x v="1"/>
    <n v="0"/>
    <x v="1"/>
    <x v="2"/>
  </r>
  <r>
    <n v="66306"/>
    <x v="1"/>
    <n v="43"/>
    <n v="0"/>
    <n v="0"/>
    <x v="2"/>
    <x v="0"/>
    <x v="0"/>
    <x v="1"/>
    <n v="82.57"/>
    <n v="29.1"/>
    <x v="1"/>
    <n v="0"/>
    <x v="1"/>
    <x v="3"/>
  </r>
  <r>
    <n v="62167"/>
    <x v="1"/>
    <n v="47"/>
    <n v="0"/>
    <n v="0"/>
    <x v="2"/>
    <x v="0"/>
    <x v="0"/>
    <x v="1"/>
    <n v="115.98"/>
    <n v="27.6"/>
    <x v="3"/>
    <n v="0"/>
    <x v="1"/>
    <x v="3"/>
  </r>
  <r>
    <n v="16627"/>
    <x v="0"/>
    <n v="54"/>
    <n v="0"/>
    <n v="0"/>
    <x v="2"/>
    <x v="0"/>
    <x v="1"/>
    <x v="1"/>
    <n v="110.38"/>
    <n v="27.6"/>
    <x v="0"/>
    <n v="0"/>
    <x v="1"/>
    <x v="3"/>
  </r>
  <r>
    <n v="34285"/>
    <x v="0"/>
    <n v="57"/>
    <n v="0"/>
    <n v="0"/>
    <x v="2"/>
    <x v="0"/>
    <x v="0"/>
    <x v="1"/>
    <n v="92.59"/>
    <n v="24.2"/>
    <x v="3"/>
    <n v="0"/>
    <x v="1"/>
    <x v="2"/>
  </r>
  <r>
    <n v="71151"/>
    <x v="0"/>
    <n v="56"/>
    <n v="0"/>
    <n v="0"/>
    <x v="2"/>
    <x v="0"/>
    <x v="0"/>
    <x v="0"/>
    <n v="82.64"/>
    <n v="31"/>
    <x v="1"/>
    <n v="0"/>
    <x v="1"/>
    <x v="0"/>
  </r>
  <r>
    <n v="2580"/>
    <x v="0"/>
    <n v="66"/>
    <n v="0"/>
    <n v="1"/>
    <x v="0"/>
    <x v="1"/>
    <x v="2"/>
    <x v="0"/>
    <n v="70.28"/>
    <n v="34.5"/>
    <x v="1"/>
    <n v="0"/>
    <x v="0"/>
    <x v="0"/>
  </r>
  <r>
    <n v="11891"/>
    <x v="0"/>
    <n v="18"/>
    <n v="0"/>
    <n v="0"/>
    <x v="2"/>
    <x v="1"/>
    <x v="2"/>
    <x v="0"/>
    <n v="106.54"/>
    <n v="27"/>
    <x v="1"/>
    <n v="0"/>
    <x v="2"/>
    <x v="3"/>
  </r>
  <r>
    <n v="57080"/>
    <x v="1"/>
    <n v="81"/>
    <n v="1"/>
    <n v="1"/>
    <x v="0"/>
    <x v="0"/>
    <x v="1"/>
    <x v="0"/>
    <n v="59.11"/>
    <n v="20.7"/>
    <x v="0"/>
    <n v="0"/>
    <x v="0"/>
    <x v="2"/>
  </r>
  <r>
    <n v="47456"/>
    <x v="0"/>
    <n v="30"/>
    <n v="0"/>
    <n v="0"/>
    <x v="2"/>
    <x v="0"/>
    <x v="0"/>
    <x v="1"/>
    <n v="58.89"/>
    <n v="26.1"/>
    <x v="0"/>
    <n v="0"/>
    <x v="2"/>
    <x v="3"/>
  </r>
  <r>
    <n v="56139"/>
    <x v="0"/>
    <n v="8"/>
    <n v="0"/>
    <n v="0"/>
    <x v="2"/>
    <x v="1"/>
    <x v="3"/>
    <x v="0"/>
    <n v="129.66"/>
    <n v="19.2"/>
    <x v="3"/>
    <n v="0"/>
    <x v="2"/>
    <x v="2"/>
  </r>
  <r>
    <n v="12857"/>
    <x v="0"/>
    <n v="55"/>
    <n v="0"/>
    <n v="0"/>
    <x v="2"/>
    <x v="0"/>
    <x v="1"/>
    <x v="1"/>
    <n v="73.569999999999993"/>
    <n v="28"/>
    <x v="2"/>
    <n v="0"/>
    <x v="1"/>
    <x v="3"/>
  </r>
  <r>
    <n v="40980"/>
    <x v="0"/>
    <n v="79"/>
    <n v="1"/>
    <n v="0"/>
    <x v="0"/>
    <x v="0"/>
    <x v="1"/>
    <x v="0"/>
    <n v="72.040000000000006"/>
    <n v="23.6"/>
    <x v="0"/>
    <n v="0"/>
    <x v="0"/>
    <x v="2"/>
  </r>
  <r>
    <n v="47668"/>
    <x v="1"/>
    <n v="49"/>
    <n v="0"/>
    <n v="0"/>
    <x v="2"/>
    <x v="0"/>
    <x v="0"/>
    <x v="1"/>
    <n v="125.63"/>
    <n v="57.2"/>
    <x v="3"/>
    <n v="0"/>
    <x v="1"/>
    <x v="0"/>
  </r>
  <r>
    <n v="72792"/>
    <x v="1"/>
    <n v="53"/>
    <n v="1"/>
    <n v="0"/>
    <x v="2"/>
    <x v="0"/>
    <x v="0"/>
    <x v="1"/>
    <n v="77.94"/>
    <n v="33"/>
    <x v="1"/>
    <n v="0"/>
    <x v="1"/>
    <x v="0"/>
  </r>
  <r>
    <n v="37728"/>
    <x v="1"/>
    <n v="26"/>
    <n v="0"/>
    <n v="0"/>
    <x v="2"/>
    <x v="0"/>
    <x v="0"/>
    <x v="0"/>
    <n v="68.989999999999995"/>
    <n v="22.2"/>
    <x v="1"/>
    <n v="0"/>
    <x v="2"/>
    <x v="2"/>
  </r>
  <r>
    <n v="47410"/>
    <x v="1"/>
    <n v="14"/>
    <n v="0"/>
    <n v="0"/>
    <x v="2"/>
    <x v="1"/>
    <x v="3"/>
    <x v="1"/>
    <n v="111.76"/>
    <n v="24.8"/>
    <x v="3"/>
    <n v="0"/>
    <x v="2"/>
    <x v="2"/>
  </r>
  <r>
    <n v="56450"/>
    <x v="0"/>
    <n v="25"/>
    <n v="0"/>
    <n v="0"/>
    <x v="2"/>
    <x v="1"/>
    <x v="0"/>
    <x v="1"/>
    <n v="65.36"/>
    <n v="24.7"/>
    <x v="1"/>
    <n v="0"/>
    <x v="2"/>
    <x v="2"/>
  </r>
  <r>
    <n v="9189"/>
    <x v="1"/>
    <n v="20"/>
    <n v="0"/>
    <n v="0"/>
    <x v="2"/>
    <x v="1"/>
    <x v="0"/>
    <x v="0"/>
    <n v="80.27"/>
    <n v="27.9"/>
    <x v="1"/>
    <n v="0"/>
    <x v="2"/>
    <x v="3"/>
  </r>
  <r>
    <n v="71966"/>
    <x v="1"/>
    <n v="18"/>
    <n v="0"/>
    <n v="0"/>
    <x v="2"/>
    <x v="1"/>
    <x v="4"/>
    <x v="0"/>
    <n v="81.73"/>
    <n v="21.6"/>
    <x v="1"/>
    <n v="0"/>
    <x v="2"/>
    <x v="2"/>
  </r>
  <r>
    <n v="59272"/>
    <x v="0"/>
    <n v="38"/>
    <n v="0"/>
    <n v="0"/>
    <x v="2"/>
    <x v="0"/>
    <x v="0"/>
    <x v="1"/>
    <n v="79.22"/>
    <n v="34.799999999999997"/>
    <x v="2"/>
    <n v="0"/>
    <x v="2"/>
    <x v="0"/>
  </r>
  <r>
    <n v="45563"/>
    <x v="1"/>
    <n v="72"/>
    <n v="0"/>
    <n v="1"/>
    <x v="0"/>
    <x v="0"/>
    <x v="1"/>
    <x v="0"/>
    <n v="142.63"/>
    <n v="32.9"/>
    <x v="2"/>
    <n v="0"/>
    <x v="0"/>
    <x v="0"/>
  </r>
  <r>
    <n v="19907"/>
    <x v="1"/>
    <n v="52"/>
    <n v="0"/>
    <n v="0"/>
    <x v="2"/>
    <x v="0"/>
    <x v="0"/>
    <x v="1"/>
    <n v="97.05"/>
    <n v="28"/>
    <x v="3"/>
    <n v="0"/>
    <x v="1"/>
    <x v="3"/>
  </r>
  <r>
    <n v="40163"/>
    <x v="1"/>
    <n v="82"/>
    <n v="1"/>
    <n v="0"/>
    <x v="0"/>
    <x v="0"/>
    <x v="0"/>
    <x v="0"/>
    <n v="222.52"/>
    <s v="N/A"/>
    <x v="0"/>
    <n v="0"/>
    <x v="0"/>
    <x v="1"/>
  </r>
  <r>
    <n v="62738"/>
    <x v="0"/>
    <n v="71"/>
    <n v="0"/>
    <n v="1"/>
    <x v="0"/>
    <x v="0"/>
    <x v="0"/>
    <x v="1"/>
    <n v="70.38"/>
    <n v="25"/>
    <x v="2"/>
    <n v="0"/>
    <x v="0"/>
    <x v="3"/>
  </r>
  <r>
    <n v="51651"/>
    <x v="0"/>
    <n v="46"/>
    <n v="0"/>
    <n v="0"/>
    <x v="2"/>
    <x v="0"/>
    <x v="0"/>
    <x v="1"/>
    <n v="114.46"/>
    <n v="24.7"/>
    <x v="0"/>
    <n v="0"/>
    <x v="1"/>
    <x v="2"/>
  </r>
  <r>
    <n v="39940"/>
    <x v="1"/>
    <n v="33"/>
    <n v="0"/>
    <n v="0"/>
    <x v="2"/>
    <x v="0"/>
    <x v="0"/>
    <x v="0"/>
    <n v="64.62"/>
    <n v="27.3"/>
    <x v="1"/>
    <n v="0"/>
    <x v="2"/>
    <x v="3"/>
  </r>
  <r>
    <n v="8122"/>
    <x v="1"/>
    <n v="37"/>
    <n v="0"/>
    <n v="0"/>
    <x v="2"/>
    <x v="0"/>
    <x v="0"/>
    <x v="0"/>
    <n v="94.12"/>
    <n v="34.200000000000003"/>
    <x v="3"/>
    <n v="0"/>
    <x v="2"/>
    <x v="0"/>
  </r>
  <r>
    <n v="71057"/>
    <x v="1"/>
    <n v="54"/>
    <n v="0"/>
    <n v="0"/>
    <x v="2"/>
    <x v="0"/>
    <x v="0"/>
    <x v="1"/>
    <n v="70.19"/>
    <n v="39.1"/>
    <x v="2"/>
    <n v="0"/>
    <x v="1"/>
    <x v="0"/>
  </r>
  <r>
    <n v="67921"/>
    <x v="1"/>
    <n v="5"/>
    <n v="0"/>
    <n v="0"/>
    <x v="2"/>
    <x v="1"/>
    <x v="3"/>
    <x v="0"/>
    <n v="55.35"/>
    <n v="22.7"/>
    <x v="3"/>
    <n v="0"/>
    <x v="2"/>
    <x v="2"/>
  </r>
  <r>
    <n v="12834"/>
    <x v="0"/>
    <n v="45"/>
    <n v="0"/>
    <n v="0"/>
    <x v="2"/>
    <x v="0"/>
    <x v="0"/>
    <x v="0"/>
    <n v="115.52"/>
    <n v="33.9"/>
    <x v="0"/>
    <n v="0"/>
    <x v="1"/>
    <x v="0"/>
  </r>
  <r>
    <n v="56567"/>
    <x v="0"/>
    <n v="14"/>
    <n v="0"/>
    <n v="0"/>
    <x v="2"/>
    <x v="1"/>
    <x v="3"/>
    <x v="0"/>
    <n v="60.7"/>
    <n v="18.600000000000001"/>
    <x v="3"/>
    <n v="0"/>
    <x v="2"/>
    <x v="2"/>
  </r>
  <r>
    <n v="11872"/>
    <x v="0"/>
    <n v="5"/>
    <n v="0"/>
    <n v="0"/>
    <x v="2"/>
    <x v="1"/>
    <x v="3"/>
    <x v="0"/>
    <n v="69.239999999999995"/>
    <n v="16.7"/>
    <x v="3"/>
    <n v="0"/>
    <x v="2"/>
    <x v="4"/>
  </r>
  <r>
    <n v="6574"/>
    <x v="1"/>
    <n v="35"/>
    <n v="0"/>
    <n v="0"/>
    <x v="2"/>
    <x v="0"/>
    <x v="1"/>
    <x v="0"/>
    <n v="103.29"/>
    <n v="20.6"/>
    <x v="1"/>
    <n v="0"/>
    <x v="2"/>
    <x v="2"/>
  </r>
  <r>
    <n v="5294"/>
    <x v="1"/>
    <n v="20"/>
    <n v="0"/>
    <n v="0"/>
    <x v="2"/>
    <x v="0"/>
    <x v="0"/>
    <x v="1"/>
    <n v="92.74"/>
    <n v="20.100000000000001"/>
    <x v="3"/>
    <n v="0"/>
    <x v="2"/>
    <x v="2"/>
  </r>
  <r>
    <n v="10870"/>
    <x v="0"/>
    <n v="51"/>
    <n v="0"/>
    <n v="0"/>
    <x v="2"/>
    <x v="0"/>
    <x v="0"/>
    <x v="1"/>
    <n v="232.64"/>
    <n v="45.2"/>
    <x v="1"/>
    <n v="0"/>
    <x v="1"/>
    <x v="0"/>
  </r>
  <r>
    <n v="15062"/>
    <x v="0"/>
    <n v="40"/>
    <n v="0"/>
    <n v="0"/>
    <x v="2"/>
    <x v="0"/>
    <x v="2"/>
    <x v="0"/>
    <n v="82.46"/>
    <n v="25.3"/>
    <x v="2"/>
    <n v="0"/>
    <x v="1"/>
    <x v="3"/>
  </r>
  <r>
    <n v="46454"/>
    <x v="1"/>
    <n v="79"/>
    <n v="0"/>
    <n v="0"/>
    <x v="1"/>
    <x v="0"/>
    <x v="2"/>
    <x v="0"/>
    <n v="63.57"/>
    <n v="32.4"/>
    <x v="1"/>
    <n v="0"/>
    <x v="0"/>
    <x v="0"/>
  </r>
  <r>
    <n v="31795"/>
    <x v="0"/>
    <n v="61"/>
    <n v="0"/>
    <n v="0"/>
    <x v="1"/>
    <x v="0"/>
    <x v="1"/>
    <x v="0"/>
    <n v="73.239999999999995"/>
    <n v="34.9"/>
    <x v="1"/>
    <n v="0"/>
    <x v="0"/>
    <x v="0"/>
  </r>
  <r>
    <n v="62395"/>
    <x v="0"/>
    <n v="33"/>
    <n v="0"/>
    <n v="0"/>
    <x v="2"/>
    <x v="0"/>
    <x v="0"/>
    <x v="0"/>
    <n v="78.430000000000007"/>
    <n v="43.7"/>
    <x v="2"/>
    <n v="0"/>
    <x v="2"/>
    <x v="0"/>
  </r>
  <r>
    <n v="42760"/>
    <x v="1"/>
    <n v="27"/>
    <n v="0"/>
    <n v="0"/>
    <x v="2"/>
    <x v="0"/>
    <x v="0"/>
    <x v="0"/>
    <n v="57.46"/>
    <n v="23"/>
    <x v="2"/>
    <n v="0"/>
    <x v="2"/>
    <x v="2"/>
  </r>
  <r>
    <n v="27119"/>
    <x v="1"/>
    <n v="28"/>
    <n v="0"/>
    <n v="0"/>
    <x v="2"/>
    <x v="1"/>
    <x v="0"/>
    <x v="1"/>
    <n v="104.16"/>
    <n v="21.5"/>
    <x v="1"/>
    <n v="0"/>
    <x v="2"/>
    <x v="2"/>
  </r>
  <r>
    <n v="47113"/>
    <x v="1"/>
    <n v="67"/>
    <n v="0"/>
    <n v="0"/>
    <x v="1"/>
    <x v="0"/>
    <x v="1"/>
    <x v="1"/>
    <n v="110.42"/>
    <n v="24.9"/>
    <x v="1"/>
    <n v="0"/>
    <x v="0"/>
    <x v="2"/>
  </r>
  <r>
    <n v="36045"/>
    <x v="1"/>
    <n v="35"/>
    <n v="0"/>
    <n v="0"/>
    <x v="2"/>
    <x v="0"/>
    <x v="0"/>
    <x v="1"/>
    <n v="119.4"/>
    <n v="22.9"/>
    <x v="1"/>
    <n v="0"/>
    <x v="2"/>
    <x v="2"/>
  </r>
  <r>
    <n v="54871"/>
    <x v="1"/>
    <n v="78"/>
    <n v="0"/>
    <n v="0"/>
    <x v="1"/>
    <x v="0"/>
    <x v="0"/>
    <x v="0"/>
    <n v="119.13"/>
    <n v="25"/>
    <x v="1"/>
    <n v="0"/>
    <x v="0"/>
    <x v="3"/>
  </r>
  <r>
    <n v="48824"/>
    <x v="1"/>
    <n v="20"/>
    <n v="0"/>
    <n v="0"/>
    <x v="2"/>
    <x v="1"/>
    <x v="0"/>
    <x v="1"/>
    <n v="120.22"/>
    <n v="21.3"/>
    <x v="1"/>
    <n v="0"/>
    <x v="2"/>
    <x v="2"/>
  </r>
  <r>
    <n v="67356"/>
    <x v="1"/>
    <n v="43"/>
    <n v="0"/>
    <n v="0"/>
    <x v="2"/>
    <x v="0"/>
    <x v="0"/>
    <x v="0"/>
    <n v="80.8"/>
    <n v="46.1"/>
    <x v="1"/>
    <n v="0"/>
    <x v="1"/>
    <x v="0"/>
  </r>
  <r>
    <n v="70670"/>
    <x v="1"/>
    <n v="27"/>
    <n v="0"/>
    <n v="0"/>
    <x v="2"/>
    <x v="0"/>
    <x v="0"/>
    <x v="1"/>
    <n v="57.96"/>
    <n v="64.400000000000006"/>
    <x v="1"/>
    <n v="0"/>
    <x v="2"/>
    <x v="0"/>
  </r>
  <r>
    <n v="58477"/>
    <x v="1"/>
    <n v="45"/>
    <n v="0"/>
    <n v="0"/>
    <x v="2"/>
    <x v="0"/>
    <x v="0"/>
    <x v="0"/>
    <n v="81.239999999999995"/>
    <n v="37"/>
    <x v="1"/>
    <n v="0"/>
    <x v="1"/>
    <x v="0"/>
  </r>
  <r>
    <n v="53636"/>
    <x v="1"/>
    <n v="11"/>
    <n v="0"/>
    <n v="0"/>
    <x v="2"/>
    <x v="1"/>
    <x v="3"/>
    <x v="0"/>
    <n v="88.79"/>
    <n v="21.3"/>
    <x v="1"/>
    <n v="0"/>
    <x v="2"/>
    <x v="2"/>
  </r>
  <r>
    <n v="24262"/>
    <x v="1"/>
    <n v="31"/>
    <n v="0"/>
    <n v="0"/>
    <x v="2"/>
    <x v="0"/>
    <x v="0"/>
    <x v="1"/>
    <n v="70.91"/>
    <n v="28.3"/>
    <x v="1"/>
    <n v="0"/>
    <x v="2"/>
    <x v="3"/>
  </r>
  <r>
    <n v="33886"/>
    <x v="1"/>
    <n v="30"/>
    <n v="0"/>
    <n v="0"/>
    <x v="2"/>
    <x v="1"/>
    <x v="0"/>
    <x v="1"/>
    <n v="87.12"/>
    <n v="31.1"/>
    <x v="2"/>
    <n v="0"/>
    <x v="2"/>
    <x v="0"/>
  </r>
  <r>
    <n v="59126"/>
    <x v="1"/>
    <n v="27"/>
    <n v="0"/>
    <n v="0"/>
    <x v="2"/>
    <x v="1"/>
    <x v="0"/>
    <x v="0"/>
    <n v="126.09"/>
    <n v="25.1"/>
    <x v="3"/>
    <n v="0"/>
    <x v="2"/>
    <x v="3"/>
  </r>
  <r>
    <n v="31697"/>
    <x v="1"/>
    <n v="34"/>
    <n v="0"/>
    <n v="0"/>
    <x v="2"/>
    <x v="0"/>
    <x v="0"/>
    <x v="0"/>
    <n v="76.42"/>
    <n v="27.6"/>
    <x v="2"/>
    <n v="0"/>
    <x v="2"/>
    <x v="3"/>
  </r>
  <r>
    <n v="10018"/>
    <x v="0"/>
    <n v="19"/>
    <n v="0"/>
    <n v="0"/>
    <x v="2"/>
    <x v="1"/>
    <x v="0"/>
    <x v="1"/>
    <n v="56.33"/>
    <n v="29.4"/>
    <x v="3"/>
    <n v="0"/>
    <x v="2"/>
    <x v="3"/>
  </r>
  <r>
    <n v="52447"/>
    <x v="1"/>
    <n v="3"/>
    <n v="0"/>
    <n v="0"/>
    <x v="2"/>
    <x v="1"/>
    <x v="3"/>
    <x v="1"/>
    <n v="131.81"/>
    <n v="14.1"/>
    <x v="3"/>
    <n v="0"/>
    <x v="2"/>
    <x v="4"/>
  </r>
  <r>
    <n v="23238"/>
    <x v="0"/>
    <n v="53"/>
    <n v="0"/>
    <n v="1"/>
    <x v="2"/>
    <x v="0"/>
    <x v="0"/>
    <x v="1"/>
    <n v="95.23"/>
    <n v="35.200000000000003"/>
    <x v="2"/>
    <n v="0"/>
    <x v="1"/>
    <x v="0"/>
  </r>
  <r>
    <n v="4148"/>
    <x v="0"/>
    <n v="81"/>
    <n v="0"/>
    <n v="0"/>
    <x v="1"/>
    <x v="0"/>
    <x v="1"/>
    <x v="0"/>
    <n v="71.180000000000007"/>
    <n v="23.9"/>
    <x v="0"/>
    <n v="0"/>
    <x v="0"/>
    <x v="2"/>
  </r>
  <r>
    <n v="63404"/>
    <x v="1"/>
    <n v="44"/>
    <n v="0"/>
    <n v="0"/>
    <x v="2"/>
    <x v="0"/>
    <x v="0"/>
    <x v="1"/>
    <n v="87.71"/>
    <n v="34"/>
    <x v="0"/>
    <n v="0"/>
    <x v="1"/>
    <x v="0"/>
  </r>
  <r>
    <n v="13540"/>
    <x v="1"/>
    <n v="59"/>
    <n v="0"/>
    <n v="0"/>
    <x v="2"/>
    <x v="0"/>
    <x v="1"/>
    <x v="1"/>
    <n v="115.68"/>
    <n v="27.1"/>
    <x v="3"/>
    <n v="0"/>
    <x v="1"/>
    <x v="3"/>
  </r>
  <r>
    <n v="44288"/>
    <x v="0"/>
    <n v="43"/>
    <n v="0"/>
    <n v="0"/>
    <x v="2"/>
    <x v="0"/>
    <x v="0"/>
    <x v="1"/>
    <n v="207.37"/>
    <n v="29.5"/>
    <x v="0"/>
    <n v="0"/>
    <x v="1"/>
    <x v="3"/>
  </r>
  <r>
    <n v="23194"/>
    <x v="0"/>
    <n v="32"/>
    <n v="1"/>
    <n v="0"/>
    <x v="2"/>
    <x v="1"/>
    <x v="0"/>
    <x v="1"/>
    <n v="74.430000000000007"/>
    <s v="N/A"/>
    <x v="3"/>
    <n v="0"/>
    <x v="2"/>
    <x v="1"/>
  </r>
  <r>
    <n v="751"/>
    <x v="1"/>
    <n v="5"/>
    <n v="0"/>
    <n v="0"/>
    <x v="2"/>
    <x v="1"/>
    <x v="3"/>
    <x v="1"/>
    <n v="75.099999999999994"/>
    <n v="20.7"/>
    <x v="3"/>
    <n v="0"/>
    <x v="2"/>
    <x v="2"/>
  </r>
  <r>
    <n v="7047"/>
    <x v="1"/>
    <n v="31"/>
    <n v="0"/>
    <n v="0"/>
    <x v="2"/>
    <x v="0"/>
    <x v="0"/>
    <x v="1"/>
    <n v="69.72"/>
    <n v="39.5"/>
    <x v="2"/>
    <n v="0"/>
    <x v="2"/>
    <x v="0"/>
  </r>
  <r>
    <n v="68020"/>
    <x v="0"/>
    <n v="47"/>
    <n v="0"/>
    <n v="0"/>
    <x v="2"/>
    <x v="0"/>
    <x v="0"/>
    <x v="0"/>
    <n v="111.84"/>
    <n v="33.700000000000003"/>
    <x v="3"/>
    <n v="0"/>
    <x v="1"/>
    <x v="0"/>
  </r>
  <r>
    <n v="11325"/>
    <x v="1"/>
    <n v="12"/>
    <n v="0"/>
    <n v="0"/>
    <x v="2"/>
    <x v="1"/>
    <x v="3"/>
    <x v="1"/>
    <n v="111.08"/>
    <n v="23.2"/>
    <x v="1"/>
    <n v="0"/>
    <x v="2"/>
    <x v="2"/>
  </r>
  <r>
    <n v="25636"/>
    <x v="0"/>
    <n v="40"/>
    <n v="0"/>
    <n v="0"/>
    <x v="2"/>
    <x v="0"/>
    <x v="0"/>
    <x v="1"/>
    <n v="201.96"/>
    <n v="30.1"/>
    <x v="3"/>
    <n v="0"/>
    <x v="1"/>
    <x v="0"/>
  </r>
  <r>
    <n v="60602"/>
    <x v="1"/>
    <n v="49"/>
    <n v="0"/>
    <n v="0"/>
    <x v="2"/>
    <x v="0"/>
    <x v="2"/>
    <x v="0"/>
    <n v="68.680000000000007"/>
    <n v="28.8"/>
    <x v="1"/>
    <n v="0"/>
    <x v="1"/>
    <x v="3"/>
  </r>
  <r>
    <n v="51856"/>
    <x v="0"/>
    <n v="38"/>
    <n v="1"/>
    <n v="0"/>
    <x v="2"/>
    <x v="0"/>
    <x v="0"/>
    <x v="1"/>
    <n v="56.9"/>
    <n v="92"/>
    <x v="1"/>
    <n v="0"/>
    <x v="2"/>
    <x v="0"/>
  </r>
  <r>
    <n v="13031"/>
    <x v="1"/>
    <n v="15"/>
    <n v="0"/>
    <n v="0"/>
    <x v="2"/>
    <x v="1"/>
    <x v="3"/>
    <x v="0"/>
    <n v="91.16"/>
    <n v="38"/>
    <x v="1"/>
    <n v="0"/>
    <x v="2"/>
    <x v="0"/>
  </r>
  <r>
    <n v="19498"/>
    <x v="1"/>
    <n v="81"/>
    <n v="0"/>
    <n v="1"/>
    <x v="0"/>
    <x v="1"/>
    <x v="1"/>
    <x v="0"/>
    <n v="99.44"/>
    <n v="27.7"/>
    <x v="3"/>
    <n v="0"/>
    <x v="0"/>
    <x v="3"/>
  </r>
  <r>
    <n v="51476"/>
    <x v="0"/>
    <n v="48"/>
    <n v="0"/>
    <n v="0"/>
    <x v="2"/>
    <x v="0"/>
    <x v="0"/>
    <x v="0"/>
    <n v="78.849999999999994"/>
    <n v="43.2"/>
    <x v="1"/>
    <n v="0"/>
    <x v="1"/>
    <x v="0"/>
  </r>
  <r>
    <n v="49762"/>
    <x v="1"/>
    <n v="24"/>
    <n v="0"/>
    <n v="0"/>
    <x v="2"/>
    <x v="1"/>
    <x v="0"/>
    <x v="1"/>
    <n v="123.89"/>
    <n v="24.1"/>
    <x v="2"/>
    <n v="0"/>
    <x v="2"/>
    <x v="2"/>
  </r>
  <r>
    <n v="23449"/>
    <x v="0"/>
    <n v="47"/>
    <n v="0"/>
    <n v="0"/>
    <x v="2"/>
    <x v="0"/>
    <x v="1"/>
    <x v="1"/>
    <n v="90.44"/>
    <n v="28.7"/>
    <x v="1"/>
    <n v="0"/>
    <x v="1"/>
    <x v="3"/>
  </r>
  <r>
    <n v="51374"/>
    <x v="1"/>
    <n v="13"/>
    <n v="0"/>
    <n v="0"/>
    <x v="2"/>
    <x v="1"/>
    <x v="3"/>
    <x v="1"/>
    <n v="138.44"/>
    <n v="34.799999999999997"/>
    <x v="3"/>
    <n v="0"/>
    <x v="2"/>
    <x v="0"/>
  </r>
  <r>
    <n v="41263"/>
    <x v="1"/>
    <n v="16"/>
    <n v="0"/>
    <n v="0"/>
    <x v="2"/>
    <x v="1"/>
    <x v="0"/>
    <x v="0"/>
    <n v="75.06"/>
    <n v="23.5"/>
    <x v="1"/>
    <n v="0"/>
    <x v="2"/>
    <x v="2"/>
  </r>
  <r>
    <n v="6599"/>
    <x v="0"/>
    <n v="64"/>
    <n v="1"/>
    <n v="0"/>
    <x v="0"/>
    <x v="0"/>
    <x v="1"/>
    <x v="1"/>
    <n v="85.66"/>
    <n v="28.5"/>
    <x v="1"/>
    <n v="0"/>
    <x v="0"/>
    <x v="3"/>
  </r>
  <r>
    <n v="16320"/>
    <x v="1"/>
    <n v="11"/>
    <n v="0"/>
    <n v="0"/>
    <x v="2"/>
    <x v="1"/>
    <x v="3"/>
    <x v="0"/>
    <n v="102.76"/>
    <n v="20.3"/>
    <x v="3"/>
    <n v="0"/>
    <x v="2"/>
    <x v="2"/>
  </r>
  <r>
    <n v="64670"/>
    <x v="1"/>
    <n v="55"/>
    <n v="0"/>
    <n v="0"/>
    <x v="2"/>
    <x v="0"/>
    <x v="2"/>
    <x v="0"/>
    <n v="71.790000000000006"/>
    <n v="43"/>
    <x v="0"/>
    <n v="0"/>
    <x v="1"/>
    <x v="0"/>
  </r>
  <r>
    <n v="35941"/>
    <x v="0"/>
    <n v="38"/>
    <n v="0"/>
    <n v="0"/>
    <x v="2"/>
    <x v="0"/>
    <x v="0"/>
    <x v="0"/>
    <n v="167.16"/>
    <n v="18.3"/>
    <x v="1"/>
    <n v="0"/>
    <x v="2"/>
    <x v="4"/>
  </r>
  <r>
    <n v="64931"/>
    <x v="0"/>
    <n v="37"/>
    <n v="0"/>
    <n v="0"/>
    <x v="2"/>
    <x v="0"/>
    <x v="0"/>
    <x v="1"/>
    <n v="131.05000000000001"/>
    <n v="27.2"/>
    <x v="1"/>
    <n v="0"/>
    <x v="2"/>
    <x v="3"/>
  </r>
  <r>
    <n v="27416"/>
    <x v="1"/>
    <n v="34"/>
    <n v="0"/>
    <n v="0"/>
    <x v="2"/>
    <x v="0"/>
    <x v="0"/>
    <x v="1"/>
    <n v="86.92"/>
    <n v="22"/>
    <x v="3"/>
    <n v="0"/>
    <x v="2"/>
    <x v="2"/>
  </r>
  <r>
    <n v="43433"/>
    <x v="1"/>
    <n v="52"/>
    <n v="0"/>
    <n v="0"/>
    <x v="2"/>
    <x v="0"/>
    <x v="1"/>
    <x v="1"/>
    <n v="59.62"/>
    <n v="50.8"/>
    <x v="3"/>
    <n v="0"/>
    <x v="1"/>
    <x v="0"/>
  </r>
  <r>
    <n v="21366"/>
    <x v="1"/>
    <n v="50"/>
    <n v="0"/>
    <n v="0"/>
    <x v="2"/>
    <x v="0"/>
    <x v="0"/>
    <x v="0"/>
    <n v="103.72"/>
    <n v="35.4"/>
    <x v="0"/>
    <n v="0"/>
    <x v="1"/>
    <x v="0"/>
  </r>
  <r>
    <n v="14658"/>
    <x v="1"/>
    <n v="37"/>
    <n v="0"/>
    <n v="0"/>
    <x v="2"/>
    <x v="0"/>
    <x v="0"/>
    <x v="1"/>
    <n v="77.099999999999994"/>
    <n v="55.9"/>
    <x v="3"/>
    <n v="0"/>
    <x v="2"/>
    <x v="0"/>
  </r>
  <r>
    <n v="7538"/>
    <x v="1"/>
    <n v="55"/>
    <n v="0"/>
    <n v="0"/>
    <x v="2"/>
    <x v="0"/>
    <x v="1"/>
    <x v="1"/>
    <n v="94.75"/>
    <n v="27.9"/>
    <x v="2"/>
    <n v="0"/>
    <x v="1"/>
    <x v="3"/>
  </r>
  <r>
    <n v="52092"/>
    <x v="1"/>
    <n v="2"/>
    <n v="0"/>
    <n v="0"/>
    <x v="2"/>
    <x v="1"/>
    <x v="3"/>
    <x v="1"/>
    <n v="77.72"/>
    <n v="19.8"/>
    <x v="3"/>
    <n v="0"/>
    <x v="2"/>
    <x v="2"/>
  </r>
  <r>
    <n v="45372"/>
    <x v="0"/>
    <n v="68"/>
    <n v="0"/>
    <n v="0"/>
    <x v="1"/>
    <x v="0"/>
    <x v="1"/>
    <x v="1"/>
    <n v="76.09"/>
    <n v="26"/>
    <x v="2"/>
    <n v="0"/>
    <x v="0"/>
    <x v="3"/>
  </r>
  <r>
    <n v="63043"/>
    <x v="1"/>
    <n v="27"/>
    <n v="0"/>
    <n v="0"/>
    <x v="2"/>
    <x v="1"/>
    <x v="0"/>
    <x v="0"/>
    <n v="61.8"/>
    <n v="26.8"/>
    <x v="0"/>
    <n v="0"/>
    <x v="2"/>
    <x v="3"/>
  </r>
  <r>
    <n v="67"/>
    <x v="1"/>
    <n v="17"/>
    <n v="0"/>
    <n v="0"/>
    <x v="2"/>
    <x v="1"/>
    <x v="0"/>
    <x v="0"/>
    <n v="92.97"/>
    <s v="N/A"/>
    <x v="0"/>
    <n v="0"/>
    <x v="2"/>
    <x v="1"/>
  </r>
  <r>
    <n v="68034"/>
    <x v="1"/>
    <n v="53"/>
    <n v="1"/>
    <n v="0"/>
    <x v="2"/>
    <x v="0"/>
    <x v="2"/>
    <x v="0"/>
    <n v="83.73"/>
    <n v="32.5"/>
    <x v="1"/>
    <n v="0"/>
    <x v="1"/>
    <x v="0"/>
  </r>
  <r>
    <n v="63026"/>
    <x v="0"/>
    <n v="5"/>
    <n v="0"/>
    <n v="0"/>
    <x v="2"/>
    <x v="1"/>
    <x v="3"/>
    <x v="1"/>
    <n v="79.33"/>
    <n v="15"/>
    <x v="3"/>
    <n v="0"/>
    <x v="2"/>
    <x v="4"/>
  </r>
  <r>
    <n v="18352"/>
    <x v="1"/>
    <n v="3"/>
    <n v="0"/>
    <n v="0"/>
    <x v="2"/>
    <x v="1"/>
    <x v="3"/>
    <x v="1"/>
    <n v="108.32"/>
    <n v="14.2"/>
    <x v="3"/>
    <n v="0"/>
    <x v="2"/>
    <x v="4"/>
  </r>
  <r>
    <n v="36087"/>
    <x v="1"/>
    <n v="20"/>
    <n v="0"/>
    <n v="0"/>
    <x v="2"/>
    <x v="1"/>
    <x v="0"/>
    <x v="1"/>
    <n v="103.65"/>
    <n v="17"/>
    <x v="0"/>
    <n v="0"/>
    <x v="2"/>
    <x v="4"/>
  </r>
  <r>
    <n v="27480"/>
    <x v="0"/>
    <n v="19"/>
    <n v="0"/>
    <n v="0"/>
    <x v="2"/>
    <x v="1"/>
    <x v="0"/>
    <x v="1"/>
    <n v="86.19"/>
    <n v="26.2"/>
    <x v="1"/>
    <n v="0"/>
    <x v="2"/>
    <x v="3"/>
  </r>
  <r>
    <n v="38074"/>
    <x v="1"/>
    <n v="31"/>
    <n v="0"/>
    <n v="0"/>
    <x v="2"/>
    <x v="0"/>
    <x v="0"/>
    <x v="0"/>
    <n v="131.41999999999999"/>
    <n v="24.9"/>
    <x v="2"/>
    <n v="0"/>
    <x v="2"/>
    <x v="2"/>
  </r>
  <r>
    <n v="66690"/>
    <x v="1"/>
    <n v="63"/>
    <n v="0"/>
    <n v="0"/>
    <x v="1"/>
    <x v="0"/>
    <x v="1"/>
    <x v="0"/>
    <n v="69.459999999999994"/>
    <n v="26.6"/>
    <x v="1"/>
    <n v="0"/>
    <x v="0"/>
    <x v="3"/>
  </r>
  <r>
    <n v="31131"/>
    <x v="1"/>
    <n v="49"/>
    <n v="0"/>
    <n v="1"/>
    <x v="2"/>
    <x v="0"/>
    <x v="0"/>
    <x v="1"/>
    <n v="76.78"/>
    <n v="22.7"/>
    <x v="2"/>
    <n v="0"/>
    <x v="1"/>
    <x v="2"/>
  </r>
  <r>
    <n v="26884"/>
    <x v="1"/>
    <n v="72"/>
    <n v="0"/>
    <n v="0"/>
    <x v="1"/>
    <x v="0"/>
    <x v="1"/>
    <x v="0"/>
    <n v="103.78"/>
    <n v="32.700000000000003"/>
    <x v="0"/>
    <n v="0"/>
    <x v="0"/>
    <x v="0"/>
  </r>
  <r>
    <n v="26935"/>
    <x v="1"/>
    <n v="50"/>
    <n v="1"/>
    <n v="0"/>
    <x v="2"/>
    <x v="0"/>
    <x v="0"/>
    <x v="0"/>
    <n v="213.43"/>
    <n v="36.700000000000003"/>
    <x v="2"/>
    <n v="0"/>
    <x v="1"/>
    <x v="0"/>
  </r>
  <r>
    <n v="17569"/>
    <x v="0"/>
    <n v="41"/>
    <n v="0"/>
    <n v="0"/>
    <x v="2"/>
    <x v="0"/>
    <x v="1"/>
    <x v="1"/>
    <n v="93.52"/>
    <n v="31.5"/>
    <x v="3"/>
    <n v="0"/>
    <x v="1"/>
    <x v="0"/>
  </r>
  <r>
    <n v="24585"/>
    <x v="0"/>
    <n v="40"/>
    <n v="0"/>
    <n v="0"/>
    <x v="2"/>
    <x v="0"/>
    <x v="2"/>
    <x v="0"/>
    <n v="115.07"/>
    <n v="36.9"/>
    <x v="1"/>
    <n v="0"/>
    <x v="1"/>
    <x v="0"/>
  </r>
  <r>
    <n v="53954"/>
    <x v="0"/>
    <n v="17"/>
    <n v="0"/>
    <n v="0"/>
    <x v="2"/>
    <x v="1"/>
    <x v="0"/>
    <x v="1"/>
    <n v="69.45"/>
    <n v="27.6"/>
    <x v="3"/>
    <n v="0"/>
    <x v="2"/>
    <x v="3"/>
  </r>
  <r>
    <n v="13286"/>
    <x v="0"/>
    <n v="3"/>
    <n v="0"/>
    <n v="0"/>
    <x v="2"/>
    <x v="1"/>
    <x v="3"/>
    <x v="1"/>
    <n v="81"/>
    <n v="20.7"/>
    <x v="3"/>
    <n v="0"/>
    <x v="2"/>
    <x v="2"/>
  </r>
  <r>
    <n v="7653"/>
    <x v="1"/>
    <n v="33"/>
    <n v="0"/>
    <n v="0"/>
    <x v="2"/>
    <x v="1"/>
    <x v="0"/>
    <x v="0"/>
    <n v="83.16"/>
    <n v="20.2"/>
    <x v="3"/>
    <n v="0"/>
    <x v="2"/>
    <x v="2"/>
  </r>
  <r>
    <n v="59027"/>
    <x v="1"/>
    <n v="12"/>
    <n v="0"/>
    <n v="0"/>
    <x v="2"/>
    <x v="1"/>
    <x v="3"/>
    <x v="1"/>
    <n v="108.63"/>
    <n v="23.4"/>
    <x v="1"/>
    <n v="0"/>
    <x v="2"/>
    <x v="2"/>
  </r>
  <r>
    <n v="70318"/>
    <x v="0"/>
    <n v="23"/>
    <n v="0"/>
    <n v="0"/>
    <x v="2"/>
    <x v="1"/>
    <x v="0"/>
    <x v="1"/>
    <n v="88.06"/>
    <n v="25.3"/>
    <x v="3"/>
    <n v="0"/>
    <x v="2"/>
    <x v="3"/>
  </r>
  <r>
    <n v="15422"/>
    <x v="0"/>
    <n v="31"/>
    <n v="0"/>
    <n v="0"/>
    <x v="2"/>
    <x v="1"/>
    <x v="2"/>
    <x v="1"/>
    <n v="80.569999999999993"/>
    <n v="28.2"/>
    <x v="0"/>
    <n v="0"/>
    <x v="2"/>
    <x v="3"/>
  </r>
  <r>
    <n v="56692"/>
    <x v="1"/>
    <n v="65"/>
    <n v="0"/>
    <n v="0"/>
    <x v="1"/>
    <x v="0"/>
    <x v="1"/>
    <x v="0"/>
    <n v="248.24"/>
    <n v="27"/>
    <x v="2"/>
    <n v="0"/>
    <x v="0"/>
    <x v="3"/>
  </r>
  <r>
    <n v="45395"/>
    <x v="1"/>
    <n v="43"/>
    <n v="0"/>
    <n v="0"/>
    <x v="2"/>
    <x v="0"/>
    <x v="0"/>
    <x v="0"/>
    <n v="57.79"/>
    <n v="24.8"/>
    <x v="2"/>
    <n v="0"/>
    <x v="1"/>
    <x v="2"/>
  </r>
  <r>
    <n v="39977"/>
    <x v="1"/>
    <n v="22"/>
    <n v="0"/>
    <n v="0"/>
    <x v="2"/>
    <x v="1"/>
    <x v="0"/>
    <x v="0"/>
    <n v="87.4"/>
    <n v="34.799999999999997"/>
    <x v="1"/>
    <n v="0"/>
    <x v="2"/>
    <x v="0"/>
  </r>
  <r>
    <n v="14553"/>
    <x v="0"/>
    <n v="7"/>
    <n v="0"/>
    <n v="0"/>
    <x v="2"/>
    <x v="1"/>
    <x v="3"/>
    <x v="0"/>
    <n v="76.63"/>
    <n v="17.3"/>
    <x v="3"/>
    <n v="0"/>
    <x v="2"/>
    <x v="4"/>
  </r>
  <r>
    <n v="40998"/>
    <x v="1"/>
    <n v="81"/>
    <n v="0"/>
    <n v="0"/>
    <x v="1"/>
    <x v="0"/>
    <x v="1"/>
    <x v="1"/>
    <n v="58.01"/>
    <n v="27.8"/>
    <x v="1"/>
    <n v="0"/>
    <x v="0"/>
    <x v="3"/>
  </r>
  <r>
    <n v="71900"/>
    <x v="1"/>
    <n v="10"/>
    <n v="0"/>
    <n v="0"/>
    <x v="2"/>
    <x v="1"/>
    <x v="3"/>
    <x v="0"/>
    <n v="77.430000000000007"/>
    <n v="16.2"/>
    <x v="3"/>
    <n v="0"/>
    <x v="2"/>
    <x v="4"/>
  </r>
  <r>
    <n v="3318"/>
    <x v="1"/>
    <n v="18"/>
    <n v="0"/>
    <n v="0"/>
    <x v="2"/>
    <x v="1"/>
    <x v="0"/>
    <x v="1"/>
    <n v="101.12"/>
    <s v="N/A"/>
    <x v="2"/>
    <n v="0"/>
    <x v="2"/>
    <x v="1"/>
  </r>
  <r>
    <n v="41481"/>
    <x v="1"/>
    <n v="5"/>
    <n v="0"/>
    <n v="0"/>
    <x v="2"/>
    <x v="1"/>
    <x v="3"/>
    <x v="1"/>
    <n v="64.45"/>
    <n v="21.7"/>
    <x v="3"/>
    <n v="0"/>
    <x v="2"/>
    <x v="2"/>
  </r>
  <r>
    <n v="24854"/>
    <x v="1"/>
    <n v="24"/>
    <n v="0"/>
    <n v="0"/>
    <x v="2"/>
    <x v="1"/>
    <x v="1"/>
    <x v="0"/>
    <n v="79.42"/>
    <n v="21.4"/>
    <x v="1"/>
    <n v="0"/>
    <x v="2"/>
    <x v="2"/>
  </r>
  <r>
    <n v="22330"/>
    <x v="1"/>
    <n v="45"/>
    <n v="0"/>
    <n v="0"/>
    <x v="2"/>
    <x v="0"/>
    <x v="1"/>
    <x v="0"/>
    <n v="82.94"/>
    <n v="29.3"/>
    <x v="3"/>
    <n v="0"/>
    <x v="1"/>
    <x v="3"/>
  </r>
  <r>
    <n v="14892"/>
    <x v="1"/>
    <n v="46"/>
    <n v="1"/>
    <n v="0"/>
    <x v="2"/>
    <x v="0"/>
    <x v="0"/>
    <x v="1"/>
    <n v="81.58"/>
    <n v="36.200000000000003"/>
    <x v="1"/>
    <n v="0"/>
    <x v="1"/>
    <x v="0"/>
  </r>
  <r>
    <n v="36710"/>
    <x v="0"/>
    <n v="64"/>
    <n v="0"/>
    <n v="0"/>
    <x v="1"/>
    <x v="0"/>
    <x v="0"/>
    <x v="0"/>
    <n v="62.21"/>
    <n v="28.3"/>
    <x v="3"/>
    <n v="0"/>
    <x v="0"/>
    <x v="3"/>
  </r>
  <r>
    <n v="29267"/>
    <x v="0"/>
    <n v="25"/>
    <n v="0"/>
    <n v="0"/>
    <x v="2"/>
    <x v="1"/>
    <x v="0"/>
    <x v="1"/>
    <n v="229.94"/>
    <n v="23.5"/>
    <x v="1"/>
    <n v="0"/>
    <x v="2"/>
    <x v="2"/>
  </r>
  <r>
    <n v="17098"/>
    <x v="1"/>
    <n v="12"/>
    <n v="0"/>
    <n v="0"/>
    <x v="2"/>
    <x v="1"/>
    <x v="3"/>
    <x v="0"/>
    <n v="116.06"/>
    <n v="25.9"/>
    <x v="3"/>
    <n v="0"/>
    <x v="2"/>
    <x v="3"/>
  </r>
  <r>
    <n v="61384"/>
    <x v="0"/>
    <n v="81"/>
    <n v="1"/>
    <n v="0"/>
    <x v="0"/>
    <x v="0"/>
    <x v="0"/>
    <x v="0"/>
    <n v="117.77"/>
    <n v="27.1"/>
    <x v="1"/>
    <n v="0"/>
    <x v="0"/>
    <x v="3"/>
  </r>
  <r>
    <n v="69732"/>
    <x v="0"/>
    <n v="65"/>
    <n v="0"/>
    <n v="0"/>
    <x v="1"/>
    <x v="0"/>
    <x v="1"/>
    <x v="0"/>
    <n v="66.69"/>
    <n v="21.5"/>
    <x v="1"/>
    <n v="0"/>
    <x v="0"/>
    <x v="2"/>
  </r>
  <r>
    <n v="61238"/>
    <x v="1"/>
    <n v="40"/>
    <n v="0"/>
    <n v="0"/>
    <x v="2"/>
    <x v="0"/>
    <x v="0"/>
    <x v="1"/>
    <n v="122.23"/>
    <n v="30.5"/>
    <x v="3"/>
    <n v="0"/>
    <x v="1"/>
    <x v="0"/>
  </r>
  <r>
    <n v="18696"/>
    <x v="0"/>
    <n v="81"/>
    <n v="0"/>
    <n v="0"/>
    <x v="1"/>
    <x v="1"/>
    <x v="0"/>
    <x v="0"/>
    <n v="168.68"/>
    <n v="23.4"/>
    <x v="0"/>
    <n v="0"/>
    <x v="0"/>
    <x v="2"/>
  </r>
  <r>
    <n v="25643"/>
    <x v="0"/>
    <n v="36"/>
    <n v="0"/>
    <n v="0"/>
    <x v="2"/>
    <x v="0"/>
    <x v="0"/>
    <x v="1"/>
    <n v="119.9"/>
    <n v="37.6"/>
    <x v="1"/>
    <n v="0"/>
    <x v="2"/>
    <x v="0"/>
  </r>
  <r>
    <n v="63333"/>
    <x v="1"/>
    <n v="32"/>
    <n v="0"/>
    <n v="0"/>
    <x v="2"/>
    <x v="0"/>
    <x v="1"/>
    <x v="0"/>
    <n v="110.33"/>
    <n v="24"/>
    <x v="2"/>
    <n v="0"/>
    <x v="2"/>
    <x v="2"/>
  </r>
  <r>
    <n v="23210"/>
    <x v="0"/>
    <n v="31"/>
    <n v="0"/>
    <n v="0"/>
    <x v="2"/>
    <x v="1"/>
    <x v="0"/>
    <x v="1"/>
    <n v="77.95"/>
    <n v="25.1"/>
    <x v="1"/>
    <n v="0"/>
    <x v="2"/>
    <x v="3"/>
  </r>
  <r>
    <n v="2647"/>
    <x v="0"/>
    <n v="55"/>
    <n v="0"/>
    <n v="0"/>
    <x v="2"/>
    <x v="0"/>
    <x v="0"/>
    <x v="1"/>
    <n v="80.349999999999994"/>
    <n v="28.7"/>
    <x v="2"/>
    <n v="0"/>
    <x v="1"/>
    <x v="3"/>
  </r>
  <r>
    <n v="60934"/>
    <x v="0"/>
    <n v="39"/>
    <n v="0"/>
    <n v="0"/>
    <x v="2"/>
    <x v="0"/>
    <x v="0"/>
    <x v="0"/>
    <n v="57.38"/>
    <n v="41.8"/>
    <x v="0"/>
    <n v="0"/>
    <x v="2"/>
    <x v="0"/>
  </r>
  <r>
    <n v="50412"/>
    <x v="1"/>
    <n v="17"/>
    <n v="0"/>
    <n v="0"/>
    <x v="2"/>
    <x v="1"/>
    <x v="0"/>
    <x v="0"/>
    <n v="96.47"/>
    <n v="25.6"/>
    <x v="3"/>
    <n v="0"/>
    <x v="2"/>
    <x v="3"/>
  </r>
  <r>
    <n v="1192"/>
    <x v="1"/>
    <n v="31"/>
    <n v="0"/>
    <n v="0"/>
    <x v="2"/>
    <x v="1"/>
    <x v="2"/>
    <x v="1"/>
    <n v="70.66"/>
    <n v="27.2"/>
    <x v="1"/>
    <n v="0"/>
    <x v="2"/>
    <x v="3"/>
  </r>
  <r>
    <n v="55361"/>
    <x v="1"/>
    <n v="36"/>
    <n v="0"/>
    <n v="0"/>
    <x v="2"/>
    <x v="0"/>
    <x v="1"/>
    <x v="0"/>
    <n v="202.06"/>
    <n v="24.4"/>
    <x v="1"/>
    <n v="0"/>
    <x v="2"/>
    <x v="2"/>
  </r>
  <r>
    <n v="50141"/>
    <x v="1"/>
    <n v="5"/>
    <n v="0"/>
    <n v="0"/>
    <x v="2"/>
    <x v="1"/>
    <x v="3"/>
    <x v="0"/>
    <n v="91.3"/>
    <n v="20.7"/>
    <x v="3"/>
    <n v="0"/>
    <x v="2"/>
    <x v="2"/>
  </r>
  <r>
    <n v="12963"/>
    <x v="1"/>
    <n v="29"/>
    <n v="0"/>
    <n v="0"/>
    <x v="2"/>
    <x v="1"/>
    <x v="1"/>
    <x v="1"/>
    <n v="67.56"/>
    <n v="19.600000000000001"/>
    <x v="3"/>
    <n v="0"/>
    <x v="2"/>
    <x v="2"/>
  </r>
  <r>
    <n v="55337"/>
    <x v="1"/>
    <n v="2"/>
    <n v="0"/>
    <n v="0"/>
    <x v="2"/>
    <x v="1"/>
    <x v="3"/>
    <x v="1"/>
    <n v="126.12"/>
    <n v="24.8"/>
    <x v="3"/>
    <n v="0"/>
    <x v="2"/>
    <x v="2"/>
  </r>
  <r>
    <n v="23989"/>
    <x v="1"/>
    <n v="62"/>
    <n v="0"/>
    <n v="0"/>
    <x v="1"/>
    <x v="0"/>
    <x v="1"/>
    <x v="0"/>
    <n v="86.4"/>
    <n v="32.6"/>
    <x v="2"/>
    <n v="0"/>
    <x v="0"/>
    <x v="0"/>
  </r>
  <r>
    <n v="26025"/>
    <x v="1"/>
    <n v="45"/>
    <n v="0"/>
    <n v="0"/>
    <x v="2"/>
    <x v="0"/>
    <x v="2"/>
    <x v="0"/>
    <n v="103.22"/>
    <n v="20.5"/>
    <x v="1"/>
    <n v="0"/>
    <x v="1"/>
    <x v="2"/>
  </r>
  <r>
    <n v="67711"/>
    <x v="1"/>
    <n v="18"/>
    <n v="0"/>
    <n v="0"/>
    <x v="2"/>
    <x v="1"/>
    <x v="0"/>
    <x v="1"/>
    <n v="88.85"/>
    <n v="36.200000000000003"/>
    <x v="3"/>
    <n v="0"/>
    <x v="2"/>
    <x v="0"/>
  </r>
  <r>
    <n v="53105"/>
    <x v="1"/>
    <n v="29"/>
    <n v="0"/>
    <n v="0"/>
    <x v="2"/>
    <x v="0"/>
    <x v="0"/>
    <x v="0"/>
    <n v="63.9"/>
    <n v="45.4"/>
    <x v="2"/>
    <n v="0"/>
    <x v="2"/>
    <x v="0"/>
  </r>
  <r>
    <n v="10696"/>
    <x v="1"/>
    <n v="52"/>
    <n v="0"/>
    <n v="0"/>
    <x v="2"/>
    <x v="0"/>
    <x v="0"/>
    <x v="0"/>
    <n v="81.319999999999993"/>
    <n v="27.6"/>
    <x v="0"/>
    <n v="0"/>
    <x v="1"/>
    <x v="3"/>
  </r>
  <r>
    <n v="43656"/>
    <x v="0"/>
    <n v="59"/>
    <n v="1"/>
    <n v="0"/>
    <x v="2"/>
    <x v="0"/>
    <x v="2"/>
    <x v="1"/>
    <n v="253.93"/>
    <s v="N/A"/>
    <x v="0"/>
    <n v="0"/>
    <x v="1"/>
    <x v="1"/>
  </r>
  <r>
    <n v="52361"/>
    <x v="0"/>
    <n v="69"/>
    <n v="1"/>
    <n v="1"/>
    <x v="0"/>
    <x v="0"/>
    <x v="0"/>
    <x v="0"/>
    <n v="78.11"/>
    <n v="34.700000000000003"/>
    <x v="0"/>
    <n v="0"/>
    <x v="0"/>
    <x v="0"/>
  </r>
  <r>
    <n v="57343"/>
    <x v="1"/>
    <n v="71"/>
    <n v="0"/>
    <n v="0"/>
    <x v="1"/>
    <x v="0"/>
    <x v="0"/>
    <x v="0"/>
    <n v="134.65"/>
    <n v="32.4"/>
    <x v="3"/>
    <n v="0"/>
    <x v="0"/>
    <x v="0"/>
  </r>
  <r>
    <n v="23339"/>
    <x v="0"/>
    <n v="3"/>
    <n v="0"/>
    <n v="0"/>
    <x v="2"/>
    <x v="1"/>
    <x v="3"/>
    <x v="1"/>
    <n v="194.75"/>
    <s v="N/A"/>
    <x v="3"/>
    <n v="0"/>
    <x v="2"/>
    <x v="1"/>
  </r>
  <r>
    <n v="51408"/>
    <x v="0"/>
    <n v="33"/>
    <n v="0"/>
    <n v="0"/>
    <x v="2"/>
    <x v="0"/>
    <x v="2"/>
    <x v="1"/>
    <n v="77.94"/>
    <n v="28.7"/>
    <x v="1"/>
    <n v="0"/>
    <x v="2"/>
    <x v="3"/>
  </r>
  <r>
    <n v="47886"/>
    <x v="1"/>
    <n v="43"/>
    <n v="1"/>
    <n v="0"/>
    <x v="2"/>
    <x v="0"/>
    <x v="2"/>
    <x v="1"/>
    <n v="56.94"/>
    <n v="45.3"/>
    <x v="3"/>
    <n v="0"/>
    <x v="1"/>
    <x v="0"/>
  </r>
  <r>
    <n v="21407"/>
    <x v="0"/>
    <n v="39"/>
    <n v="0"/>
    <n v="0"/>
    <x v="2"/>
    <x v="0"/>
    <x v="0"/>
    <x v="1"/>
    <n v="117.03"/>
    <n v="40.299999999999997"/>
    <x v="0"/>
    <n v="0"/>
    <x v="2"/>
    <x v="0"/>
  </r>
  <r>
    <n v="34026"/>
    <x v="1"/>
    <n v="60"/>
    <n v="0"/>
    <n v="0"/>
    <x v="1"/>
    <x v="0"/>
    <x v="0"/>
    <x v="1"/>
    <n v="207.84"/>
    <n v="38.9"/>
    <x v="1"/>
    <n v="0"/>
    <x v="0"/>
    <x v="0"/>
  </r>
  <r>
    <n v="53004"/>
    <x v="1"/>
    <n v="54"/>
    <n v="0"/>
    <n v="0"/>
    <x v="2"/>
    <x v="0"/>
    <x v="2"/>
    <x v="1"/>
    <n v="228.26"/>
    <n v="46"/>
    <x v="1"/>
    <n v="0"/>
    <x v="1"/>
    <x v="0"/>
  </r>
  <r>
    <n v="18833"/>
    <x v="0"/>
    <n v="61"/>
    <n v="0"/>
    <n v="0"/>
    <x v="1"/>
    <x v="0"/>
    <x v="1"/>
    <x v="1"/>
    <n v="84.43"/>
    <n v="32.4"/>
    <x v="2"/>
    <n v="0"/>
    <x v="0"/>
    <x v="0"/>
  </r>
  <r>
    <n v="69222"/>
    <x v="0"/>
    <n v="0.24"/>
    <n v="0"/>
    <n v="0"/>
    <x v="2"/>
    <x v="1"/>
    <x v="3"/>
    <x v="0"/>
    <n v="57.09"/>
    <n v="19.399999999999999"/>
    <x v="3"/>
    <n v="0"/>
    <x v="2"/>
    <x v="2"/>
  </r>
  <r>
    <n v="32610"/>
    <x v="1"/>
    <n v="11"/>
    <n v="0"/>
    <n v="0"/>
    <x v="2"/>
    <x v="1"/>
    <x v="3"/>
    <x v="0"/>
    <n v="94.89"/>
    <n v="27.5"/>
    <x v="1"/>
    <n v="0"/>
    <x v="2"/>
    <x v="3"/>
  </r>
  <r>
    <n v="57645"/>
    <x v="1"/>
    <n v="75"/>
    <n v="0"/>
    <n v="0"/>
    <x v="1"/>
    <x v="0"/>
    <x v="2"/>
    <x v="1"/>
    <n v="132.46"/>
    <n v="26.2"/>
    <x v="3"/>
    <n v="0"/>
    <x v="0"/>
    <x v="3"/>
  </r>
  <r>
    <n v="21677"/>
    <x v="1"/>
    <n v="64"/>
    <n v="0"/>
    <n v="0"/>
    <x v="1"/>
    <x v="0"/>
    <x v="0"/>
    <x v="1"/>
    <n v="75.13"/>
    <n v="31.1"/>
    <x v="0"/>
    <n v="0"/>
    <x v="0"/>
    <x v="0"/>
  </r>
  <r>
    <n v="50410"/>
    <x v="1"/>
    <n v="78"/>
    <n v="0"/>
    <n v="0"/>
    <x v="1"/>
    <x v="1"/>
    <x v="2"/>
    <x v="1"/>
    <n v="76.64"/>
    <n v="34.6"/>
    <x v="1"/>
    <n v="0"/>
    <x v="0"/>
    <x v="0"/>
  </r>
  <r>
    <n v="25051"/>
    <x v="1"/>
    <n v="14"/>
    <n v="0"/>
    <n v="0"/>
    <x v="2"/>
    <x v="1"/>
    <x v="0"/>
    <x v="1"/>
    <n v="91.32"/>
    <n v="24.3"/>
    <x v="1"/>
    <n v="0"/>
    <x v="2"/>
    <x v="2"/>
  </r>
  <r>
    <n v="31642"/>
    <x v="1"/>
    <n v="66"/>
    <n v="0"/>
    <n v="0"/>
    <x v="1"/>
    <x v="0"/>
    <x v="1"/>
    <x v="1"/>
    <n v="85.9"/>
    <n v="34.6"/>
    <x v="1"/>
    <n v="0"/>
    <x v="0"/>
    <x v="0"/>
  </r>
  <r>
    <n v="60455"/>
    <x v="0"/>
    <n v="48"/>
    <n v="0"/>
    <n v="0"/>
    <x v="2"/>
    <x v="0"/>
    <x v="0"/>
    <x v="0"/>
    <n v="76.19"/>
    <n v="28.5"/>
    <x v="1"/>
    <n v="0"/>
    <x v="1"/>
    <x v="3"/>
  </r>
  <r>
    <n v="52172"/>
    <x v="1"/>
    <n v="44"/>
    <n v="0"/>
    <n v="0"/>
    <x v="2"/>
    <x v="0"/>
    <x v="0"/>
    <x v="1"/>
    <n v="85.77"/>
    <n v="32.1"/>
    <x v="3"/>
    <n v="0"/>
    <x v="1"/>
    <x v="0"/>
  </r>
  <r>
    <n v="69647"/>
    <x v="0"/>
    <n v="30"/>
    <n v="0"/>
    <n v="0"/>
    <x v="2"/>
    <x v="1"/>
    <x v="0"/>
    <x v="0"/>
    <n v="63.42"/>
    <n v="28"/>
    <x v="1"/>
    <n v="0"/>
    <x v="2"/>
    <x v="3"/>
  </r>
  <r>
    <n v="24972"/>
    <x v="0"/>
    <n v="1.48"/>
    <n v="0"/>
    <n v="0"/>
    <x v="2"/>
    <x v="1"/>
    <x v="3"/>
    <x v="1"/>
    <n v="112.02"/>
    <n v="20.9"/>
    <x v="3"/>
    <n v="0"/>
    <x v="2"/>
    <x v="2"/>
  </r>
  <r>
    <n v="13172"/>
    <x v="1"/>
    <n v="61"/>
    <n v="0"/>
    <n v="0"/>
    <x v="1"/>
    <x v="0"/>
    <x v="1"/>
    <x v="0"/>
    <n v="203.76"/>
    <n v="33.799999999999997"/>
    <x v="1"/>
    <n v="0"/>
    <x v="0"/>
    <x v="0"/>
  </r>
  <r>
    <n v="31911"/>
    <x v="1"/>
    <n v="54"/>
    <n v="0"/>
    <n v="0"/>
    <x v="2"/>
    <x v="0"/>
    <x v="2"/>
    <x v="0"/>
    <n v="98.44"/>
    <n v="25.8"/>
    <x v="0"/>
    <n v="0"/>
    <x v="1"/>
    <x v="3"/>
  </r>
  <r>
    <n v="34415"/>
    <x v="1"/>
    <n v="22"/>
    <n v="0"/>
    <n v="0"/>
    <x v="2"/>
    <x v="1"/>
    <x v="2"/>
    <x v="0"/>
    <n v="79.569999999999993"/>
    <n v="31.8"/>
    <x v="3"/>
    <n v="0"/>
    <x v="2"/>
    <x v="0"/>
  </r>
  <r>
    <n v="53219"/>
    <x v="0"/>
    <n v="47"/>
    <n v="0"/>
    <n v="0"/>
    <x v="2"/>
    <x v="0"/>
    <x v="0"/>
    <x v="0"/>
    <n v="63.98"/>
    <n v="26.8"/>
    <x v="2"/>
    <n v="0"/>
    <x v="1"/>
    <x v="3"/>
  </r>
  <r>
    <n v="7924"/>
    <x v="1"/>
    <n v="67"/>
    <n v="0"/>
    <n v="0"/>
    <x v="1"/>
    <x v="0"/>
    <x v="0"/>
    <x v="0"/>
    <n v="101.46"/>
    <n v="25.9"/>
    <x v="0"/>
    <n v="0"/>
    <x v="0"/>
    <x v="3"/>
  </r>
  <r>
    <n v="72491"/>
    <x v="0"/>
    <n v="53"/>
    <n v="0"/>
    <n v="0"/>
    <x v="2"/>
    <x v="0"/>
    <x v="0"/>
    <x v="0"/>
    <n v="74.66"/>
    <n v="29.2"/>
    <x v="2"/>
    <n v="0"/>
    <x v="1"/>
    <x v="3"/>
  </r>
  <r>
    <n v="59058"/>
    <x v="1"/>
    <n v="45"/>
    <n v="0"/>
    <n v="0"/>
    <x v="2"/>
    <x v="0"/>
    <x v="2"/>
    <x v="1"/>
    <n v="68.66"/>
    <n v="25.3"/>
    <x v="1"/>
    <n v="0"/>
    <x v="1"/>
    <x v="3"/>
  </r>
  <r>
    <n v="52619"/>
    <x v="1"/>
    <n v="65"/>
    <n v="0"/>
    <n v="0"/>
    <x v="1"/>
    <x v="0"/>
    <x v="0"/>
    <x v="1"/>
    <n v="205.78"/>
    <n v="41.7"/>
    <x v="1"/>
    <n v="0"/>
    <x v="0"/>
    <x v="0"/>
  </r>
  <r>
    <n v="36162"/>
    <x v="0"/>
    <n v="39"/>
    <n v="1"/>
    <n v="0"/>
    <x v="2"/>
    <x v="0"/>
    <x v="0"/>
    <x v="1"/>
    <n v="111.24"/>
    <n v="38.799999999999997"/>
    <x v="1"/>
    <n v="0"/>
    <x v="2"/>
    <x v="0"/>
  </r>
  <r>
    <n v="68371"/>
    <x v="0"/>
    <n v="57"/>
    <n v="0"/>
    <n v="0"/>
    <x v="2"/>
    <x v="0"/>
    <x v="0"/>
    <x v="0"/>
    <n v="134.76"/>
    <n v="29.1"/>
    <x v="3"/>
    <n v="0"/>
    <x v="1"/>
    <x v="3"/>
  </r>
  <r>
    <n v="21067"/>
    <x v="1"/>
    <n v="45"/>
    <n v="0"/>
    <n v="0"/>
    <x v="2"/>
    <x v="0"/>
    <x v="1"/>
    <x v="0"/>
    <n v="110.1"/>
    <n v="30.9"/>
    <x v="1"/>
    <n v="0"/>
    <x v="1"/>
    <x v="0"/>
  </r>
  <r>
    <n v="25718"/>
    <x v="1"/>
    <n v="28"/>
    <n v="0"/>
    <n v="0"/>
    <x v="2"/>
    <x v="0"/>
    <x v="0"/>
    <x v="0"/>
    <n v="100.8"/>
    <n v="39.299999999999997"/>
    <x v="0"/>
    <n v="0"/>
    <x v="2"/>
    <x v="0"/>
  </r>
  <r>
    <n v="24421"/>
    <x v="0"/>
    <n v="30"/>
    <n v="0"/>
    <n v="0"/>
    <x v="2"/>
    <x v="1"/>
    <x v="0"/>
    <x v="0"/>
    <n v="113.08"/>
    <n v="41.8"/>
    <x v="3"/>
    <n v="0"/>
    <x v="2"/>
    <x v="0"/>
  </r>
  <r>
    <n v="69528"/>
    <x v="1"/>
    <n v="31"/>
    <n v="0"/>
    <n v="0"/>
    <x v="2"/>
    <x v="0"/>
    <x v="0"/>
    <x v="0"/>
    <n v="56.48"/>
    <n v="26.2"/>
    <x v="0"/>
    <n v="0"/>
    <x v="2"/>
    <x v="3"/>
  </r>
  <r>
    <n v="56594"/>
    <x v="1"/>
    <n v="70"/>
    <n v="0"/>
    <n v="0"/>
    <x v="1"/>
    <x v="0"/>
    <x v="0"/>
    <x v="0"/>
    <n v="77.77"/>
    <n v="33.799999999999997"/>
    <x v="2"/>
    <n v="0"/>
    <x v="0"/>
    <x v="0"/>
  </r>
  <r>
    <n v="35095"/>
    <x v="1"/>
    <n v="17"/>
    <n v="0"/>
    <n v="0"/>
    <x v="2"/>
    <x v="1"/>
    <x v="0"/>
    <x v="0"/>
    <n v="104.02"/>
    <n v="26.1"/>
    <x v="3"/>
    <n v="0"/>
    <x v="2"/>
    <x v="3"/>
  </r>
  <r>
    <n v="30002"/>
    <x v="0"/>
    <n v="44"/>
    <n v="1"/>
    <n v="0"/>
    <x v="2"/>
    <x v="0"/>
    <x v="1"/>
    <x v="1"/>
    <n v="83.59"/>
    <n v="24.1"/>
    <x v="1"/>
    <n v="0"/>
    <x v="1"/>
    <x v="2"/>
  </r>
  <r>
    <n v="71143"/>
    <x v="0"/>
    <n v="65"/>
    <n v="0"/>
    <n v="0"/>
    <x v="1"/>
    <x v="0"/>
    <x v="1"/>
    <x v="0"/>
    <n v="179.67"/>
    <n v="30.7"/>
    <x v="0"/>
    <n v="0"/>
    <x v="0"/>
    <x v="0"/>
  </r>
  <r>
    <n v="32669"/>
    <x v="0"/>
    <n v="6"/>
    <n v="0"/>
    <n v="0"/>
    <x v="2"/>
    <x v="1"/>
    <x v="3"/>
    <x v="0"/>
    <n v="91.89"/>
    <n v="22.4"/>
    <x v="3"/>
    <n v="0"/>
    <x v="2"/>
    <x v="2"/>
  </r>
  <r>
    <n v="17174"/>
    <x v="0"/>
    <n v="15"/>
    <n v="0"/>
    <n v="0"/>
    <x v="2"/>
    <x v="1"/>
    <x v="3"/>
    <x v="1"/>
    <n v="78.900000000000006"/>
    <n v="23"/>
    <x v="3"/>
    <n v="0"/>
    <x v="2"/>
    <x v="2"/>
  </r>
  <r>
    <n v="2818"/>
    <x v="1"/>
    <n v="80"/>
    <n v="0"/>
    <n v="0"/>
    <x v="1"/>
    <x v="1"/>
    <x v="1"/>
    <x v="1"/>
    <n v="230.74"/>
    <n v="30.2"/>
    <x v="0"/>
    <n v="0"/>
    <x v="0"/>
    <x v="0"/>
  </r>
  <r>
    <n v="30650"/>
    <x v="0"/>
    <n v="54"/>
    <n v="0"/>
    <n v="0"/>
    <x v="2"/>
    <x v="0"/>
    <x v="2"/>
    <x v="1"/>
    <n v="216.19"/>
    <n v="30.3"/>
    <x v="0"/>
    <n v="0"/>
    <x v="1"/>
    <x v="0"/>
  </r>
  <r>
    <n v="3013"/>
    <x v="1"/>
    <n v="79"/>
    <n v="0"/>
    <n v="0"/>
    <x v="1"/>
    <x v="0"/>
    <x v="1"/>
    <x v="1"/>
    <n v="83.7"/>
    <n v="28.7"/>
    <x v="1"/>
    <n v="0"/>
    <x v="0"/>
    <x v="3"/>
  </r>
  <r>
    <n v="42806"/>
    <x v="1"/>
    <n v="60"/>
    <n v="1"/>
    <n v="0"/>
    <x v="0"/>
    <x v="0"/>
    <x v="0"/>
    <x v="1"/>
    <n v="200.66"/>
    <n v="36.299999999999997"/>
    <x v="2"/>
    <n v="0"/>
    <x v="0"/>
    <x v="0"/>
  </r>
  <r>
    <n v="6390"/>
    <x v="1"/>
    <n v="12"/>
    <n v="0"/>
    <n v="0"/>
    <x v="2"/>
    <x v="1"/>
    <x v="3"/>
    <x v="1"/>
    <n v="73.989999999999995"/>
    <n v="16.3"/>
    <x v="3"/>
    <n v="0"/>
    <x v="2"/>
    <x v="4"/>
  </r>
  <r>
    <n v="46647"/>
    <x v="1"/>
    <n v="36"/>
    <n v="0"/>
    <n v="0"/>
    <x v="2"/>
    <x v="1"/>
    <x v="0"/>
    <x v="0"/>
    <n v="228.5"/>
    <n v="34.5"/>
    <x v="1"/>
    <n v="0"/>
    <x v="2"/>
    <x v="0"/>
  </r>
  <r>
    <n v="6625"/>
    <x v="1"/>
    <n v="54"/>
    <n v="0"/>
    <n v="0"/>
    <x v="2"/>
    <x v="0"/>
    <x v="1"/>
    <x v="0"/>
    <n v="70.430000000000007"/>
    <n v="20.8"/>
    <x v="2"/>
    <n v="0"/>
    <x v="1"/>
    <x v="2"/>
  </r>
  <r>
    <n v="49605"/>
    <x v="0"/>
    <n v="63"/>
    <n v="0"/>
    <n v="0"/>
    <x v="1"/>
    <x v="0"/>
    <x v="0"/>
    <x v="0"/>
    <n v="74.39"/>
    <n v="31"/>
    <x v="0"/>
    <n v="0"/>
    <x v="0"/>
    <x v="0"/>
  </r>
  <r>
    <n v="72940"/>
    <x v="1"/>
    <n v="2"/>
    <n v="0"/>
    <n v="0"/>
    <x v="2"/>
    <x v="1"/>
    <x v="3"/>
    <x v="0"/>
    <n v="102.92"/>
    <n v="17.600000000000001"/>
    <x v="3"/>
    <n v="0"/>
    <x v="2"/>
    <x v="4"/>
  </r>
  <r>
    <n v="24783"/>
    <x v="1"/>
    <n v="28"/>
    <n v="0"/>
    <n v="0"/>
    <x v="2"/>
    <x v="1"/>
    <x v="0"/>
    <x v="0"/>
    <n v="87.91"/>
    <n v="22.7"/>
    <x v="0"/>
    <n v="0"/>
    <x v="2"/>
    <x v="2"/>
  </r>
  <r>
    <n v="22515"/>
    <x v="1"/>
    <n v="38"/>
    <n v="1"/>
    <n v="0"/>
    <x v="2"/>
    <x v="0"/>
    <x v="0"/>
    <x v="1"/>
    <n v="118.55"/>
    <n v="38.4"/>
    <x v="2"/>
    <n v="0"/>
    <x v="2"/>
    <x v="0"/>
  </r>
  <r>
    <n v="3700"/>
    <x v="0"/>
    <n v="37"/>
    <n v="0"/>
    <n v="0"/>
    <x v="2"/>
    <x v="0"/>
    <x v="0"/>
    <x v="0"/>
    <n v="232.29"/>
    <n v="40.799999999999997"/>
    <x v="2"/>
    <n v="0"/>
    <x v="2"/>
    <x v="0"/>
  </r>
  <r>
    <n v="53802"/>
    <x v="0"/>
    <n v="80"/>
    <n v="0"/>
    <n v="1"/>
    <x v="0"/>
    <x v="0"/>
    <x v="0"/>
    <x v="1"/>
    <n v="125.32"/>
    <n v="32.9"/>
    <x v="3"/>
    <n v="0"/>
    <x v="0"/>
    <x v="0"/>
  </r>
  <r>
    <n v="49955"/>
    <x v="0"/>
    <n v="43"/>
    <n v="0"/>
    <n v="0"/>
    <x v="2"/>
    <x v="1"/>
    <x v="0"/>
    <x v="0"/>
    <n v="78.98"/>
    <n v="31.3"/>
    <x v="0"/>
    <n v="0"/>
    <x v="1"/>
    <x v="0"/>
  </r>
  <r>
    <n v="2456"/>
    <x v="0"/>
    <n v="60"/>
    <n v="1"/>
    <n v="0"/>
    <x v="0"/>
    <x v="0"/>
    <x v="2"/>
    <x v="1"/>
    <n v="100.2"/>
    <n v="28.5"/>
    <x v="2"/>
    <n v="0"/>
    <x v="0"/>
    <x v="3"/>
  </r>
  <r>
    <n v="71515"/>
    <x v="1"/>
    <n v="66"/>
    <n v="0"/>
    <n v="0"/>
    <x v="1"/>
    <x v="0"/>
    <x v="0"/>
    <x v="1"/>
    <n v="200.91"/>
    <n v="27.6"/>
    <x v="1"/>
    <n v="0"/>
    <x v="0"/>
    <x v="3"/>
  </r>
  <r>
    <n v="44662"/>
    <x v="1"/>
    <n v="45"/>
    <n v="0"/>
    <n v="0"/>
    <x v="2"/>
    <x v="0"/>
    <x v="2"/>
    <x v="1"/>
    <n v="95.24"/>
    <n v="40.200000000000003"/>
    <x v="3"/>
    <n v="0"/>
    <x v="1"/>
    <x v="0"/>
  </r>
  <r>
    <n v="38661"/>
    <x v="1"/>
    <n v="29"/>
    <n v="0"/>
    <n v="0"/>
    <x v="2"/>
    <x v="1"/>
    <x v="0"/>
    <x v="0"/>
    <n v="56.64"/>
    <n v="24.7"/>
    <x v="1"/>
    <n v="0"/>
    <x v="2"/>
    <x v="2"/>
  </r>
  <r>
    <n v="15978"/>
    <x v="0"/>
    <n v="4"/>
    <n v="0"/>
    <n v="0"/>
    <x v="2"/>
    <x v="1"/>
    <x v="3"/>
    <x v="0"/>
    <n v="80.48"/>
    <n v="17.7"/>
    <x v="3"/>
    <n v="0"/>
    <x v="2"/>
    <x v="4"/>
  </r>
  <r>
    <n v="35210"/>
    <x v="1"/>
    <n v="48"/>
    <n v="0"/>
    <n v="0"/>
    <x v="2"/>
    <x v="0"/>
    <x v="0"/>
    <x v="0"/>
    <n v="112.96"/>
    <n v="25.4"/>
    <x v="1"/>
    <n v="0"/>
    <x v="1"/>
    <x v="3"/>
  </r>
  <r>
    <n v="49930"/>
    <x v="1"/>
    <n v="68"/>
    <n v="0"/>
    <n v="0"/>
    <x v="1"/>
    <x v="0"/>
    <x v="0"/>
    <x v="1"/>
    <n v="236.04"/>
    <n v="28.5"/>
    <x v="1"/>
    <n v="0"/>
    <x v="0"/>
    <x v="3"/>
  </r>
  <r>
    <n v="27789"/>
    <x v="1"/>
    <n v="57"/>
    <n v="0"/>
    <n v="0"/>
    <x v="2"/>
    <x v="0"/>
    <x v="0"/>
    <x v="0"/>
    <n v="73"/>
    <n v="26.2"/>
    <x v="1"/>
    <n v="0"/>
    <x v="1"/>
    <x v="3"/>
  </r>
  <r>
    <n v="45325"/>
    <x v="1"/>
    <n v="29"/>
    <n v="0"/>
    <n v="0"/>
    <x v="2"/>
    <x v="1"/>
    <x v="0"/>
    <x v="0"/>
    <n v="61.13"/>
    <n v="26"/>
    <x v="1"/>
    <n v="0"/>
    <x v="2"/>
    <x v="3"/>
  </r>
  <r>
    <n v="31092"/>
    <x v="1"/>
    <n v="30"/>
    <n v="0"/>
    <n v="0"/>
    <x v="2"/>
    <x v="0"/>
    <x v="0"/>
    <x v="0"/>
    <n v="88.56"/>
    <n v="45.3"/>
    <x v="1"/>
    <n v="0"/>
    <x v="2"/>
    <x v="0"/>
  </r>
  <r>
    <n v="40705"/>
    <x v="1"/>
    <n v="47"/>
    <n v="0"/>
    <n v="0"/>
    <x v="2"/>
    <x v="0"/>
    <x v="1"/>
    <x v="1"/>
    <n v="66.16"/>
    <n v="31.5"/>
    <x v="1"/>
    <n v="0"/>
    <x v="1"/>
    <x v="0"/>
  </r>
  <r>
    <n v="28513"/>
    <x v="1"/>
    <n v="73"/>
    <n v="0"/>
    <n v="0"/>
    <x v="1"/>
    <x v="0"/>
    <x v="0"/>
    <x v="1"/>
    <n v="88.98"/>
    <n v="20.6"/>
    <x v="2"/>
    <n v="0"/>
    <x v="0"/>
    <x v="2"/>
  </r>
  <r>
    <n v="12367"/>
    <x v="1"/>
    <n v="66"/>
    <n v="0"/>
    <n v="0"/>
    <x v="1"/>
    <x v="0"/>
    <x v="1"/>
    <x v="0"/>
    <n v="94.39"/>
    <n v="29.4"/>
    <x v="3"/>
    <n v="0"/>
    <x v="0"/>
    <x v="3"/>
  </r>
  <r>
    <n v="63915"/>
    <x v="1"/>
    <n v="39"/>
    <n v="0"/>
    <n v="0"/>
    <x v="2"/>
    <x v="0"/>
    <x v="0"/>
    <x v="0"/>
    <n v="87.39"/>
    <n v="57.9"/>
    <x v="1"/>
    <n v="0"/>
    <x v="2"/>
    <x v="0"/>
  </r>
  <r>
    <n v="10166"/>
    <x v="0"/>
    <n v="66"/>
    <n v="0"/>
    <n v="0"/>
    <x v="1"/>
    <x v="1"/>
    <x v="2"/>
    <x v="1"/>
    <n v="77.91"/>
    <n v="39.1"/>
    <x v="3"/>
    <n v="0"/>
    <x v="0"/>
    <x v="0"/>
  </r>
  <r>
    <n v="35999"/>
    <x v="1"/>
    <n v="52"/>
    <n v="0"/>
    <n v="0"/>
    <x v="2"/>
    <x v="0"/>
    <x v="0"/>
    <x v="0"/>
    <n v="86.85"/>
    <n v="23.8"/>
    <x v="0"/>
    <n v="0"/>
    <x v="1"/>
    <x v="2"/>
  </r>
  <r>
    <n v="8964"/>
    <x v="1"/>
    <n v="34"/>
    <n v="0"/>
    <n v="0"/>
    <x v="2"/>
    <x v="1"/>
    <x v="0"/>
    <x v="1"/>
    <n v="94.37"/>
    <n v="38.1"/>
    <x v="1"/>
    <n v="0"/>
    <x v="2"/>
    <x v="0"/>
  </r>
  <r>
    <n v="38207"/>
    <x v="1"/>
    <n v="79"/>
    <n v="1"/>
    <n v="0"/>
    <x v="0"/>
    <x v="0"/>
    <x v="1"/>
    <x v="1"/>
    <n v="76.64"/>
    <n v="19.5"/>
    <x v="1"/>
    <n v="0"/>
    <x v="0"/>
    <x v="2"/>
  </r>
  <r>
    <n v="52681"/>
    <x v="1"/>
    <n v="39"/>
    <n v="0"/>
    <n v="0"/>
    <x v="2"/>
    <x v="0"/>
    <x v="0"/>
    <x v="0"/>
    <n v="254.95"/>
    <n v="35.5"/>
    <x v="2"/>
    <n v="0"/>
    <x v="2"/>
    <x v="0"/>
  </r>
  <r>
    <n v="38980"/>
    <x v="0"/>
    <n v="61"/>
    <n v="0"/>
    <n v="0"/>
    <x v="1"/>
    <x v="0"/>
    <x v="2"/>
    <x v="0"/>
    <n v="107.33"/>
    <n v="26.4"/>
    <x v="0"/>
    <n v="0"/>
    <x v="0"/>
    <x v="3"/>
  </r>
  <r>
    <n v="33924"/>
    <x v="1"/>
    <n v="26"/>
    <n v="0"/>
    <n v="0"/>
    <x v="2"/>
    <x v="1"/>
    <x v="0"/>
    <x v="0"/>
    <n v="80.94"/>
    <n v="22.2"/>
    <x v="2"/>
    <n v="0"/>
    <x v="2"/>
    <x v="2"/>
  </r>
  <r>
    <n v="10135"/>
    <x v="1"/>
    <n v="37"/>
    <n v="0"/>
    <n v="0"/>
    <x v="2"/>
    <x v="1"/>
    <x v="0"/>
    <x v="1"/>
    <n v="112.02"/>
    <n v="29.1"/>
    <x v="3"/>
    <n v="0"/>
    <x v="2"/>
    <x v="3"/>
  </r>
  <r>
    <n v="46517"/>
    <x v="1"/>
    <n v="66"/>
    <n v="0"/>
    <n v="1"/>
    <x v="0"/>
    <x v="0"/>
    <x v="0"/>
    <x v="1"/>
    <n v="196.58"/>
    <n v="41.9"/>
    <x v="0"/>
    <n v="0"/>
    <x v="0"/>
    <x v="0"/>
  </r>
  <r>
    <n v="65966"/>
    <x v="1"/>
    <n v="16"/>
    <n v="0"/>
    <n v="0"/>
    <x v="2"/>
    <x v="1"/>
    <x v="0"/>
    <x v="0"/>
    <n v="89.14"/>
    <n v="22.6"/>
    <x v="0"/>
    <n v="0"/>
    <x v="2"/>
    <x v="2"/>
  </r>
  <r>
    <n v="56575"/>
    <x v="1"/>
    <n v="51"/>
    <n v="1"/>
    <n v="0"/>
    <x v="2"/>
    <x v="0"/>
    <x v="2"/>
    <x v="0"/>
    <n v="69.94"/>
    <n v="33.299999999999997"/>
    <x v="2"/>
    <n v="0"/>
    <x v="1"/>
    <x v="0"/>
  </r>
  <r>
    <n v="43138"/>
    <x v="0"/>
    <n v="15"/>
    <n v="0"/>
    <n v="0"/>
    <x v="2"/>
    <x v="1"/>
    <x v="0"/>
    <x v="0"/>
    <n v="55.79"/>
    <n v="21.3"/>
    <x v="1"/>
    <n v="0"/>
    <x v="2"/>
    <x v="2"/>
  </r>
  <r>
    <n v="36633"/>
    <x v="0"/>
    <n v="1.72"/>
    <n v="0"/>
    <n v="0"/>
    <x v="2"/>
    <x v="1"/>
    <x v="3"/>
    <x v="0"/>
    <n v="73.08"/>
    <n v="20.399999999999999"/>
    <x v="3"/>
    <n v="0"/>
    <x v="2"/>
    <x v="2"/>
  </r>
  <r>
    <n v="11632"/>
    <x v="0"/>
    <n v="60"/>
    <n v="0"/>
    <n v="0"/>
    <x v="1"/>
    <x v="0"/>
    <x v="0"/>
    <x v="0"/>
    <n v="96.02"/>
    <n v="28.7"/>
    <x v="3"/>
    <n v="0"/>
    <x v="0"/>
    <x v="3"/>
  </r>
  <r>
    <n v="31153"/>
    <x v="0"/>
    <n v="66"/>
    <n v="0"/>
    <n v="0"/>
    <x v="1"/>
    <x v="0"/>
    <x v="1"/>
    <x v="1"/>
    <n v="189.82"/>
    <n v="28.8"/>
    <x v="0"/>
    <n v="0"/>
    <x v="0"/>
    <x v="3"/>
  </r>
  <r>
    <n v="52247"/>
    <x v="1"/>
    <n v="75"/>
    <n v="0"/>
    <n v="0"/>
    <x v="1"/>
    <x v="0"/>
    <x v="2"/>
    <x v="0"/>
    <n v="89.68"/>
    <n v="38.700000000000003"/>
    <x v="1"/>
    <n v="0"/>
    <x v="0"/>
    <x v="0"/>
  </r>
  <r>
    <n v="61987"/>
    <x v="1"/>
    <n v="40"/>
    <n v="0"/>
    <n v="0"/>
    <x v="2"/>
    <x v="0"/>
    <x v="0"/>
    <x v="0"/>
    <n v="101.06"/>
    <n v="32.299999999999997"/>
    <x v="2"/>
    <n v="0"/>
    <x v="1"/>
    <x v="0"/>
  </r>
  <r>
    <n v="64416"/>
    <x v="1"/>
    <n v="52"/>
    <n v="0"/>
    <n v="0"/>
    <x v="2"/>
    <x v="0"/>
    <x v="2"/>
    <x v="1"/>
    <n v="62.66"/>
    <n v="37.9"/>
    <x v="3"/>
    <n v="0"/>
    <x v="1"/>
    <x v="0"/>
  </r>
  <r>
    <n v="31708"/>
    <x v="1"/>
    <n v="13"/>
    <n v="0"/>
    <n v="0"/>
    <x v="2"/>
    <x v="1"/>
    <x v="3"/>
    <x v="0"/>
    <n v="84.03"/>
    <n v="25.3"/>
    <x v="3"/>
    <n v="0"/>
    <x v="2"/>
    <x v="3"/>
  </r>
  <r>
    <n v="62296"/>
    <x v="1"/>
    <n v="44"/>
    <n v="0"/>
    <n v="0"/>
    <x v="2"/>
    <x v="0"/>
    <x v="2"/>
    <x v="1"/>
    <n v="108.38"/>
    <n v="27.7"/>
    <x v="3"/>
    <n v="0"/>
    <x v="1"/>
    <x v="3"/>
  </r>
  <r>
    <n v="53976"/>
    <x v="1"/>
    <n v="37"/>
    <n v="0"/>
    <n v="0"/>
    <x v="2"/>
    <x v="1"/>
    <x v="0"/>
    <x v="1"/>
    <n v="78.790000000000006"/>
    <n v="25.1"/>
    <x v="3"/>
    <n v="0"/>
    <x v="2"/>
    <x v="3"/>
  </r>
  <r>
    <n v="16446"/>
    <x v="0"/>
    <n v="2"/>
    <n v="0"/>
    <n v="0"/>
    <x v="2"/>
    <x v="1"/>
    <x v="3"/>
    <x v="1"/>
    <n v="76.12"/>
    <n v="16.8"/>
    <x v="3"/>
    <n v="0"/>
    <x v="2"/>
    <x v="4"/>
  </r>
  <r>
    <n v="51329"/>
    <x v="1"/>
    <n v="48"/>
    <n v="0"/>
    <n v="0"/>
    <x v="2"/>
    <x v="0"/>
    <x v="0"/>
    <x v="1"/>
    <n v="68.010000000000005"/>
    <n v="27.7"/>
    <x v="1"/>
    <n v="0"/>
    <x v="1"/>
    <x v="3"/>
  </r>
  <r>
    <n v="33560"/>
    <x v="1"/>
    <n v="81"/>
    <n v="0"/>
    <n v="1"/>
    <x v="0"/>
    <x v="0"/>
    <x v="2"/>
    <x v="0"/>
    <n v="90.11"/>
    <n v="28.6"/>
    <x v="1"/>
    <n v="0"/>
    <x v="0"/>
    <x v="3"/>
  </r>
  <r>
    <n v="37866"/>
    <x v="1"/>
    <n v="76"/>
    <n v="0"/>
    <n v="0"/>
    <x v="1"/>
    <x v="0"/>
    <x v="1"/>
    <x v="0"/>
    <n v="193.61"/>
    <n v="37.6"/>
    <x v="1"/>
    <n v="0"/>
    <x v="0"/>
    <x v="0"/>
  </r>
  <r>
    <n v="8553"/>
    <x v="1"/>
    <n v="58"/>
    <n v="0"/>
    <n v="0"/>
    <x v="2"/>
    <x v="0"/>
    <x v="2"/>
    <x v="1"/>
    <n v="195.74"/>
    <n v="32.700000000000003"/>
    <x v="3"/>
    <n v="0"/>
    <x v="1"/>
    <x v="0"/>
  </r>
  <r>
    <n v="5654"/>
    <x v="1"/>
    <n v="11"/>
    <n v="0"/>
    <n v="0"/>
    <x v="2"/>
    <x v="1"/>
    <x v="3"/>
    <x v="1"/>
    <n v="94.77"/>
    <n v="22.7"/>
    <x v="3"/>
    <n v="0"/>
    <x v="2"/>
    <x v="2"/>
  </r>
  <r>
    <n v="17238"/>
    <x v="1"/>
    <n v="9"/>
    <n v="0"/>
    <n v="0"/>
    <x v="2"/>
    <x v="1"/>
    <x v="3"/>
    <x v="0"/>
    <n v="85"/>
    <n v="16"/>
    <x v="3"/>
    <n v="0"/>
    <x v="2"/>
    <x v="4"/>
  </r>
  <r>
    <n v="45252"/>
    <x v="0"/>
    <n v="54"/>
    <n v="0"/>
    <n v="0"/>
    <x v="2"/>
    <x v="0"/>
    <x v="0"/>
    <x v="0"/>
    <n v="141.37"/>
    <n v="23.5"/>
    <x v="1"/>
    <n v="0"/>
    <x v="1"/>
    <x v="2"/>
  </r>
  <r>
    <n v="14444"/>
    <x v="1"/>
    <n v="37"/>
    <n v="0"/>
    <n v="0"/>
    <x v="2"/>
    <x v="1"/>
    <x v="1"/>
    <x v="0"/>
    <n v="90.71"/>
    <n v="45.8"/>
    <x v="3"/>
    <n v="0"/>
    <x v="2"/>
    <x v="0"/>
  </r>
  <r>
    <n v="46503"/>
    <x v="1"/>
    <n v="16"/>
    <n v="0"/>
    <n v="0"/>
    <x v="2"/>
    <x v="1"/>
    <x v="0"/>
    <x v="1"/>
    <n v="106.8"/>
    <n v="20.8"/>
    <x v="1"/>
    <n v="0"/>
    <x v="2"/>
    <x v="2"/>
  </r>
  <r>
    <n v="18578"/>
    <x v="0"/>
    <n v="11"/>
    <n v="0"/>
    <n v="0"/>
    <x v="2"/>
    <x v="1"/>
    <x v="3"/>
    <x v="1"/>
    <n v="121.66"/>
    <n v="16.7"/>
    <x v="3"/>
    <n v="0"/>
    <x v="2"/>
    <x v="4"/>
  </r>
  <r>
    <n v="917"/>
    <x v="1"/>
    <n v="32"/>
    <n v="0"/>
    <n v="0"/>
    <x v="2"/>
    <x v="0"/>
    <x v="0"/>
    <x v="0"/>
    <n v="85.18"/>
    <n v="22.2"/>
    <x v="2"/>
    <n v="0"/>
    <x v="2"/>
    <x v="2"/>
  </r>
  <r>
    <n v="60981"/>
    <x v="1"/>
    <n v="26"/>
    <n v="0"/>
    <n v="0"/>
    <x v="2"/>
    <x v="1"/>
    <x v="0"/>
    <x v="1"/>
    <n v="130.07"/>
    <n v="33.1"/>
    <x v="1"/>
    <n v="0"/>
    <x v="2"/>
    <x v="0"/>
  </r>
  <r>
    <n v="28873"/>
    <x v="1"/>
    <n v="21"/>
    <n v="0"/>
    <n v="0"/>
    <x v="2"/>
    <x v="1"/>
    <x v="0"/>
    <x v="1"/>
    <n v="74.239999999999995"/>
    <n v="32.700000000000003"/>
    <x v="1"/>
    <n v="0"/>
    <x v="2"/>
    <x v="0"/>
  </r>
  <r>
    <n v="25446"/>
    <x v="1"/>
    <n v="45"/>
    <n v="0"/>
    <n v="0"/>
    <x v="2"/>
    <x v="0"/>
    <x v="2"/>
    <x v="0"/>
    <n v="79.98"/>
    <n v="41.4"/>
    <x v="1"/>
    <n v="0"/>
    <x v="1"/>
    <x v="0"/>
  </r>
  <r>
    <n v="54127"/>
    <x v="1"/>
    <n v="40"/>
    <n v="0"/>
    <n v="0"/>
    <x v="2"/>
    <x v="0"/>
    <x v="1"/>
    <x v="0"/>
    <n v="106.76"/>
    <n v="24.1"/>
    <x v="0"/>
    <n v="0"/>
    <x v="1"/>
    <x v="2"/>
  </r>
  <r>
    <n v="63478"/>
    <x v="1"/>
    <n v="41"/>
    <n v="0"/>
    <n v="0"/>
    <x v="2"/>
    <x v="0"/>
    <x v="0"/>
    <x v="0"/>
    <n v="76.34"/>
    <n v="28"/>
    <x v="3"/>
    <n v="0"/>
    <x v="1"/>
    <x v="3"/>
  </r>
  <r>
    <n v="15464"/>
    <x v="1"/>
    <n v="71"/>
    <n v="1"/>
    <n v="1"/>
    <x v="0"/>
    <x v="0"/>
    <x v="0"/>
    <x v="1"/>
    <n v="221.24"/>
    <n v="24.2"/>
    <x v="3"/>
    <n v="0"/>
    <x v="0"/>
    <x v="2"/>
  </r>
  <r>
    <n v="63312"/>
    <x v="0"/>
    <n v="16"/>
    <n v="0"/>
    <n v="0"/>
    <x v="2"/>
    <x v="1"/>
    <x v="0"/>
    <x v="0"/>
    <n v="80.55"/>
    <n v="23.5"/>
    <x v="2"/>
    <n v="0"/>
    <x v="2"/>
    <x v="2"/>
  </r>
  <r>
    <n v="55681"/>
    <x v="1"/>
    <n v="7"/>
    <n v="0"/>
    <n v="0"/>
    <x v="2"/>
    <x v="1"/>
    <x v="3"/>
    <x v="1"/>
    <n v="63.98"/>
    <n v="23"/>
    <x v="3"/>
    <n v="0"/>
    <x v="2"/>
    <x v="2"/>
  </r>
  <r>
    <n v="63804"/>
    <x v="1"/>
    <n v="27"/>
    <n v="0"/>
    <n v="0"/>
    <x v="2"/>
    <x v="1"/>
    <x v="0"/>
    <x v="1"/>
    <n v="55.93"/>
    <n v="20.3"/>
    <x v="2"/>
    <n v="0"/>
    <x v="2"/>
    <x v="2"/>
  </r>
  <r>
    <n v="10321"/>
    <x v="1"/>
    <n v="22"/>
    <n v="0"/>
    <n v="0"/>
    <x v="2"/>
    <x v="0"/>
    <x v="0"/>
    <x v="1"/>
    <n v="73.94"/>
    <n v="24.8"/>
    <x v="3"/>
    <n v="0"/>
    <x v="2"/>
    <x v="2"/>
  </r>
  <r>
    <n v="56339"/>
    <x v="1"/>
    <n v="79"/>
    <n v="0"/>
    <n v="0"/>
    <x v="1"/>
    <x v="0"/>
    <x v="1"/>
    <x v="1"/>
    <n v="65.58"/>
    <n v="26.1"/>
    <x v="3"/>
    <n v="0"/>
    <x v="0"/>
    <x v="3"/>
  </r>
  <r>
    <n v="56277"/>
    <x v="1"/>
    <n v="38"/>
    <n v="0"/>
    <n v="0"/>
    <x v="2"/>
    <x v="0"/>
    <x v="0"/>
    <x v="1"/>
    <n v="83.8"/>
    <n v="24.2"/>
    <x v="2"/>
    <n v="0"/>
    <x v="2"/>
    <x v="2"/>
  </r>
  <r>
    <n v="33657"/>
    <x v="1"/>
    <n v="64"/>
    <n v="0"/>
    <n v="0"/>
    <x v="1"/>
    <x v="0"/>
    <x v="0"/>
    <x v="0"/>
    <n v="95.87"/>
    <n v="19.3"/>
    <x v="0"/>
    <n v="0"/>
    <x v="0"/>
    <x v="2"/>
  </r>
  <r>
    <n v="7054"/>
    <x v="0"/>
    <n v="4"/>
    <n v="0"/>
    <n v="0"/>
    <x v="2"/>
    <x v="1"/>
    <x v="3"/>
    <x v="1"/>
    <n v="112.83"/>
    <n v="18.2"/>
    <x v="3"/>
    <n v="0"/>
    <x v="2"/>
    <x v="4"/>
  </r>
  <r>
    <n v="72393"/>
    <x v="1"/>
    <n v="23"/>
    <n v="0"/>
    <n v="0"/>
    <x v="2"/>
    <x v="0"/>
    <x v="2"/>
    <x v="1"/>
    <n v="84.93"/>
    <n v="24.2"/>
    <x v="1"/>
    <n v="0"/>
    <x v="2"/>
    <x v="2"/>
  </r>
  <r>
    <n v="68059"/>
    <x v="0"/>
    <n v="35"/>
    <n v="0"/>
    <n v="0"/>
    <x v="2"/>
    <x v="0"/>
    <x v="2"/>
    <x v="1"/>
    <n v="103.08"/>
    <n v="41.5"/>
    <x v="2"/>
    <n v="0"/>
    <x v="2"/>
    <x v="0"/>
  </r>
  <r>
    <n v="14996"/>
    <x v="0"/>
    <n v="66"/>
    <n v="0"/>
    <n v="0"/>
    <x v="1"/>
    <x v="0"/>
    <x v="1"/>
    <x v="1"/>
    <n v="85.98"/>
    <n v="28"/>
    <x v="3"/>
    <n v="0"/>
    <x v="0"/>
    <x v="3"/>
  </r>
  <r>
    <n v="841"/>
    <x v="0"/>
    <n v="34"/>
    <n v="0"/>
    <n v="0"/>
    <x v="2"/>
    <x v="0"/>
    <x v="0"/>
    <x v="0"/>
    <n v="83.75"/>
    <n v="37"/>
    <x v="1"/>
    <n v="0"/>
    <x v="2"/>
    <x v="0"/>
  </r>
  <r>
    <n v="22880"/>
    <x v="1"/>
    <n v="19"/>
    <n v="0"/>
    <n v="0"/>
    <x v="2"/>
    <x v="1"/>
    <x v="0"/>
    <x v="0"/>
    <n v="125.43"/>
    <n v="32.200000000000003"/>
    <x v="3"/>
    <n v="0"/>
    <x v="2"/>
    <x v="0"/>
  </r>
  <r>
    <n v="1552"/>
    <x v="0"/>
    <n v="73"/>
    <n v="0"/>
    <n v="0"/>
    <x v="1"/>
    <x v="0"/>
    <x v="0"/>
    <x v="0"/>
    <n v="101.58"/>
    <n v="35.9"/>
    <x v="1"/>
    <n v="0"/>
    <x v="0"/>
    <x v="0"/>
  </r>
  <r>
    <n v="68853"/>
    <x v="1"/>
    <n v="70"/>
    <n v="0"/>
    <n v="0"/>
    <x v="1"/>
    <x v="0"/>
    <x v="0"/>
    <x v="1"/>
    <n v="149.80000000000001"/>
    <n v="47.6"/>
    <x v="3"/>
    <n v="0"/>
    <x v="0"/>
    <x v="0"/>
  </r>
  <r>
    <n v="49190"/>
    <x v="1"/>
    <n v="45"/>
    <n v="0"/>
    <n v="0"/>
    <x v="2"/>
    <x v="0"/>
    <x v="0"/>
    <x v="1"/>
    <n v="112.55"/>
    <n v="32.1"/>
    <x v="1"/>
    <n v="0"/>
    <x v="1"/>
    <x v="0"/>
  </r>
  <r>
    <n v="49277"/>
    <x v="1"/>
    <n v="34"/>
    <n v="0"/>
    <n v="0"/>
    <x v="2"/>
    <x v="1"/>
    <x v="0"/>
    <x v="0"/>
    <n v="70.87"/>
    <n v="55.7"/>
    <x v="0"/>
    <n v="0"/>
    <x v="2"/>
    <x v="0"/>
  </r>
  <r>
    <n v="711"/>
    <x v="0"/>
    <n v="81"/>
    <n v="0"/>
    <n v="0"/>
    <x v="1"/>
    <x v="0"/>
    <x v="0"/>
    <x v="1"/>
    <n v="92.96"/>
    <n v="22.2"/>
    <x v="1"/>
    <n v="0"/>
    <x v="0"/>
    <x v="2"/>
  </r>
  <r>
    <n v="1953"/>
    <x v="1"/>
    <n v="0.72"/>
    <n v="0"/>
    <n v="0"/>
    <x v="2"/>
    <x v="1"/>
    <x v="3"/>
    <x v="1"/>
    <n v="112.19"/>
    <n v="20.100000000000001"/>
    <x v="3"/>
    <n v="0"/>
    <x v="2"/>
    <x v="2"/>
  </r>
  <r>
    <n v="34900"/>
    <x v="0"/>
    <n v="13"/>
    <n v="0"/>
    <n v="0"/>
    <x v="2"/>
    <x v="1"/>
    <x v="4"/>
    <x v="0"/>
    <n v="85.08"/>
    <n v="14.6"/>
    <x v="3"/>
    <n v="0"/>
    <x v="2"/>
    <x v="4"/>
  </r>
  <r>
    <n v="13237"/>
    <x v="0"/>
    <n v="57"/>
    <n v="0"/>
    <n v="1"/>
    <x v="2"/>
    <x v="0"/>
    <x v="1"/>
    <x v="0"/>
    <n v="112.37"/>
    <n v="28.4"/>
    <x v="1"/>
    <n v="0"/>
    <x v="1"/>
    <x v="3"/>
  </r>
  <r>
    <n v="61684"/>
    <x v="1"/>
    <n v="38"/>
    <n v="0"/>
    <n v="0"/>
    <x v="2"/>
    <x v="0"/>
    <x v="0"/>
    <x v="0"/>
    <n v="151.26"/>
    <n v="20.6"/>
    <x v="1"/>
    <n v="0"/>
    <x v="2"/>
    <x v="2"/>
  </r>
  <r>
    <n v="28382"/>
    <x v="0"/>
    <n v="21"/>
    <n v="0"/>
    <n v="0"/>
    <x v="2"/>
    <x v="1"/>
    <x v="0"/>
    <x v="0"/>
    <n v="73.81"/>
    <n v="19.8"/>
    <x v="3"/>
    <n v="0"/>
    <x v="2"/>
    <x v="2"/>
  </r>
  <r>
    <n v="13768"/>
    <x v="1"/>
    <n v="38"/>
    <n v="0"/>
    <n v="0"/>
    <x v="2"/>
    <x v="0"/>
    <x v="0"/>
    <x v="0"/>
    <n v="77.2"/>
    <n v="23.4"/>
    <x v="3"/>
    <n v="0"/>
    <x v="2"/>
    <x v="2"/>
  </r>
  <r>
    <n v="32726"/>
    <x v="1"/>
    <n v="41"/>
    <n v="0"/>
    <n v="0"/>
    <x v="2"/>
    <x v="1"/>
    <x v="0"/>
    <x v="0"/>
    <n v="76.08"/>
    <n v="25.1"/>
    <x v="1"/>
    <n v="0"/>
    <x v="1"/>
    <x v="3"/>
  </r>
  <r>
    <n v="65729"/>
    <x v="1"/>
    <n v="26"/>
    <n v="0"/>
    <n v="0"/>
    <x v="2"/>
    <x v="0"/>
    <x v="0"/>
    <x v="1"/>
    <n v="123.98"/>
    <n v="30.1"/>
    <x v="1"/>
    <n v="0"/>
    <x v="2"/>
    <x v="0"/>
  </r>
  <r>
    <n v="6422"/>
    <x v="1"/>
    <n v="48"/>
    <n v="0"/>
    <n v="0"/>
    <x v="2"/>
    <x v="0"/>
    <x v="1"/>
    <x v="0"/>
    <n v="108.51"/>
    <n v="33.299999999999997"/>
    <x v="3"/>
    <n v="0"/>
    <x v="1"/>
    <x v="0"/>
  </r>
  <r>
    <n v="11382"/>
    <x v="0"/>
    <n v="18"/>
    <n v="0"/>
    <n v="0"/>
    <x v="2"/>
    <x v="1"/>
    <x v="0"/>
    <x v="1"/>
    <n v="98.07"/>
    <n v="24"/>
    <x v="1"/>
    <n v="0"/>
    <x v="2"/>
    <x v="2"/>
  </r>
  <r>
    <n v="31703"/>
    <x v="0"/>
    <n v="66"/>
    <n v="0"/>
    <n v="0"/>
    <x v="1"/>
    <x v="0"/>
    <x v="1"/>
    <x v="0"/>
    <n v="85.82"/>
    <n v="27.8"/>
    <x v="1"/>
    <n v="0"/>
    <x v="0"/>
    <x v="3"/>
  </r>
  <r>
    <n v="33439"/>
    <x v="1"/>
    <n v="27"/>
    <n v="0"/>
    <n v="0"/>
    <x v="2"/>
    <x v="1"/>
    <x v="0"/>
    <x v="1"/>
    <n v="86.21"/>
    <n v="21.4"/>
    <x v="3"/>
    <n v="0"/>
    <x v="2"/>
    <x v="2"/>
  </r>
  <r>
    <n v="5647"/>
    <x v="1"/>
    <n v="18"/>
    <n v="0"/>
    <n v="0"/>
    <x v="2"/>
    <x v="1"/>
    <x v="0"/>
    <x v="0"/>
    <n v="99.01"/>
    <n v="25.5"/>
    <x v="0"/>
    <n v="0"/>
    <x v="2"/>
    <x v="3"/>
  </r>
  <r>
    <n v="1847"/>
    <x v="1"/>
    <n v="20"/>
    <n v="0"/>
    <n v="0"/>
    <x v="2"/>
    <x v="1"/>
    <x v="2"/>
    <x v="1"/>
    <n v="79.53"/>
    <s v="N/A"/>
    <x v="1"/>
    <n v="0"/>
    <x v="2"/>
    <x v="1"/>
  </r>
  <r>
    <n v="12900"/>
    <x v="0"/>
    <n v="11"/>
    <n v="0"/>
    <n v="0"/>
    <x v="2"/>
    <x v="1"/>
    <x v="3"/>
    <x v="1"/>
    <n v="80.08"/>
    <n v="21.8"/>
    <x v="1"/>
    <n v="0"/>
    <x v="2"/>
    <x v="2"/>
  </r>
  <r>
    <n v="28367"/>
    <x v="1"/>
    <n v="7"/>
    <n v="0"/>
    <n v="0"/>
    <x v="2"/>
    <x v="1"/>
    <x v="3"/>
    <x v="1"/>
    <n v="69.47"/>
    <n v="18.899999999999999"/>
    <x v="3"/>
    <n v="0"/>
    <x v="2"/>
    <x v="2"/>
  </r>
  <r>
    <n v="71551"/>
    <x v="1"/>
    <n v="54"/>
    <n v="0"/>
    <n v="0"/>
    <x v="2"/>
    <x v="1"/>
    <x v="0"/>
    <x v="0"/>
    <n v="85.07"/>
    <n v="21.9"/>
    <x v="3"/>
    <n v="0"/>
    <x v="1"/>
    <x v="2"/>
  </r>
  <r>
    <n v="13846"/>
    <x v="0"/>
    <n v="43"/>
    <n v="0"/>
    <n v="0"/>
    <x v="2"/>
    <x v="0"/>
    <x v="2"/>
    <x v="1"/>
    <n v="88"/>
    <n v="30.6"/>
    <x v="1"/>
    <n v="0"/>
    <x v="1"/>
    <x v="0"/>
  </r>
  <r>
    <n v="61667"/>
    <x v="1"/>
    <n v="61"/>
    <n v="0"/>
    <n v="0"/>
    <x v="1"/>
    <x v="0"/>
    <x v="0"/>
    <x v="1"/>
    <n v="144.13999999999999"/>
    <n v="29.8"/>
    <x v="1"/>
    <n v="0"/>
    <x v="0"/>
    <x v="3"/>
  </r>
  <r>
    <n v="46079"/>
    <x v="0"/>
    <n v="31"/>
    <n v="0"/>
    <n v="0"/>
    <x v="2"/>
    <x v="1"/>
    <x v="0"/>
    <x v="0"/>
    <n v="78.8"/>
    <n v="28.7"/>
    <x v="2"/>
    <n v="0"/>
    <x v="2"/>
    <x v="3"/>
  </r>
  <r>
    <n v="7871"/>
    <x v="1"/>
    <n v="40"/>
    <n v="0"/>
    <n v="0"/>
    <x v="2"/>
    <x v="0"/>
    <x v="0"/>
    <x v="0"/>
    <n v="86.78"/>
    <n v="35.5"/>
    <x v="2"/>
    <n v="0"/>
    <x v="1"/>
    <x v="0"/>
  </r>
  <r>
    <n v="60964"/>
    <x v="1"/>
    <n v="71"/>
    <n v="1"/>
    <n v="0"/>
    <x v="0"/>
    <x v="0"/>
    <x v="2"/>
    <x v="1"/>
    <n v="105.72"/>
    <n v="29.1"/>
    <x v="0"/>
    <n v="0"/>
    <x v="0"/>
    <x v="3"/>
  </r>
  <r>
    <n v="72562"/>
    <x v="1"/>
    <n v="57"/>
    <n v="0"/>
    <n v="0"/>
    <x v="2"/>
    <x v="0"/>
    <x v="0"/>
    <x v="1"/>
    <n v="64.37"/>
    <n v="32.799999999999997"/>
    <x v="1"/>
    <n v="0"/>
    <x v="1"/>
    <x v="0"/>
  </r>
  <r>
    <n v="63773"/>
    <x v="1"/>
    <n v="13"/>
    <n v="0"/>
    <n v="0"/>
    <x v="2"/>
    <x v="1"/>
    <x v="3"/>
    <x v="1"/>
    <n v="146.1"/>
    <n v="22.8"/>
    <x v="1"/>
    <n v="0"/>
    <x v="2"/>
    <x v="2"/>
  </r>
  <r>
    <n v="53998"/>
    <x v="1"/>
    <n v="21"/>
    <n v="0"/>
    <n v="0"/>
    <x v="2"/>
    <x v="1"/>
    <x v="0"/>
    <x v="0"/>
    <n v="58.66"/>
    <n v="31.3"/>
    <x v="1"/>
    <n v="0"/>
    <x v="2"/>
    <x v="0"/>
  </r>
  <r>
    <n v="16617"/>
    <x v="1"/>
    <n v="63"/>
    <n v="1"/>
    <n v="0"/>
    <x v="0"/>
    <x v="0"/>
    <x v="2"/>
    <x v="0"/>
    <n v="192.5"/>
    <n v="29"/>
    <x v="1"/>
    <n v="0"/>
    <x v="0"/>
    <x v="3"/>
  </r>
  <r>
    <n v="54117"/>
    <x v="0"/>
    <n v="7"/>
    <n v="0"/>
    <n v="0"/>
    <x v="2"/>
    <x v="1"/>
    <x v="3"/>
    <x v="1"/>
    <n v="103.5"/>
    <n v="19"/>
    <x v="3"/>
    <n v="0"/>
    <x v="2"/>
    <x v="2"/>
  </r>
  <r>
    <n v="5987"/>
    <x v="1"/>
    <n v="78"/>
    <n v="0"/>
    <n v="0"/>
    <x v="1"/>
    <x v="0"/>
    <x v="0"/>
    <x v="0"/>
    <n v="89.42"/>
    <n v="24.1"/>
    <x v="1"/>
    <n v="0"/>
    <x v="0"/>
    <x v="2"/>
  </r>
  <r>
    <n v="72215"/>
    <x v="1"/>
    <n v="66"/>
    <n v="0"/>
    <n v="0"/>
    <x v="1"/>
    <x v="0"/>
    <x v="1"/>
    <x v="1"/>
    <n v="212.92"/>
    <n v="21.4"/>
    <x v="1"/>
    <n v="0"/>
    <x v="0"/>
    <x v="2"/>
  </r>
  <r>
    <n v="39796"/>
    <x v="0"/>
    <n v="41"/>
    <n v="0"/>
    <n v="0"/>
    <x v="2"/>
    <x v="1"/>
    <x v="1"/>
    <x v="1"/>
    <n v="60.73"/>
    <n v="28"/>
    <x v="1"/>
    <n v="0"/>
    <x v="1"/>
    <x v="3"/>
  </r>
  <r>
    <n v="12345"/>
    <x v="0"/>
    <n v="11"/>
    <n v="0"/>
    <n v="0"/>
    <x v="2"/>
    <x v="1"/>
    <x v="3"/>
    <x v="0"/>
    <n v="73.180000000000007"/>
    <n v="27.6"/>
    <x v="1"/>
    <n v="0"/>
    <x v="2"/>
    <x v="3"/>
  </r>
  <r>
    <n v="65636"/>
    <x v="0"/>
    <n v="55"/>
    <n v="0"/>
    <n v="0"/>
    <x v="2"/>
    <x v="0"/>
    <x v="0"/>
    <x v="0"/>
    <n v="82.26"/>
    <n v="28.7"/>
    <x v="3"/>
    <n v="0"/>
    <x v="1"/>
    <x v="3"/>
  </r>
  <r>
    <n v="47356"/>
    <x v="1"/>
    <n v="42"/>
    <n v="0"/>
    <n v="0"/>
    <x v="2"/>
    <x v="0"/>
    <x v="0"/>
    <x v="0"/>
    <n v="87.4"/>
    <n v="24.5"/>
    <x v="0"/>
    <n v="0"/>
    <x v="1"/>
    <x v="2"/>
  </r>
  <r>
    <n v="27859"/>
    <x v="0"/>
    <n v="51"/>
    <n v="0"/>
    <n v="0"/>
    <x v="2"/>
    <x v="0"/>
    <x v="0"/>
    <x v="1"/>
    <n v="86.95"/>
    <n v="25"/>
    <x v="0"/>
    <n v="0"/>
    <x v="1"/>
    <x v="3"/>
  </r>
  <r>
    <n v="41715"/>
    <x v="1"/>
    <n v="79"/>
    <n v="1"/>
    <n v="0"/>
    <x v="0"/>
    <x v="0"/>
    <x v="1"/>
    <x v="1"/>
    <n v="74"/>
    <n v="29.6"/>
    <x v="1"/>
    <n v="0"/>
    <x v="0"/>
    <x v="3"/>
  </r>
  <r>
    <n v="38617"/>
    <x v="0"/>
    <n v="28"/>
    <n v="0"/>
    <n v="0"/>
    <x v="2"/>
    <x v="0"/>
    <x v="1"/>
    <x v="0"/>
    <n v="73.98"/>
    <n v="29.9"/>
    <x v="1"/>
    <n v="0"/>
    <x v="2"/>
    <x v="3"/>
  </r>
  <r>
    <n v="32638"/>
    <x v="1"/>
    <n v="73"/>
    <n v="1"/>
    <n v="0"/>
    <x v="0"/>
    <x v="0"/>
    <x v="1"/>
    <x v="1"/>
    <n v="124.78"/>
    <n v="35.6"/>
    <x v="1"/>
    <n v="0"/>
    <x v="0"/>
    <x v="0"/>
  </r>
  <r>
    <n v="47799"/>
    <x v="1"/>
    <n v="42"/>
    <n v="0"/>
    <n v="0"/>
    <x v="2"/>
    <x v="0"/>
    <x v="0"/>
    <x v="0"/>
    <n v="191.94"/>
    <n v="27.9"/>
    <x v="1"/>
    <n v="0"/>
    <x v="1"/>
    <x v="3"/>
  </r>
  <r>
    <n v="41942"/>
    <x v="1"/>
    <n v="37"/>
    <n v="0"/>
    <n v="0"/>
    <x v="2"/>
    <x v="0"/>
    <x v="0"/>
    <x v="0"/>
    <n v="247.87"/>
    <n v="42.6"/>
    <x v="1"/>
    <n v="0"/>
    <x v="2"/>
    <x v="0"/>
  </r>
  <r>
    <n v="69010"/>
    <x v="0"/>
    <n v="78"/>
    <n v="0"/>
    <n v="0"/>
    <x v="1"/>
    <x v="0"/>
    <x v="0"/>
    <x v="1"/>
    <n v="83.2"/>
    <n v="21.2"/>
    <x v="0"/>
    <n v="0"/>
    <x v="0"/>
    <x v="2"/>
  </r>
  <r>
    <n v="47144"/>
    <x v="1"/>
    <n v="74"/>
    <n v="0"/>
    <n v="0"/>
    <x v="1"/>
    <x v="0"/>
    <x v="1"/>
    <x v="0"/>
    <n v="88.62"/>
    <n v="28.5"/>
    <x v="0"/>
    <n v="0"/>
    <x v="0"/>
    <x v="3"/>
  </r>
  <r>
    <n v="65103"/>
    <x v="1"/>
    <n v="59"/>
    <n v="0"/>
    <n v="0"/>
    <x v="2"/>
    <x v="0"/>
    <x v="0"/>
    <x v="0"/>
    <n v="81.510000000000005"/>
    <n v="25.6"/>
    <x v="0"/>
    <n v="0"/>
    <x v="1"/>
    <x v="3"/>
  </r>
  <r>
    <n v="6472"/>
    <x v="1"/>
    <n v="78"/>
    <n v="0"/>
    <n v="0"/>
    <x v="1"/>
    <x v="0"/>
    <x v="2"/>
    <x v="0"/>
    <n v="101.76"/>
    <s v="N/A"/>
    <x v="2"/>
    <n v="0"/>
    <x v="0"/>
    <x v="1"/>
  </r>
  <r>
    <n v="27596"/>
    <x v="1"/>
    <n v="82"/>
    <n v="1"/>
    <n v="0"/>
    <x v="0"/>
    <x v="0"/>
    <x v="0"/>
    <x v="0"/>
    <n v="115.71"/>
    <n v="31.1"/>
    <x v="0"/>
    <n v="0"/>
    <x v="0"/>
    <x v="0"/>
  </r>
  <r>
    <n v="59522"/>
    <x v="0"/>
    <n v="71"/>
    <n v="1"/>
    <n v="0"/>
    <x v="0"/>
    <x v="0"/>
    <x v="0"/>
    <x v="1"/>
    <n v="229.73"/>
    <n v="30.4"/>
    <x v="1"/>
    <n v="0"/>
    <x v="0"/>
    <x v="0"/>
  </r>
  <r>
    <n v="51512"/>
    <x v="1"/>
    <n v="19"/>
    <n v="0"/>
    <n v="0"/>
    <x v="2"/>
    <x v="1"/>
    <x v="0"/>
    <x v="1"/>
    <n v="57.4"/>
    <n v="22.9"/>
    <x v="3"/>
    <n v="0"/>
    <x v="2"/>
    <x v="2"/>
  </r>
  <r>
    <n v="53821"/>
    <x v="0"/>
    <n v="18"/>
    <n v="0"/>
    <n v="0"/>
    <x v="2"/>
    <x v="1"/>
    <x v="0"/>
    <x v="1"/>
    <n v="100.47"/>
    <n v="31.9"/>
    <x v="1"/>
    <n v="0"/>
    <x v="2"/>
    <x v="0"/>
  </r>
  <r>
    <n v="51532"/>
    <x v="1"/>
    <n v="53"/>
    <n v="0"/>
    <n v="0"/>
    <x v="2"/>
    <x v="0"/>
    <x v="2"/>
    <x v="1"/>
    <n v="81.36"/>
    <n v="48.8"/>
    <x v="1"/>
    <n v="0"/>
    <x v="1"/>
    <x v="0"/>
  </r>
  <r>
    <n v="50070"/>
    <x v="1"/>
    <n v="62"/>
    <n v="1"/>
    <n v="0"/>
    <x v="0"/>
    <x v="0"/>
    <x v="1"/>
    <x v="1"/>
    <n v="261.67"/>
    <n v="43"/>
    <x v="0"/>
    <n v="0"/>
    <x v="0"/>
    <x v="0"/>
  </r>
  <r>
    <n v="41654"/>
    <x v="0"/>
    <n v="3"/>
    <n v="0"/>
    <n v="0"/>
    <x v="2"/>
    <x v="1"/>
    <x v="3"/>
    <x v="1"/>
    <n v="110.2"/>
    <n v="21.8"/>
    <x v="3"/>
    <n v="0"/>
    <x v="2"/>
    <x v="2"/>
  </r>
  <r>
    <n v="5714"/>
    <x v="1"/>
    <n v="49"/>
    <n v="1"/>
    <n v="0"/>
    <x v="2"/>
    <x v="0"/>
    <x v="2"/>
    <x v="1"/>
    <n v="98.9"/>
    <n v="35.5"/>
    <x v="1"/>
    <n v="0"/>
    <x v="1"/>
    <x v="0"/>
  </r>
  <r>
    <n v="2304"/>
    <x v="0"/>
    <n v="51"/>
    <n v="0"/>
    <n v="0"/>
    <x v="2"/>
    <x v="0"/>
    <x v="2"/>
    <x v="1"/>
    <n v="95.19"/>
    <n v="24.3"/>
    <x v="2"/>
    <n v="0"/>
    <x v="1"/>
    <x v="2"/>
  </r>
  <r>
    <n v="8543"/>
    <x v="1"/>
    <n v="53"/>
    <n v="0"/>
    <n v="0"/>
    <x v="2"/>
    <x v="0"/>
    <x v="0"/>
    <x v="1"/>
    <n v="105.28"/>
    <n v="23.1"/>
    <x v="1"/>
    <n v="0"/>
    <x v="1"/>
    <x v="2"/>
  </r>
  <r>
    <n v="45279"/>
    <x v="1"/>
    <n v="10"/>
    <n v="0"/>
    <n v="0"/>
    <x v="2"/>
    <x v="1"/>
    <x v="3"/>
    <x v="1"/>
    <n v="83.03"/>
    <n v="18.5"/>
    <x v="3"/>
    <n v="0"/>
    <x v="2"/>
    <x v="2"/>
  </r>
  <r>
    <n v="57870"/>
    <x v="0"/>
    <n v="54"/>
    <n v="0"/>
    <n v="0"/>
    <x v="2"/>
    <x v="0"/>
    <x v="0"/>
    <x v="1"/>
    <n v="89.41"/>
    <n v="42.4"/>
    <x v="2"/>
    <n v="0"/>
    <x v="1"/>
    <x v="0"/>
  </r>
  <r>
    <n v="56961"/>
    <x v="1"/>
    <n v="40"/>
    <n v="0"/>
    <n v="0"/>
    <x v="2"/>
    <x v="1"/>
    <x v="2"/>
    <x v="1"/>
    <n v="70.56"/>
    <n v="32.299999999999997"/>
    <x v="1"/>
    <n v="0"/>
    <x v="1"/>
    <x v="0"/>
  </r>
  <r>
    <n v="8623"/>
    <x v="1"/>
    <n v="3"/>
    <n v="0"/>
    <n v="0"/>
    <x v="2"/>
    <x v="1"/>
    <x v="3"/>
    <x v="0"/>
    <n v="78.790000000000006"/>
    <n v="22.6"/>
    <x v="3"/>
    <n v="0"/>
    <x v="2"/>
    <x v="2"/>
  </r>
  <r>
    <n v="21346"/>
    <x v="1"/>
    <n v="12"/>
    <n v="0"/>
    <n v="0"/>
    <x v="2"/>
    <x v="1"/>
    <x v="3"/>
    <x v="1"/>
    <n v="70.13"/>
    <n v="17.8"/>
    <x v="3"/>
    <n v="0"/>
    <x v="2"/>
    <x v="4"/>
  </r>
  <r>
    <n v="36922"/>
    <x v="0"/>
    <n v="56"/>
    <n v="0"/>
    <n v="0"/>
    <x v="2"/>
    <x v="0"/>
    <x v="0"/>
    <x v="1"/>
    <n v="62.68"/>
    <n v="18.399999999999999"/>
    <x v="1"/>
    <n v="0"/>
    <x v="1"/>
    <x v="4"/>
  </r>
  <r>
    <n v="19814"/>
    <x v="1"/>
    <n v="43"/>
    <n v="0"/>
    <n v="0"/>
    <x v="2"/>
    <x v="1"/>
    <x v="0"/>
    <x v="0"/>
    <n v="71.77"/>
    <n v="26.9"/>
    <x v="1"/>
    <n v="0"/>
    <x v="1"/>
    <x v="3"/>
  </r>
  <r>
    <n v="22151"/>
    <x v="1"/>
    <n v="28"/>
    <n v="0"/>
    <n v="0"/>
    <x v="2"/>
    <x v="1"/>
    <x v="2"/>
    <x v="1"/>
    <n v="77.989999999999995"/>
    <n v="32"/>
    <x v="2"/>
    <n v="0"/>
    <x v="2"/>
    <x v="0"/>
  </r>
  <r>
    <n v="47802"/>
    <x v="0"/>
    <n v="28"/>
    <n v="0"/>
    <n v="0"/>
    <x v="2"/>
    <x v="1"/>
    <x v="0"/>
    <x v="0"/>
    <n v="256.74"/>
    <n v="23.4"/>
    <x v="0"/>
    <n v="0"/>
    <x v="2"/>
    <x v="2"/>
  </r>
  <r>
    <n v="25404"/>
    <x v="0"/>
    <n v="56"/>
    <n v="0"/>
    <n v="0"/>
    <x v="2"/>
    <x v="0"/>
    <x v="0"/>
    <x v="1"/>
    <n v="93.72"/>
    <n v="31.4"/>
    <x v="1"/>
    <n v="0"/>
    <x v="1"/>
    <x v="0"/>
  </r>
  <r>
    <n v="43487"/>
    <x v="1"/>
    <n v="14"/>
    <n v="0"/>
    <n v="0"/>
    <x v="2"/>
    <x v="1"/>
    <x v="3"/>
    <x v="0"/>
    <n v="63.74"/>
    <n v="22.4"/>
    <x v="3"/>
    <n v="0"/>
    <x v="2"/>
    <x v="2"/>
  </r>
  <r>
    <n v="58313"/>
    <x v="1"/>
    <n v="63"/>
    <n v="0"/>
    <n v="0"/>
    <x v="1"/>
    <x v="0"/>
    <x v="1"/>
    <x v="0"/>
    <n v="60.67"/>
    <n v="28.9"/>
    <x v="0"/>
    <n v="0"/>
    <x v="0"/>
    <x v="3"/>
  </r>
  <r>
    <n v="16629"/>
    <x v="1"/>
    <n v="29"/>
    <n v="0"/>
    <n v="0"/>
    <x v="2"/>
    <x v="0"/>
    <x v="0"/>
    <x v="0"/>
    <n v="112.08"/>
    <n v="27.4"/>
    <x v="1"/>
    <n v="0"/>
    <x v="2"/>
    <x v="3"/>
  </r>
  <r>
    <n v="60675"/>
    <x v="1"/>
    <n v="48"/>
    <n v="1"/>
    <n v="0"/>
    <x v="2"/>
    <x v="0"/>
    <x v="2"/>
    <x v="1"/>
    <n v="221.08"/>
    <n v="57.2"/>
    <x v="1"/>
    <n v="0"/>
    <x v="1"/>
    <x v="0"/>
  </r>
  <r>
    <n v="1119"/>
    <x v="0"/>
    <n v="47"/>
    <n v="0"/>
    <n v="1"/>
    <x v="2"/>
    <x v="0"/>
    <x v="2"/>
    <x v="0"/>
    <n v="101.81"/>
    <n v="28.4"/>
    <x v="2"/>
    <n v="0"/>
    <x v="1"/>
    <x v="3"/>
  </r>
  <r>
    <n v="64864"/>
    <x v="0"/>
    <n v="63"/>
    <n v="1"/>
    <n v="0"/>
    <x v="0"/>
    <x v="0"/>
    <x v="0"/>
    <x v="1"/>
    <n v="60.17"/>
    <n v="23.5"/>
    <x v="2"/>
    <n v="0"/>
    <x v="0"/>
    <x v="2"/>
  </r>
  <r>
    <n v="55244"/>
    <x v="0"/>
    <n v="40"/>
    <n v="0"/>
    <n v="0"/>
    <x v="2"/>
    <x v="0"/>
    <x v="1"/>
    <x v="1"/>
    <n v="65.290000000000006"/>
    <n v="28.3"/>
    <x v="1"/>
    <n v="0"/>
    <x v="1"/>
    <x v="3"/>
  </r>
  <r>
    <n v="23568"/>
    <x v="1"/>
    <n v="40"/>
    <n v="0"/>
    <n v="0"/>
    <x v="2"/>
    <x v="0"/>
    <x v="0"/>
    <x v="0"/>
    <n v="153.24"/>
    <n v="38.200000000000003"/>
    <x v="3"/>
    <n v="0"/>
    <x v="1"/>
    <x v="0"/>
  </r>
  <r>
    <n v="56979"/>
    <x v="0"/>
    <n v="55"/>
    <n v="0"/>
    <n v="0"/>
    <x v="2"/>
    <x v="0"/>
    <x v="0"/>
    <x v="1"/>
    <n v="61.42"/>
    <n v="33.299999999999997"/>
    <x v="2"/>
    <n v="0"/>
    <x v="1"/>
    <x v="0"/>
  </r>
  <r>
    <n v="66006"/>
    <x v="1"/>
    <n v="43"/>
    <n v="0"/>
    <n v="0"/>
    <x v="2"/>
    <x v="0"/>
    <x v="0"/>
    <x v="0"/>
    <n v="86.67"/>
    <n v="33.299999999999997"/>
    <x v="1"/>
    <n v="0"/>
    <x v="1"/>
    <x v="0"/>
  </r>
  <r>
    <n v="40447"/>
    <x v="1"/>
    <n v="59"/>
    <n v="0"/>
    <n v="0"/>
    <x v="2"/>
    <x v="0"/>
    <x v="0"/>
    <x v="1"/>
    <n v="82.42"/>
    <n v="28.8"/>
    <x v="1"/>
    <n v="0"/>
    <x v="1"/>
    <x v="3"/>
  </r>
  <r>
    <n v="62798"/>
    <x v="1"/>
    <n v="78"/>
    <n v="1"/>
    <n v="0"/>
    <x v="0"/>
    <x v="0"/>
    <x v="0"/>
    <x v="1"/>
    <n v="100.54"/>
    <n v="32.1"/>
    <x v="2"/>
    <n v="0"/>
    <x v="0"/>
    <x v="0"/>
  </r>
  <r>
    <n v="38397"/>
    <x v="1"/>
    <n v="27"/>
    <n v="0"/>
    <n v="0"/>
    <x v="2"/>
    <x v="1"/>
    <x v="0"/>
    <x v="0"/>
    <n v="111.48"/>
    <n v="28.9"/>
    <x v="1"/>
    <n v="0"/>
    <x v="2"/>
    <x v="3"/>
  </r>
  <r>
    <n v="66945"/>
    <x v="1"/>
    <n v="49"/>
    <n v="0"/>
    <n v="0"/>
    <x v="2"/>
    <x v="0"/>
    <x v="0"/>
    <x v="0"/>
    <n v="85.33"/>
    <n v="25.5"/>
    <x v="1"/>
    <n v="0"/>
    <x v="1"/>
    <x v="3"/>
  </r>
  <r>
    <n v="44992"/>
    <x v="0"/>
    <n v="14"/>
    <n v="0"/>
    <n v="0"/>
    <x v="2"/>
    <x v="1"/>
    <x v="0"/>
    <x v="0"/>
    <n v="126.57"/>
    <n v="25.9"/>
    <x v="0"/>
    <n v="0"/>
    <x v="2"/>
    <x v="3"/>
  </r>
  <r>
    <n v="50009"/>
    <x v="1"/>
    <n v="17"/>
    <n v="0"/>
    <n v="0"/>
    <x v="2"/>
    <x v="1"/>
    <x v="0"/>
    <x v="0"/>
    <n v="81.510000000000005"/>
    <n v="19.5"/>
    <x v="0"/>
    <n v="0"/>
    <x v="2"/>
    <x v="2"/>
  </r>
  <r>
    <n v="5170"/>
    <x v="0"/>
    <n v="42"/>
    <n v="0"/>
    <n v="0"/>
    <x v="2"/>
    <x v="0"/>
    <x v="2"/>
    <x v="1"/>
    <n v="67.97"/>
    <n v="23.8"/>
    <x v="3"/>
    <n v="0"/>
    <x v="1"/>
    <x v="2"/>
  </r>
  <r>
    <n v="16263"/>
    <x v="1"/>
    <n v="36"/>
    <n v="0"/>
    <n v="0"/>
    <x v="2"/>
    <x v="0"/>
    <x v="1"/>
    <x v="0"/>
    <n v="77.92"/>
    <n v="24.9"/>
    <x v="3"/>
    <n v="0"/>
    <x v="2"/>
    <x v="2"/>
  </r>
  <r>
    <n v="16024"/>
    <x v="0"/>
    <n v="19"/>
    <n v="0"/>
    <n v="0"/>
    <x v="2"/>
    <x v="1"/>
    <x v="0"/>
    <x v="0"/>
    <n v="80.540000000000006"/>
    <n v="18.5"/>
    <x v="2"/>
    <n v="0"/>
    <x v="2"/>
    <x v="2"/>
  </r>
  <r>
    <n v="47057"/>
    <x v="0"/>
    <n v="55"/>
    <n v="0"/>
    <n v="0"/>
    <x v="2"/>
    <x v="0"/>
    <x v="1"/>
    <x v="0"/>
    <n v="76.47"/>
    <n v="30.6"/>
    <x v="3"/>
    <n v="0"/>
    <x v="1"/>
    <x v="0"/>
  </r>
  <r>
    <n v="34045"/>
    <x v="1"/>
    <n v="8"/>
    <n v="0"/>
    <n v="0"/>
    <x v="2"/>
    <x v="1"/>
    <x v="3"/>
    <x v="0"/>
    <n v="87.15"/>
    <n v="16.100000000000001"/>
    <x v="3"/>
    <n v="0"/>
    <x v="2"/>
    <x v="4"/>
  </r>
  <r>
    <n v="59691"/>
    <x v="1"/>
    <n v="56"/>
    <n v="0"/>
    <n v="0"/>
    <x v="2"/>
    <x v="0"/>
    <x v="2"/>
    <x v="0"/>
    <n v="86.07"/>
    <n v="32.5"/>
    <x v="3"/>
    <n v="0"/>
    <x v="1"/>
    <x v="0"/>
  </r>
  <r>
    <n v="49261"/>
    <x v="0"/>
    <n v="54"/>
    <n v="0"/>
    <n v="0"/>
    <x v="2"/>
    <x v="1"/>
    <x v="0"/>
    <x v="1"/>
    <n v="106.52"/>
    <n v="27.4"/>
    <x v="0"/>
    <n v="0"/>
    <x v="1"/>
    <x v="3"/>
  </r>
  <r>
    <n v="30734"/>
    <x v="0"/>
    <n v="15"/>
    <n v="0"/>
    <n v="0"/>
    <x v="2"/>
    <x v="1"/>
    <x v="3"/>
    <x v="1"/>
    <n v="94.24"/>
    <n v="30.2"/>
    <x v="3"/>
    <n v="0"/>
    <x v="2"/>
    <x v="0"/>
  </r>
  <r>
    <n v="72184"/>
    <x v="1"/>
    <n v="43"/>
    <n v="0"/>
    <n v="0"/>
    <x v="2"/>
    <x v="0"/>
    <x v="1"/>
    <x v="0"/>
    <n v="89.73"/>
    <n v="23.5"/>
    <x v="0"/>
    <n v="0"/>
    <x v="1"/>
    <x v="2"/>
  </r>
  <r>
    <n v="37440"/>
    <x v="0"/>
    <n v="52"/>
    <n v="0"/>
    <n v="0"/>
    <x v="2"/>
    <x v="0"/>
    <x v="2"/>
    <x v="0"/>
    <n v="208.39"/>
    <n v="36"/>
    <x v="0"/>
    <n v="0"/>
    <x v="1"/>
    <x v="0"/>
  </r>
  <r>
    <n v="54400"/>
    <x v="1"/>
    <n v="62"/>
    <n v="0"/>
    <n v="0"/>
    <x v="1"/>
    <x v="0"/>
    <x v="1"/>
    <x v="1"/>
    <n v="128.61000000000001"/>
    <n v="24.8"/>
    <x v="1"/>
    <n v="0"/>
    <x v="0"/>
    <x v="2"/>
  </r>
  <r>
    <n v="56547"/>
    <x v="0"/>
    <n v="54"/>
    <n v="0"/>
    <n v="0"/>
    <x v="2"/>
    <x v="0"/>
    <x v="0"/>
    <x v="1"/>
    <n v="57.56"/>
    <n v="27.5"/>
    <x v="1"/>
    <n v="0"/>
    <x v="1"/>
    <x v="3"/>
  </r>
  <r>
    <n v="13598"/>
    <x v="0"/>
    <n v="60"/>
    <n v="0"/>
    <n v="0"/>
    <x v="1"/>
    <x v="0"/>
    <x v="1"/>
    <x v="0"/>
    <n v="227.23"/>
    <n v="40"/>
    <x v="0"/>
    <n v="0"/>
    <x v="0"/>
    <x v="0"/>
  </r>
  <r>
    <n v="24246"/>
    <x v="0"/>
    <n v="7"/>
    <n v="0"/>
    <n v="0"/>
    <x v="2"/>
    <x v="1"/>
    <x v="3"/>
    <x v="0"/>
    <n v="77.760000000000005"/>
    <n v="18.100000000000001"/>
    <x v="3"/>
    <n v="0"/>
    <x v="2"/>
    <x v="4"/>
  </r>
  <r>
    <n v="29276"/>
    <x v="0"/>
    <n v="3"/>
    <n v="0"/>
    <n v="0"/>
    <x v="2"/>
    <x v="1"/>
    <x v="3"/>
    <x v="0"/>
    <n v="72.760000000000005"/>
    <n v="18.8"/>
    <x v="3"/>
    <n v="0"/>
    <x v="2"/>
    <x v="2"/>
  </r>
  <r>
    <n v="20979"/>
    <x v="1"/>
    <n v="39"/>
    <n v="0"/>
    <n v="0"/>
    <x v="2"/>
    <x v="1"/>
    <x v="0"/>
    <x v="1"/>
    <n v="90.11"/>
    <n v="23.6"/>
    <x v="1"/>
    <n v="0"/>
    <x v="2"/>
    <x v="2"/>
  </r>
  <r>
    <n v="46048"/>
    <x v="0"/>
    <n v="60"/>
    <n v="0"/>
    <n v="0"/>
    <x v="1"/>
    <x v="0"/>
    <x v="2"/>
    <x v="1"/>
    <n v="203.27"/>
    <n v="29.7"/>
    <x v="1"/>
    <n v="0"/>
    <x v="0"/>
    <x v="3"/>
  </r>
  <r>
    <n v="35217"/>
    <x v="1"/>
    <n v="60"/>
    <n v="1"/>
    <n v="0"/>
    <x v="0"/>
    <x v="0"/>
    <x v="0"/>
    <x v="0"/>
    <n v="234.5"/>
    <n v="43.7"/>
    <x v="1"/>
    <n v="0"/>
    <x v="0"/>
    <x v="0"/>
  </r>
  <r>
    <n v="11816"/>
    <x v="1"/>
    <n v="46"/>
    <n v="0"/>
    <n v="0"/>
    <x v="2"/>
    <x v="0"/>
    <x v="1"/>
    <x v="0"/>
    <n v="71.12"/>
    <n v="27.3"/>
    <x v="1"/>
    <n v="0"/>
    <x v="1"/>
    <x v="3"/>
  </r>
  <r>
    <n v="48721"/>
    <x v="0"/>
    <n v="26"/>
    <n v="0"/>
    <n v="0"/>
    <x v="2"/>
    <x v="1"/>
    <x v="0"/>
    <x v="0"/>
    <n v="190.67"/>
    <n v="20.2"/>
    <x v="1"/>
    <n v="0"/>
    <x v="2"/>
    <x v="2"/>
  </r>
  <r>
    <n v="24163"/>
    <x v="1"/>
    <n v="12"/>
    <n v="0"/>
    <n v="0"/>
    <x v="2"/>
    <x v="1"/>
    <x v="3"/>
    <x v="1"/>
    <n v="116.04"/>
    <n v="23.8"/>
    <x v="3"/>
    <n v="0"/>
    <x v="2"/>
    <x v="2"/>
  </r>
  <r>
    <n v="8022"/>
    <x v="0"/>
    <n v="16"/>
    <n v="0"/>
    <n v="0"/>
    <x v="2"/>
    <x v="1"/>
    <x v="0"/>
    <x v="0"/>
    <n v="82.95"/>
    <n v="21.4"/>
    <x v="1"/>
    <n v="0"/>
    <x v="2"/>
    <x v="2"/>
  </r>
  <r>
    <n v="10950"/>
    <x v="1"/>
    <n v="2"/>
    <n v="0"/>
    <n v="0"/>
    <x v="2"/>
    <x v="1"/>
    <x v="3"/>
    <x v="0"/>
    <n v="112.75"/>
    <n v="25.1"/>
    <x v="3"/>
    <n v="0"/>
    <x v="2"/>
    <x v="3"/>
  </r>
  <r>
    <n v="21830"/>
    <x v="1"/>
    <n v="82"/>
    <n v="0"/>
    <n v="0"/>
    <x v="1"/>
    <x v="0"/>
    <x v="0"/>
    <x v="0"/>
    <n v="82.63"/>
    <n v="17.899999999999999"/>
    <x v="2"/>
    <n v="0"/>
    <x v="0"/>
    <x v="4"/>
  </r>
  <r>
    <n v="26594"/>
    <x v="1"/>
    <n v="32"/>
    <n v="0"/>
    <n v="0"/>
    <x v="2"/>
    <x v="0"/>
    <x v="0"/>
    <x v="0"/>
    <n v="92.75"/>
    <n v="34.5"/>
    <x v="2"/>
    <n v="0"/>
    <x v="2"/>
    <x v="0"/>
  </r>
  <r>
    <n v="14789"/>
    <x v="1"/>
    <n v="62"/>
    <n v="0"/>
    <n v="0"/>
    <x v="1"/>
    <x v="0"/>
    <x v="0"/>
    <x v="1"/>
    <n v="117.63"/>
    <n v="27.1"/>
    <x v="0"/>
    <n v="0"/>
    <x v="0"/>
    <x v="3"/>
  </r>
  <r>
    <n v="46670"/>
    <x v="1"/>
    <n v="75"/>
    <n v="1"/>
    <n v="0"/>
    <x v="0"/>
    <x v="0"/>
    <x v="1"/>
    <x v="1"/>
    <n v="197.06"/>
    <n v="26.1"/>
    <x v="1"/>
    <n v="0"/>
    <x v="0"/>
    <x v="3"/>
  </r>
  <r>
    <n v="31426"/>
    <x v="1"/>
    <n v="81"/>
    <n v="1"/>
    <n v="0"/>
    <x v="0"/>
    <x v="0"/>
    <x v="2"/>
    <x v="0"/>
    <n v="216.07"/>
    <n v="43.4"/>
    <x v="1"/>
    <n v="0"/>
    <x v="0"/>
    <x v="0"/>
  </r>
  <r>
    <n v="64435"/>
    <x v="1"/>
    <n v="37"/>
    <n v="0"/>
    <n v="0"/>
    <x v="2"/>
    <x v="0"/>
    <x v="0"/>
    <x v="1"/>
    <n v="76.03"/>
    <n v="33.200000000000003"/>
    <x v="1"/>
    <n v="0"/>
    <x v="2"/>
    <x v="0"/>
  </r>
  <r>
    <n v="68789"/>
    <x v="1"/>
    <n v="28"/>
    <n v="0"/>
    <n v="0"/>
    <x v="2"/>
    <x v="1"/>
    <x v="0"/>
    <x v="0"/>
    <n v="62.44"/>
    <n v="37.200000000000003"/>
    <x v="3"/>
    <n v="0"/>
    <x v="2"/>
    <x v="0"/>
  </r>
  <r>
    <n v="56254"/>
    <x v="1"/>
    <n v="25"/>
    <n v="0"/>
    <n v="0"/>
    <x v="2"/>
    <x v="1"/>
    <x v="0"/>
    <x v="1"/>
    <n v="108.82"/>
    <n v="41.3"/>
    <x v="2"/>
    <n v="0"/>
    <x v="2"/>
    <x v="0"/>
  </r>
  <r>
    <n v="17478"/>
    <x v="0"/>
    <n v="44"/>
    <n v="0"/>
    <n v="0"/>
    <x v="2"/>
    <x v="0"/>
    <x v="2"/>
    <x v="0"/>
    <n v="101.66"/>
    <n v="35.4"/>
    <x v="1"/>
    <n v="0"/>
    <x v="1"/>
    <x v="0"/>
  </r>
  <r>
    <n v="59908"/>
    <x v="1"/>
    <n v="11"/>
    <n v="0"/>
    <n v="0"/>
    <x v="2"/>
    <x v="1"/>
    <x v="3"/>
    <x v="1"/>
    <n v="121.15"/>
    <n v="26.1"/>
    <x v="3"/>
    <n v="0"/>
    <x v="2"/>
    <x v="3"/>
  </r>
  <r>
    <n v="34130"/>
    <x v="0"/>
    <n v="54"/>
    <n v="1"/>
    <n v="0"/>
    <x v="2"/>
    <x v="0"/>
    <x v="0"/>
    <x v="1"/>
    <n v="116.44"/>
    <n v="24.5"/>
    <x v="1"/>
    <n v="0"/>
    <x v="1"/>
    <x v="2"/>
  </r>
  <r>
    <n v="22282"/>
    <x v="0"/>
    <n v="52"/>
    <n v="1"/>
    <n v="0"/>
    <x v="2"/>
    <x v="0"/>
    <x v="2"/>
    <x v="1"/>
    <n v="116.62"/>
    <s v="N/A"/>
    <x v="2"/>
    <n v="0"/>
    <x v="1"/>
    <x v="1"/>
  </r>
  <r>
    <n v="21110"/>
    <x v="1"/>
    <n v="43"/>
    <n v="0"/>
    <n v="0"/>
    <x v="2"/>
    <x v="0"/>
    <x v="0"/>
    <x v="0"/>
    <n v="93.3"/>
    <n v="32.700000000000003"/>
    <x v="1"/>
    <n v="0"/>
    <x v="1"/>
    <x v="0"/>
  </r>
  <r>
    <n v="71622"/>
    <x v="1"/>
    <n v="56"/>
    <n v="0"/>
    <n v="0"/>
    <x v="2"/>
    <x v="0"/>
    <x v="0"/>
    <x v="0"/>
    <n v="144.33000000000001"/>
    <n v="29.2"/>
    <x v="1"/>
    <n v="0"/>
    <x v="1"/>
    <x v="3"/>
  </r>
  <r>
    <n v="10056"/>
    <x v="1"/>
    <n v="37"/>
    <n v="0"/>
    <n v="0"/>
    <x v="2"/>
    <x v="0"/>
    <x v="0"/>
    <x v="0"/>
    <n v="98.02"/>
    <n v="20.399999999999999"/>
    <x v="1"/>
    <n v="0"/>
    <x v="2"/>
    <x v="2"/>
  </r>
  <r>
    <n v="2424"/>
    <x v="0"/>
    <n v="60"/>
    <n v="0"/>
    <n v="0"/>
    <x v="1"/>
    <x v="0"/>
    <x v="0"/>
    <x v="0"/>
    <n v="80.67"/>
    <n v="33.5"/>
    <x v="3"/>
    <n v="0"/>
    <x v="0"/>
    <x v="0"/>
  </r>
  <r>
    <n v="24736"/>
    <x v="1"/>
    <n v="4"/>
    <n v="0"/>
    <n v="0"/>
    <x v="2"/>
    <x v="1"/>
    <x v="3"/>
    <x v="0"/>
    <n v="94.27"/>
    <n v="14"/>
    <x v="3"/>
    <n v="0"/>
    <x v="2"/>
    <x v="4"/>
  </r>
  <r>
    <n v="8920"/>
    <x v="1"/>
    <n v="51"/>
    <n v="0"/>
    <n v="0"/>
    <x v="2"/>
    <x v="0"/>
    <x v="1"/>
    <x v="1"/>
    <n v="76.349999999999994"/>
    <n v="33.5"/>
    <x v="0"/>
    <n v="0"/>
    <x v="1"/>
    <x v="0"/>
  </r>
  <r>
    <n v="62715"/>
    <x v="0"/>
    <n v="82"/>
    <n v="0"/>
    <n v="1"/>
    <x v="0"/>
    <x v="0"/>
    <x v="0"/>
    <x v="0"/>
    <n v="57.56"/>
    <n v="27.5"/>
    <x v="1"/>
    <n v="0"/>
    <x v="0"/>
    <x v="3"/>
  </r>
  <r>
    <n v="70615"/>
    <x v="1"/>
    <n v="56"/>
    <n v="0"/>
    <n v="0"/>
    <x v="2"/>
    <x v="0"/>
    <x v="2"/>
    <x v="0"/>
    <n v="179.14"/>
    <n v="35.299999999999997"/>
    <x v="3"/>
    <n v="0"/>
    <x v="1"/>
    <x v="0"/>
  </r>
  <r>
    <n v="43507"/>
    <x v="1"/>
    <n v="60"/>
    <n v="0"/>
    <n v="0"/>
    <x v="1"/>
    <x v="0"/>
    <x v="0"/>
    <x v="1"/>
    <n v="63.49"/>
    <n v="30.1"/>
    <x v="1"/>
    <n v="0"/>
    <x v="0"/>
    <x v="0"/>
  </r>
  <r>
    <n v="43035"/>
    <x v="0"/>
    <n v="35"/>
    <n v="0"/>
    <n v="0"/>
    <x v="2"/>
    <x v="0"/>
    <x v="0"/>
    <x v="1"/>
    <n v="145.18"/>
    <n v="32.6"/>
    <x v="2"/>
    <n v="0"/>
    <x v="2"/>
    <x v="0"/>
  </r>
  <r>
    <n v="44799"/>
    <x v="1"/>
    <n v="32"/>
    <n v="0"/>
    <n v="0"/>
    <x v="2"/>
    <x v="0"/>
    <x v="0"/>
    <x v="1"/>
    <n v="66.3"/>
    <n v="47.5"/>
    <x v="1"/>
    <n v="0"/>
    <x v="2"/>
    <x v="0"/>
  </r>
  <r>
    <n v="49053"/>
    <x v="1"/>
    <n v="45"/>
    <n v="0"/>
    <n v="0"/>
    <x v="2"/>
    <x v="1"/>
    <x v="0"/>
    <x v="1"/>
    <n v="120.56"/>
    <n v="31.6"/>
    <x v="1"/>
    <n v="0"/>
    <x v="1"/>
    <x v="0"/>
  </r>
  <r>
    <n v="33102"/>
    <x v="0"/>
    <n v="10"/>
    <n v="0"/>
    <n v="0"/>
    <x v="2"/>
    <x v="1"/>
    <x v="3"/>
    <x v="1"/>
    <n v="69.2"/>
    <n v="23.5"/>
    <x v="0"/>
    <n v="0"/>
    <x v="2"/>
    <x v="2"/>
  </r>
  <r>
    <n v="59405"/>
    <x v="1"/>
    <n v="68"/>
    <n v="1"/>
    <n v="0"/>
    <x v="0"/>
    <x v="0"/>
    <x v="0"/>
    <x v="0"/>
    <n v="150.74"/>
    <n v="40.299999999999997"/>
    <x v="3"/>
    <n v="0"/>
    <x v="0"/>
    <x v="0"/>
  </r>
  <r>
    <n v="18283"/>
    <x v="1"/>
    <n v="51"/>
    <n v="0"/>
    <n v="0"/>
    <x v="2"/>
    <x v="0"/>
    <x v="2"/>
    <x v="0"/>
    <n v="81.38"/>
    <n v="34.1"/>
    <x v="2"/>
    <n v="0"/>
    <x v="1"/>
    <x v="0"/>
  </r>
  <r>
    <n v="4929"/>
    <x v="0"/>
    <n v="8"/>
    <n v="0"/>
    <n v="0"/>
    <x v="2"/>
    <x v="1"/>
    <x v="3"/>
    <x v="0"/>
    <n v="78.48"/>
    <n v="16.100000000000001"/>
    <x v="3"/>
    <n v="0"/>
    <x v="2"/>
    <x v="4"/>
  </r>
  <r>
    <n v="37289"/>
    <x v="1"/>
    <n v="63"/>
    <n v="0"/>
    <n v="0"/>
    <x v="1"/>
    <x v="0"/>
    <x v="1"/>
    <x v="1"/>
    <n v="203.87"/>
    <n v="26.4"/>
    <x v="1"/>
    <n v="0"/>
    <x v="0"/>
    <x v="3"/>
  </r>
  <r>
    <n v="6202"/>
    <x v="0"/>
    <n v="4"/>
    <n v="0"/>
    <n v="0"/>
    <x v="2"/>
    <x v="1"/>
    <x v="3"/>
    <x v="0"/>
    <n v="87"/>
    <n v="19"/>
    <x v="3"/>
    <n v="0"/>
    <x v="2"/>
    <x v="2"/>
  </r>
  <r>
    <n v="24106"/>
    <x v="1"/>
    <n v="33"/>
    <n v="0"/>
    <n v="0"/>
    <x v="2"/>
    <x v="0"/>
    <x v="0"/>
    <x v="1"/>
    <n v="84.68"/>
    <n v="34.700000000000003"/>
    <x v="0"/>
    <n v="0"/>
    <x v="2"/>
    <x v="0"/>
  </r>
  <r>
    <n v="32126"/>
    <x v="1"/>
    <n v="56"/>
    <n v="0"/>
    <n v="1"/>
    <x v="2"/>
    <x v="0"/>
    <x v="0"/>
    <x v="0"/>
    <n v="91.89"/>
    <n v="23.3"/>
    <x v="2"/>
    <n v="0"/>
    <x v="1"/>
    <x v="2"/>
  </r>
  <r>
    <n v="56322"/>
    <x v="0"/>
    <n v="49"/>
    <n v="0"/>
    <n v="1"/>
    <x v="2"/>
    <x v="0"/>
    <x v="2"/>
    <x v="1"/>
    <n v="88.97"/>
    <n v="32.6"/>
    <x v="1"/>
    <n v="0"/>
    <x v="1"/>
    <x v="0"/>
  </r>
  <r>
    <n v="54869"/>
    <x v="1"/>
    <n v="30"/>
    <n v="0"/>
    <n v="0"/>
    <x v="2"/>
    <x v="0"/>
    <x v="0"/>
    <x v="0"/>
    <n v="116.98"/>
    <n v="26"/>
    <x v="1"/>
    <n v="0"/>
    <x v="2"/>
    <x v="3"/>
  </r>
  <r>
    <n v="40887"/>
    <x v="0"/>
    <n v="16"/>
    <n v="0"/>
    <n v="0"/>
    <x v="2"/>
    <x v="1"/>
    <x v="3"/>
    <x v="0"/>
    <n v="135.82"/>
    <n v="35.1"/>
    <x v="1"/>
    <n v="0"/>
    <x v="2"/>
    <x v="0"/>
  </r>
  <r>
    <n v="29764"/>
    <x v="1"/>
    <n v="1.8"/>
    <n v="0"/>
    <n v="0"/>
    <x v="2"/>
    <x v="1"/>
    <x v="3"/>
    <x v="1"/>
    <n v="96.62"/>
    <n v="18.600000000000001"/>
    <x v="3"/>
    <n v="0"/>
    <x v="2"/>
    <x v="2"/>
  </r>
  <r>
    <n v="38287"/>
    <x v="0"/>
    <n v="54"/>
    <n v="0"/>
    <n v="0"/>
    <x v="2"/>
    <x v="0"/>
    <x v="0"/>
    <x v="1"/>
    <n v="106.53"/>
    <n v="30.4"/>
    <x v="0"/>
    <n v="0"/>
    <x v="1"/>
    <x v="0"/>
  </r>
  <r>
    <n v="53426"/>
    <x v="0"/>
    <n v="49"/>
    <n v="0"/>
    <n v="0"/>
    <x v="2"/>
    <x v="0"/>
    <x v="0"/>
    <x v="1"/>
    <n v="58.42"/>
    <n v="32.799999999999997"/>
    <x v="0"/>
    <n v="0"/>
    <x v="1"/>
    <x v="0"/>
  </r>
  <r>
    <n v="14943"/>
    <x v="1"/>
    <n v="17"/>
    <n v="0"/>
    <n v="0"/>
    <x v="2"/>
    <x v="1"/>
    <x v="0"/>
    <x v="1"/>
    <n v="79.62"/>
    <n v="21.6"/>
    <x v="1"/>
    <n v="0"/>
    <x v="2"/>
    <x v="2"/>
  </r>
  <r>
    <n v="65351"/>
    <x v="0"/>
    <n v="11"/>
    <n v="0"/>
    <n v="0"/>
    <x v="2"/>
    <x v="1"/>
    <x v="3"/>
    <x v="0"/>
    <n v="141.84"/>
    <n v="23.3"/>
    <x v="3"/>
    <n v="0"/>
    <x v="2"/>
    <x v="2"/>
  </r>
  <r>
    <n v="61830"/>
    <x v="0"/>
    <n v="51"/>
    <n v="0"/>
    <n v="0"/>
    <x v="2"/>
    <x v="0"/>
    <x v="0"/>
    <x v="1"/>
    <n v="78.05"/>
    <n v="31.4"/>
    <x v="1"/>
    <n v="0"/>
    <x v="1"/>
    <x v="0"/>
  </r>
  <r>
    <n v="71777"/>
    <x v="0"/>
    <n v="74"/>
    <n v="1"/>
    <n v="1"/>
    <x v="0"/>
    <x v="0"/>
    <x v="0"/>
    <x v="1"/>
    <n v="77.16"/>
    <n v="26.3"/>
    <x v="1"/>
    <n v="0"/>
    <x v="0"/>
    <x v="3"/>
  </r>
  <r>
    <n v="69059"/>
    <x v="1"/>
    <n v="42"/>
    <n v="0"/>
    <n v="0"/>
    <x v="2"/>
    <x v="0"/>
    <x v="0"/>
    <x v="0"/>
    <n v="86.3"/>
    <n v="20.100000000000001"/>
    <x v="1"/>
    <n v="0"/>
    <x v="1"/>
    <x v="2"/>
  </r>
  <r>
    <n v="11908"/>
    <x v="1"/>
    <n v="69"/>
    <n v="0"/>
    <n v="0"/>
    <x v="1"/>
    <x v="0"/>
    <x v="1"/>
    <x v="0"/>
    <n v="83.55"/>
    <n v="28.3"/>
    <x v="0"/>
    <n v="0"/>
    <x v="0"/>
    <x v="3"/>
  </r>
  <r>
    <n v="24955"/>
    <x v="1"/>
    <n v="22"/>
    <n v="0"/>
    <n v="0"/>
    <x v="2"/>
    <x v="1"/>
    <x v="0"/>
    <x v="1"/>
    <n v="102"/>
    <n v="40.4"/>
    <x v="2"/>
    <n v="0"/>
    <x v="2"/>
    <x v="0"/>
  </r>
  <r>
    <n v="61477"/>
    <x v="1"/>
    <n v="25"/>
    <n v="0"/>
    <n v="0"/>
    <x v="2"/>
    <x v="1"/>
    <x v="0"/>
    <x v="0"/>
    <n v="68.069999999999993"/>
    <n v="18.600000000000001"/>
    <x v="2"/>
    <n v="0"/>
    <x v="2"/>
    <x v="2"/>
  </r>
  <r>
    <n v="724"/>
    <x v="0"/>
    <n v="17"/>
    <n v="0"/>
    <n v="0"/>
    <x v="2"/>
    <x v="1"/>
    <x v="0"/>
    <x v="1"/>
    <n v="81.77"/>
    <n v="44.7"/>
    <x v="1"/>
    <n v="0"/>
    <x v="2"/>
    <x v="0"/>
  </r>
  <r>
    <n v="22614"/>
    <x v="0"/>
    <n v="64"/>
    <n v="0"/>
    <n v="0"/>
    <x v="1"/>
    <x v="1"/>
    <x v="1"/>
    <x v="1"/>
    <n v="82.62"/>
    <n v="25.3"/>
    <x v="2"/>
    <n v="0"/>
    <x v="0"/>
    <x v="3"/>
  </r>
  <r>
    <n v="61997"/>
    <x v="1"/>
    <n v="50"/>
    <n v="0"/>
    <n v="0"/>
    <x v="2"/>
    <x v="0"/>
    <x v="0"/>
    <x v="0"/>
    <n v="102.03"/>
    <n v="28.3"/>
    <x v="3"/>
    <n v="0"/>
    <x v="1"/>
    <x v="3"/>
  </r>
  <r>
    <n v="6605"/>
    <x v="0"/>
    <n v="52"/>
    <n v="1"/>
    <n v="0"/>
    <x v="2"/>
    <x v="0"/>
    <x v="2"/>
    <x v="0"/>
    <n v="235.06"/>
    <n v="39.9"/>
    <x v="0"/>
    <n v="0"/>
    <x v="1"/>
    <x v="0"/>
  </r>
  <r>
    <n v="46987"/>
    <x v="1"/>
    <n v="65"/>
    <n v="0"/>
    <n v="1"/>
    <x v="0"/>
    <x v="0"/>
    <x v="0"/>
    <x v="1"/>
    <n v="57.52"/>
    <s v="N/A"/>
    <x v="0"/>
    <n v="0"/>
    <x v="0"/>
    <x v="1"/>
  </r>
  <r>
    <n v="70428"/>
    <x v="1"/>
    <n v="37"/>
    <n v="0"/>
    <n v="0"/>
    <x v="2"/>
    <x v="0"/>
    <x v="2"/>
    <x v="0"/>
    <n v="76.98"/>
    <n v="34.700000000000003"/>
    <x v="1"/>
    <n v="0"/>
    <x v="2"/>
    <x v="0"/>
  </r>
  <r>
    <n v="2267"/>
    <x v="1"/>
    <n v="31"/>
    <n v="0"/>
    <n v="0"/>
    <x v="2"/>
    <x v="0"/>
    <x v="1"/>
    <x v="0"/>
    <n v="82.31"/>
    <n v="31.9"/>
    <x v="1"/>
    <n v="0"/>
    <x v="2"/>
    <x v="0"/>
  </r>
  <r>
    <n v="25476"/>
    <x v="1"/>
    <n v="52"/>
    <n v="0"/>
    <n v="0"/>
    <x v="2"/>
    <x v="0"/>
    <x v="0"/>
    <x v="0"/>
    <n v="83.84"/>
    <n v="35"/>
    <x v="3"/>
    <n v="0"/>
    <x v="1"/>
    <x v="0"/>
  </r>
  <r>
    <n v="52960"/>
    <x v="1"/>
    <n v="56"/>
    <n v="0"/>
    <n v="0"/>
    <x v="2"/>
    <x v="0"/>
    <x v="1"/>
    <x v="0"/>
    <n v="98.14"/>
    <n v="32.700000000000003"/>
    <x v="0"/>
    <n v="0"/>
    <x v="1"/>
    <x v="0"/>
  </r>
  <r>
    <n v="56600"/>
    <x v="1"/>
    <n v="43"/>
    <n v="0"/>
    <n v="0"/>
    <x v="2"/>
    <x v="0"/>
    <x v="0"/>
    <x v="1"/>
    <n v="84.04"/>
    <n v="30.6"/>
    <x v="3"/>
    <n v="0"/>
    <x v="1"/>
    <x v="0"/>
  </r>
  <r>
    <n v="9394"/>
    <x v="0"/>
    <n v="11"/>
    <n v="0"/>
    <n v="0"/>
    <x v="2"/>
    <x v="1"/>
    <x v="3"/>
    <x v="1"/>
    <n v="92.24"/>
    <n v="27.9"/>
    <x v="3"/>
    <n v="0"/>
    <x v="2"/>
    <x v="3"/>
  </r>
  <r>
    <n v="42400"/>
    <x v="1"/>
    <n v="2"/>
    <n v="0"/>
    <n v="0"/>
    <x v="2"/>
    <x v="1"/>
    <x v="3"/>
    <x v="0"/>
    <n v="94.92"/>
    <n v="20.399999999999999"/>
    <x v="3"/>
    <n v="0"/>
    <x v="2"/>
    <x v="2"/>
  </r>
  <r>
    <n v="36210"/>
    <x v="1"/>
    <n v="16"/>
    <n v="0"/>
    <n v="0"/>
    <x v="2"/>
    <x v="1"/>
    <x v="0"/>
    <x v="1"/>
    <n v="112.7"/>
    <n v="29.6"/>
    <x v="1"/>
    <n v="0"/>
    <x v="2"/>
    <x v="3"/>
  </r>
  <r>
    <n v="34416"/>
    <x v="0"/>
    <n v="23"/>
    <n v="0"/>
    <n v="0"/>
    <x v="2"/>
    <x v="1"/>
    <x v="0"/>
    <x v="0"/>
    <n v="74.34"/>
    <n v="23.5"/>
    <x v="1"/>
    <n v="0"/>
    <x v="2"/>
    <x v="2"/>
  </r>
  <r>
    <n v="37192"/>
    <x v="1"/>
    <n v="40"/>
    <n v="0"/>
    <n v="0"/>
    <x v="2"/>
    <x v="0"/>
    <x v="0"/>
    <x v="0"/>
    <n v="72.989999999999995"/>
    <n v="46.4"/>
    <x v="3"/>
    <n v="0"/>
    <x v="1"/>
    <x v="0"/>
  </r>
  <r>
    <n v="20237"/>
    <x v="0"/>
    <n v="15"/>
    <n v="0"/>
    <n v="0"/>
    <x v="2"/>
    <x v="1"/>
    <x v="0"/>
    <x v="0"/>
    <n v="104.9"/>
    <n v="27.4"/>
    <x v="1"/>
    <n v="0"/>
    <x v="2"/>
    <x v="3"/>
  </r>
  <r>
    <n v="60635"/>
    <x v="0"/>
    <n v="48"/>
    <n v="0"/>
    <n v="0"/>
    <x v="2"/>
    <x v="0"/>
    <x v="0"/>
    <x v="1"/>
    <n v="99.96"/>
    <n v="25.2"/>
    <x v="1"/>
    <n v="0"/>
    <x v="1"/>
    <x v="3"/>
  </r>
  <r>
    <n v="32571"/>
    <x v="0"/>
    <n v="33"/>
    <n v="0"/>
    <n v="0"/>
    <x v="2"/>
    <x v="0"/>
    <x v="0"/>
    <x v="0"/>
    <n v="85.27"/>
    <n v="25.8"/>
    <x v="3"/>
    <n v="0"/>
    <x v="2"/>
    <x v="3"/>
  </r>
  <r>
    <n v="52368"/>
    <x v="0"/>
    <n v="46"/>
    <n v="0"/>
    <n v="0"/>
    <x v="2"/>
    <x v="0"/>
    <x v="0"/>
    <x v="0"/>
    <n v="60.32"/>
    <n v="33.299999999999997"/>
    <x v="2"/>
    <n v="0"/>
    <x v="1"/>
    <x v="0"/>
  </r>
  <r>
    <n v="66786"/>
    <x v="1"/>
    <n v="53"/>
    <n v="0"/>
    <n v="0"/>
    <x v="2"/>
    <x v="0"/>
    <x v="0"/>
    <x v="1"/>
    <n v="94.14"/>
    <n v="27.7"/>
    <x v="2"/>
    <n v="0"/>
    <x v="1"/>
    <x v="3"/>
  </r>
  <r>
    <n v="12668"/>
    <x v="0"/>
    <n v="68"/>
    <n v="0"/>
    <n v="0"/>
    <x v="1"/>
    <x v="0"/>
    <x v="1"/>
    <x v="0"/>
    <n v="195.43"/>
    <n v="28.9"/>
    <x v="1"/>
    <n v="0"/>
    <x v="0"/>
    <x v="3"/>
  </r>
  <r>
    <n v="64155"/>
    <x v="0"/>
    <n v="60"/>
    <n v="0"/>
    <n v="0"/>
    <x v="1"/>
    <x v="0"/>
    <x v="2"/>
    <x v="1"/>
    <n v="200.25"/>
    <n v="33.1"/>
    <x v="1"/>
    <n v="0"/>
    <x v="0"/>
    <x v="0"/>
  </r>
  <r>
    <n v="17885"/>
    <x v="0"/>
    <n v="57"/>
    <n v="0"/>
    <n v="0"/>
    <x v="2"/>
    <x v="1"/>
    <x v="2"/>
    <x v="1"/>
    <n v="90.31"/>
    <n v="38.1"/>
    <x v="2"/>
    <n v="0"/>
    <x v="1"/>
    <x v="0"/>
  </r>
  <r>
    <n v="18930"/>
    <x v="1"/>
    <n v="51"/>
    <n v="0"/>
    <n v="0"/>
    <x v="2"/>
    <x v="0"/>
    <x v="2"/>
    <x v="0"/>
    <n v="95.33"/>
    <n v="27.9"/>
    <x v="1"/>
    <n v="0"/>
    <x v="1"/>
    <x v="3"/>
  </r>
  <r>
    <n v="15728"/>
    <x v="1"/>
    <n v="0.4"/>
    <n v="0"/>
    <n v="0"/>
    <x v="2"/>
    <x v="1"/>
    <x v="3"/>
    <x v="1"/>
    <n v="85.65"/>
    <n v="17.399999999999999"/>
    <x v="3"/>
    <n v="0"/>
    <x v="2"/>
    <x v="4"/>
  </r>
  <r>
    <n v="71846"/>
    <x v="1"/>
    <n v="76"/>
    <n v="0"/>
    <n v="0"/>
    <x v="1"/>
    <x v="0"/>
    <x v="2"/>
    <x v="0"/>
    <n v="223.64"/>
    <n v="27.1"/>
    <x v="2"/>
    <n v="0"/>
    <x v="0"/>
    <x v="3"/>
  </r>
  <r>
    <n v="37515"/>
    <x v="1"/>
    <n v="46"/>
    <n v="0"/>
    <n v="0"/>
    <x v="2"/>
    <x v="0"/>
    <x v="2"/>
    <x v="1"/>
    <n v="76.430000000000007"/>
    <n v="22.7"/>
    <x v="3"/>
    <n v="0"/>
    <x v="1"/>
    <x v="2"/>
  </r>
  <r>
    <n v="25763"/>
    <x v="1"/>
    <n v="23"/>
    <n v="0"/>
    <n v="0"/>
    <x v="2"/>
    <x v="1"/>
    <x v="0"/>
    <x v="0"/>
    <n v="98.66"/>
    <n v="28.3"/>
    <x v="3"/>
    <n v="0"/>
    <x v="2"/>
    <x v="3"/>
  </r>
  <r>
    <n v="16566"/>
    <x v="0"/>
    <n v="9"/>
    <n v="0"/>
    <n v="0"/>
    <x v="2"/>
    <x v="1"/>
    <x v="3"/>
    <x v="0"/>
    <n v="75.84"/>
    <n v="21.5"/>
    <x v="3"/>
    <n v="0"/>
    <x v="2"/>
    <x v="2"/>
  </r>
  <r>
    <n v="30836"/>
    <x v="1"/>
    <n v="53"/>
    <n v="0"/>
    <n v="0"/>
    <x v="2"/>
    <x v="0"/>
    <x v="0"/>
    <x v="0"/>
    <n v="85.46"/>
    <n v="30"/>
    <x v="1"/>
    <n v="0"/>
    <x v="1"/>
    <x v="0"/>
  </r>
  <r>
    <n v="68060"/>
    <x v="0"/>
    <n v="4"/>
    <n v="0"/>
    <n v="0"/>
    <x v="2"/>
    <x v="1"/>
    <x v="3"/>
    <x v="0"/>
    <n v="81.33"/>
    <n v="18.600000000000001"/>
    <x v="3"/>
    <n v="0"/>
    <x v="2"/>
    <x v="2"/>
  </r>
  <r>
    <n v="51958"/>
    <x v="1"/>
    <n v="62"/>
    <n v="1"/>
    <n v="0"/>
    <x v="0"/>
    <x v="1"/>
    <x v="0"/>
    <x v="0"/>
    <n v="199.78"/>
    <n v="45.2"/>
    <x v="3"/>
    <n v="0"/>
    <x v="0"/>
    <x v="0"/>
  </r>
  <r>
    <n v="45285"/>
    <x v="0"/>
    <n v="37"/>
    <n v="0"/>
    <n v="0"/>
    <x v="2"/>
    <x v="0"/>
    <x v="0"/>
    <x v="0"/>
    <n v="176.42"/>
    <n v="39.700000000000003"/>
    <x v="3"/>
    <n v="0"/>
    <x v="2"/>
    <x v="0"/>
  </r>
  <r>
    <n v="19271"/>
    <x v="1"/>
    <n v="82"/>
    <n v="1"/>
    <n v="1"/>
    <x v="0"/>
    <x v="0"/>
    <x v="1"/>
    <x v="0"/>
    <n v="101.56"/>
    <n v="31.5"/>
    <x v="1"/>
    <n v="0"/>
    <x v="0"/>
    <x v="0"/>
  </r>
  <r>
    <n v="6576"/>
    <x v="1"/>
    <n v="33"/>
    <n v="0"/>
    <n v="0"/>
    <x v="2"/>
    <x v="0"/>
    <x v="0"/>
    <x v="0"/>
    <n v="84.48"/>
    <n v="23.2"/>
    <x v="0"/>
    <n v="0"/>
    <x v="2"/>
    <x v="2"/>
  </r>
  <r>
    <n v="6850"/>
    <x v="0"/>
    <n v="3"/>
    <n v="0"/>
    <n v="0"/>
    <x v="2"/>
    <x v="1"/>
    <x v="3"/>
    <x v="0"/>
    <n v="93.21"/>
    <n v="27.3"/>
    <x v="3"/>
    <n v="0"/>
    <x v="2"/>
    <x v="3"/>
  </r>
  <r>
    <n v="25798"/>
    <x v="0"/>
    <n v="14"/>
    <n v="0"/>
    <n v="0"/>
    <x v="2"/>
    <x v="1"/>
    <x v="0"/>
    <x v="0"/>
    <n v="72.88"/>
    <n v="26.5"/>
    <x v="1"/>
    <n v="0"/>
    <x v="2"/>
    <x v="3"/>
  </r>
  <r>
    <n v="28611"/>
    <x v="0"/>
    <n v="16"/>
    <n v="0"/>
    <n v="0"/>
    <x v="2"/>
    <x v="1"/>
    <x v="0"/>
    <x v="0"/>
    <n v="84.1"/>
    <n v="19.3"/>
    <x v="3"/>
    <n v="0"/>
    <x v="2"/>
    <x v="2"/>
  </r>
  <r>
    <n v="15061"/>
    <x v="0"/>
    <n v="40"/>
    <n v="0"/>
    <n v="0"/>
    <x v="2"/>
    <x v="0"/>
    <x v="2"/>
    <x v="1"/>
    <n v="72.84"/>
    <n v="26.1"/>
    <x v="3"/>
    <n v="0"/>
    <x v="1"/>
    <x v="3"/>
  </r>
  <r>
    <n v="40323"/>
    <x v="1"/>
    <n v="18"/>
    <n v="0"/>
    <n v="0"/>
    <x v="2"/>
    <x v="1"/>
    <x v="0"/>
    <x v="0"/>
    <n v="70.89"/>
    <n v="19.8"/>
    <x v="1"/>
    <n v="0"/>
    <x v="2"/>
    <x v="2"/>
  </r>
  <r>
    <n v="40842"/>
    <x v="1"/>
    <n v="29"/>
    <n v="0"/>
    <n v="0"/>
    <x v="2"/>
    <x v="0"/>
    <x v="0"/>
    <x v="1"/>
    <n v="108.14"/>
    <n v="25.1"/>
    <x v="0"/>
    <n v="0"/>
    <x v="2"/>
    <x v="3"/>
  </r>
  <r>
    <n v="23765"/>
    <x v="1"/>
    <n v="56"/>
    <n v="0"/>
    <n v="0"/>
    <x v="2"/>
    <x v="0"/>
    <x v="2"/>
    <x v="1"/>
    <n v="244.3"/>
    <n v="37.299999999999997"/>
    <x v="1"/>
    <n v="0"/>
    <x v="1"/>
    <x v="0"/>
  </r>
  <r>
    <n v="66287"/>
    <x v="0"/>
    <n v="33"/>
    <n v="0"/>
    <n v="0"/>
    <x v="2"/>
    <x v="0"/>
    <x v="0"/>
    <x v="1"/>
    <n v="88.04"/>
    <n v="30.3"/>
    <x v="0"/>
    <n v="0"/>
    <x v="2"/>
    <x v="0"/>
  </r>
  <r>
    <n v="50804"/>
    <x v="0"/>
    <n v="2"/>
    <n v="0"/>
    <n v="0"/>
    <x v="2"/>
    <x v="1"/>
    <x v="3"/>
    <x v="1"/>
    <n v="65.84"/>
    <n v="16.100000000000001"/>
    <x v="3"/>
    <n v="0"/>
    <x v="2"/>
    <x v="4"/>
  </r>
  <r>
    <n v="25927"/>
    <x v="0"/>
    <n v="36"/>
    <n v="0"/>
    <n v="0"/>
    <x v="2"/>
    <x v="0"/>
    <x v="0"/>
    <x v="1"/>
    <n v="106.73"/>
    <n v="25.1"/>
    <x v="1"/>
    <n v="0"/>
    <x v="2"/>
    <x v="3"/>
  </r>
  <r>
    <n v="41970"/>
    <x v="0"/>
    <n v="30"/>
    <n v="0"/>
    <n v="0"/>
    <x v="2"/>
    <x v="1"/>
    <x v="0"/>
    <x v="0"/>
    <n v="106.03"/>
    <n v="26.7"/>
    <x v="3"/>
    <n v="0"/>
    <x v="2"/>
    <x v="3"/>
  </r>
  <r>
    <n v="54206"/>
    <x v="1"/>
    <n v="31"/>
    <n v="0"/>
    <n v="0"/>
    <x v="2"/>
    <x v="1"/>
    <x v="2"/>
    <x v="0"/>
    <n v="80.88"/>
    <n v="29.3"/>
    <x v="0"/>
    <n v="0"/>
    <x v="2"/>
    <x v="3"/>
  </r>
  <r>
    <n v="46691"/>
    <x v="0"/>
    <n v="16"/>
    <n v="0"/>
    <n v="0"/>
    <x v="2"/>
    <x v="1"/>
    <x v="3"/>
    <x v="0"/>
    <n v="140.1"/>
    <n v="38.700000000000003"/>
    <x v="1"/>
    <n v="0"/>
    <x v="2"/>
    <x v="0"/>
  </r>
  <r>
    <n v="37553"/>
    <x v="0"/>
    <n v="58"/>
    <n v="0"/>
    <n v="0"/>
    <x v="2"/>
    <x v="0"/>
    <x v="0"/>
    <x v="0"/>
    <n v="127.4"/>
    <n v="35.799999999999997"/>
    <x v="0"/>
    <n v="0"/>
    <x v="1"/>
    <x v="0"/>
  </r>
  <r>
    <n v="27507"/>
    <x v="1"/>
    <n v="19"/>
    <n v="0"/>
    <n v="0"/>
    <x v="2"/>
    <x v="1"/>
    <x v="0"/>
    <x v="0"/>
    <n v="87.72"/>
    <n v="21.7"/>
    <x v="1"/>
    <n v="0"/>
    <x v="2"/>
    <x v="2"/>
  </r>
  <r>
    <n v="68209"/>
    <x v="0"/>
    <n v="47"/>
    <n v="0"/>
    <n v="0"/>
    <x v="2"/>
    <x v="0"/>
    <x v="2"/>
    <x v="1"/>
    <n v="58.23"/>
    <n v="31.4"/>
    <x v="0"/>
    <n v="0"/>
    <x v="1"/>
    <x v="0"/>
  </r>
  <r>
    <n v="42841"/>
    <x v="0"/>
    <n v="59"/>
    <n v="0"/>
    <n v="0"/>
    <x v="2"/>
    <x v="0"/>
    <x v="0"/>
    <x v="1"/>
    <n v="69.37"/>
    <n v="26.9"/>
    <x v="0"/>
    <n v="0"/>
    <x v="1"/>
    <x v="3"/>
  </r>
  <r>
    <n v="51889"/>
    <x v="1"/>
    <n v="40"/>
    <n v="0"/>
    <n v="0"/>
    <x v="2"/>
    <x v="0"/>
    <x v="0"/>
    <x v="0"/>
    <n v="58.64"/>
    <n v="33"/>
    <x v="1"/>
    <n v="0"/>
    <x v="1"/>
    <x v="0"/>
  </r>
  <r>
    <n v="72725"/>
    <x v="1"/>
    <n v="26"/>
    <n v="0"/>
    <n v="0"/>
    <x v="2"/>
    <x v="1"/>
    <x v="2"/>
    <x v="0"/>
    <n v="59.67"/>
    <n v="24.5"/>
    <x v="2"/>
    <n v="0"/>
    <x v="2"/>
    <x v="2"/>
  </r>
  <r>
    <n v="18605"/>
    <x v="1"/>
    <n v="17"/>
    <n v="0"/>
    <n v="0"/>
    <x v="2"/>
    <x v="1"/>
    <x v="4"/>
    <x v="0"/>
    <n v="78.08"/>
    <n v="44.9"/>
    <x v="1"/>
    <n v="0"/>
    <x v="2"/>
    <x v="0"/>
  </r>
  <r>
    <n v="23599"/>
    <x v="1"/>
    <n v="30"/>
    <n v="0"/>
    <n v="0"/>
    <x v="2"/>
    <x v="1"/>
    <x v="0"/>
    <x v="0"/>
    <n v="105.08"/>
    <n v="25.5"/>
    <x v="1"/>
    <n v="0"/>
    <x v="2"/>
    <x v="3"/>
  </r>
  <r>
    <n v="45530"/>
    <x v="1"/>
    <n v="19"/>
    <n v="0"/>
    <n v="0"/>
    <x v="2"/>
    <x v="1"/>
    <x v="0"/>
    <x v="0"/>
    <n v="89.3"/>
    <n v="22.1"/>
    <x v="1"/>
    <n v="0"/>
    <x v="2"/>
    <x v="2"/>
  </r>
  <r>
    <n v="56425"/>
    <x v="1"/>
    <n v="78"/>
    <n v="0"/>
    <n v="0"/>
    <x v="1"/>
    <x v="0"/>
    <x v="2"/>
    <x v="1"/>
    <n v="61.38"/>
    <n v="24.3"/>
    <x v="3"/>
    <n v="0"/>
    <x v="0"/>
    <x v="2"/>
  </r>
  <r>
    <n v="69972"/>
    <x v="1"/>
    <n v="55"/>
    <n v="0"/>
    <n v="0"/>
    <x v="2"/>
    <x v="0"/>
    <x v="0"/>
    <x v="1"/>
    <n v="56.11"/>
    <n v="32.4"/>
    <x v="0"/>
    <n v="0"/>
    <x v="1"/>
    <x v="0"/>
  </r>
  <r>
    <n v="5774"/>
    <x v="0"/>
    <n v="59"/>
    <n v="0"/>
    <n v="0"/>
    <x v="2"/>
    <x v="0"/>
    <x v="0"/>
    <x v="0"/>
    <n v="223.16"/>
    <s v="N/A"/>
    <x v="3"/>
    <n v="0"/>
    <x v="1"/>
    <x v="1"/>
  </r>
  <r>
    <n v="13307"/>
    <x v="0"/>
    <n v="57"/>
    <n v="0"/>
    <n v="0"/>
    <x v="2"/>
    <x v="0"/>
    <x v="2"/>
    <x v="0"/>
    <n v="75.53"/>
    <n v="33.1"/>
    <x v="0"/>
    <n v="0"/>
    <x v="1"/>
    <x v="0"/>
  </r>
  <r>
    <n v="72188"/>
    <x v="0"/>
    <n v="33"/>
    <n v="0"/>
    <n v="0"/>
    <x v="2"/>
    <x v="1"/>
    <x v="0"/>
    <x v="0"/>
    <n v="107.47"/>
    <n v="26.7"/>
    <x v="1"/>
    <n v="0"/>
    <x v="2"/>
    <x v="3"/>
  </r>
  <r>
    <n v="60226"/>
    <x v="1"/>
    <n v="35"/>
    <n v="0"/>
    <n v="0"/>
    <x v="2"/>
    <x v="0"/>
    <x v="0"/>
    <x v="0"/>
    <n v="76"/>
    <n v="37.9"/>
    <x v="3"/>
    <n v="0"/>
    <x v="2"/>
    <x v="0"/>
  </r>
  <r>
    <n v="34940"/>
    <x v="0"/>
    <n v="32"/>
    <n v="0"/>
    <n v="0"/>
    <x v="2"/>
    <x v="0"/>
    <x v="0"/>
    <x v="0"/>
    <n v="90.28"/>
    <n v="39.6"/>
    <x v="1"/>
    <n v="0"/>
    <x v="2"/>
    <x v="0"/>
  </r>
  <r>
    <n v="4403"/>
    <x v="1"/>
    <n v="55"/>
    <n v="0"/>
    <n v="0"/>
    <x v="2"/>
    <x v="0"/>
    <x v="0"/>
    <x v="0"/>
    <n v="65.22"/>
    <n v="19.8"/>
    <x v="1"/>
    <n v="0"/>
    <x v="1"/>
    <x v="2"/>
  </r>
  <r>
    <n v="33051"/>
    <x v="0"/>
    <n v="28"/>
    <n v="0"/>
    <n v="0"/>
    <x v="2"/>
    <x v="1"/>
    <x v="0"/>
    <x v="0"/>
    <n v="86.24"/>
    <n v="30"/>
    <x v="3"/>
    <n v="0"/>
    <x v="2"/>
    <x v="0"/>
  </r>
  <r>
    <n v="37668"/>
    <x v="0"/>
    <n v="25"/>
    <n v="0"/>
    <n v="0"/>
    <x v="2"/>
    <x v="0"/>
    <x v="2"/>
    <x v="0"/>
    <n v="166.38"/>
    <n v="23.1"/>
    <x v="1"/>
    <n v="0"/>
    <x v="2"/>
    <x v="2"/>
  </r>
  <r>
    <n v="27276"/>
    <x v="1"/>
    <n v="45"/>
    <n v="0"/>
    <n v="0"/>
    <x v="2"/>
    <x v="0"/>
    <x v="0"/>
    <x v="0"/>
    <n v="78.91"/>
    <n v="34.299999999999997"/>
    <x v="3"/>
    <n v="0"/>
    <x v="1"/>
    <x v="0"/>
  </r>
  <r>
    <n v="37808"/>
    <x v="1"/>
    <n v="34"/>
    <n v="0"/>
    <n v="0"/>
    <x v="2"/>
    <x v="1"/>
    <x v="2"/>
    <x v="0"/>
    <n v="226.28"/>
    <n v="38.4"/>
    <x v="3"/>
    <n v="0"/>
    <x v="2"/>
    <x v="0"/>
  </r>
  <r>
    <n v="21678"/>
    <x v="0"/>
    <n v="33"/>
    <n v="0"/>
    <n v="0"/>
    <x v="2"/>
    <x v="0"/>
    <x v="0"/>
    <x v="0"/>
    <n v="90.73"/>
    <n v="32.799999999999997"/>
    <x v="2"/>
    <n v="0"/>
    <x v="2"/>
    <x v="0"/>
  </r>
  <r>
    <n v="40087"/>
    <x v="0"/>
    <n v="65"/>
    <n v="0"/>
    <n v="0"/>
    <x v="1"/>
    <x v="0"/>
    <x v="0"/>
    <x v="1"/>
    <n v="172.86"/>
    <n v="34.4"/>
    <x v="1"/>
    <n v="0"/>
    <x v="0"/>
    <x v="0"/>
  </r>
  <r>
    <n v="38658"/>
    <x v="1"/>
    <n v="62"/>
    <n v="0"/>
    <n v="0"/>
    <x v="1"/>
    <x v="0"/>
    <x v="1"/>
    <x v="1"/>
    <n v="213.92"/>
    <n v="44.6"/>
    <x v="1"/>
    <n v="0"/>
    <x v="0"/>
    <x v="0"/>
  </r>
  <r>
    <n v="30353"/>
    <x v="0"/>
    <n v="36"/>
    <n v="0"/>
    <n v="0"/>
    <x v="2"/>
    <x v="0"/>
    <x v="0"/>
    <x v="0"/>
    <n v="92.23"/>
    <n v="32.799999999999997"/>
    <x v="1"/>
    <n v="0"/>
    <x v="2"/>
    <x v="0"/>
  </r>
  <r>
    <n v="28803"/>
    <x v="0"/>
    <n v="31"/>
    <n v="0"/>
    <n v="0"/>
    <x v="2"/>
    <x v="0"/>
    <x v="0"/>
    <x v="0"/>
    <n v="79.81"/>
    <n v="26.4"/>
    <x v="1"/>
    <n v="0"/>
    <x v="2"/>
    <x v="3"/>
  </r>
  <r>
    <n v="10445"/>
    <x v="0"/>
    <n v="54"/>
    <n v="0"/>
    <n v="0"/>
    <x v="2"/>
    <x v="0"/>
    <x v="2"/>
    <x v="1"/>
    <n v="81.78"/>
    <n v="27.3"/>
    <x v="3"/>
    <n v="0"/>
    <x v="1"/>
    <x v="3"/>
  </r>
  <r>
    <n v="12812"/>
    <x v="1"/>
    <n v="53"/>
    <n v="0"/>
    <n v="0"/>
    <x v="2"/>
    <x v="0"/>
    <x v="0"/>
    <x v="1"/>
    <n v="102"/>
    <n v="32.4"/>
    <x v="1"/>
    <n v="0"/>
    <x v="1"/>
    <x v="0"/>
  </r>
  <r>
    <n v="72289"/>
    <x v="1"/>
    <n v="44"/>
    <n v="0"/>
    <n v="0"/>
    <x v="2"/>
    <x v="0"/>
    <x v="0"/>
    <x v="1"/>
    <n v="68.42"/>
    <n v="43.2"/>
    <x v="2"/>
    <n v="0"/>
    <x v="1"/>
    <x v="0"/>
  </r>
  <r>
    <n v="30433"/>
    <x v="0"/>
    <n v="77"/>
    <n v="0"/>
    <n v="0"/>
    <x v="1"/>
    <x v="0"/>
    <x v="0"/>
    <x v="0"/>
    <n v="94.68"/>
    <n v="33.6"/>
    <x v="3"/>
    <n v="0"/>
    <x v="0"/>
    <x v="0"/>
  </r>
  <r>
    <n v="37640"/>
    <x v="1"/>
    <n v="67"/>
    <n v="0"/>
    <n v="0"/>
    <x v="1"/>
    <x v="0"/>
    <x v="2"/>
    <x v="1"/>
    <n v="125.33"/>
    <n v="26.4"/>
    <x v="3"/>
    <n v="0"/>
    <x v="0"/>
    <x v="3"/>
  </r>
  <r>
    <n v="54378"/>
    <x v="1"/>
    <n v="48"/>
    <n v="0"/>
    <n v="0"/>
    <x v="2"/>
    <x v="0"/>
    <x v="1"/>
    <x v="0"/>
    <n v="212.19"/>
    <n v="46.9"/>
    <x v="1"/>
    <n v="0"/>
    <x v="1"/>
    <x v="0"/>
  </r>
  <r>
    <n v="34138"/>
    <x v="0"/>
    <n v="42"/>
    <n v="0"/>
    <n v="0"/>
    <x v="2"/>
    <x v="0"/>
    <x v="0"/>
    <x v="0"/>
    <n v="89"/>
    <n v="36.299999999999997"/>
    <x v="0"/>
    <n v="0"/>
    <x v="1"/>
    <x v="0"/>
  </r>
  <r>
    <n v="72160"/>
    <x v="0"/>
    <n v="72"/>
    <n v="1"/>
    <n v="1"/>
    <x v="0"/>
    <x v="0"/>
    <x v="0"/>
    <x v="1"/>
    <n v="60.98"/>
    <n v="34.9"/>
    <x v="0"/>
    <n v="0"/>
    <x v="0"/>
    <x v="0"/>
  </r>
  <r>
    <n v="44447"/>
    <x v="0"/>
    <n v="49"/>
    <n v="0"/>
    <n v="0"/>
    <x v="2"/>
    <x v="0"/>
    <x v="0"/>
    <x v="0"/>
    <n v="58.19"/>
    <n v="29.6"/>
    <x v="2"/>
    <n v="0"/>
    <x v="1"/>
    <x v="3"/>
  </r>
  <r>
    <n v="5927"/>
    <x v="1"/>
    <n v="1.32"/>
    <n v="0"/>
    <n v="0"/>
    <x v="2"/>
    <x v="1"/>
    <x v="3"/>
    <x v="1"/>
    <n v="67.680000000000007"/>
    <n v="16.5"/>
    <x v="3"/>
    <n v="0"/>
    <x v="2"/>
    <x v="4"/>
  </r>
  <r>
    <n v="44233"/>
    <x v="1"/>
    <n v="45"/>
    <n v="0"/>
    <n v="0"/>
    <x v="2"/>
    <x v="0"/>
    <x v="2"/>
    <x v="1"/>
    <n v="84.99"/>
    <n v="35.4"/>
    <x v="3"/>
    <n v="0"/>
    <x v="1"/>
    <x v="0"/>
  </r>
  <r>
    <n v="56021"/>
    <x v="1"/>
    <n v="63"/>
    <n v="1"/>
    <n v="0"/>
    <x v="0"/>
    <x v="0"/>
    <x v="0"/>
    <x v="0"/>
    <n v="62.13"/>
    <n v="23.6"/>
    <x v="1"/>
    <n v="0"/>
    <x v="0"/>
    <x v="2"/>
  </r>
  <r>
    <n v="65038"/>
    <x v="1"/>
    <n v="33"/>
    <n v="0"/>
    <n v="0"/>
    <x v="2"/>
    <x v="0"/>
    <x v="0"/>
    <x v="1"/>
    <n v="57.1"/>
    <n v="33.1"/>
    <x v="1"/>
    <n v="0"/>
    <x v="2"/>
    <x v="0"/>
  </r>
  <r>
    <n v="3595"/>
    <x v="0"/>
    <n v="32"/>
    <n v="0"/>
    <n v="0"/>
    <x v="2"/>
    <x v="0"/>
    <x v="0"/>
    <x v="0"/>
    <n v="97.95"/>
    <n v="40.200000000000003"/>
    <x v="2"/>
    <n v="0"/>
    <x v="2"/>
    <x v="0"/>
  </r>
  <r>
    <n v="25783"/>
    <x v="1"/>
    <n v="0.48"/>
    <n v="0"/>
    <n v="0"/>
    <x v="2"/>
    <x v="1"/>
    <x v="3"/>
    <x v="1"/>
    <n v="94.06"/>
    <n v="14.8"/>
    <x v="3"/>
    <n v="0"/>
    <x v="2"/>
    <x v="4"/>
  </r>
  <r>
    <n v="68268"/>
    <x v="1"/>
    <n v="63"/>
    <n v="0"/>
    <n v="0"/>
    <x v="1"/>
    <x v="0"/>
    <x v="1"/>
    <x v="0"/>
    <n v="93.88"/>
    <n v="34.799999999999997"/>
    <x v="3"/>
    <n v="0"/>
    <x v="0"/>
    <x v="0"/>
  </r>
  <r>
    <n v="7564"/>
    <x v="0"/>
    <n v="70"/>
    <n v="0"/>
    <n v="0"/>
    <x v="1"/>
    <x v="0"/>
    <x v="0"/>
    <x v="1"/>
    <n v="90.3"/>
    <n v="33.5"/>
    <x v="0"/>
    <n v="0"/>
    <x v="0"/>
    <x v="0"/>
  </r>
  <r>
    <n v="26723"/>
    <x v="1"/>
    <n v="57"/>
    <n v="0"/>
    <n v="0"/>
    <x v="2"/>
    <x v="0"/>
    <x v="0"/>
    <x v="0"/>
    <n v="83.14"/>
    <n v="31.9"/>
    <x v="1"/>
    <n v="0"/>
    <x v="1"/>
    <x v="0"/>
  </r>
  <r>
    <n v="9995"/>
    <x v="0"/>
    <n v="8"/>
    <n v="0"/>
    <n v="0"/>
    <x v="2"/>
    <x v="1"/>
    <x v="3"/>
    <x v="0"/>
    <n v="118.66"/>
    <n v="16.100000000000001"/>
    <x v="3"/>
    <n v="0"/>
    <x v="2"/>
    <x v="4"/>
  </r>
  <r>
    <n v="68074"/>
    <x v="0"/>
    <n v="54"/>
    <n v="0"/>
    <n v="0"/>
    <x v="2"/>
    <x v="0"/>
    <x v="0"/>
    <x v="1"/>
    <n v="100.47"/>
    <n v="50.2"/>
    <x v="0"/>
    <n v="0"/>
    <x v="1"/>
    <x v="0"/>
  </r>
  <r>
    <n v="8385"/>
    <x v="0"/>
    <n v="37"/>
    <n v="0"/>
    <n v="0"/>
    <x v="2"/>
    <x v="0"/>
    <x v="0"/>
    <x v="0"/>
    <n v="90.78"/>
    <n v="35.9"/>
    <x v="3"/>
    <n v="0"/>
    <x v="2"/>
    <x v="0"/>
  </r>
  <r>
    <n v="21796"/>
    <x v="0"/>
    <n v="59"/>
    <n v="0"/>
    <n v="0"/>
    <x v="2"/>
    <x v="0"/>
    <x v="0"/>
    <x v="0"/>
    <n v="66.459999999999994"/>
    <n v="39.6"/>
    <x v="0"/>
    <n v="0"/>
    <x v="1"/>
    <x v="0"/>
  </r>
  <r>
    <n v="53115"/>
    <x v="1"/>
    <n v="78"/>
    <n v="0"/>
    <n v="0"/>
    <x v="1"/>
    <x v="0"/>
    <x v="2"/>
    <x v="0"/>
    <n v="73.56"/>
    <n v="27.5"/>
    <x v="0"/>
    <n v="0"/>
    <x v="0"/>
    <x v="3"/>
  </r>
  <r>
    <n v="27623"/>
    <x v="1"/>
    <n v="59"/>
    <n v="0"/>
    <n v="0"/>
    <x v="2"/>
    <x v="0"/>
    <x v="0"/>
    <x v="0"/>
    <n v="200.8"/>
    <n v="32.299999999999997"/>
    <x v="3"/>
    <n v="0"/>
    <x v="1"/>
    <x v="0"/>
  </r>
  <r>
    <n v="70823"/>
    <x v="1"/>
    <n v="10"/>
    <n v="0"/>
    <n v="0"/>
    <x v="2"/>
    <x v="1"/>
    <x v="3"/>
    <x v="0"/>
    <n v="57.28"/>
    <n v="15.4"/>
    <x v="1"/>
    <n v="0"/>
    <x v="2"/>
    <x v="4"/>
  </r>
  <r>
    <n v="5173"/>
    <x v="0"/>
    <n v="21"/>
    <n v="0"/>
    <n v="0"/>
    <x v="2"/>
    <x v="1"/>
    <x v="0"/>
    <x v="1"/>
    <n v="92.87"/>
    <n v="28.4"/>
    <x v="2"/>
    <n v="0"/>
    <x v="2"/>
    <x v="3"/>
  </r>
  <r>
    <n v="21852"/>
    <x v="0"/>
    <n v="2"/>
    <n v="0"/>
    <n v="0"/>
    <x v="2"/>
    <x v="1"/>
    <x v="3"/>
    <x v="1"/>
    <n v="96.47"/>
    <n v="19.5"/>
    <x v="3"/>
    <n v="0"/>
    <x v="2"/>
    <x v="2"/>
  </r>
  <r>
    <n v="24711"/>
    <x v="1"/>
    <n v="55"/>
    <n v="0"/>
    <n v="0"/>
    <x v="2"/>
    <x v="0"/>
    <x v="2"/>
    <x v="0"/>
    <n v="99.44"/>
    <n v="25"/>
    <x v="0"/>
    <n v="0"/>
    <x v="1"/>
    <x v="3"/>
  </r>
  <r>
    <n v="21967"/>
    <x v="1"/>
    <n v="20"/>
    <n v="0"/>
    <n v="0"/>
    <x v="2"/>
    <x v="0"/>
    <x v="0"/>
    <x v="0"/>
    <n v="77.959999999999994"/>
    <n v="26.3"/>
    <x v="2"/>
    <n v="0"/>
    <x v="2"/>
    <x v="3"/>
  </r>
  <r>
    <n v="36793"/>
    <x v="1"/>
    <n v="38"/>
    <n v="1"/>
    <n v="0"/>
    <x v="2"/>
    <x v="0"/>
    <x v="0"/>
    <x v="1"/>
    <n v="60.13"/>
    <n v="39.6"/>
    <x v="1"/>
    <n v="0"/>
    <x v="2"/>
    <x v="0"/>
  </r>
  <r>
    <n v="37492"/>
    <x v="1"/>
    <n v="33"/>
    <n v="0"/>
    <n v="0"/>
    <x v="2"/>
    <x v="0"/>
    <x v="0"/>
    <x v="1"/>
    <n v="88.17"/>
    <n v="38.6"/>
    <x v="0"/>
    <n v="0"/>
    <x v="2"/>
    <x v="0"/>
  </r>
  <r>
    <n v="45658"/>
    <x v="0"/>
    <n v="14"/>
    <n v="0"/>
    <n v="0"/>
    <x v="2"/>
    <x v="1"/>
    <x v="0"/>
    <x v="1"/>
    <n v="84.41"/>
    <n v="33.9"/>
    <x v="1"/>
    <n v="0"/>
    <x v="2"/>
    <x v="0"/>
  </r>
  <r>
    <n v="6264"/>
    <x v="0"/>
    <n v="32"/>
    <n v="0"/>
    <n v="0"/>
    <x v="2"/>
    <x v="0"/>
    <x v="0"/>
    <x v="1"/>
    <n v="72.34"/>
    <n v="32.200000000000003"/>
    <x v="3"/>
    <n v="0"/>
    <x v="2"/>
    <x v="0"/>
  </r>
  <r>
    <n v="37507"/>
    <x v="1"/>
    <n v="32"/>
    <n v="0"/>
    <n v="0"/>
    <x v="2"/>
    <x v="1"/>
    <x v="0"/>
    <x v="1"/>
    <n v="68.72"/>
    <n v="25.1"/>
    <x v="1"/>
    <n v="0"/>
    <x v="2"/>
    <x v="3"/>
  </r>
  <r>
    <n v="50557"/>
    <x v="1"/>
    <n v="68"/>
    <n v="0"/>
    <n v="0"/>
    <x v="1"/>
    <x v="0"/>
    <x v="1"/>
    <x v="0"/>
    <n v="222.58"/>
    <n v="37.4"/>
    <x v="2"/>
    <n v="0"/>
    <x v="0"/>
    <x v="0"/>
  </r>
  <r>
    <n v="21973"/>
    <x v="0"/>
    <n v="70"/>
    <n v="0"/>
    <n v="0"/>
    <x v="1"/>
    <x v="0"/>
    <x v="0"/>
    <x v="1"/>
    <n v="66.06"/>
    <n v="30.1"/>
    <x v="0"/>
    <n v="0"/>
    <x v="0"/>
    <x v="0"/>
  </r>
  <r>
    <n v="53346"/>
    <x v="1"/>
    <n v="24"/>
    <n v="0"/>
    <n v="0"/>
    <x v="2"/>
    <x v="0"/>
    <x v="0"/>
    <x v="1"/>
    <n v="156.43"/>
    <n v="27"/>
    <x v="0"/>
    <n v="0"/>
    <x v="2"/>
    <x v="3"/>
  </r>
  <r>
    <n v="41210"/>
    <x v="0"/>
    <n v="44"/>
    <n v="0"/>
    <n v="0"/>
    <x v="2"/>
    <x v="1"/>
    <x v="1"/>
    <x v="0"/>
    <n v="105.76"/>
    <n v="32.4"/>
    <x v="0"/>
    <n v="0"/>
    <x v="1"/>
    <x v="0"/>
  </r>
  <r>
    <n v="29078"/>
    <x v="0"/>
    <n v="39"/>
    <n v="0"/>
    <n v="0"/>
    <x v="2"/>
    <x v="0"/>
    <x v="2"/>
    <x v="1"/>
    <n v="73.069999999999993"/>
    <n v="26.8"/>
    <x v="2"/>
    <n v="0"/>
    <x v="2"/>
    <x v="3"/>
  </r>
  <r>
    <n v="24873"/>
    <x v="1"/>
    <n v="81"/>
    <n v="0"/>
    <n v="0"/>
    <x v="1"/>
    <x v="0"/>
    <x v="0"/>
    <x v="1"/>
    <n v="99.48"/>
    <n v="27.2"/>
    <x v="1"/>
    <n v="0"/>
    <x v="0"/>
    <x v="3"/>
  </r>
  <r>
    <n v="15387"/>
    <x v="0"/>
    <n v="19"/>
    <n v="0"/>
    <n v="0"/>
    <x v="2"/>
    <x v="1"/>
    <x v="0"/>
    <x v="1"/>
    <n v="79.599999999999994"/>
    <n v="36.700000000000003"/>
    <x v="3"/>
    <n v="0"/>
    <x v="2"/>
    <x v="0"/>
  </r>
  <r>
    <n v="63880"/>
    <x v="1"/>
    <n v="69"/>
    <n v="0"/>
    <n v="0"/>
    <x v="1"/>
    <x v="0"/>
    <x v="1"/>
    <x v="0"/>
    <n v="70"/>
    <n v="36"/>
    <x v="1"/>
    <n v="0"/>
    <x v="0"/>
    <x v="0"/>
  </r>
  <r>
    <n v="49833"/>
    <x v="1"/>
    <n v="42"/>
    <n v="0"/>
    <n v="0"/>
    <x v="2"/>
    <x v="0"/>
    <x v="2"/>
    <x v="1"/>
    <n v="112.98"/>
    <n v="37.200000000000003"/>
    <x v="0"/>
    <n v="0"/>
    <x v="1"/>
    <x v="0"/>
  </r>
  <r>
    <n v="43773"/>
    <x v="0"/>
    <n v="8"/>
    <n v="0"/>
    <n v="0"/>
    <x v="2"/>
    <x v="1"/>
    <x v="3"/>
    <x v="0"/>
    <n v="61.07"/>
    <n v="19.100000000000001"/>
    <x v="3"/>
    <n v="0"/>
    <x v="2"/>
    <x v="2"/>
  </r>
  <r>
    <n v="53095"/>
    <x v="0"/>
    <n v="8"/>
    <n v="0"/>
    <n v="0"/>
    <x v="2"/>
    <x v="1"/>
    <x v="3"/>
    <x v="1"/>
    <n v="63.43"/>
    <n v="21.8"/>
    <x v="3"/>
    <n v="0"/>
    <x v="2"/>
    <x v="2"/>
  </r>
  <r>
    <n v="56185"/>
    <x v="1"/>
    <n v="28"/>
    <n v="0"/>
    <n v="0"/>
    <x v="2"/>
    <x v="1"/>
    <x v="0"/>
    <x v="0"/>
    <n v="73.2"/>
    <n v="26.5"/>
    <x v="2"/>
    <n v="0"/>
    <x v="2"/>
    <x v="3"/>
  </r>
  <r>
    <n v="57043"/>
    <x v="1"/>
    <n v="66"/>
    <n v="0"/>
    <n v="0"/>
    <x v="1"/>
    <x v="0"/>
    <x v="1"/>
    <x v="0"/>
    <n v="102.73"/>
    <n v="35"/>
    <x v="0"/>
    <n v="0"/>
    <x v="0"/>
    <x v="0"/>
  </r>
  <r>
    <n v="55545"/>
    <x v="1"/>
    <n v="66"/>
    <n v="0"/>
    <n v="0"/>
    <x v="1"/>
    <x v="0"/>
    <x v="1"/>
    <x v="1"/>
    <n v="74.88"/>
    <n v="32.6"/>
    <x v="1"/>
    <n v="0"/>
    <x v="0"/>
    <x v="0"/>
  </r>
  <r>
    <n v="60899"/>
    <x v="1"/>
    <n v="47"/>
    <n v="0"/>
    <n v="0"/>
    <x v="2"/>
    <x v="0"/>
    <x v="0"/>
    <x v="0"/>
    <n v="122.43"/>
    <n v="23.9"/>
    <x v="1"/>
    <n v="0"/>
    <x v="1"/>
    <x v="2"/>
  </r>
  <r>
    <n v="16136"/>
    <x v="1"/>
    <n v="78"/>
    <n v="0"/>
    <n v="0"/>
    <x v="1"/>
    <x v="0"/>
    <x v="1"/>
    <x v="0"/>
    <n v="84.21"/>
    <n v="33.700000000000003"/>
    <x v="1"/>
    <n v="0"/>
    <x v="0"/>
    <x v="0"/>
  </r>
  <r>
    <n v="11843"/>
    <x v="1"/>
    <n v="65"/>
    <n v="0"/>
    <n v="0"/>
    <x v="1"/>
    <x v="0"/>
    <x v="1"/>
    <x v="1"/>
    <n v="80.42"/>
    <n v="29.4"/>
    <x v="0"/>
    <n v="0"/>
    <x v="0"/>
    <x v="3"/>
  </r>
  <r>
    <n v="3609"/>
    <x v="0"/>
    <n v="78"/>
    <n v="0"/>
    <n v="0"/>
    <x v="1"/>
    <x v="0"/>
    <x v="0"/>
    <x v="0"/>
    <n v="80.44"/>
    <n v="29"/>
    <x v="1"/>
    <n v="0"/>
    <x v="0"/>
    <x v="3"/>
  </r>
  <r>
    <n v="29172"/>
    <x v="1"/>
    <n v="68"/>
    <n v="0"/>
    <n v="0"/>
    <x v="1"/>
    <x v="0"/>
    <x v="1"/>
    <x v="1"/>
    <n v="80.63"/>
    <n v="20.2"/>
    <x v="1"/>
    <n v="0"/>
    <x v="0"/>
    <x v="2"/>
  </r>
  <r>
    <n v="49894"/>
    <x v="1"/>
    <n v="78"/>
    <n v="1"/>
    <n v="1"/>
    <x v="0"/>
    <x v="0"/>
    <x v="0"/>
    <x v="1"/>
    <n v="206.53"/>
    <s v="N/A"/>
    <x v="1"/>
    <n v="0"/>
    <x v="0"/>
    <x v="1"/>
  </r>
  <r>
    <n v="6048"/>
    <x v="1"/>
    <n v="65"/>
    <n v="0"/>
    <n v="0"/>
    <x v="1"/>
    <x v="0"/>
    <x v="0"/>
    <x v="0"/>
    <n v="104.12"/>
    <n v="27.4"/>
    <x v="1"/>
    <n v="0"/>
    <x v="0"/>
    <x v="3"/>
  </r>
  <r>
    <n v="16029"/>
    <x v="1"/>
    <n v="70"/>
    <n v="0"/>
    <n v="0"/>
    <x v="1"/>
    <x v="0"/>
    <x v="1"/>
    <x v="1"/>
    <n v="96.82"/>
    <n v="25"/>
    <x v="1"/>
    <n v="0"/>
    <x v="0"/>
    <x v="3"/>
  </r>
  <r>
    <n v="63022"/>
    <x v="1"/>
    <n v="59"/>
    <n v="0"/>
    <n v="0"/>
    <x v="2"/>
    <x v="0"/>
    <x v="1"/>
    <x v="0"/>
    <n v="88.1"/>
    <n v="30.7"/>
    <x v="1"/>
    <n v="0"/>
    <x v="1"/>
    <x v="0"/>
  </r>
  <r>
    <n v="40041"/>
    <x v="0"/>
    <n v="31"/>
    <n v="0"/>
    <n v="0"/>
    <x v="2"/>
    <x v="1"/>
    <x v="1"/>
    <x v="1"/>
    <n v="64.849999999999994"/>
    <n v="23"/>
    <x v="3"/>
    <n v="0"/>
    <x v="2"/>
    <x v="2"/>
  </r>
  <r>
    <n v="6924"/>
    <x v="1"/>
    <n v="32"/>
    <n v="0"/>
    <n v="0"/>
    <x v="2"/>
    <x v="0"/>
    <x v="0"/>
    <x v="1"/>
    <n v="102.87"/>
    <n v="26.6"/>
    <x v="2"/>
    <n v="0"/>
    <x v="2"/>
    <x v="3"/>
  </r>
  <r>
    <n v="22590"/>
    <x v="0"/>
    <n v="5"/>
    <n v="0"/>
    <n v="0"/>
    <x v="2"/>
    <x v="1"/>
    <x v="3"/>
    <x v="0"/>
    <n v="83.75"/>
    <n v="18.100000000000001"/>
    <x v="3"/>
    <n v="0"/>
    <x v="2"/>
    <x v="4"/>
  </r>
  <r>
    <n v="25878"/>
    <x v="0"/>
    <n v="55"/>
    <n v="0"/>
    <n v="0"/>
    <x v="2"/>
    <x v="0"/>
    <x v="1"/>
    <x v="1"/>
    <n v="97.68"/>
    <n v="47.1"/>
    <x v="0"/>
    <n v="0"/>
    <x v="1"/>
    <x v="0"/>
  </r>
  <r>
    <n v="11169"/>
    <x v="1"/>
    <n v="61"/>
    <n v="0"/>
    <n v="0"/>
    <x v="1"/>
    <x v="0"/>
    <x v="0"/>
    <x v="0"/>
    <n v="97.58"/>
    <n v="29.7"/>
    <x v="0"/>
    <n v="0"/>
    <x v="0"/>
    <x v="3"/>
  </r>
  <r>
    <n v="44355"/>
    <x v="1"/>
    <n v="48"/>
    <n v="0"/>
    <n v="0"/>
    <x v="2"/>
    <x v="0"/>
    <x v="0"/>
    <x v="1"/>
    <n v="74.16"/>
    <n v="19.899999999999999"/>
    <x v="1"/>
    <n v="0"/>
    <x v="1"/>
    <x v="2"/>
  </r>
  <r>
    <n v="31113"/>
    <x v="1"/>
    <n v="1.1599999999999999"/>
    <n v="0"/>
    <n v="0"/>
    <x v="2"/>
    <x v="1"/>
    <x v="3"/>
    <x v="0"/>
    <n v="86"/>
    <n v="13.3"/>
    <x v="3"/>
    <n v="0"/>
    <x v="2"/>
    <x v="4"/>
  </r>
  <r>
    <n v="46514"/>
    <x v="1"/>
    <n v="50"/>
    <n v="0"/>
    <n v="0"/>
    <x v="2"/>
    <x v="0"/>
    <x v="2"/>
    <x v="0"/>
    <n v="100.93"/>
    <n v="32.700000000000003"/>
    <x v="1"/>
    <n v="0"/>
    <x v="1"/>
    <x v="0"/>
  </r>
  <r>
    <n v="67466"/>
    <x v="0"/>
    <n v="63"/>
    <n v="1"/>
    <n v="0"/>
    <x v="0"/>
    <x v="0"/>
    <x v="0"/>
    <x v="0"/>
    <n v="232.78"/>
    <n v="31.8"/>
    <x v="0"/>
    <n v="0"/>
    <x v="0"/>
    <x v="0"/>
  </r>
  <r>
    <n v="3612"/>
    <x v="0"/>
    <n v="67"/>
    <n v="0"/>
    <n v="0"/>
    <x v="1"/>
    <x v="0"/>
    <x v="0"/>
    <x v="1"/>
    <n v="86.96"/>
    <n v="31.4"/>
    <x v="0"/>
    <n v="0"/>
    <x v="0"/>
    <x v="0"/>
  </r>
  <r>
    <n v="66590"/>
    <x v="1"/>
    <n v="43"/>
    <n v="0"/>
    <n v="0"/>
    <x v="2"/>
    <x v="0"/>
    <x v="1"/>
    <x v="0"/>
    <n v="67.5"/>
    <n v="20.399999999999999"/>
    <x v="0"/>
    <n v="0"/>
    <x v="1"/>
    <x v="2"/>
  </r>
  <r>
    <n v="19611"/>
    <x v="0"/>
    <n v="59"/>
    <n v="0"/>
    <n v="0"/>
    <x v="2"/>
    <x v="0"/>
    <x v="0"/>
    <x v="0"/>
    <n v="81.209999999999994"/>
    <n v="33.200000000000003"/>
    <x v="2"/>
    <n v="0"/>
    <x v="1"/>
    <x v="0"/>
  </r>
  <r>
    <n v="47216"/>
    <x v="0"/>
    <n v="47"/>
    <n v="0"/>
    <n v="0"/>
    <x v="2"/>
    <x v="0"/>
    <x v="0"/>
    <x v="1"/>
    <n v="110.14"/>
    <n v="30.5"/>
    <x v="2"/>
    <n v="0"/>
    <x v="1"/>
    <x v="0"/>
  </r>
  <r>
    <n v="55591"/>
    <x v="0"/>
    <n v="50"/>
    <n v="0"/>
    <n v="0"/>
    <x v="2"/>
    <x v="0"/>
    <x v="0"/>
    <x v="0"/>
    <n v="120.44"/>
    <n v="30.3"/>
    <x v="1"/>
    <n v="0"/>
    <x v="1"/>
    <x v="0"/>
  </r>
  <r>
    <n v="24381"/>
    <x v="0"/>
    <n v="51"/>
    <n v="0"/>
    <n v="1"/>
    <x v="2"/>
    <x v="0"/>
    <x v="1"/>
    <x v="0"/>
    <n v="187.47"/>
    <n v="34.200000000000003"/>
    <x v="1"/>
    <n v="0"/>
    <x v="1"/>
    <x v="0"/>
  </r>
  <r>
    <n v="8037"/>
    <x v="0"/>
    <n v="44"/>
    <n v="0"/>
    <n v="1"/>
    <x v="2"/>
    <x v="1"/>
    <x v="2"/>
    <x v="0"/>
    <n v="94.62"/>
    <n v="34.4"/>
    <x v="3"/>
    <n v="0"/>
    <x v="1"/>
    <x v="0"/>
  </r>
  <r>
    <n v="23911"/>
    <x v="1"/>
    <n v="39"/>
    <n v="0"/>
    <n v="0"/>
    <x v="2"/>
    <x v="1"/>
    <x v="0"/>
    <x v="1"/>
    <n v="89.57"/>
    <n v="48.1"/>
    <x v="1"/>
    <n v="0"/>
    <x v="2"/>
    <x v="0"/>
  </r>
  <r>
    <n v="31596"/>
    <x v="1"/>
    <n v="24"/>
    <n v="0"/>
    <n v="0"/>
    <x v="2"/>
    <x v="1"/>
    <x v="0"/>
    <x v="0"/>
    <n v="95.31"/>
    <n v="22.8"/>
    <x v="1"/>
    <n v="0"/>
    <x v="2"/>
    <x v="2"/>
  </r>
  <r>
    <n v="44647"/>
    <x v="0"/>
    <n v="62"/>
    <n v="0"/>
    <n v="0"/>
    <x v="1"/>
    <x v="1"/>
    <x v="2"/>
    <x v="1"/>
    <n v="75.069999999999993"/>
    <n v="30.5"/>
    <x v="1"/>
    <n v="0"/>
    <x v="0"/>
    <x v="0"/>
  </r>
  <r>
    <n v="51486"/>
    <x v="1"/>
    <n v="61"/>
    <n v="0"/>
    <n v="0"/>
    <x v="1"/>
    <x v="0"/>
    <x v="0"/>
    <x v="1"/>
    <n v="106.65"/>
    <n v="35.9"/>
    <x v="0"/>
    <n v="0"/>
    <x v="0"/>
    <x v="0"/>
  </r>
  <r>
    <n v="18263"/>
    <x v="1"/>
    <n v="78"/>
    <n v="0"/>
    <n v="0"/>
    <x v="1"/>
    <x v="0"/>
    <x v="1"/>
    <x v="0"/>
    <n v="234.06"/>
    <n v="33.700000000000003"/>
    <x v="1"/>
    <n v="0"/>
    <x v="0"/>
    <x v="0"/>
  </r>
  <r>
    <n v="41930"/>
    <x v="0"/>
    <n v="15"/>
    <n v="0"/>
    <n v="0"/>
    <x v="2"/>
    <x v="1"/>
    <x v="0"/>
    <x v="1"/>
    <n v="144.15"/>
    <n v="24.1"/>
    <x v="1"/>
    <n v="0"/>
    <x v="2"/>
    <x v="2"/>
  </r>
  <r>
    <n v="45922"/>
    <x v="1"/>
    <n v="23"/>
    <n v="0"/>
    <n v="0"/>
    <x v="2"/>
    <x v="1"/>
    <x v="0"/>
    <x v="0"/>
    <n v="58.81"/>
    <n v="25.4"/>
    <x v="1"/>
    <n v="0"/>
    <x v="2"/>
    <x v="3"/>
  </r>
  <r>
    <n v="52934"/>
    <x v="0"/>
    <n v="79"/>
    <n v="0"/>
    <n v="0"/>
    <x v="1"/>
    <x v="0"/>
    <x v="1"/>
    <x v="0"/>
    <n v="242.62"/>
    <n v="25.5"/>
    <x v="1"/>
    <n v="0"/>
    <x v="0"/>
    <x v="3"/>
  </r>
  <r>
    <n v="18020"/>
    <x v="0"/>
    <n v="57"/>
    <n v="0"/>
    <n v="0"/>
    <x v="2"/>
    <x v="0"/>
    <x v="0"/>
    <x v="0"/>
    <n v="93.04"/>
    <n v="29.2"/>
    <x v="1"/>
    <n v="0"/>
    <x v="1"/>
    <x v="3"/>
  </r>
  <r>
    <n v="2044"/>
    <x v="1"/>
    <n v="70"/>
    <n v="0"/>
    <n v="1"/>
    <x v="0"/>
    <x v="0"/>
    <x v="1"/>
    <x v="1"/>
    <n v="65.680000000000007"/>
    <s v="N/A"/>
    <x v="3"/>
    <n v="0"/>
    <x v="0"/>
    <x v="1"/>
  </r>
  <r>
    <n v="63467"/>
    <x v="0"/>
    <n v="9"/>
    <n v="0"/>
    <n v="0"/>
    <x v="2"/>
    <x v="1"/>
    <x v="3"/>
    <x v="0"/>
    <n v="150"/>
    <n v="17.399999999999999"/>
    <x v="3"/>
    <n v="0"/>
    <x v="2"/>
    <x v="4"/>
  </r>
  <r>
    <n v="38642"/>
    <x v="0"/>
    <n v="55"/>
    <n v="0"/>
    <n v="0"/>
    <x v="2"/>
    <x v="0"/>
    <x v="0"/>
    <x v="0"/>
    <n v="63.56"/>
    <n v="29.9"/>
    <x v="3"/>
    <n v="0"/>
    <x v="1"/>
    <x v="3"/>
  </r>
  <r>
    <n v="5387"/>
    <x v="1"/>
    <n v="82"/>
    <n v="0"/>
    <n v="0"/>
    <x v="1"/>
    <x v="1"/>
    <x v="0"/>
    <x v="1"/>
    <n v="96.98"/>
    <n v="21.5"/>
    <x v="1"/>
    <n v="0"/>
    <x v="0"/>
    <x v="2"/>
  </r>
  <r>
    <n v="68417"/>
    <x v="1"/>
    <n v="19"/>
    <n v="0"/>
    <n v="0"/>
    <x v="2"/>
    <x v="1"/>
    <x v="0"/>
    <x v="1"/>
    <n v="66.7"/>
    <n v="24.7"/>
    <x v="1"/>
    <n v="0"/>
    <x v="2"/>
    <x v="2"/>
  </r>
  <r>
    <n v="22477"/>
    <x v="0"/>
    <n v="41"/>
    <n v="0"/>
    <n v="0"/>
    <x v="2"/>
    <x v="0"/>
    <x v="0"/>
    <x v="1"/>
    <n v="79.66"/>
    <n v="25.1"/>
    <x v="3"/>
    <n v="0"/>
    <x v="1"/>
    <x v="3"/>
  </r>
  <r>
    <n v="23968"/>
    <x v="1"/>
    <n v="79"/>
    <n v="0"/>
    <n v="0"/>
    <x v="1"/>
    <x v="0"/>
    <x v="2"/>
    <x v="1"/>
    <n v="90.16"/>
    <n v="34.4"/>
    <x v="1"/>
    <n v="0"/>
    <x v="0"/>
    <x v="0"/>
  </r>
  <r>
    <n v="8111"/>
    <x v="1"/>
    <n v="23"/>
    <n v="0"/>
    <n v="0"/>
    <x v="2"/>
    <x v="1"/>
    <x v="0"/>
    <x v="1"/>
    <n v="104.09"/>
    <n v="27.9"/>
    <x v="3"/>
    <n v="0"/>
    <x v="2"/>
    <x v="3"/>
  </r>
  <r>
    <n v="15282"/>
    <x v="1"/>
    <n v="77"/>
    <n v="0"/>
    <n v="0"/>
    <x v="1"/>
    <x v="0"/>
    <x v="0"/>
    <x v="1"/>
    <n v="90.96"/>
    <n v="31.5"/>
    <x v="0"/>
    <n v="0"/>
    <x v="0"/>
    <x v="0"/>
  </r>
  <r>
    <n v="54395"/>
    <x v="1"/>
    <n v="78"/>
    <n v="1"/>
    <n v="0"/>
    <x v="0"/>
    <x v="0"/>
    <x v="1"/>
    <x v="1"/>
    <n v="152.38"/>
    <n v="31.8"/>
    <x v="1"/>
    <n v="0"/>
    <x v="0"/>
    <x v="0"/>
  </r>
  <r>
    <n v="25408"/>
    <x v="1"/>
    <n v="24"/>
    <n v="0"/>
    <n v="0"/>
    <x v="2"/>
    <x v="0"/>
    <x v="1"/>
    <x v="1"/>
    <n v="114.54"/>
    <n v="30.1"/>
    <x v="2"/>
    <n v="0"/>
    <x v="2"/>
    <x v="0"/>
  </r>
  <r>
    <n v="69284"/>
    <x v="1"/>
    <n v="81"/>
    <n v="1"/>
    <n v="0"/>
    <x v="0"/>
    <x v="0"/>
    <x v="1"/>
    <x v="0"/>
    <n v="174.54"/>
    <n v="26.4"/>
    <x v="1"/>
    <n v="0"/>
    <x v="0"/>
    <x v="3"/>
  </r>
  <r>
    <n v="28348"/>
    <x v="1"/>
    <n v="46"/>
    <n v="0"/>
    <n v="0"/>
    <x v="2"/>
    <x v="0"/>
    <x v="0"/>
    <x v="1"/>
    <n v="106.47"/>
    <n v="27.2"/>
    <x v="3"/>
    <n v="0"/>
    <x v="1"/>
    <x v="3"/>
  </r>
  <r>
    <n v="46015"/>
    <x v="1"/>
    <n v="29"/>
    <n v="0"/>
    <n v="0"/>
    <x v="2"/>
    <x v="1"/>
    <x v="0"/>
    <x v="0"/>
    <n v="73.63"/>
    <n v="22.5"/>
    <x v="2"/>
    <n v="0"/>
    <x v="2"/>
    <x v="2"/>
  </r>
  <r>
    <n v="69047"/>
    <x v="1"/>
    <n v="59"/>
    <n v="0"/>
    <n v="0"/>
    <x v="2"/>
    <x v="0"/>
    <x v="2"/>
    <x v="0"/>
    <n v="98.52"/>
    <n v="29.8"/>
    <x v="0"/>
    <n v="0"/>
    <x v="1"/>
    <x v="3"/>
  </r>
  <r>
    <n v="39706"/>
    <x v="0"/>
    <n v="41"/>
    <n v="0"/>
    <n v="0"/>
    <x v="2"/>
    <x v="0"/>
    <x v="1"/>
    <x v="1"/>
    <n v="62.93"/>
    <n v="26.1"/>
    <x v="2"/>
    <n v="0"/>
    <x v="1"/>
    <x v="3"/>
  </r>
  <r>
    <n v="9143"/>
    <x v="1"/>
    <n v="17"/>
    <n v="0"/>
    <n v="0"/>
    <x v="2"/>
    <x v="1"/>
    <x v="0"/>
    <x v="0"/>
    <n v="67.87"/>
    <n v="24.9"/>
    <x v="0"/>
    <n v="0"/>
    <x v="2"/>
    <x v="2"/>
  </r>
  <r>
    <n v="64879"/>
    <x v="1"/>
    <n v="8"/>
    <n v="0"/>
    <n v="0"/>
    <x v="2"/>
    <x v="1"/>
    <x v="3"/>
    <x v="1"/>
    <n v="120.43"/>
    <n v="23.5"/>
    <x v="3"/>
    <n v="0"/>
    <x v="2"/>
    <x v="2"/>
  </r>
  <r>
    <n v="17130"/>
    <x v="1"/>
    <n v="23"/>
    <n v="0"/>
    <n v="0"/>
    <x v="2"/>
    <x v="1"/>
    <x v="0"/>
    <x v="1"/>
    <n v="76.56"/>
    <n v="30.1"/>
    <x v="1"/>
    <n v="0"/>
    <x v="2"/>
    <x v="0"/>
  </r>
  <r>
    <n v="16420"/>
    <x v="1"/>
    <n v="45"/>
    <n v="0"/>
    <n v="0"/>
    <x v="2"/>
    <x v="0"/>
    <x v="0"/>
    <x v="0"/>
    <n v="108.03"/>
    <n v="37.299999999999997"/>
    <x v="1"/>
    <n v="0"/>
    <x v="1"/>
    <x v="0"/>
  </r>
  <r>
    <n v="7529"/>
    <x v="0"/>
    <n v="67"/>
    <n v="0"/>
    <n v="0"/>
    <x v="1"/>
    <x v="0"/>
    <x v="0"/>
    <x v="1"/>
    <n v="83.16"/>
    <n v="25.5"/>
    <x v="0"/>
    <n v="0"/>
    <x v="0"/>
    <x v="3"/>
  </r>
  <r>
    <n v="54022"/>
    <x v="1"/>
    <n v="78"/>
    <n v="0"/>
    <n v="0"/>
    <x v="1"/>
    <x v="0"/>
    <x v="1"/>
    <x v="1"/>
    <n v="67.900000000000006"/>
    <n v="35.299999999999997"/>
    <x v="1"/>
    <n v="0"/>
    <x v="0"/>
    <x v="0"/>
  </r>
  <r>
    <n v="35660"/>
    <x v="0"/>
    <n v="18"/>
    <n v="0"/>
    <n v="0"/>
    <x v="2"/>
    <x v="1"/>
    <x v="0"/>
    <x v="1"/>
    <n v="115.46"/>
    <n v="27.6"/>
    <x v="3"/>
    <n v="0"/>
    <x v="2"/>
    <x v="3"/>
  </r>
  <r>
    <n v="50605"/>
    <x v="1"/>
    <n v="35"/>
    <n v="0"/>
    <n v="0"/>
    <x v="2"/>
    <x v="0"/>
    <x v="0"/>
    <x v="1"/>
    <n v="123.94"/>
    <n v="28.7"/>
    <x v="1"/>
    <n v="0"/>
    <x v="2"/>
    <x v="3"/>
  </r>
  <r>
    <n v="27803"/>
    <x v="1"/>
    <n v="54"/>
    <n v="0"/>
    <n v="0"/>
    <x v="2"/>
    <x v="0"/>
    <x v="2"/>
    <x v="0"/>
    <n v="231.54"/>
    <n v="29.9"/>
    <x v="1"/>
    <n v="0"/>
    <x v="1"/>
    <x v="3"/>
  </r>
  <r>
    <n v="68981"/>
    <x v="1"/>
    <n v="71"/>
    <n v="1"/>
    <n v="0"/>
    <x v="0"/>
    <x v="0"/>
    <x v="2"/>
    <x v="0"/>
    <n v="219.8"/>
    <n v="34.200000000000003"/>
    <x v="0"/>
    <n v="0"/>
    <x v="0"/>
    <x v="0"/>
  </r>
  <r>
    <n v="61505"/>
    <x v="1"/>
    <n v="24"/>
    <n v="0"/>
    <n v="0"/>
    <x v="2"/>
    <x v="1"/>
    <x v="0"/>
    <x v="1"/>
    <n v="187.99"/>
    <n v="24.9"/>
    <x v="2"/>
    <n v="0"/>
    <x v="2"/>
    <x v="2"/>
  </r>
  <r>
    <n v="70677"/>
    <x v="0"/>
    <n v="60"/>
    <n v="0"/>
    <n v="0"/>
    <x v="1"/>
    <x v="0"/>
    <x v="0"/>
    <x v="1"/>
    <n v="234.45"/>
    <n v="36.799999999999997"/>
    <x v="0"/>
    <n v="0"/>
    <x v="0"/>
    <x v="0"/>
  </r>
  <r>
    <n v="49620"/>
    <x v="0"/>
    <n v="75"/>
    <n v="0"/>
    <n v="0"/>
    <x v="1"/>
    <x v="0"/>
    <x v="0"/>
    <x v="1"/>
    <n v="75.47"/>
    <n v="24.5"/>
    <x v="0"/>
    <n v="0"/>
    <x v="0"/>
    <x v="2"/>
  </r>
  <r>
    <n v="5319"/>
    <x v="0"/>
    <n v="48"/>
    <n v="0"/>
    <n v="0"/>
    <x v="2"/>
    <x v="0"/>
    <x v="0"/>
    <x v="1"/>
    <n v="98.24"/>
    <n v="34.6"/>
    <x v="1"/>
    <n v="0"/>
    <x v="1"/>
    <x v="0"/>
  </r>
  <r>
    <n v="51100"/>
    <x v="0"/>
    <n v="62"/>
    <n v="0"/>
    <n v="0"/>
    <x v="1"/>
    <x v="0"/>
    <x v="2"/>
    <x v="1"/>
    <n v="66.2"/>
    <n v="30"/>
    <x v="3"/>
    <n v="0"/>
    <x v="0"/>
    <x v="0"/>
  </r>
  <r>
    <n v="163"/>
    <x v="1"/>
    <n v="20"/>
    <n v="0"/>
    <n v="0"/>
    <x v="2"/>
    <x v="1"/>
    <x v="0"/>
    <x v="1"/>
    <n v="94.67"/>
    <n v="28.8"/>
    <x v="3"/>
    <n v="0"/>
    <x v="2"/>
    <x v="3"/>
  </r>
  <r>
    <n v="55140"/>
    <x v="0"/>
    <n v="69"/>
    <n v="1"/>
    <n v="0"/>
    <x v="0"/>
    <x v="1"/>
    <x v="0"/>
    <x v="0"/>
    <n v="75.95"/>
    <n v="28.6"/>
    <x v="1"/>
    <n v="0"/>
    <x v="0"/>
    <x v="3"/>
  </r>
  <r>
    <n v="52882"/>
    <x v="1"/>
    <n v="60"/>
    <n v="0"/>
    <n v="0"/>
    <x v="1"/>
    <x v="0"/>
    <x v="2"/>
    <x v="1"/>
    <n v="111.79"/>
    <n v="23.6"/>
    <x v="2"/>
    <n v="0"/>
    <x v="0"/>
    <x v="2"/>
  </r>
  <r>
    <n v="54344"/>
    <x v="1"/>
    <n v="12"/>
    <n v="0"/>
    <n v="0"/>
    <x v="2"/>
    <x v="1"/>
    <x v="3"/>
    <x v="1"/>
    <n v="80.89"/>
    <n v="20.100000000000001"/>
    <x v="3"/>
    <n v="0"/>
    <x v="2"/>
    <x v="2"/>
  </r>
  <r>
    <n v="2550"/>
    <x v="1"/>
    <n v="28"/>
    <n v="0"/>
    <n v="0"/>
    <x v="2"/>
    <x v="0"/>
    <x v="2"/>
    <x v="1"/>
    <n v="86.91"/>
    <n v="21.1"/>
    <x v="0"/>
    <n v="0"/>
    <x v="2"/>
    <x v="2"/>
  </r>
  <r>
    <n v="58610"/>
    <x v="1"/>
    <n v="55"/>
    <n v="0"/>
    <n v="0"/>
    <x v="2"/>
    <x v="0"/>
    <x v="0"/>
    <x v="0"/>
    <n v="59.36"/>
    <n v="34.1"/>
    <x v="2"/>
    <n v="0"/>
    <x v="1"/>
    <x v="0"/>
  </r>
  <r>
    <n v="16902"/>
    <x v="1"/>
    <n v="70"/>
    <n v="0"/>
    <n v="1"/>
    <x v="0"/>
    <x v="0"/>
    <x v="1"/>
    <x v="0"/>
    <n v="240.69"/>
    <s v="N/A"/>
    <x v="2"/>
    <n v="0"/>
    <x v="0"/>
    <x v="1"/>
  </r>
  <r>
    <n v="60603"/>
    <x v="1"/>
    <n v="51"/>
    <n v="0"/>
    <n v="0"/>
    <x v="2"/>
    <x v="1"/>
    <x v="0"/>
    <x v="1"/>
    <n v="66.67"/>
    <n v="29.5"/>
    <x v="1"/>
    <n v="0"/>
    <x v="1"/>
    <x v="3"/>
  </r>
  <r>
    <n v="808"/>
    <x v="1"/>
    <n v="16"/>
    <n v="0"/>
    <n v="0"/>
    <x v="2"/>
    <x v="1"/>
    <x v="0"/>
    <x v="1"/>
    <n v="87.54"/>
    <n v="37.799999999999997"/>
    <x v="1"/>
    <n v="0"/>
    <x v="2"/>
    <x v="0"/>
  </r>
  <r>
    <n v="61881"/>
    <x v="0"/>
    <n v="56"/>
    <n v="0"/>
    <n v="0"/>
    <x v="2"/>
    <x v="1"/>
    <x v="1"/>
    <x v="0"/>
    <n v="139.87"/>
    <n v="31.2"/>
    <x v="2"/>
    <n v="0"/>
    <x v="1"/>
    <x v="0"/>
  </r>
  <r>
    <n v="41600"/>
    <x v="0"/>
    <n v="52"/>
    <n v="0"/>
    <n v="0"/>
    <x v="2"/>
    <x v="0"/>
    <x v="0"/>
    <x v="1"/>
    <n v="67.92"/>
    <n v="31.1"/>
    <x v="1"/>
    <n v="0"/>
    <x v="1"/>
    <x v="0"/>
  </r>
  <r>
    <n v="12786"/>
    <x v="1"/>
    <n v="59"/>
    <n v="0"/>
    <n v="0"/>
    <x v="2"/>
    <x v="0"/>
    <x v="0"/>
    <x v="0"/>
    <n v="83.62"/>
    <n v="34.200000000000003"/>
    <x v="3"/>
    <n v="0"/>
    <x v="1"/>
    <x v="0"/>
  </r>
  <r>
    <n v="11935"/>
    <x v="1"/>
    <n v="9"/>
    <n v="0"/>
    <n v="0"/>
    <x v="2"/>
    <x v="1"/>
    <x v="3"/>
    <x v="1"/>
    <n v="110.97"/>
    <n v="17.7"/>
    <x v="3"/>
    <n v="0"/>
    <x v="2"/>
    <x v="4"/>
  </r>
  <r>
    <n v="44655"/>
    <x v="1"/>
    <n v="34"/>
    <n v="0"/>
    <n v="0"/>
    <x v="2"/>
    <x v="0"/>
    <x v="0"/>
    <x v="1"/>
    <n v="70.53"/>
    <n v="39.200000000000003"/>
    <x v="1"/>
    <n v="0"/>
    <x v="2"/>
    <x v="0"/>
  </r>
  <r>
    <n v="48644"/>
    <x v="1"/>
    <n v="47"/>
    <n v="0"/>
    <n v="0"/>
    <x v="2"/>
    <x v="0"/>
    <x v="1"/>
    <x v="1"/>
    <n v="115.91"/>
    <n v="22.2"/>
    <x v="0"/>
    <n v="0"/>
    <x v="1"/>
    <x v="2"/>
  </r>
  <r>
    <n v="41527"/>
    <x v="0"/>
    <n v="46"/>
    <n v="0"/>
    <n v="0"/>
    <x v="2"/>
    <x v="0"/>
    <x v="0"/>
    <x v="0"/>
    <n v="59.74"/>
    <n v="29.5"/>
    <x v="2"/>
    <n v="0"/>
    <x v="1"/>
    <x v="3"/>
  </r>
  <r>
    <n v="50975"/>
    <x v="0"/>
    <n v="49"/>
    <n v="0"/>
    <n v="0"/>
    <x v="2"/>
    <x v="0"/>
    <x v="0"/>
    <x v="1"/>
    <n v="62.64"/>
    <n v="27"/>
    <x v="1"/>
    <n v="0"/>
    <x v="1"/>
    <x v="3"/>
  </r>
  <r>
    <n v="49179"/>
    <x v="0"/>
    <n v="10"/>
    <n v="0"/>
    <n v="0"/>
    <x v="2"/>
    <x v="1"/>
    <x v="3"/>
    <x v="1"/>
    <n v="84.81"/>
    <n v="16.8"/>
    <x v="1"/>
    <n v="0"/>
    <x v="2"/>
    <x v="4"/>
  </r>
  <r>
    <n v="27509"/>
    <x v="1"/>
    <n v="76"/>
    <n v="1"/>
    <n v="0"/>
    <x v="0"/>
    <x v="0"/>
    <x v="1"/>
    <x v="0"/>
    <n v="78.680000000000007"/>
    <n v="23.3"/>
    <x v="1"/>
    <n v="0"/>
    <x v="0"/>
    <x v="2"/>
  </r>
  <r>
    <n v="19191"/>
    <x v="0"/>
    <n v="82"/>
    <n v="0"/>
    <n v="0"/>
    <x v="1"/>
    <x v="0"/>
    <x v="0"/>
    <x v="0"/>
    <n v="217.57"/>
    <n v="33.5"/>
    <x v="0"/>
    <n v="0"/>
    <x v="0"/>
    <x v="0"/>
  </r>
  <r>
    <n v="25149"/>
    <x v="1"/>
    <n v="3"/>
    <n v="0"/>
    <n v="0"/>
    <x v="2"/>
    <x v="1"/>
    <x v="3"/>
    <x v="1"/>
    <n v="79.760000000000005"/>
    <n v="15.6"/>
    <x v="3"/>
    <n v="0"/>
    <x v="2"/>
    <x v="4"/>
  </r>
  <r>
    <n v="42626"/>
    <x v="1"/>
    <n v="76"/>
    <n v="1"/>
    <n v="0"/>
    <x v="0"/>
    <x v="0"/>
    <x v="2"/>
    <x v="1"/>
    <n v="63.28"/>
    <n v="28.2"/>
    <x v="1"/>
    <n v="0"/>
    <x v="0"/>
    <x v="3"/>
  </r>
  <r>
    <n v="2578"/>
    <x v="0"/>
    <n v="16"/>
    <n v="0"/>
    <n v="0"/>
    <x v="2"/>
    <x v="1"/>
    <x v="2"/>
    <x v="1"/>
    <n v="78.48"/>
    <n v="22.6"/>
    <x v="1"/>
    <n v="0"/>
    <x v="2"/>
    <x v="2"/>
  </r>
  <r>
    <n v="55975"/>
    <x v="1"/>
    <n v="44"/>
    <n v="0"/>
    <n v="0"/>
    <x v="2"/>
    <x v="0"/>
    <x v="2"/>
    <x v="1"/>
    <n v="70.48"/>
    <n v="20.2"/>
    <x v="1"/>
    <n v="0"/>
    <x v="1"/>
    <x v="2"/>
  </r>
  <r>
    <n v="62182"/>
    <x v="1"/>
    <n v="17"/>
    <n v="0"/>
    <n v="0"/>
    <x v="2"/>
    <x v="1"/>
    <x v="0"/>
    <x v="1"/>
    <n v="120.96"/>
    <n v="22.2"/>
    <x v="0"/>
    <n v="0"/>
    <x v="2"/>
    <x v="2"/>
  </r>
  <r>
    <n v="12037"/>
    <x v="1"/>
    <n v="73"/>
    <n v="0"/>
    <n v="0"/>
    <x v="1"/>
    <x v="0"/>
    <x v="1"/>
    <x v="1"/>
    <n v="77.290000000000006"/>
    <n v="22.6"/>
    <x v="1"/>
    <n v="0"/>
    <x v="0"/>
    <x v="2"/>
  </r>
  <r>
    <n v="21963"/>
    <x v="0"/>
    <n v="31"/>
    <n v="0"/>
    <n v="0"/>
    <x v="2"/>
    <x v="0"/>
    <x v="0"/>
    <x v="0"/>
    <n v="108.51"/>
    <n v="26.7"/>
    <x v="3"/>
    <n v="0"/>
    <x v="2"/>
    <x v="3"/>
  </r>
  <r>
    <n v="26250"/>
    <x v="0"/>
    <n v="17"/>
    <n v="0"/>
    <n v="0"/>
    <x v="2"/>
    <x v="1"/>
    <x v="1"/>
    <x v="0"/>
    <n v="113.85"/>
    <n v="22.9"/>
    <x v="3"/>
    <n v="0"/>
    <x v="2"/>
    <x v="2"/>
  </r>
  <r>
    <n v="13960"/>
    <x v="1"/>
    <n v="18"/>
    <n v="0"/>
    <n v="0"/>
    <x v="2"/>
    <x v="1"/>
    <x v="4"/>
    <x v="0"/>
    <n v="97.65"/>
    <n v="21.5"/>
    <x v="3"/>
    <n v="0"/>
    <x v="2"/>
    <x v="2"/>
  </r>
  <r>
    <n v="56573"/>
    <x v="0"/>
    <n v="73"/>
    <n v="0"/>
    <n v="0"/>
    <x v="1"/>
    <x v="0"/>
    <x v="0"/>
    <x v="1"/>
    <n v="121.83"/>
    <n v="30.3"/>
    <x v="0"/>
    <n v="0"/>
    <x v="0"/>
    <x v="0"/>
  </r>
  <r>
    <n v="10659"/>
    <x v="1"/>
    <n v="8"/>
    <n v="0"/>
    <n v="0"/>
    <x v="2"/>
    <x v="1"/>
    <x v="3"/>
    <x v="0"/>
    <n v="81.53"/>
    <n v="14.8"/>
    <x v="3"/>
    <n v="0"/>
    <x v="2"/>
    <x v="4"/>
  </r>
  <r>
    <n v="50763"/>
    <x v="0"/>
    <n v="42"/>
    <n v="0"/>
    <n v="0"/>
    <x v="2"/>
    <x v="0"/>
    <x v="2"/>
    <x v="0"/>
    <n v="58.35"/>
    <n v="24.3"/>
    <x v="1"/>
    <n v="0"/>
    <x v="1"/>
    <x v="2"/>
  </r>
  <r>
    <n v="62075"/>
    <x v="1"/>
    <n v="40"/>
    <n v="0"/>
    <n v="0"/>
    <x v="2"/>
    <x v="0"/>
    <x v="0"/>
    <x v="0"/>
    <n v="65.42"/>
    <n v="17.399999999999999"/>
    <x v="0"/>
    <n v="0"/>
    <x v="1"/>
    <x v="4"/>
  </r>
  <r>
    <n v="10119"/>
    <x v="0"/>
    <n v="79"/>
    <n v="0"/>
    <n v="0"/>
    <x v="1"/>
    <x v="0"/>
    <x v="0"/>
    <x v="1"/>
    <n v="69.34"/>
    <n v="29"/>
    <x v="1"/>
    <n v="0"/>
    <x v="0"/>
    <x v="3"/>
  </r>
  <r>
    <n v="48127"/>
    <x v="0"/>
    <n v="53"/>
    <n v="0"/>
    <n v="0"/>
    <x v="2"/>
    <x v="0"/>
    <x v="1"/>
    <x v="0"/>
    <n v="109.09"/>
    <n v="26.3"/>
    <x v="2"/>
    <n v="0"/>
    <x v="1"/>
    <x v="3"/>
  </r>
  <r>
    <n v="65892"/>
    <x v="1"/>
    <n v="58"/>
    <n v="0"/>
    <n v="0"/>
    <x v="2"/>
    <x v="0"/>
    <x v="1"/>
    <x v="0"/>
    <n v="66.709999999999994"/>
    <n v="51.7"/>
    <x v="1"/>
    <n v="0"/>
    <x v="1"/>
    <x v="0"/>
  </r>
  <r>
    <n v="33370"/>
    <x v="1"/>
    <n v="48"/>
    <n v="0"/>
    <n v="0"/>
    <x v="2"/>
    <x v="0"/>
    <x v="0"/>
    <x v="1"/>
    <n v="114.92"/>
    <n v="29.2"/>
    <x v="3"/>
    <n v="0"/>
    <x v="1"/>
    <x v="3"/>
  </r>
  <r>
    <n v="59049"/>
    <x v="1"/>
    <n v="17"/>
    <n v="0"/>
    <n v="0"/>
    <x v="2"/>
    <x v="1"/>
    <x v="0"/>
    <x v="1"/>
    <n v="120.58"/>
    <n v="18.3"/>
    <x v="1"/>
    <n v="0"/>
    <x v="2"/>
    <x v="4"/>
  </r>
  <r>
    <n v="53896"/>
    <x v="1"/>
    <n v="23"/>
    <n v="0"/>
    <n v="0"/>
    <x v="2"/>
    <x v="1"/>
    <x v="0"/>
    <x v="1"/>
    <n v="165.36"/>
    <n v="21.9"/>
    <x v="2"/>
    <n v="0"/>
    <x v="2"/>
    <x v="2"/>
  </r>
  <r>
    <n v="21980"/>
    <x v="0"/>
    <n v="9"/>
    <n v="0"/>
    <n v="0"/>
    <x v="2"/>
    <x v="1"/>
    <x v="3"/>
    <x v="0"/>
    <n v="66.11"/>
    <n v="16.3"/>
    <x v="3"/>
    <n v="0"/>
    <x v="2"/>
    <x v="4"/>
  </r>
  <r>
    <n v="70497"/>
    <x v="1"/>
    <n v="81"/>
    <n v="1"/>
    <n v="1"/>
    <x v="0"/>
    <x v="0"/>
    <x v="0"/>
    <x v="1"/>
    <n v="126.34"/>
    <n v="27.4"/>
    <x v="2"/>
    <n v="0"/>
    <x v="0"/>
    <x v="3"/>
  </r>
  <r>
    <n v="58652"/>
    <x v="1"/>
    <n v="16"/>
    <n v="0"/>
    <n v="0"/>
    <x v="2"/>
    <x v="1"/>
    <x v="4"/>
    <x v="1"/>
    <n v="68.27"/>
    <n v="20.399999999999999"/>
    <x v="1"/>
    <n v="0"/>
    <x v="2"/>
    <x v="2"/>
  </r>
  <r>
    <n v="30335"/>
    <x v="0"/>
    <n v="21"/>
    <n v="0"/>
    <n v="0"/>
    <x v="2"/>
    <x v="1"/>
    <x v="0"/>
    <x v="1"/>
    <n v="92.86"/>
    <n v="23.2"/>
    <x v="1"/>
    <n v="0"/>
    <x v="2"/>
    <x v="2"/>
  </r>
  <r>
    <n v="26305"/>
    <x v="0"/>
    <n v="29"/>
    <n v="0"/>
    <n v="0"/>
    <x v="2"/>
    <x v="1"/>
    <x v="1"/>
    <x v="1"/>
    <n v="96.77"/>
    <n v="30.3"/>
    <x v="0"/>
    <n v="0"/>
    <x v="2"/>
    <x v="0"/>
  </r>
  <r>
    <n v="31227"/>
    <x v="0"/>
    <n v="8"/>
    <n v="0"/>
    <n v="0"/>
    <x v="2"/>
    <x v="1"/>
    <x v="3"/>
    <x v="1"/>
    <n v="89.24"/>
    <n v="16.7"/>
    <x v="3"/>
    <n v="0"/>
    <x v="2"/>
    <x v="4"/>
  </r>
  <r>
    <n v="5581"/>
    <x v="1"/>
    <n v="39"/>
    <n v="0"/>
    <n v="0"/>
    <x v="2"/>
    <x v="0"/>
    <x v="0"/>
    <x v="1"/>
    <n v="89.32"/>
    <n v="31"/>
    <x v="0"/>
    <n v="0"/>
    <x v="2"/>
    <x v="0"/>
  </r>
  <r>
    <n v="1989"/>
    <x v="0"/>
    <n v="37"/>
    <n v="0"/>
    <n v="0"/>
    <x v="2"/>
    <x v="0"/>
    <x v="0"/>
    <x v="1"/>
    <n v="107.06"/>
    <s v="N/A"/>
    <x v="2"/>
    <n v="0"/>
    <x v="2"/>
    <x v="1"/>
  </r>
  <r>
    <n v="43803"/>
    <x v="1"/>
    <n v="64"/>
    <n v="0"/>
    <n v="0"/>
    <x v="1"/>
    <x v="0"/>
    <x v="0"/>
    <x v="0"/>
    <n v="65.63"/>
    <n v="33.5"/>
    <x v="2"/>
    <n v="0"/>
    <x v="0"/>
    <x v="0"/>
  </r>
  <r>
    <n v="41395"/>
    <x v="0"/>
    <n v="9"/>
    <n v="0"/>
    <n v="0"/>
    <x v="2"/>
    <x v="1"/>
    <x v="3"/>
    <x v="0"/>
    <n v="123.66"/>
    <n v="17"/>
    <x v="3"/>
    <n v="0"/>
    <x v="2"/>
    <x v="4"/>
  </r>
  <r>
    <n v="71784"/>
    <x v="0"/>
    <n v="17"/>
    <n v="0"/>
    <n v="0"/>
    <x v="2"/>
    <x v="1"/>
    <x v="0"/>
    <x v="1"/>
    <n v="63.82"/>
    <n v="19.399999999999999"/>
    <x v="2"/>
    <n v="0"/>
    <x v="2"/>
    <x v="2"/>
  </r>
  <r>
    <n v="57979"/>
    <x v="0"/>
    <n v="8"/>
    <n v="0"/>
    <n v="0"/>
    <x v="2"/>
    <x v="1"/>
    <x v="3"/>
    <x v="1"/>
    <n v="108.06"/>
    <n v="14.6"/>
    <x v="3"/>
    <n v="0"/>
    <x v="2"/>
    <x v="4"/>
  </r>
  <r>
    <n v="54437"/>
    <x v="0"/>
    <n v="62"/>
    <n v="0"/>
    <n v="0"/>
    <x v="1"/>
    <x v="0"/>
    <x v="1"/>
    <x v="1"/>
    <n v="136.18"/>
    <n v="32.200000000000003"/>
    <x v="3"/>
    <n v="0"/>
    <x v="0"/>
    <x v="0"/>
  </r>
  <r>
    <n v="67159"/>
    <x v="0"/>
    <n v="73"/>
    <n v="1"/>
    <n v="0"/>
    <x v="0"/>
    <x v="1"/>
    <x v="2"/>
    <x v="0"/>
    <n v="71.290000000000006"/>
    <n v="37.700000000000003"/>
    <x v="1"/>
    <n v="0"/>
    <x v="0"/>
    <x v="0"/>
  </r>
  <r>
    <n v="7230"/>
    <x v="0"/>
    <n v="48"/>
    <n v="0"/>
    <n v="0"/>
    <x v="2"/>
    <x v="0"/>
    <x v="2"/>
    <x v="1"/>
    <n v="76.58"/>
    <n v="27.4"/>
    <x v="1"/>
    <n v="0"/>
    <x v="1"/>
    <x v="3"/>
  </r>
  <r>
    <n v="68306"/>
    <x v="0"/>
    <n v="17"/>
    <n v="0"/>
    <n v="0"/>
    <x v="2"/>
    <x v="1"/>
    <x v="0"/>
    <x v="1"/>
    <n v="119.58"/>
    <n v="25"/>
    <x v="1"/>
    <n v="0"/>
    <x v="2"/>
    <x v="3"/>
  </r>
  <r>
    <n v="33087"/>
    <x v="1"/>
    <n v="10"/>
    <n v="0"/>
    <n v="0"/>
    <x v="2"/>
    <x v="1"/>
    <x v="3"/>
    <x v="0"/>
    <n v="109.3"/>
    <n v="20.100000000000001"/>
    <x v="3"/>
    <n v="0"/>
    <x v="2"/>
    <x v="2"/>
  </r>
  <r>
    <n v="40850"/>
    <x v="1"/>
    <n v="74"/>
    <n v="0"/>
    <n v="0"/>
    <x v="1"/>
    <x v="0"/>
    <x v="2"/>
    <x v="0"/>
    <n v="111.94"/>
    <n v="21.7"/>
    <x v="1"/>
    <n v="0"/>
    <x v="0"/>
    <x v="2"/>
  </r>
  <r>
    <n v="57612"/>
    <x v="0"/>
    <n v="62"/>
    <n v="0"/>
    <n v="0"/>
    <x v="1"/>
    <x v="0"/>
    <x v="0"/>
    <x v="0"/>
    <n v="81.64"/>
    <n v="38.200000000000003"/>
    <x v="1"/>
    <n v="0"/>
    <x v="0"/>
    <x v="0"/>
  </r>
  <r>
    <n v="37029"/>
    <x v="0"/>
    <n v="5"/>
    <n v="0"/>
    <n v="0"/>
    <x v="2"/>
    <x v="1"/>
    <x v="3"/>
    <x v="1"/>
    <n v="97.64"/>
    <n v="17"/>
    <x v="3"/>
    <n v="0"/>
    <x v="2"/>
    <x v="4"/>
  </r>
  <r>
    <n v="338"/>
    <x v="1"/>
    <n v="43"/>
    <n v="0"/>
    <n v="0"/>
    <x v="2"/>
    <x v="0"/>
    <x v="0"/>
    <x v="1"/>
    <n v="110.32"/>
    <n v="28.4"/>
    <x v="1"/>
    <n v="0"/>
    <x v="1"/>
    <x v="3"/>
  </r>
  <r>
    <n v="9565"/>
    <x v="1"/>
    <n v="39"/>
    <n v="0"/>
    <n v="0"/>
    <x v="2"/>
    <x v="1"/>
    <x v="0"/>
    <x v="1"/>
    <n v="79"/>
    <n v="30"/>
    <x v="1"/>
    <n v="0"/>
    <x v="2"/>
    <x v="0"/>
  </r>
  <r>
    <n v="3623"/>
    <x v="1"/>
    <n v="37"/>
    <n v="0"/>
    <n v="0"/>
    <x v="2"/>
    <x v="0"/>
    <x v="1"/>
    <x v="0"/>
    <n v="95.08"/>
    <n v="34.1"/>
    <x v="1"/>
    <n v="0"/>
    <x v="2"/>
    <x v="0"/>
  </r>
  <r>
    <n v="69723"/>
    <x v="0"/>
    <n v="15"/>
    <n v="0"/>
    <n v="0"/>
    <x v="2"/>
    <x v="1"/>
    <x v="0"/>
    <x v="0"/>
    <n v="137.27000000000001"/>
    <n v="19.3"/>
    <x v="1"/>
    <n v="0"/>
    <x v="2"/>
    <x v="2"/>
  </r>
  <r>
    <n v="47662"/>
    <x v="1"/>
    <n v="36"/>
    <n v="0"/>
    <n v="0"/>
    <x v="2"/>
    <x v="1"/>
    <x v="1"/>
    <x v="0"/>
    <n v="57.83"/>
    <n v="21.6"/>
    <x v="2"/>
    <n v="0"/>
    <x v="2"/>
    <x v="2"/>
  </r>
  <r>
    <n v="58495"/>
    <x v="0"/>
    <n v="34"/>
    <n v="0"/>
    <n v="0"/>
    <x v="2"/>
    <x v="0"/>
    <x v="0"/>
    <x v="1"/>
    <n v="84.08"/>
    <n v="32.9"/>
    <x v="1"/>
    <n v="0"/>
    <x v="2"/>
    <x v="0"/>
  </r>
  <r>
    <n v="71222"/>
    <x v="0"/>
    <n v="75"/>
    <n v="1"/>
    <n v="0"/>
    <x v="0"/>
    <x v="0"/>
    <x v="0"/>
    <x v="0"/>
    <n v="234.51"/>
    <n v="27.2"/>
    <x v="0"/>
    <n v="0"/>
    <x v="0"/>
    <x v="3"/>
  </r>
  <r>
    <n v="37865"/>
    <x v="0"/>
    <n v="53"/>
    <n v="0"/>
    <n v="0"/>
    <x v="2"/>
    <x v="0"/>
    <x v="0"/>
    <x v="0"/>
    <n v="142.63999999999999"/>
    <n v="27.8"/>
    <x v="2"/>
    <n v="0"/>
    <x v="1"/>
    <x v="3"/>
  </r>
  <r>
    <n v="20185"/>
    <x v="1"/>
    <n v="61"/>
    <n v="0"/>
    <n v="0"/>
    <x v="1"/>
    <x v="0"/>
    <x v="1"/>
    <x v="1"/>
    <n v="69.77"/>
    <n v="29.9"/>
    <x v="1"/>
    <n v="0"/>
    <x v="0"/>
    <x v="3"/>
  </r>
  <r>
    <n v="41875"/>
    <x v="1"/>
    <n v="45"/>
    <n v="0"/>
    <n v="0"/>
    <x v="2"/>
    <x v="0"/>
    <x v="0"/>
    <x v="0"/>
    <n v="71.400000000000006"/>
    <n v="28.4"/>
    <x v="2"/>
    <n v="0"/>
    <x v="1"/>
    <x v="3"/>
  </r>
  <r>
    <n v="67602"/>
    <x v="1"/>
    <n v="17"/>
    <n v="0"/>
    <n v="0"/>
    <x v="2"/>
    <x v="1"/>
    <x v="0"/>
    <x v="0"/>
    <n v="79.61"/>
    <n v="24.1"/>
    <x v="3"/>
    <n v="0"/>
    <x v="2"/>
    <x v="2"/>
  </r>
  <r>
    <n v="40387"/>
    <x v="1"/>
    <n v="17"/>
    <n v="0"/>
    <n v="0"/>
    <x v="2"/>
    <x v="1"/>
    <x v="0"/>
    <x v="1"/>
    <n v="77.459999999999994"/>
    <n v="24"/>
    <x v="3"/>
    <n v="0"/>
    <x v="2"/>
    <x v="2"/>
  </r>
  <r>
    <n v="43208"/>
    <x v="1"/>
    <n v="19"/>
    <n v="0"/>
    <n v="0"/>
    <x v="2"/>
    <x v="1"/>
    <x v="0"/>
    <x v="0"/>
    <n v="96.85"/>
    <n v="23.4"/>
    <x v="3"/>
    <n v="0"/>
    <x v="2"/>
    <x v="2"/>
  </r>
  <r>
    <n v="54324"/>
    <x v="1"/>
    <n v="54"/>
    <n v="1"/>
    <n v="0"/>
    <x v="2"/>
    <x v="1"/>
    <x v="2"/>
    <x v="0"/>
    <n v="182.22"/>
    <n v="32.6"/>
    <x v="0"/>
    <n v="0"/>
    <x v="1"/>
    <x v="0"/>
  </r>
  <r>
    <n v="51110"/>
    <x v="1"/>
    <n v="51"/>
    <n v="0"/>
    <n v="0"/>
    <x v="2"/>
    <x v="0"/>
    <x v="1"/>
    <x v="0"/>
    <n v="67.260000000000005"/>
    <n v="33.1"/>
    <x v="0"/>
    <n v="0"/>
    <x v="1"/>
    <x v="0"/>
  </r>
  <r>
    <n v="36969"/>
    <x v="1"/>
    <n v="44"/>
    <n v="0"/>
    <n v="0"/>
    <x v="2"/>
    <x v="0"/>
    <x v="0"/>
    <x v="1"/>
    <n v="60.02"/>
    <n v="33.799999999999997"/>
    <x v="0"/>
    <n v="0"/>
    <x v="1"/>
    <x v="0"/>
  </r>
  <r>
    <n v="48118"/>
    <x v="1"/>
    <n v="82"/>
    <n v="0"/>
    <n v="0"/>
    <x v="1"/>
    <x v="0"/>
    <x v="1"/>
    <x v="0"/>
    <n v="113.45"/>
    <n v="30.3"/>
    <x v="1"/>
    <n v="0"/>
    <x v="0"/>
    <x v="0"/>
  </r>
  <r>
    <n v="4607"/>
    <x v="1"/>
    <n v="49"/>
    <n v="0"/>
    <n v="0"/>
    <x v="2"/>
    <x v="0"/>
    <x v="1"/>
    <x v="0"/>
    <n v="112.31"/>
    <n v="36.9"/>
    <x v="3"/>
    <n v="0"/>
    <x v="1"/>
    <x v="0"/>
  </r>
  <r>
    <n v="62471"/>
    <x v="1"/>
    <n v="34"/>
    <n v="0"/>
    <n v="0"/>
    <x v="2"/>
    <x v="0"/>
    <x v="1"/>
    <x v="1"/>
    <n v="68.53"/>
    <n v="29.7"/>
    <x v="1"/>
    <n v="0"/>
    <x v="2"/>
    <x v="3"/>
  </r>
  <r>
    <n v="43821"/>
    <x v="1"/>
    <n v="63"/>
    <n v="1"/>
    <n v="0"/>
    <x v="0"/>
    <x v="0"/>
    <x v="0"/>
    <x v="1"/>
    <n v="57.15"/>
    <n v="38.799999999999997"/>
    <x v="1"/>
    <n v="0"/>
    <x v="0"/>
    <x v="0"/>
  </r>
  <r>
    <n v="7218"/>
    <x v="1"/>
    <n v="79"/>
    <n v="0"/>
    <n v="0"/>
    <x v="1"/>
    <x v="0"/>
    <x v="0"/>
    <x v="1"/>
    <n v="214.73"/>
    <n v="30.9"/>
    <x v="1"/>
    <n v="0"/>
    <x v="0"/>
    <x v="0"/>
  </r>
  <r>
    <n v="23427"/>
    <x v="1"/>
    <n v="81"/>
    <n v="0"/>
    <n v="0"/>
    <x v="1"/>
    <x v="0"/>
    <x v="0"/>
    <x v="1"/>
    <n v="91.82"/>
    <n v="36.9"/>
    <x v="3"/>
    <n v="0"/>
    <x v="0"/>
    <x v="0"/>
  </r>
  <r>
    <n v="66014"/>
    <x v="1"/>
    <n v="14"/>
    <n v="0"/>
    <n v="0"/>
    <x v="2"/>
    <x v="1"/>
    <x v="3"/>
    <x v="0"/>
    <n v="71.8"/>
    <n v="18.8"/>
    <x v="3"/>
    <n v="0"/>
    <x v="2"/>
    <x v="2"/>
  </r>
  <r>
    <n v="41652"/>
    <x v="1"/>
    <n v="31"/>
    <n v="0"/>
    <n v="0"/>
    <x v="2"/>
    <x v="1"/>
    <x v="0"/>
    <x v="0"/>
    <n v="63.41"/>
    <n v="25.5"/>
    <x v="0"/>
    <n v="0"/>
    <x v="2"/>
    <x v="3"/>
  </r>
  <r>
    <n v="16605"/>
    <x v="0"/>
    <n v="57"/>
    <n v="0"/>
    <n v="0"/>
    <x v="2"/>
    <x v="0"/>
    <x v="0"/>
    <x v="0"/>
    <n v="106.24"/>
    <n v="32.299999999999997"/>
    <x v="1"/>
    <n v="0"/>
    <x v="1"/>
    <x v="0"/>
  </r>
  <r>
    <n v="42091"/>
    <x v="0"/>
    <n v="32"/>
    <n v="0"/>
    <n v="0"/>
    <x v="2"/>
    <x v="0"/>
    <x v="2"/>
    <x v="1"/>
    <n v="83.01"/>
    <n v="25.8"/>
    <x v="2"/>
    <n v="0"/>
    <x v="2"/>
    <x v="3"/>
  </r>
  <r>
    <n v="66067"/>
    <x v="0"/>
    <n v="66"/>
    <n v="0"/>
    <n v="0"/>
    <x v="1"/>
    <x v="0"/>
    <x v="0"/>
    <x v="1"/>
    <n v="67.92"/>
    <n v="31.1"/>
    <x v="0"/>
    <n v="0"/>
    <x v="0"/>
    <x v="0"/>
  </r>
  <r>
    <n v="50222"/>
    <x v="1"/>
    <n v="22"/>
    <n v="0"/>
    <n v="0"/>
    <x v="2"/>
    <x v="1"/>
    <x v="0"/>
    <x v="1"/>
    <n v="74.989999999999995"/>
    <n v="27.9"/>
    <x v="2"/>
    <n v="0"/>
    <x v="2"/>
    <x v="3"/>
  </r>
  <r>
    <n v="41214"/>
    <x v="1"/>
    <n v="1.32"/>
    <n v="0"/>
    <n v="0"/>
    <x v="2"/>
    <x v="1"/>
    <x v="3"/>
    <x v="1"/>
    <n v="75.22"/>
    <n v="18.600000000000001"/>
    <x v="3"/>
    <n v="0"/>
    <x v="2"/>
    <x v="2"/>
  </r>
  <r>
    <n v="72386"/>
    <x v="1"/>
    <n v="20"/>
    <n v="0"/>
    <n v="0"/>
    <x v="2"/>
    <x v="1"/>
    <x v="0"/>
    <x v="0"/>
    <n v="61.88"/>
    <n v="20.100000000000001"/>
    <x v="1"/>
    <n v="0"/>
    <x v="2"/>
    <x v="2"/>
  </r>
  <r>
    <n v="14918"/>
    <x v="1"/>
    <n v="41"/>
    <n v="0"/>
    <n v="0"/>
    <x v="2"/>
    <x v="0"/>
    <x v="0"/>
    <x v="0"/>
    <n v="65.67"/>
    <n v="26.7"/>
    <x v="2"/>
    <n v="0"/>
    <x v="1"/>
    <x v="3"/>
  </r>
  <r>
    <n v="55457"/>
    <x v="1"/>
    <n v="48"/>
    <n v="0"/>
    <n v="0"/>
    <x v="2"/>
    <x v="0"/>
    <x v="0"/>
    <x v="0"/>
    <n v="110.18"/>
    <n v="30.3"/>
    <x v="2"/>
    <n v="0"/>
    <x v="1"/>
    <x v="0"/>
  </r>
  <r>
    <n v="63323"/>
    <x v="0"/>
    <n v="49"/>
    <n v="1"/>
    <n v="0"/>
    <x v="2"/>
    <x v="0"/>
    <x v="1"/>
    <x v="1"/>
    <n v="119.3"/>
    <n v="30.4"/>
    <x v="0"/>
    <n v="0"/>
    <x v="1"/>
    <x v="0"/>
  </r>
  <r>
    <n v="35446"/>
    <x v="0"/>
    <n v="73"/>
    <n v="0"/>
    <n v="0"/>
    <x v="1"/>
    <x v="0"/>
    <x v="2"/>
    <x v="1"/>
    <n v="208.69"/>
    <n v="30"/>
    <x v="3"/>
    <n v="0"/>
    <x v="0"/>
    <x v="0"/>
  </r>
  <r>
    <n v="8208"/>
    <x v="0"/>
    <n v="19"/>
    <n v="0"/>
    <n v="0"/>
    <x v="2"/>
    <x v="1"/>
    <x v="0"/>
    <x v="1"/>
    <n v="95.18"/>
    <n v="24.9"/>
    <x v="2"/>
    <n v="0"/>
    <x v="2"/>
    <x v="2"/>
  </r>
  <r>
    <n v="5131"/>
    <x v="1"/>
    <n v="51"/>
    <n v="0"/>
    <n v="0"/>
    <x v="2"/>
    <x v="0"/>
    <x v="0"/>
    <x v="0"/>
    <n v="107.72"/>
    <n v="60.9"/>
    <x v="3"/>
    <n v="0"/>
    <x v="1"/>
    <x v="0"/>
  </r>
  <r>
    <n v="68157"/>
    <x v="0"/>
    <n v="1.08"/>
    <n v="0"/>
    <n v="0"/>
    <x v="2"/>
    <x v="1"/>
    <x v="3"/>
    <x v="1"/>
    <n v="83.27"/>
    <n v="24.3"/>
    <x v="3"/>
    <n v="0"/>
    <x v="2"/>
    <x v="2"/>
  </r>
  <r>
    <n v="4795"/>
    <x v="1"/>
    <n v="31"/>
    <n v="0"/>
    <n v="0"/>
    <x v="2"/>
    <x v="1"/>
    <x v="0"/>
    <x v="1"/>
    <n v="90.29"/>
    <n v="38.700000000000003"/>
    <x v="3"/>
    <n v="0"/>
    <x v="2"/>
    <x v="0"/>
  </r>
  <r>
    <n v="7581"/>
    <x v="0"/>
    <n v="4"/>
    <n v="0"/>
    <n v="0"/>
    <x v="2"/>
    <x v="1"/>
    <x v="3"/>
    <x v="0"/>
    <n v="81.87"/>
    <n v="18.600000000000001"/>
    <x v="3"/>
    <n v="0"/>
    <x v="2"/>
    <x v="2"/>
  </r>
  <r>
    <n v="47383"/>
    <x v="0"/>
    <n v="1.8"/>
    <n v="0"/>
    <n v="0"/>
    <x v="2"/>
    <x v="1"/>
    <x v="3"/>
    <x v="0"/>
    <n v="153.31"/>
    <n v="17.100000000000001"/>
    <x v="3"/>
    <n v="0"/>
    <x v="2"/>
    <x v="4"/>
  </r>
  <r>
    <n v="14036"/>
    <x v="0"/>
    <n v="44"/>
    <n v="0"/>
    <n v="0"/>
    <x v="2"/>
    <x v="0"/>
    <x v="0"/>
    <x v="1"/>
    <n v="101.46"/>
    <n v="29.4"/>
    <x v="3"/>
    <n v="0"/>
    <x v="1"/>
    <x v="3"/>
  </r>
  <r>
    <n v="25942"/>
    <x v="1"/>
    <n v="4"/>
    <n v="0"/>
    <n v="0"/>
    <x v="2"/>
    <x v="1"/>
    <x v="3"/>
    <x v="0"/>
    <n v="72.489999999999995"/>
    <n v="16.899999999999999"/>
    <x v="3"/>
    <n v="0"/>
    <x v="2"/>
    <x v="4"/>
  </r>
  <r>
    <n v="24018"/>
    <x v="0"/>
    <n v="55"/>
    <n v="0"/>
    <n v="0"/>
    <x v="2"/>
    <x v="0"/>
    <x v="0"/>
    <x v="1"/>
    <n v="86.58"/>
    <n v="34.200000000000003"/>
    <x v="1"/>
    <n v="0"/>
    <x v="1"/>
    <x v="0"/>
  </r>
  <r>
    <n v="27801"/>
    <x v="1"/>
    <n v="34"/>
    <n v="0"/>
    <n v="0"/>
    <x v="2"/>
    <x v="0"/>
    <x v="0"/>
    <x v="0"/>
    <n v="113.26"/>
    <n v="27.6"/>
    <x v="1"/>
    <n v="0"/>
    <x v="2"/>
    <x v="3"/>
  </r>
  <r>
    <n v="52978"/>
    <x v="1"/>
    <n v="30"/>
    <n v="0"/>
    <n v="0"/>
    <x v="2"/>
    <x v="0"/>
    <x v="0"/>
    <x v="0"/>
    <n v="84.92"/>
    <n v="47.8"/>
    <x v="1"/>
    <n v="0"/>
    <x v="2"/>
    <x v="0"/>
  </r>
  <r>
    <n v="15593"/>
    <x v="1"/>
    <n v="7"/>
    <n v="0"/>
    <n v="0"/>
    <x v="2"/>
    <x v="1"/>
    <x v="3"/>
    <x v="0"/>
    <n v="128.16999999999999"/>
    <n v="18.899999999999999"/>
    <x v="3"/>
    <n v="0"/>
    <x v="2"/>
    <x v="2"/>
  </r>
  <r>
    <n v="11098"/>
    <x v="0"/>
    <n v="75"/>
    <n v="0"/>
    <n v="0"/>
    <x v="1"/>
    <x v="0"/>
    <x v="2"/>
    <x v="1"/>
    <n v="93.93"/>
    <n v="24.4"/>
    <x v="0"/>
    <n v="0"/>
    <x v="0"/>
    <x v="2"/>
  </r>
  <r>
    <n v="12015"/>
    <x v="0"/>
    <n v="14"/>
    <n v="0"/>
    <n v="0"/>
    <x v="2"/>
    <x v="1"/>
    <x v="3"/>
    <x v="0"/>
    <n v="99.87"/>
    <n v="25.2"/>
    <x v="3"/>
    <n v="0"/>
    <x v="2"/>
    <x v="3"/>
  </r>
  <r>
    <n v="47348"/>
    <x v="1"/>
    <n v="61"/>
    <n v="0"/>
    <n v="0"/>
    <x v="1"/>
    <x v="0"/>
    <x v="0"/>
    <x v="0"/>
    <n v="129.31"/>
    <n v="30.7"/>
    <x v="0"/>
    <n v="0"/>
    <x v="0"/>
    <x v="0"/>
  </r>
  <r>
    <n v="44155"/>
    <x v="1"/>
    <n v="55"/>
    <n v="0"/>
    <n v="0"/>
    <x v="2"/>
    <x v="0"/>
    <x v="2"/>
    <x v="0"/>
    <n v="89.43"/>
    <n v="26.1"/>
    <x v="0"/>
    <n v="0"/>
    <x v="1"/>
    <x v="3"/>
  </r>
  <r>
    <n v="62656"/>
    <x v="1"/>
    <n v="14"/>
    <n v="0"/>
    <n v="0"/>
    <x v="2"/>
    <x v="1"/>
    <x v="3"/>
    <x v="1"/>
    <n v="101.6"/>
    <n v="25.3"/>
    <x v="1"/>
    <n v="0"/>
    <x v="2"/>
    <x v="3"/>
  </r>
  <r>
    <n v="8838"/>
    <x v="1"/>
    <n v="36"/>
    <n v="0"/>
    <n v="0"/>
    <x v="2"/>
    <x v="1"/>
    <x v="0"/>
    <x v="1"/>
    <n v="66.55"/>
    <n v="32.799999999999997"/>
    <x v="2"/>
    <n v="0"/>
    <x v="2"/>
    <x v="0"/>
  </r>
  <r>
    <n v="42563"/>
    <x v="1"/>
    <n v="57"/>
    <n v="1"/>
    <n v="1"/>
    <x v="2"/>
    <x v="0"/>
    <x v="0"/>
    <x v="1"/>
    <n v="231.72"/>
    <n v="45.7"/>
    <x v="0"/>
    <n v="0"/>
    <x v="1"/>
    <x v="0"/>
  </r>
  <r>
    <n v="31254"/>
    <x v="1"/>
    <n v="20"/>
    <n v="0"/>
    <n v="0"/>
    <x v="2"/>
    <x v="1"/>
    <x v="0"/>
    <x v="0"/>
    <n v="96.69"/>
    <n v="24.6"/>
    <x v="3"/>
    <n v="0"/>
    <x v="2"/>
    <x v="2"/>
  </r>
  <r>
    <n v="27922"/>
    <x v="0"/>
    <n v="32"/>
    <n v="0"/>
    <n v="0"/>
    <x v="2"/>
    <x v="0"/>
    <x v="0"/>
    <x v="1"/>
    <n v="102.13"/>
    <n v="32.299999999999997"/>
    <x v="1"/>
    <n v="0"/>
    <x v="2"/>
    <x v="0"/>
  </r>
  <r>
    <n v="1696"/>
    <x v="1"/>
    <n v="43"/>
    <n v="0"/>
    <n v="0"/>
    <x v="2"/>
    <x v="0"/>
    <x v="0"/>
    <x v="0"/>
    <n v="100.88"/>
    <n v="47.6"/>
    <x v="2"/>
    <n v="0"/>
    <x v="1"/>
    <x v="0"/>
  </r>
  <r>
    <n v="54162"/>
    <x v="0"/>
    <n v="43"/>
    <n v="0"/>
    <n v="0"/>
    <x v="2"/>
    <x v="0"/>
    <x v="0"/>
    <x v="1"/>
    <n v="66.22"/>
    <n v="34.4"/>
    <x v="3"/>
    <n v="0"/>
    <x v="1"/>
    <x v="0"/>
  </r>
  <r>
    <n v="70396"/>
    <x v="1"/>
    <n v="1.08"/>
    <n v="0"/>
    <n v="0"/>
    <x v="2"/>
    <x v="1"/>
    <x v="3"/>
    <x v="0"/>
    <n v="109.33"/>
    <n v="18.2"/>
    <x v="3"/>
    <n v="0"/>
    <x v="2"/>
    <x v="4"/>
  </r>
  <r>
    <n v="65907"/>
    <x v="1"/>
    <n v="49"/>
    <n v="0"/>
    <n v="0"/>
    <x v="2"/>
    <x v="0"/>
    <x v="0"/>
    <x v="0"/>
    <n v="206.53"/>
    <n v="44.5"/>
    <x v="2"/>
    <n v="0"/>
    <x v="1"/>
    <x v="0"/>
  </r>
  <r>
    <n v="49451"/>
    <x v="1"/>
    <n v="53"/>
    <n v="0"/>
    <n v="0"/>
    <x v="2"/>
    <x v="0"/>
    <x v="0"/>
    <x v="1"/>
    <n v="83.91"/>
    <n v="36.6"/>
    <x v="3"/>
    <n v="0"/>
    <x v="1"/>
    <x v="0"/>
  </r>
  <r>
    <n v="68601"/>
    <x v="1"/>
    <n v="18"/>
    <n v="0"/>
    <n v="0"/>
    <x v="2"/>
    <x v="1"/>
    <x v="0"/>
    <x v="0"/>
    <n v="67.92"/>
    <n v="19.399999999999999"/>
    <x v="1"/>
    <n v="0"/>
    <x v="2"/>
    <x v="2"/>
  </r>
  <r>
    <n v="13236"/>
    <x v="1"/>
    <n v="13"/>
    <n v="0"/>
    <n v="0"/>
    <x v="2"/>
    <x v="1"/>
    <x v="3"/>
    <x v="1"/>
    <n v="73.48"/>
    <n v="22.9"/>
    <x v="3"/>
    <n v="0"/>
    <x v="2"/>
    <x v="2"/>
  </r>
  <r>
    <n v="65998"/>
    <x v="0"/>
    <n v="5"/>
    <n v="0"/>
    <n v="0"/>
    <x v="2"/>
    <x v="1"/>
    <x v="3"/>
    <x v="1"/>
    <n v="101.31"/>
    <n v="20"/>
    <x v="3"/>
    <n v="0"/>
    <x v="2"/>
    <x v="2"/>
  </r>
  <r>
    <n v="5875"/>
    <x v="1"/>
    <n v="37"/>
    <n v="0"/>
    <n v="0"/>
    <x v="2"/>
    <x v="0"/>
    <x v="0"/>
    <x v="0"/>
    <n v="103.66"/>
    <n v="36.1"/>
    <x v="2"/>
    <n v="0"/>
    <x v="2"/>
    <x v="0"/>
  </r>
  <r>
    <n v="47427"/>
    <x v="0"/>
    <n v="49"/>
    <n v="0"/>
    <n v="0"/>
    <x v="2"/>
    <x v="0"/>
    <x v="1"/>
    <x v="0"/>
    <n v="70.73"/>
    <n v="27.3"/>
    <x v="0"/>
    <n v="0"/>
    <x v="1"/>
    <x v="3"/>
  </r>
  <r>
    <n v="29734"/>
    <x v="1"/>
    <n v="45"/>
    <n v="0"/>
    <n v="0"/>
    <x v="2"/>
    <x v="1"/>
    <x v="2"/>
    <x v="1"/>
    <n v="77.45"/>
    <n v="42.2"/>
    <x v="0"/>
    <n v="0"/>
    <x v="1"/>
    <x v="0"/>
  </r>
  <r>
    <n v="72715"/>
    <x v="1"/>
    <n v="50"/>
    <n v="0"/>
    <n v="1"/>
    <x v="2"/>
    <x v="0"/>
    <x v="0"/>
    <x v="0"/>
    <n v="193.8"/>
    <n v="26.4"/>
    <x v="1"/>
    <n v="0"/>
    <x v="1"/>
    <x v="3"/>
  </r>
  <r>
    <n v="59847"/>
    <x v="1"/>
    <n v="12"/>
    <n v="0"/>
    <n v="0"/>
    <x v="2"/>
    <x v="1"/>
    <x v="3"/>
    <x v="1"/>
    <n v="114.34"/>
    <n v="23.6"/>
    <x v="1"/>
    <n v="0"/>
    <x v="2"/>
    <x v="2"/>
  </r>
  <r>
    <n v="59911"/>
    <x v="0"/>
    <n v="12"/>
    <n v="0"/>
    <n v="0"/>
    <x v="2"/>
    <x v="1"/>
    <x v="3"/>
    <x v="0"/>
    <n v="69.25"/>
    <n v="18.600000000000001"/>
    <x v="3"/>
    <n v="0"/>
    <x v="2"/>
    <x v="2"/>
  </r>
  <r>
    <n v="13583"/>
    <x v="1"/>
    <n v="5"/>
    <n v="0"/>
    <n v="0"/>
    <x v="2"/>
    <x v="1"/>
    <x v="3"/>
    <x v="1"/>
    <n v="88.44"/>
    <n v="18"/>
    <x v="3"/>
    <n v="0"/>
    <x v="2"/>
    <x v="4"/>
  </r>
  <r>
    <n v="22897"/>
    <x v="0"/>
    <n v="39"/>
    <n v="0"/>
    <n v="0"/>
    <x v="2"/>
    <x v="0"/>
    <x v="0"/>
    <x v="1"/>
    <n v="84.09"/>
    <n v="31.1"/>
    <x v="0"/>
    <n v="0"/>
    <x v="2"/>
    <x v="0"/>
  </r>
  <r>
    <n v="11898"/>
    <x v="1"/>
    <n v="41"/>
    <n v="0"/>
    <n v="0"/>
    <x v="2"/>
    <x v="0"/>
    <x v="0"/>
    <x v="0"/>
    <n v="87.06"/>
    <n v="30"/>
    <x v="1"/>
    <n v="0"/>
    <x v="1"/>
    <x v="0"/>
  </r>
  <r>
    <n v="14785"/>
    <x v="1"/>
    <n v="41"/>
    <n v="0"/>
    <n v="0"/>
    <x v="2"/>
    <x v="0"/>
    <x v="0"/>
    <x v="1"/>
    <n v="92.64"/>
    <n v="43.8"/>
    <x v="1"/>
    <n v="0"/>
    <x v="1"/>
    <x v="0"/>
  </r>
  <r>
    <n v="45163"/>
    <x v="1"/>
    <n v="47"/>
    <n v="0"/>
    <n v="0"/>
    <x v="2"/>
    <x v="0"/>
    <x v="0"/>
    <x v="0"/>
    <n v="99.36"/>
    <n v="23.8"/>
    <x v="2"/>
    <n v="0"/>
    <x v="1"/>
    <x v="2"/>
  </r>
  <r>
    <n v="57254"/>
    <x v="1"/>
    <n v="57"/>
    <n v="0"/>
    <n v="0"/>
    <x v="2"/>
    <x v="0"/>
    <x v="0"/>
    <x v="1"/>
    <n v="135.63"/>
    <n v="36.200000000000003"/>
    <x v="0"/>
    <n v="0"/>
    <x v="1"/>
    <x v="0"/>
  </r>
  <r>
    <n v="30658"/>
    <x v="0"/>
    <n v="16"/>
    <n v="0"/>
    <n v="0"/>
    <x v="2"/>
    <x v="1"/>
    <x v="3"/>
    <x v="1"/>
    <n v="82.44"/>
    <n v="32.6"/>
    <x v="3"/>
    <n v="0"/>
    <x v="2"/>
    <x v="0"/>
  </r>
  <r>
    <n v="32617"/>
    <x v="0"/>
    <n v="3"/>
    <n v="0"/>
    <n v="0"/>
    <x v="2"/>
    <x v="1"/>
    <x v="3"/>
    <x v="0"/>
    <n v="81.88"/>
    <n v="18"/>
    <x v="3"/>
    <n v="0"/>
    <x v="2"/>
    <x v="4"/>
  </r>
  <r>
    <n v="65376"/>
    <x v="1"/>
    <n v="65"/>
    <n v="0"/>
    <n v="0"/>
    <x v="1"/>
    <x v="0"/>
    <x v="1"/>
    <x v="0"/>
    <n v="95.44"/>
    <n v="25.5"/>
    <x v="2"/>
    <n v="0"/>
    <x v="0"/>
    <x v="3"/>
  </r>
  <r>
    <n v="1731"/>
    <x v="1"/>
    <n v="80"/>
    <n v="0"/>
    <n v="0"/>
    <x v="1"/>
    <x v="1"/>
    <x v="1"/>
    <x v="0"/>
    <n v="72.709999999999994"/>
    <n v="29.9"/>
    <x v="1"/>
    <n v="0"/>
    <x v="0"/>
    <x v="3"/>
  </r>
  <r>
    <n v="38441"/>
    <x v="1"/>
    <n v="58"/>
    <n v="0"/>
    <n v="0"/>
    <x v="2"/>
    <x v="0"/>
    <x v="0"/>
    <x v="0"/>
    <n v="65.45"/>
    <n v="32.1"/>
    <x v="1"/>
    <n v="0"/>
    <x v="1"/>
    <x v="0"/>
  </r>
  <r>
    <n v="22147"/>
    <x v="1"/>
    <n v="74"/>
    <n v="0"/>
    <n v="0"/>
    <x v="1"/>
    <x v="0"/>
    <x v="0"/>
    <x v="0"/>
    <n v="203.01"/>
    <n v="25.4"/>
    <x v="1"/>
    <n v="0"/>
    <x v="0"/>
    <x v="3"/>
  </r>
  <r>
    <n v="50663"/>
    <x v="1"/>
    <n v="62"/>
    <n v="0"/>
    <n v="0"/>
    <x v="1"/>
    <x v="0"/>
    <x v="2"/>
    <x v="0"/>
    <n v="110.84"/>
    <n v="23.4"/>
    <x v="2"/>
    <n v="0"/>
    <x v="0"/>
    <x v="2"/>
  </r>
  <r>
    <n v="19165"/>
    <x v="0"/>
    <n v="33"/>
    <n v="0"/>
    <n v="0"/>
    <x v="2"/>
    <x v="0"/>
    <x v="0"/>
    <x v="0"/>
    <n v="83.12"/>
    <n v="23.4"/>
    <x v="3"/>
    <n v="0"/>
    <x v="2"/>
    <x v="2"/>
  </r>
  <r>
    <n v="60562"/>
    <x v="1"/>
    <n v="21"/>
    <n v="0"/>
    <n v="0"/>
    <x v="2"/>
    <x v="1"/>
    <x v="0"/>
    <x v="1"/>
    <n v="55.12"/>
    <n v="21.8"/>
    <x v="1"/>
    <n v="0"/>
    <x v="2"/>
    <x v="2"/>
  </r>
  <r>
    <n v="22013"/>
    <x v="1"/>
    <n v="17"/>
    <n v="0"/>
    <n v="0"/>
    <x v="2"/>
    <x v="1"/>
    <x v="0"/>
    <x v="1"/>
    <n v="105.91"/>
    <n v="30.8"/>
    <x v="1"/>
    <n v="0"/>
    <x v="2"/>
    <x v="0"/>
  </r>
  <r>
    <n v="39936"/>
    <x v="1"/>
    <n v="49"/>
    <n v="0"/>
    <n v="0"/>
    <x v="2"/>
    <x v="0"/>
    <x v="0"/>
    <x v="1"/>
    <n v="61.57"/>
    <n v="37.9"/>
    <x v="0"/>
    <n v="0"/>
    <x v="1"/>
    <x v="0"/>
  </r>
  <r>
    <n v="6517"/>
    <x v="1"/>
    <n v="24"/>
    <n v="0"/>
    <n v="0"/>
    <x v="2"/>
    <x v="0"/>
    <x v="2"/>
    <x v="0"/>
    <n v="83.1"/>
    <n v="42.5"/>
    <x v="2"/>
    <n v="0"/>
    <x v="2"/>
    <x v="0"/>
  </r>
  <r>
    <n v="62576"/>
    <x v="1"/>
    <n v="56"/>
    <n v="0"/>
    <n v="0"/>
    <x v="2"/>
    <x v="0"/>
    <x v="0"/>
    <x v="0"/>
    <n v="66.319999999999993"/>
    <n v="23.4"/>
    <x v="1"/>
    <n v="0"/>
    <x v="1"/>
    <x v="2"/>
  </r>
  <r>
    <n v="18636"/>
    <x v="1"/>
    <n v="26"/>
    <n v="0"/>
    <n v="0"/>
    <x v="2"/>
    <x v="0"/>
    <x v="2"/>
    <x v="0"/>
    <n v="72.56"/>
    <n v="35.4"/>
    <x v="1"/>
    <n v="0"/>
    <x v="2"/>
    <x v="0"/>
  </r>
  <r>
    <n v="24299"/>
    <x v="0"/>
    <n v="54"/>
    <n v="1"/>
    <n v="0"/>
    <x v="2"/>
    <x v="0"/>
    <x v="1"/>
    <x v="1"/>
    <n v="97.99"/>
    <n v="32.299999999999997"/>
    <x v="2"/>
    <n v="0"/>
    <x v="1"/>
    <x v="0"/>
  </r>
  <r>
    <n v="40826"/>
    <x v="1"/>
    <n v="42"/>
    <n v="0"/>
    <n v="0"/>
    <x v="2"/>
    <x v="1"/>
    <x v="0"/>
    <x v="0"/>
    <n v="63.27"/>
    <n v="27"/>
    <x v="1"/>
    <n v="0"/>
    <x v="1"/>
    <x v="3"/>
  </r>
  <r>
    <n v="53323"/>
    <x v="1"/>
    <n v="34"/>
    <n v="0"/>
    <n v="0"/>
    <x v="2"/>
    <x v="1"/>
    <x v="2"/>
    <x v="0"/>
    <n v="79.599999999999994"/>
    <n v="46.3"/>
    <x v="1"/>
    <n v="0"/>
    <x v="2"/>
    <x v="0"/>
  </r>
  <r>
    <n v="28717"/>
    <x v="1"/>
    <n v="56"/>
    <n v="1"/>
    <n v="0"/>
    <x v="2"/>
    <x v="0"/>
    <x v="0"/>
    <x v="1"/>
    <n v="177.56"/>
    <n v="30.1"/>
    <x v="1"/>
    <n v="0"/>
    <x v="1"/>
    <x v="0"/>
  </r>
  <r>
    <n v="53028"/>
    <x v="1"/>
    <n v="39"/>
    <n v="0"/>
    <n v="0"/>
    <x v="2"/>
    <x v="0"/>
    <x v="0"/>
    <x v="1"/>
    <n v="81.31"/>
    <n v="34.700000000000003"/>
    <x v="1"/>
    <n v="0"/>
    <x v="2"/>
    <x v="0"/>
  </r>
  <r>
    <n v="57757"/>
    <x v="1"/>
    <n v="77"/>
    <n v="0"/>
    <n v="0"/>
    <x v="1"/>
    <x v="0"/>
    <x v="1"/>
    <x v="1"/>
    <n v="59.91"/>
    <n v="18.3"/>
    <x v="1"/>
    <n v="0"/>
    <x v="0"/>
    <x v="4"/>
  </r>
  <r>
    <n v="54795"/>
    <x v="1"/>
    <n v="12"/>
    <n v="0"/>
    <n v="0"/>
    <x v="2"/>
    <x v="1"/>
    <x v="3"/>
    <x v="1"/>
    <n v="132.85"/>
    <n v="16.2"/>
    <x v="1"/>
    <n v="0"/>
    <x v="2"/>
    <x v="4"/>
  </r>
  <r>
    <n v="70267"/>
    <x v="0"/>
    <n v="65"/>
    <n v="0"/>
    <n v="0"/>
    <x v="1"/>
    <x v="0"/>
    <x v="0"/>
    <x v="1"/>
    <n v="198.84"/>
    <n v="33.200000000000003"/>
    <x v="0"/>
    <n v="0"/>
    <x v="0"/>
    <x v="0"/>
  </r>
  <r>
    <n v="34084"/>
    <x v="0"/>
    <n v="7"/>
    <n v="0"/>
    <n v="0"/>
    <x v="2"/>
    <x v="1"/>
    <x v="3"/>
    <x v="0"/>
    <n v="77.12"/>
    <n v="18.600000000000001"/>
    <x v="3"/>
    <n v="0"/>
    <x v="2"/>
    <x v="2"/>
  </r>
  <r>
    <n v="20258"/>
    <x v="0"/>
    <n v="25"/>
    <n v="0"/>
    <n v="0"/>
    <x v="2"/>
    <x v="1"/>
    <x v="0"/>
    <x v="0"/>
    <n v="87.17"/>
    <n v="25.1"/>
    <x v="1"/>
    <n v="0"/>
    <x v="2"/>
    <x v="3"/>
  </r>
  <r>
    <n v="65333"/>
    <x v="1"/>
    <n v="31"/>
    <n v="0"/>
    <n v="0"/>
    <x v="2"/>
    <x v="0"/>
    <x v="0"/>
    <x v="1"/>
    <n v="96.03"/>
    <n v="24.1"/>
    <x v="3"/>
    <n v="0"/>
    <x v="2"/>
    <x v="2"/>
  </r>
  <r>
    <n v="56629"/>
    <x v="1"/>
    <n v="14"/>
    <n v="0"/>
    <n v="0"/>
    <x v="2"/>
    <x v="1"/>
    <x v="0"/>
    <x v="1"/>
    <n v="83.56"/>
    <n v="33.1"/>
    <x v="3"/>
    <n v="0"/>
    <x v="2"/>
    <x v="0"/>
  </r>
  <r>
    <n v="22417"/>
    <x v="1"/>
    <n v="5"/>
    <n v="0"/>
    <n v="0"/>
    <x v="2"/>
    <x v="1"/>
    <x v="3"/>
    <x v="1"/>
    <n v="80.930000000000007"/>
    <n v="24.8"/>
    <x v="3"/>
    <n v="0"/>
    <x v="2"/>
    <x v="2"/>
  </r>
  <r>
    <n v="49925"/>
    <x v="1"/>
    <n v="60"/>
    <n v="0"/>
    <n v="0"/>
    <x v="1"/>
    <x v="0"/>
    <x v="0"/>
    <x v="1"/>
    <n v="84.54"/>
    <n v="23.4"/>
    <x v="2"/>
    <n v="0"/>
    <x v="0"/>
    <x v="2"/>
  </r>
  <r>
    <n v="72696"/>
    <x v="1"/>
    <n v="53"/>
    <n v="0"/>
    <n v="0"/>
    <x v="2"/>
    <x v="0"/>
    <x v="0"/>
    <x v="0"/>
    <n v="70.510000000000005"/>
    <n v="54.1"/>
    <x v="1"/>
    <n v="0"/>
    <x v="1"/>
    <x v="0"/>
  </r>
  <r>
    <n v="39708"/>
    <x v="0"/>
    <n v="55"/>
    <n v="0"/>
    <n v="0"/>
    <x v="2"/>
    <x v="0"/>
    <x v="0"/>
    <x v="1"/>
    <n v="56.87"/>
    <n v="28.9"/>
    <x v="0"/>
    <n v="0"/>
    <x v="1"/>
    <x v="3"/>
  </r>
  <r>
    <n v="60426"/>
    <x v="1"/>
    <n v="69"/>
    <n v="0"/>
    <n v="0"/>
    <x v="1"/>
    <x v="0"/>
    <x v="1"/>
    <x v="0"/>
    <n v="67.55"/>
    <n v="38.1"/>
    <x v="3"/>
    <n v="0"/>
    <x v="0"/>
    <x v="0"/>
  </r>
  <r>
    <n v="70540"/>
    <x v="1"/>
    <n v="39"/>
    <n v="0"/>
    <n v="0"/>
    <x v="2"/>
    <x v="0"/>
    <x v="0"/>
    <x v="0"/>
    <n v="243.52"/>
    <n v="37.200000000000003"/>
    <x v="2"/>
    <n v="0"/>
    <x v="2"/>
    <x v="0"/>
  </r>
  <r>
    <n v="37622"/>
    <x v="1"/>
    <n v="0.32"/>
    <n v="0"/>
    <n v="0"/>
    <x v="2"/>
    <x v="1"/>
    <x v="3"/>
    <x v="0"/>
    <n v="108.63"/>
    <n v="19.600000000000001"/>
    <x v="3"/>
    <n v="0"/>
    <x v="2"/>
    <x v="2"/>
  </r>
  <r>
    <n v="44813"/>
    <x v="1"/>
    <n v="34"/>
    <n v="0"/>
    <n v="0"/>
    <x v="2"/>
    <x v="1"/>
    <x v="0"/>
    <x v="1"/>
    <n v="69.06"/>
    <n v="29"/>
    <x v="2"/>
    <n v="0"/>
    <x v="2"/>
    <x v="3"/>
  </r>
  <r>
    <n v="47153"/>
    <x v="1"/>
    <n v="80"/>
    <n v="0"/>
    <n v="0"/>
    <x v="1"/>
    <x v="0"/>
    <x v="0"/>
    <x v="0"/>
    <n v="73.89"/>
    <n v="26.7"/>
    <x v="0"/>
    <n v="0"/>
    <x v="0"/>
    <x v="3"/>
  </r>
  <r>
    <n v="8175"/>
    <x v="0"/>
    <n v="20"/>
    <n v="0"/>
    <n v="0"/>
    <x v="2"/>
    <x v="1"/>
    <x v="0"/>
    <x v="0"/>
    <n v="84.49"/>
    <n v="20.5"/>
    <x v="1"/>
    <n v="0"/>
    <x v="2"/>
    <x v="2"/>
  </r>
  <r>
    <n v="61528"/>
    <x v="1"/>
    <n v="45"/>
    <n v="0"/>
    <n v="0"/>
    <x v="2"/>
    <x v="0"/>
    <x v="2"/>
    <x v="0"/>
    <n v="73.709999999999994"/>
    <n v="34.1"/>
    <x v="1"/>
    <n v="0"/>
    <x v="1"/>
    <x v="0"/>
  </r>
  <r>
    <n v="38771"/>
    <x v="1"/>
    <n v="41"/>
    <n v="0"/>
    <n v="0"/>
    <x v="2"/>
    <x v="1"/>
    <x v="2"/>
    <x v="0"/>
    <n v="129.01"/>
    <n v="42.4"/>
    <x v="3"/>
    <n v="0"/>
    <x v="1"/>
    <x v="0"/>
  </r>
  <r>
    <n v="31189"/>
    <x v="0"/>
    <n v="54"/>
    <n v="0"/>
    <n v="0"/>
    <x v="2"/>
    <x v="0"/>
    <x v="2"/>
    <x v="0"/>
    <n v="72.959999999999994"/>
    <n v="37.700000000000003"/>
    <x v="2"/>
    <n v="0"/>
    <x v="1"/>
    <x v="0"/>
  </r>
  <r>
    <n v="27804"/>
    <x v="0"/>
    <n v="23"/>
    <n v="0"/>
    <n v="0"/>
    <x v="2"/>
    <x v="1"/>
    <x v="0"/>
    <x v="1"/>
    <n v="110.23"/>
    <n v="39.1"/>
    <x v="3"/>
    <n v="0"/>
    <x v="2"/>
    <x v="0"/>
  </r>
  <r>
    <n v="41842"/>
    <x v="0"/>
    <n v="75"/>
    <n v="0"/>
    <n v="0"/>
    <x v="1"/>
    <x v="0"/>
    <x v="2"/>
    <x v="1"/>
    <n v="79.489999999999995"/>
    <n v="28.9"/>
    <x v="3"/>
    <n v="0"/>
    <x v="0"/>
    <x v="3"/>
  </r>
  <r>
    <n v="11962"/>
    <x v="0"/>
    <n v="36"/>
    <n v="0"/>
    <n v="0"/>
    <x v="2"/>
    <x v="0"/>
    <x v="0"/>
    <x v="0"/>
    <n v="89.33"/>
    <n v="30.7"/>
    <x v="1"/>
    <n v="0"/>
    <x v="2"/>
    <x v="0"/>
  </r>
  <r>
    <n v="45404"/>
    <x v="1"/>
    <n v="75"/>
    <n v="0"/>
    <n v="0"/>
    <x v="1"/>
    <x v="0"/>
    <x v="0"/>
    <x v="1"/>
    <n v="68.38"/>
    <n v="33.799999999999997"/>
    <x v="3"/>
    <n v="0"/>
    <x v="0"/>
    <x v="0"/>
  </r>
  <r>
    <n v="4062"/>
    <x v="0"/>
    <n v="72"/>
    <n v="0"/>
    <n v="1"/>
    <x v="0"/>
    <x v="0"/>
    <x v="0"/>
    <x v="1"/>
    <n v="238.27"/>
    <s v="N/A"/>
    <x v="2"/>
    <n v="0"/>
    <x v="0"/>
    <x v="1"/>
  </r>
  <r>
    <n v="63650"/>
    <x v="1"/>
    <n v="47"/>
    <n v="0"/>
    <n v="0"/>
    <x v="2"/>
    <x v="0"/>
    <x v="2"/>
    <x v="0"/>
    <n v="135.79"/>
    <n v="32.1"/>
    <x v="0"/>
    <n v="0"/>
    <x v="1"/>
    <x v="0"/>
  </r>
  <r>
    <n v="72186"/>
    <x v="1"/>
    <n v="15"/>
    <n v="0"/>
    <n v="0"/>
    <x v="2"/>
    <x v="1"/>
    <x v="0"/>
    <x v="1"/>
    <n v="82.19"/>
    <n v="40.5"/>
    <x v="1"/>
    <n v="0"/>
    <x v="2"/>
    <x v="0"/>
  </r>
  <r>
    <n v="40240"/>
    <x v="0"/>
    <n v="40"/>
    <n v="1"/>
    <n v="0"/>
    <x v="2"/>
    <x v="0"/>
    <x v="1"/>
    <x v="0"/>
    <n v="93.2"/>
    <n v="24.8"/>
    <x v="2"/>
    <n v="0"/>
    <x v="1"/>
    <x v="2"/>
  </r>
  <r>
    <n v="25931"/>
    <x v="1"/>
    <n v="71"/>
    <n v="0"/>
    <n v="0"/>
    <x v="1"/>
    <x v="0"/>
    <x v="1"/>
    <x v="0"/>
    <n v="208.31"/>
    <n v="31.8"/>
    <x v="0"/>
    <n v="0"/>
    <x v="0"/>
    <x v="0"/>
  </r>
  <r>
    <n v="21292"/>
    <x v="0"/>
    <n v="38"/>
    <n v="0"/>
    <n v="0"/>
    <x v="2"/>
    <x v="0"/>
    <x v="0"/>
    <x v="1"/>
    <n v="111.33"/>
    <n v="27"/>
    <x v="1"/>
    <n v="0"/>
    <x v="2"/>
    <x v="3"/>
  </r>
  <r>
    <n v="25391"/>
    <x v="1"/>
    <n v="10"/>
    <n v="0"/>
    <n v="0"/>
    <x v="2"/>
    <x v="1"/>
    <x v="3"/>
    <x v="1"/>
    <n v="69.84"/>
    <n v="13.7"/>
    <x v="3"/>
    <n v="0"/>
    <x v="2"/>
    <x v="4"/>
  </r>
  <r>
    <n v="65469"/>
    <x v="0"/>
    <n v="11"/>
    <n v="0"/>
    <n v="0"/>
    <x v="2"/>
    <x v="1"/>
    <x v="3"/>
    <x v="1"/>
    <n v="121.71"/>
    <n v="23.4"/>
    <x v="1"/>
    <n v="0"/>
    <x v="2"/>
    <x v="2"/>
  </r>
  <r>
    <n v="29487"/>
    <x v="0"/>
    <n v="0.72"/>
    <n v="0"/>
    <n v="0"/>
    <x v="2"/>
    <x v="1"/>
    <x v="3"/>
    <x v="0"/>
    <n v="80.08"/>
    <n v="16.399999999999999"/>
    <x v="3"/>
    <n v="0"/>
    <x v="2"/>
    <x v="4"/>
  </r>
  <r>
    <n v="63575"/>
    <x v="0"/>
    <n v="9"/>
    <n v="0"/>
    <n v="0"/>
    <x v="2"/>
    <x v="1"/>
    <x v="3"/>
    <x v="0"/>
    <n v="84.4"/>
    <n v="14.9"/>
    <x v="3"/>
    <n v="0"/>
    <x v="2"/>
    <x v="4"/>
  </r>
  <r>
    <n v="30457"/>
    <x v="1"/>
    <n v="53"/>
    <n v="1"/>
    <n v="0"/>
    <x v="2"/>
    <x v="0"/>
    <x v="2"/>
    <x v="1"/>
    <n v="98.61"/>
    <n v="38.799999999999997"/>
    <x v="2"/>
    <n v="0"/>
    <x v="1"/>
    <x v="0"/>
  </r>
  <r>
    <n v="5951"/>
    <x v="0"/>
    <n v="28"/>
    <n v="1"/>
    <n v="0"/>
    <x v="2"/>
    <x v="1"/>
    <x v="0"/>
    <x v="0"/>
    <n v="86.61"/>
    <n v="38.6"/>
    <x v="2"/>
    <n v="0"/>
    <x v="2"/>
    <x v="0"/>
  </r>
  <r>
    <n v="8690"/>
    <x v="1"/>
    <n v="81"/>
    <n v="0"/>
    <n v="0"/>
    <x v="1"/>
    <x v="0"/>
    <x v="0"/>
    <x v="0"/>
    <n v="80.44"/>
    <n v="32.200000000000003"/>
    <x v="1"/>
    <n v="0"/>
    <x v="0"/>
    <x v="0"/>
  </r>
  <r>
    <n v="32147"/>
    <x v="0"/>
    <n v="1.32"/>
    <n v="0"/>
    <n v="0"/>
    <x v="2"/>
    <x v="1"/>
    <x v="3"/>
    <x v="1"/>
    <n v="107.02"/>
    <s v="N/A"/>
    <x v="3"/>
    <n v="0"/>
    <x v="2"/>
    <x v="1"/>
  </r>
  <r>
    <n v="47691"/>
    <x v="0"/>
    <n v="16"/>
    <n v="0"/>
    <n v="0"/>
    <x v="2"/>
    <x v="1"/>
    <x v="0"/>
    <x v="1"/>
    <n v="97.23"/>
    <n v="30.6"/>
    <x v="1"/>
    <n v="0"/>
    <x v="2"/>
    <x v="0"/>
  </r>
  <r>
    <n v="25982"/>
    <x v="0"/>
    <n v="24"/>
    <n v="0"/>
    <n v="0"/>
    <x v="2"/>
    <x v="1"/>
    <x v="0"/>
    <x v="1"/>
    <n v="91.21"/>
    <n v="28.1"/>
    <x v="0"/>
    <n v="0"/>
    <x v="2"/>
    <x v="3"/>
  </r>
  <r>
    <n v="70058"/>
    <x v="1"/>
    <n v="62"/>
    <n v="1"/>
    <n v="0"/>
    <x v="0"/>
    <x v="0"/>
    <x v="1"/>
    <x v="0"/>
    <n v="103.69"/>
    <n v="35.200000000000003"/>
    <x v="2"/>
    <n v="0"/>
    <x v="0"/>
    <x v="0"/>
  </r>
  <r>
    <n v="61868"/>
    <x v="1"/>
    <n v="62"/>
    <n v="0"/>
    <n v="0"/>
    <x v="1"/>
    <x v="0"/>
    <x v="0"/>
    <x v="0"/>
    <n v="74.12"/>
    <n v="21.8"/>
    <x v="0"/>
    <n v="0"/>
    <x v="0"/>
    <x v="2"/>
  </r>
  <r>
    <n v="46086"/>
    <x v="1"/>
    <n v="59"/>
    <n v="0"/>
    <n v="0"/>
    <x v="2"/>
    <x v="0"/>
    <x v="0"/>
    <x v="0"/>
    <n v="71.08"/>
    <n v="28.1"/>
    <x v="1"/>
    <n v="0"/>
    <x v="1"/>
    <x v="3"/>
  </r>
  <r>
    <n v="68596"/>
    <x v="1"/>
    <n v="19"/>
    <n v="0"/>
    <n v="0"/>
    <x v="2"/>
    <x v="1"/>
    <x v="0"/>
    <x v="0"/>
    <n v="58.39"/>
    <n v="28.2"/>
    <x v="1"/>
    <n v="0"/>
    <x v="2"/>
    <x v="3"/>
  </r>
  <r>
    <n v="10281"/>
    <x v="1"/>
    <n v="51"/>
    <n v="1"/>
    <n v="0"/>
    <x v="2"/>
    <x v="0"/>
    <x v="1"/>
    <x v="1"/>
    <n v="176.34"/>
    <n v="28.4"/>
    <x v="1"/>
    <n v="0"/>
    <x v="1"/>
    <x v="3"/>
  </r>
  <r>
    <n v="31409"/>
    <x v="0"/>
    <n v="38"/>
    <n v="0"/>
    <n v="0"/>
    <x v="2"/>
    <x v="0"/>
    <x v="0"/>
    <x v="1"/>
    <n v="73.760000000000005"/>
    <n v="37.4"/>
    <x v="1"/>
    <n v="0"/>
    <x v="2"/>
    <x v="0"/>
  </r>
  <r>
    <n v="54067"/>
    <x v="1"/>
    <n v="26"/>
    <n v="0"/>
    <n v="0"/>
    <x v="2"/>
    <x v="1"/>
    <x v="0"/>
    <x v="1"/>
    <n v="67.209999999999994"/>
    <n v="21.8"/>
    <x v="0"/>
    <n v="0"/>
    <x v="2"/>
    <x v="2"/>
  </r>
  <r>
    <n v="9731"/>
    <x v="0"/>
    <n v="13"/>
    <n v="0"/>
    <n v="0"/>
    <x v="2"/>
    <x v="1"/>
    <x v="3"/>
    <x v="0"/>
    <n v="87.98"/>
    <n v="19.8"/>
    <x v="3"/>
    <n v="0"/>
    <x v="2"/>
    <x v="2"/>
  </r>
  <r>
    <n v="24009"/>
    <x v="0"/>
    <n v="4"/>
    <n v="0"/>
    <n v="0"/>
    <x v="2"/>
    <x v="1"/>
    <x v="3"/>
    <x v="0"/>
    <n v="94.23"/>
    <n v="16.2"/>
    <x v="3"/>
    <n v="0"/>
    <x v="2"/>
    <x v="4"/>
  </r>
  <r>
    <n v="61694"/>
    <x v="0"/>
    <n v="55"/>
    <n v="0"/>
    <n v="0"/>
    <x v="2"/>
    <x v="0"/>
    <x v="1"/>
    <x v="1"/>
    <n v="111.36"/>
    <n v="33.6"/>
    <x v="1"/>
    <n v="0"/>
    <x v="1"/>
    <x v="0"/>
  </r>
  <r>
    <n v="7453"/>
    <x v="1"/>
    <n v="44"/>
    <n v="0"/>
    <n v="0"/>
    <x v="2"/>
    <x v="0"/>
    <x v="0"/>
    <x v="0"/>
    <n v="84.07"/>
    <n v="21.2"/>
    <x v="2"/>
    <n v="0"/>
    <x v="1"/>
    <x v="2"/>
  </r>
  <r>
    <n v="66405"/>
    <x v="1"/>
    <n v="31"/>
    <n v="0"/>
    <n v="0"/>
    <x v="2"/>
    <x v="0"/>
    <x v="0"/>
    <x v="0"/>
    <n v="117.31"/>
    <n v="28.4"/>
    <x v="1"/>
    <n v="0"/>
    <x v="2"/>
    <x v="3"/>
  </r>
  <r>
    <n v="2138"/>
    <x v="0"/>
    <n v="58"/>
    <n v="0"/>
    <n v="0"/>
    <x v="2"/>
    <x v="0"/>
    <x v="2"/>
    <x v="0"/>
    <n v="84.94"/>
    <s v="N/A"/>
    <x v="1"/>
    <n v="0"/>
    <x v="1"/>
    <x v="1"/>
  </r>
  <r>
    <n v="66650"/>
    <x v="1"/>
    <n v="17"/>
    <n v="0"/>
    <n v="0"/>
    <x v="2"/>
    <x v="1"/>
    <x v="0"/>
    <x v="0"/>
    <n v="68.86"/>
    <n v="41.1"/>
    <x v="1"/>
    <n v="0"/>
    <x v="2"/>
    <x v="0"/>
  </r>
  <r>
    <n v="59945"/>
    <x v="1"/>
    <n v="23"/>
    <n v="0"/>
    <n v="0"/>
    <x v="2"/>
    <x v="1"/>
    <x v="0"/>
    <x v="0"/>
    <n v="132.88"/>
    <n v="24.9"/>
    <x v="1"/>
    <n v="0"/>
    <x v="2"/>
    <x v="2"/>
  </r>
  <r>
    <n v="16245"/>
    <x v="0"/>
    <n v="51"/>
    <n v="1"/>
    <n v="0"/>
    <x v="2"/>
    <x v="0"/>
    <x v="1"/>
    <x v="1"/>
    <n v="211.83"/>
    <n v="56.6"/>
    <x v="1"/>
    <n v="0"/>
    <x v="1"/>
    <x v="0"/>
  </r>
  <r>
    <n v="68094"/>
    <x v="1"/>
    <n v="46"/>
    <n v="0"/>
    <n v="0"/>
    <x v="2"/>
    <x v="0"/>
    <x v="0"/>
    <x v="1"/>
    <n v="124.92"/>
    <n v="28.8"/>
    <x v="3"/>
    <n v="0"/>
    <x v="1"/>
    <x v="3"/>
  </r>
  <r>
    <n v="64661"/>
    <x v="1"/>
    <n v="81"/>
    <n v="0"/>
    <n v="0"/>
    <x v="1"/>
    <x v="1"/>
    <x v="1"/>
    <x v="0"/>
    <n v="57.42"/>
    <n v="33.700000000000003"/>
    <x v="1"/>
    <n v="0"/>
    <x v="0"/>
    <x v="0"/>
  </r>
  <r>
    <n v="61376"/>
    <x v="0"/>
    <n v="38"/>
    <n v="0"/>
    <n v="0"/>
    <x v="2"/>
    <x v="0"/>
    <x v="0"/>
    <x v="0"/>
    <n v="215.69"/>
    <n v="38.6"/>
    <x v="0"/>
    <n v="0"/>
    <x v="2"/>
    <x v="0"/>
  </r>
  <r>
    <n v="47236"/>
    <x v="1"/>
    <n v="50"/>
    <n v="0"/>
    <n v="0"/>
    <x v="2"/>
    <x v="0"/>
    <x v="0"/>
    <x v="0"/>
    <n v="154.66999999999999"/>
    <n v="33.799999999999997"/>
    <x v="1"/>
    <n v="0"/>
    <x v="1"/>
    <x v="0"/>
  </r>
  <r>
    <n v="875"/>
    <x v="1"/>
    <n v="34"/>
    <n v="0"/>
    <n v="0"/>
    <x v="2"/>
    <x v="1"/>
    <x v="0"/>
    <x v="0"/>
    <n v="67.66"/>
    <n v="22.4"/>
    <x v="1"/>
    <n v="0"/>
    <x v="2"/>
    <x v="2"/>
  </r>
  <r>
    <n v="63986"/>
    <x v="0"/>
    <n v="60"/>
    <n v="0"/>
    <n v="0"/>
    <x v="1"/>
    <x v="0"/>
    <x v="0"/>
    <x v="1"/>
    <n v="153.47999999999999"/>
    <n v="37.299999999999997"/>
    <x v="1"/>
    <n v="0"/>
    <x v="0"/>
    <x v="0"/>
  </r>
  <r>
    <n v="55410"/>
    <x v="1"/>
    <n v="50"/>
    <n v="0"/>
    <n v="0"/>
    <x v="2"/>
    <x v="0"/>
    <x v="1"/>
    <x v="0"/>
    <n v="62.63"/>
    <n v="23.4"/>
    <x v="1"/>
    <n v="0"/>
    <x v="1"/>
    <x v="2"/>
  </r>
  <r>
    <n v="63287"/>
    <x v="1"/>
    <n v="49"/>
    <n v="0"/>
    <n v="0"/>
    <x v="2"/>
    <x v="0"/>
    <x v="0"/>
    <x v="0"/>
    <n v="77.930000000000007"/>
    <n v="39.1"/>
    <x v="2"/>
    <n v="0"/>
    <x v="1"/>
    <x v="0"/>
  </r>
  <r>
    <n v="3720"/>
    <x v="1"/>
    <n v="2"/>
    <n v="0"/>
    <n v="0"/>
    <x v="2"/>
    <x v="1"/>
    <x v="3"/>
    <x v="1"/>
    <n v="80.3"/>
    <n v="21.2"/>
    <x v="3"/>
    <n v="0"/>
    <x v="2"/>
    <x v="2"/>
  </r>
  <r>
    <n v="20274"/>
    <x v="0"/>
    <n v="47"/>
    <n v="0"/>
    <n v="0"/>
    <x v="2"/>
    <x v="0"/>
    <x v="0"/>
    <x v="0"/>
    <n v="106.69"/>
    <n v="31.2"/>
    <x v="3"/>
    <n v="0"/>
    <x v="1"/>
    <x v="0"/>
  </r>
  <r>
    <n v="50338"/>
    <x v="1"/>
    <n v="34"/>
    <n v="0"/>
    <n v="0"/>
    <x v="2"/>
    <x v="0"/>
    <x v="0"/>
    <x v="0"/>
    <n v="83.07"/>
    <n v="28"/>
    <x v="0"/>
    <n v="0"/>
    <x v="2"/>
    <x v="3"/>
  </r>
  <r>
    <n v="58209"/>
    <x v="1"/>
    <n v="22"/>
    <n v="0"/>
    <n v="0"/>
    <x v="2"/>
    <x v="1"/>
    <x v="0"/>
    <x v="0"/>
    <n v="140.13999999999999"/>
    <n v="21.1"/>
    <x v="1"/>
    <n v="0"/>
    <x v="2"/>
    <x v="2"/>
  </r>
  <r>
    <n v="20634"/>
    <x v="1"/>
    <n v="11"/>
    <n v="0"/>
    <n v="0"/>
    <x v="2"/>
    <x v="1"/>
    <x v="3"/>
    <x v="0"/>
    <n v="92.65"/>
    <n v="15.7"/>
    <x v="1"/>
    <n v="0"/>
    <x v="2"/>
    <x v="4"/>
  </r>
  <r>
    <n v="3251"/>
    <x v="0"/>
    <n v="54"/>
    <n v="0"/>
    <n v="0"/>
    <x v="2"/>
    <x v="0"/>
    <x v="0"/>
    <x v="0"/>
    <n v="111.37"/>
    <n v="29.1"/>
    <x v="0"/>
    <n v="0"/>
    <x v="1"/>
    <x v="3"/>
  </r>
  <r>
    <n v="12677"/>
    <x v="1"/>
    <n v="60"/>
    <n v="0"/>
    <n v="0"/>
    <x v="1"/>
    <x v="0"/>
    <x v="0"/>
    <x v="1"/>
    <n v="99"/>
    <n v="26.1"/>
    <x v="1"/>
    <n v="0"/>
    <x v="0"/>
    <x v="3"/>
  </r>
  <r>
    <n v="45160"/>
    <x v="0"/>
    <n v="3"/>
    <n v="0"/>
    <n v="0"/>
    <x v="2"/>
    <x v="1"/>
    <x v="3"/>
    <x v="1"/>
    <n v="78.239999999999995"/>
    <n v="16.2"/>
    <x v="3"/>
    <n v="0"/>
    <x v="2"/>
    <x v="4"/>
  </r>
  <r>
    <n v="67940"/>
    <x v="1"/>
    <n v="46"/>
    <n v="0"/>
    <n v="0"/>
    <x v="2"/>
    <x v="0"/>
    <x v="2"/>
    <x v="1"/>
    <n v="83.88"/>
    <n v="27.1"/>
    <x v="1"/>
    <n v="0"/>
    <x v="1"/>
    <x v="3"/>
  </r>
  <r>
    <n v="8145"/>
    <x v="0"/>
    <n v="30"/>
    <n v="0"/>
    <n v="0"/>
    <x v="2"/>
    <x v="1"/>
    <x v="0"/>
    <x v="0"/>
    <n v="86.21"/>
    <n v="28.8"/>
    <x v="2"/>
    <n v="0"/>
    <x v="2"/>
    <x v="3"/>
  </r>
  <r>
    <n v="39393"/>
    <x v="1"/>
    <n v="63"/>
    <n v="0"/>
    <n v="0"/>
    <x v="1"/>
    <x v="0"/>
    <x v="0"/>
    <x v="0"/>
    <n v="57.06"/>
    <n v="37.9"/>
    <x v="1"/>
    <n v="0"/>
    <x v="0"/>
    <x v="0"/>
  </r>
  <r>
    <n v="57710"/>
    <x v="1"/>
    <n v="50"/>
    <n v="0"/>
    <n v="0"/>
    <x v="2"/>
    <x v="0"/>
    <x v="0"/>
    <x v="1"/>
    <n v="112.25"/>
    <n v="21.6"/>
    <x v="3"/>
    <n v="0"/>
    <x v="1"/>
    <x v="2"/>
  </r>
  <r>
    <n v="12487"/>
    <x v="0"/>
    <n v="65"/>
    <n v="0"/>
    <n v="0"/>
    <x v="1"/>
    <x v="0"/>
    <x v="0"/>
    <x v="0"/>
    <n v="81.06"/>
    <n v="30.1"/>
    <x v="2"/>
    <n v="0"/>
    <x v="0"/>
    <x v="0"/>
  </r>
  <r>
    <n v="16513"/>
    <x v="0"/>
    <n v="78"/>
    <n v="0"/>
    <n v="0"/>
    <x v="1"/>
    <x v="0"/>
    <x v="0"/>
    <x v="0"/>
    <n v="104.37"/>
    <n v="29.7"/>
    <x v="1"/>
    <n v="0"/>
    <x v="0"/>
    <x v="3"/>
  </r>
  <r>
    <n v="42297"/>
    <x v="1"/>
    <n v="36"/>
    <n v="0"/>
    <n v="0"/>
    <x v="2"/>
    <x v="0"/>
    <x v="0"/>
    <x v="0"/>
    <n v="124.31"/>
    <n v="26.4"/>
    <x v="3"/>
    <n v="0"/>
    <x v="2"/>
    <x v="3"/>
  </r>
  <r>
    <n v="63656"/>
    <x v="1"/>
    <n v="18"/>
    <n v="0"/>
    <n v="0"/>
    <x v="2"/>
    <x v="1"/>
    <x v="0"/>
    <x v="0"/>
    <n v="101.95"/>
    <n v="46"/>
    <x v="0"/>
    <n v="0"/>
    <x v="2"/>
    <x v="0"/>
  </r>
  <r>
    <n v="56233"/>
    <x v="1"/>
    <n v="44"/>
    <n v="0"/>
    <n v="0"/>
    <x v="2"/>
    <x v="1"/>
    <x v="0"/>
    <x v="1"/>
    <n v="116.95"/>
    <n v="26.1"/>
    <x v="1"/>
    <n v="0"/>
    <x v="1"/>
    <x v="3"/>
  </r>
  <r>
    <n v="22591"/>
    <x v="1"/>
    <n v="4"/>
    <n v="0"/>
    <n v="0"/>
    <x v="2"/>
    <x v="1"/>
    <x v="3"/>
    <x v="0"/>
    <n v="99.76"/>
    <n v="23.2"/>
    <x v="3"/>
    <n v="0"/>
    <x v="2"/>
    <x v="2"/>
  </r>
  <r>
    <n v="23757"/>
    <x v="1"/>
    <n v="60"/>
    <n v="0"/>
    <n v="0"/>
    <x v="1"/>
    <x v="1"/>
    <x v="0"/>
    <x v="0"/>
    <n v="105.48"/>
    <n v="28.4"/>
    <x v="3"/>
    <n v="0"/>
    <x v="0"/>
    <x v="3"/>
  </r>
  <r>
    <n v="19601"/>
    <x v="1"/>
    <n v="19"/>
    <n v="0"/>
    <n v="0"/>
    <x v="2"/>
    <x v="1"/>
    <x v="0"/>
    <x v="0"/>
    <n v="100.6"/>
    <n v="20.5"/>
    <x v="1"/>
    <n v="0"/>
    <x v="2"/>
    <x v="2"/>
  </r>
  <r>
    <n v="61801"/>
    <x v="0"/>
    <n v="15"/>
    <n v="0"/>
    <n v="0"/>
    <x v="2"/>
    <x v="1"/>
    <x v="0"/>
    <x v="0"/>
    <n v="65.05"/>
    <n v="24.6"/>
    <x v="3"/>
    <n v="0"/>
    <x v="2"/>
    <x v="2"/>
  </r>
  <r>
    <n v="949"/>
    <x v="0"/>
    <n v="20"/>
    <n v="0"/>
    <n v="0"/>
    <x v="2"/>
    <x v="1"/>
    <x v="0"/>
    <x v="1"/>
    <n v="75.900000000000006"/>
    <n v="32.200000000000003"/>
    <x v="1"/>
    <n v="0"/>
    <x v="2"/>
    <x v="0"/>
  </r>
  <r>
    <n v="10995"/>
    <x v="0"/>
    <n v="76"/>
    <n v="1"/>
    <n v="0"/>
    <x v="0"/>
    <x v="0"/>
    <x v="0"/>
    <x v="1"/>
    <n v="267.60000000000002"/>
    <n v="30.5"/>
    <x v="1"/>
    <n v="0"/>
    <x v="0"/>
    <x v="0"/>
  </r>
  <r>
    <n v="1503"/>
    <x v="0"/>
    <n v="31"/>
    <n v="0"/>
    <n v="0"/>
    <x v="2"/>
    <x v="1"/>
    <x v="0"/>
    <x v="0"/>
    <n v="215.07"/>
    <s v="N/A"/>
    <x v="2"/>
    <n v="0"/>
    <x v="2"/>
    <x v="1"/>
  </r>
  <r>
    <n v="37431"/>
    <x v="1"/>
    <n v="39"/>
    <n v="0"/>
    <n v="0"/>
    <x v="2"/>
    <x v="0"/>
    <x v="2"/>
    <x v="0"/>
    <n v="109.03"/>
    <n v="24.9"/>
    <x v="3"/>
    <n v="0"/>
    <x v="2"/>
    <x v="2"/>
  </r>
  <r>
    <n v="53697"/>
    <x v="0"/>
    <n v="58"/>
    <n v="0"/>
    <n v="1"/>
    <x v="2"/>
    <x v="0"/>
    <x v="0"/>
    <x v="1"/>
    <n v="225.35"/>
    <n v="26.5"/>
    <x v="2"/>
    <n v="0"/>
    <x v="1"/>
    <x v="3"/>
  </r>
  <r>
    <n v="67012"/>
    <x v="0"/>
    <n v="64"/>
    <n v="1"/>
    <n v="0"/>
    <x v="0"/>
    <x v="0"/>
    <x v="0"/>
    <x v="1"/>
    <n v="196.26"/>
    <n v="34.5"/>
    <x v="3"/>
    <n v="0"/>
    <x v="0"/>
    <x v="0"/>
  </r>
  <r>
    <n v="30525"/>
    <x v="1"/>
    <n v="79"/>
    <n v="0"/>
    <n v="0"/>
    <x v="1"/>
    <x v="0"/>
    <x v="2"/>
    <x v="0"/>
    <n v="95.42"/>
    <n v="21.5"/>
    <x v="0"/>
    <n v="0"/>
    <x v="0"/>
    <x v="2"/>
  </r>
  <r>
    <n v="25860"/>
    <x v="1"/>
    <n v="11"/>
    <n v="0"/>
    <n v="0"/>
    <x v="2"/>
    <x v="1"/>
    <x v="3"/>
    <x v="1"/>
    <n v="123.04"/>
    <n v="15.9"/>
    <x v="3"/>
    <n v="0"/>
    <x v="2"/>
    <x v="4"/>
  </r>
  <r>
    <n v="21743"/>
    <x v="0"/>
    <n v="4"/>
    <n v="0"/>
    <n v="0"/>
    <x v="2"/>
    <x v="1"/>
    <x v="3"/>
    <x v="0"/>
    <n v="85.88"/>
    <n v="17.7"/>
    <x v="3"/>
    <n v="0"/>
    <x v="2"/>
    <x v="4"/>
  </r>
  <r>
    <n v="25833"/>
    <x v="1"/>
    <n v="43"/>
    <n v="0"/>
    <n v="0"/>
    <x v="2"/>
    <x v="0"/>
    <x v="0"/>
    <x v="1"/>
    <n v="107.43"/>
    <n v="26.5"/>
    <x v="1"/>
    <n v="0"/>
    <x v="1"/>
    <x v="3"/>
  </r>
  <r>
    <n v="64652"/>
    <x v="1"/>
    <n v="44"/>
    <n v="0"/>
    <n v="0"/>
    <x v="2"/>
    <x v="0"/>
    <x v="0"/>
    <x v="1"/>
    <n v="56.85"/>
    <n v="24.4"/>
    <x v="1"/>
    <n v="0"/>
    <x v="1"/>
    <x v="2"/>
  </r>
  <r>
    <n v="45710"/>
    <x v="1"/>
    <n v="37"/>
    <n v="0"/>
    <n v="0"/>
    <x v="2"/>
    <x v="0"/>
    <x v="2"/>
    <x v="1"/>
    <n v="102.15"/>
    <n v="26.6"/>
    <x v="3"/>
    <n v="0"/>
    <x v="2"/>
    <x v="3"/>
  </r>
  <r>
    <n v="27853"/>
    <x v="1"/>
    <n v="34"/>
    <n v="0"/>
    <n v="0"/>
    <x v="2"/>
    <x v="0"/>
    <x v="1"/>
    <x v="1"/>
    <n v="88.68"/>
    <n v="23.9"/>
    <x v="1"/>
    <n v="0"/>
    <x v="2"/>
    <x v="2"/>
  </r>
  <r>
    <n v="5964"/>
    <x v="1"/>
    <n v="59"/>
    <n v="0"/>
    <n v="0"/>
    <x v="2"/>
    <x v="0"/>
    <x v="0"/>
    <x v="0"/>
    <n v="182.52"/>
    <n v="30.1"/>
    <x v="3"/>
    <n v="0"/>
    <x v="1"/>
    <x v="0"/>
  </r>
  <r>
    <n v="6976"/>
    <x v="1"/>
    <n v="40"/>
    <n v="0"/>
    <n v="0"/>
    <x v="2"/>
    <x v="0"/>
    <x v="0"/>
    <x v="0"/>
    <n v="93.97"/>
    <n v="23.6"/>
    <x v="1"/>
    <n v="0"/>
    <x v="1"/>
    <x v="2"/>
  </r>
  <r>
    <n v="11145"/>
    <x v="1"/>
    <n v="8"/>
    <n v="0"/>
    <n v="0"/>
    <x v="2"/>
    <x v="1"/>
    <x v="3"/>
    <x v="0"/>
    <n v="104.03"/>
    <n v="18.399999999999999"/>
    <x v="3"/>
    <n v="0"/>
    <x v="2"/>
    <x v="4"/>
  </r>
  <r>
    <n v="39229"/>
    <x v="1"/>
    <n v="24"/>
    <n v="0"/>
    <n v="0"/>
    <x v="2"/>
    <x v="0"/>
    <x v="0"/>
    <x v="1"/>
    <n v="67.989999999999995"/>
    <n v="32.1"/>
    <x v="1"/>
    <n v="0"/>
    <x v="2"/>
    <x v="0"/>
  </r>
  <r>
    <n v="14189"/>
    <x v="0"/>
    <n v="18"/>
    <n v="0"/>
    <n v="0"/>
    <x v="2"/>
    <x v="1"/>
    <x v="0"/>
    <x v="1"/>
    <n v="83.37"/>
    <n v="24.4"/>
    <x v="3"/>
    <n v="0"/>
    <x v="2"/>
    <x v="2"/>
  </r>
  <r>
    <n v="49929"/>
    <x v="0"/>
    <n v="20"/>
    <n v="0"/>
    <n v="0"/>
    <x v="2"/>
    <x v="1"/>
    <x v="0"/>
    <x v="1"/>
    <n v="124.66"/>
    <n v="27.3"/>
    <x v="1"/>
    <n v="0"/>
    <x v="2"/>
    <x v="3"/>
  </r>
  <r>
    <n v="56328"/>
    <x v="1"/>
    <n v="70"/>
    <n v="0"/>
    <n v="0"/>
    <x v="1"/>
    <x v="0"/>
    <x v="0"/>
    <x v="1"/>
    <n v="212.87"/>
    <n v="34.799999999999997"/>
    <x v="1"/>
    <n v="0"/>
    <x v="0"/>
    <x v="0"/>
  </r>
  <r>
    <n v="26742"/>
    <x v="1"/>
    <n v="68"/>
    <n v="0"/>
    <n v="0"/>
    <x v="1"/>
    <x v="0"/>
    <x v="2"/>
    <x v="0"/>
    <n v="96.75"/>
    <n v="28.4"/>
    <x v="0"/>
    <n v="0"/>
    <x v="0"/>
    <x v="3"/>
  </r>
  <r>
    <n v="63158"/>
    <x v="0"/>
    <n v="17"/>
    <n v="0"/>
    <n v="0"/>
    <x v="2"/>
    <x v="1"/>
    <x v="0"/>
    <x v="0"/>
    <n v="63.28"/>
    <n v="40.200000000000003"/>
    <x v="3"/>
    <n v="0"/>
    <x v="2"/>
    <x v="0"/>
  </r>
  <r>
    <n v="27435"/>
    <x v="1"/>
    <n v="17"/>
    <n v="0"/>
    <n v="0"/>
    <x v="2"/>
    <x v="1"/>
    <x v="0"/>
    <x v="0"/>
    <n v="82.64"/>
    <n v="31.1"/>
    <x v="3"/>
    <n v="0"/>
    <x v="2"/>
    <x v="0"/>
  </r>
  <r>
    <n v="10829"/>
    <x v="1"/>
    <n v="21"/>
    <n v="0"/>
    <n v="0"/>
    <x v="2"/>
    <x v="1"/>
    <x v="0"/>
    <x v="1"/>
    <n v="71.34"/>
    <n v="24"/>
    <x v="1"/>
    <n v="0"/>
    <x v="2"/>
    <x v="2"/>
  </r>
  <r>
    <n v="70593"/>
    <x v="1"/>
    <n v="38"/>
    <n v="0"/>
    <n v="0"/>
    <x v="2"/>
    <x v="0"/>
    <x v="0"/>
    <x v="1"/>
    <n v="183.43"/>
    <n v="38.1"/>
    <x v="0"/>
    <n v="0"/>
    <x v="2"/>
    <x v="0"/>
  </r>
  <r>
    <n v="42647"/>
    <x v="1"/>
    <n v="59"/>
    <n v="0"/>
    <n v="0"/>
    <x v="2"/>
    <x v="0"/>
    <x v="2"/>
    <x v="0"/>
    <n v="101.19"/>
    <n v="29.9"/>
    <x v="0"/>
    <n v="0"/>
    <x v="1"/>
    <x v="3"/>
  </r>
  <r>
    <n v="48109"/>
    <x v="1"/>
    <n v="79"/>
    <n v="0"/>
    <n v="1"/>
    <x v="0"/>
    <x v="0"/>
    <x v="0"/>
    <x v="1"/>
    <n v="88.51"/>
    <n v="24.5"/>
    <x v="1"/>
    <n v="0"/>
    <x v="0"/>
    <x v="2"/>
  </r>
  <r>
    <n v="40732"/>
    <x v="1"/>
    <n v="50"/>
    <n v="0"/>
    <n v="0"/>
    <x v="2"/>
    <x v="0"/>
    <x v="1"/>
    <x v="1"/>
    <n v="126.85"/>
    <n v="49.5"/>
    <x v="0"/>
    <n v="0"/>
    <x v="1"/>
    <x v="0"/>
  </r>
  <r>
    <n v="58635"/>
    <x v="1"/>
    <n v="72"/>
    <n v="0"/>
    <n v="0"/>
    <x v="1"/>
    <x v="0"/>
    <x v="1"/>
    <x v="0"/>
    <n v="74.17"/>
    <n v="35.5"/>
    <x v="0"/>
    <n v="0"/>
    <x v="0"/>
    <x v="0"/>
  </r>
  <r>
    <n v="844"/>
    <x v="1"/>
    <n v="54"/>
    <n v="0"/>
    <n v="0"/>
    <x v="2"/>
    <x v="0"/>
    <x v="0"/>
    <x v="0"/>
    <n v="76.040000000000006"/>
    <n v="29.5"/>
    <x v="2"/>
    <n v="0"/>
    <x v="1"/>
    <x v="3"/>
  </r>
  <r>
    <n v="14688"/>
    <x v="1"/>
    <n v="44"/>
    <n v="0"/>
    <n v="0"/>
    <x v="2"/>
    <x v="0"/>
    <x v="0"/>
    <x v="0"/>
    <n v="73.87"/>
    <n v="28.8"/>
    <x v="2"/>
    <n v="0"/>
    <x v="1"/>
    <x v="3"/>
  </r>
  <r>
    <n v="23026"/>
    <x v="1"/>
    <n v="48"/>
    <n v="0"/>
    <n v="0"/>
    <x v="2"/>
    <x v="0"/>
    <x v="0"/>
    <x v="1"/>
    <n v="99.07"/>
    <n v="22.1"/>
    <x v="1"/>
    <n v="0"/>
    <x v="1"/>
    <x v="2"/>
  </r>
  <r>
    <n v="30463"/>
    <x v="0"/>
    <n v="29"/>
    <n v="0"/>
    <n v="0"/>
    <x v="2"/>
    <x v="1"/>
    <x v="0"/>
    <x v="0"/>
    <n v="82.93"/>
    <n v="29.4"/>
    <x v="0"/>
    <n v="0"/>
    <x v="2"/>
    <x v="3"/>
  </r>
  <r>
    <n v="50140"/>
    <x v="1"/>
    <n v="44"/>
    <n v="0"/>
    <n v="0"/>
    <x v="2"/>
    <x v="0"/>
    <x v="2"/>
    <x v="1"/>
    <n v="133.24"/>
    <n v="45"/>
    <x v="2"/>
    <n v="0"/>
    <x v="1"/>
    <x v="0"/>
  </r>
  <r>
    <n v="36837"/>
    <x v="1"/>
    <n v="61"/>
    <n v="0"/>
    <n v="0"/>
    <x v="1"/>
    <x v="0"/>
    <x v="1"/>
    <x v="0"/>
    <n v="69.88"/>
    <n v="27.1"/>
    <x v="1"/>
    <n v="0"/>
    <x v="0"/>
    <x v="3"/>
  </r>
  <r>
    <n v="57333"/>
    <x v="1"/>
    <n v="58"/>
    <n v="0"/>
    <n v="0"/>
    <x v="2"/>
    <x v="0"/>
    <x v="2"/>
    <x v="1"/>
    <n v="69.12"/>
    <n v="28.3"/>
    <x v="3"/>
    <n v="0"/>
    <x v="1"/>
    <x v="3"/>
  </r>
  <r>
    <n v="19826"/>
    <x v="1"/>
    <n v="81"/>
    <n v="0"/>
    <n v="0"/>
    <x v="1"/>
    <x v="0"/>
    <x v="1"/>
    <x v="1"/>
    <n v="86.05"/>
    <n v="20.100000000000001"/>
    <x v="0"/>
    <n v="0"/>
    <x v="0"/>
    <x v="2"/>
  </r>
  <r>
    <n v="37713"/>
    <x v="0"/>
    <n v="29"/>
    <n v="0"/>
    <n v="0"/>
    <x v="2"/>
    <x v="0"/>
    <x v="0"/>
    <x v="0"/>
    <n v="185.27"/>
    <n v="31.3"/>
    <x v="1"/>
    <n v="0"/>
    <x v="2"/>
    <x v="0"/>
  </r>
  <r>
    <n v="6278"/>
    <x v="0"/>
    <n v="5"/>
    <n v="0"/>
    <n v="0"/>
    <x v="2"/>
    <x v="1"/>
    <x v="3"/>
    <x v="0"/>
    <n v="97.46"/>
    <n v="17.600000000000001"/>
    <x v="3"/>
    <n v="0"/>
    <x v="2"/>
    <x v="4"/>
  </r>
  <r>
    <n v="15517"/>
    <x v="1"/>
    <n v="35"/>
    <n v="0"/>
    <n v="0"/>
    <x v="2"/>
    <x v="0"/>
    <x v="0"/>
    <x v="0"/>
    <n v="81.900000000000006"/>
    <n v="24.5"/>
    <x v="1"/>
    <n v="0"/>
    <x v="2"/>
    <x v="2"/>
  </r>
  <r>
    <n v="25326"/>
    <x v="1"/>
    <n v="40"/>
    <n v="0"/>
    <n v="0"/>
    <x v="2"/>
    <x v="1"/>
    <x v="0"/>
    <x v="1"/>
    <n v="99.58"/>
    <n v="24.1"/>
    <x v="3"/>
    <n v="0"/>
    <x v="1"/>
    <x v="2"/>
  </r>
  <r>
    <n v="57034"/>
    <x v="1"/>
    <n v="37"/>
    <n v="0"/>
    <n v="0"/>
    <x v="2"/>
    <x v="1"/>
    <x v="0"/>
    <x v="1"/>
    <n v="124.54"/>
    <n v="31.3"/>
    <x v="1"/>
    <n v="0"/>
    <x v="2"/>
    <x v="0"/>
  </r>
  <r>
    <n v="70718"/>
    <x v="0"/>
    <n v="33"/>
    <n v="0"/>
    <n v="0"/>
    <x v="2"/>
    <x v="0"/>
    <x v="0"/>
    <x v="1"/>
    <n v="153.34"/>
    <n v="31.5"/>
    <x v="1"/>
    <n v="0"/>
    <x v="2"/>
    <x v="0"/>
  </r>
  <r>
    <n v="47461"/>
    <x v="1"/>
    <n v="35"/>
    <n v="0"/>
    <n v="0"/>
    <x v="2"/>
    <x v="0"/>
    <x v="0"/>
    <x v="0"/>
    <n v="112.35"/>
    <n v="29.9"/>
    <x v="3"/>
    <n v="0"/>
    <x v="2"/>
    <x v="3"/>
  </r>
  <r>
    <n v="50091"/>
    <x v="1"/>
    <n v="38"/>
    <n v="0"/>
    <n v="0"/>
    <x v="2"/>
    <x v="1"/>
    <x v="2"/>
    <x v="0"/>
    <n v="160.76"/>
    <n v="30.2"/>
    <x v="2"/>
    <n v="0"/>
    <x v="2"/>
    <x v="0"/>
  </r>
  <r>
    <n v="62416"/>
    <x v="1"/>
    <n v="26"/>
    <n v="0"/>
    <n v="0"/>
    <x v="2"/>
    <x v="0"/>
    <x v="0"/>
    <x v="1"/>
    <n v="73.290000000000006"/>
    <n v="27.8"/>
    <x v="1"/>
    <n v="0"/>
    <x v="2"/>
    <x v="3"/>
  </r>
  <r>
    <n v="5288"/>
    <x v="0"/>
    <n v="10"/>
    <n v="0"/>
    <n v="0"/>
    <x v="2"/>
    <x v="1"/>
    <x v="3"/>
    <x v="0"/>
    <n v="108.08"/>
    <n v="15.6"/>
    <x v="3"/>
    <n v="0"/>
    <x v="2"/>
    <x v="4"/>
  </r>
  <r>
    <n v="66951"/>
    <x v="1"/>
    <n v="72"/>
    <n v="0"/>
    <n v="0"/>
    <x v="1"/>
    <x v="0"/>
    <x v="0"/>
    <x v="0"/>
    <n v="206.49"/>
    <n v="26.3"/>
    <x v="1"/>
    <n v="0"/>
    <x v="0"/>
    <x v="3"/>
  </r>
  <r>
    <n v="28335"/>
    <x v="0"/>
    <n v="21"/>
    <n v="0"/>
    <n v="0"/>
    <x v="2"/>
    <x v="0"/>
    <x v="0"/>
    <x v="1"/>
    <n v="77.42"/>
    <n v="24.8"/>
    <x v="1"/>
    <n v="0"/>
    <x v="2"/>
    <x v="2"/>
  </r>
  <r>
    <n v="67465"/>
    <x v="1"/>
    <n v="20"/>
    <n v="0"/>
    <n v="0"/>
    <x v="2"/>
    <x v="1"/>
    <x v="0"/>
    <x v="1"/>
    <n v="117.59"/>
    <n v="17.100000000000001"/>
    <x v="1"/>
    <n v="0"/>
    <x v="2"/>
    <x v="4"/>
  </r>
  <r>
    <n v="67426"/>
    <x v="1"/>
    <n v="1.24"/>
    <n v="0"/>
    <n v="0"/>
    <x v="2"/>
    <x v="1"/>
    <x v="3"/>
    <x v="1"/>
    <n v="61.94"/>
    <n v="20.3"/>
    <x v="3"/>
    <n v="0"/>
    <x v="2"/>
    <x v="2"/>
  </r>
  <r>
    <n v="19508"/>
    <x v="1"/>
    <n v="26"/>
    <n v="0"/>
    <n v="0"/>
    <x v="2"/>
    <x v="1"/>
    <x v="0"/>
    <x v="0"/>
    <n v="116.68"/>
    <n v="18.7"/>
    <x v="0"/>
    <n v="0"/>
    <x v="2"/>
    <x v="2"/>
  </r>
  <r>
    <n v="65405"/>
    <x v="1"/>
    <n v="79"/>
    <n v="0"/>
    <n v="0"/>
    <x v="1"/>
    <x v="1"/>
    <x v="0"/>
    <x v="0"/>
    <n v="253.86"/>
    <n v="28.8"/>
    <x v="0"/>
    <n v="0"/>
    <x v="0"/>
    <x v="3"/>
  </r>
  <r>
    <n v="49773"/>
    <x v="1"/>
    <n v="78"/>
    <n v="0"/>
    <n v="0"/>
    <x v="1"/>
    <x v="0"/>
    <x v="0"/>
    <x v="0"/>
    <n v="203.36"/>
    <n v="28.7"/>
    <x v="0"/>
    <n v="0"/>
    <x v="0"/>
    <x v="3"/>
  </r>
  <r>
    <n v="57159"/>
    <x v="0"/>
    <n v="56"/>
    <n v="0"/>
    <n v="0"/>
    <x v="2"/>
    <x v="0"/>
    <x v="1"/>
    <x v="1"/>
    <n v="125.87"/>
    <n v="24.6"/>
    <x v="1"/>
    <n v="0"/>
    <x v="1"/>
    <x v="2"/>
  </r>
  <r>
    <n v="69710"/>
    <x v="1"/>
    <n v="46"/>
    <n v="0"/>
    <n v="0"/>
    <x v="2"/>
    <x v="1"/>
    <x v="1"/>
    <x v="1"/>
    <n v="64.09"/>
    <n v="25.3"/>
    <x v="1"/>
    <n v="0"/>
    <x v="1"/>
    <x v="3"/>
  </r>
  <r>
    <n v="58834"/>
    <x v="0"/>
    <n v="55"/>
    <n v="0"/>
    <n v="0"/>
    <x v="2"/>
    <x v="0"/>
    <x v="2"/>
    <x v="0"/>
    <n v="65.33"/>
    <n v="29.7"/>
    <x v="3"/>
    <n v="0"/>
    <x v="1"/>
    <x v="3"/>
  </r>
  <r>
    <n v="42007"/>
    <x v="0"/>
    <n v="41"/>
    <n v="0"/>
    <n v="0"/>
    <x v="2"/>
    <x v="1"/>
    <x v="0"/>
    <x v="1"/>
    <n v="70.150000000000006"/>
    <s v="N/A"/>
    <x v="0"/>
    <n v="0"/>
    <x v="1"/>
    <x v="1"/>
  </r>
  <r>
    <n v="5121"/>
    <x v="0"/>
    <n v="30"/>
    <n v="0"/>
    <n v="0"/>
    <x v="2"/>
    <x v="0"/>
    <x v="0"/>
    <x v="0"/>
    <n v="96.84"/>
    <n v="21.1"/>
    <x v="3"/>
    <n v="0"/>
    <x v="2"/>
    <x v="2"/>
  </r>
  <r>
    <n v="44878"/>
    <x v="0"/>
    <n v="53"/>
    <n v="0"/>
    <n v="0"/>
    <x v="2"/>
    <x v="0"/>
    <x v="0"/>
    <x v="1"/>
    <n v="175.92"/>
    <n v="26.9"/>
    <x v="2"/>
    <n v="0"/>
    <x v="1"/>
    <x v="3"/>
  </r>
  <r>
    <n v="40220"/>
    <x v="0"/>
    <n v="32"/>
    <n v="0"/>
    <n v="0"/>
    <x v="2"/>
    <x v="1"/>
    <x v="0"/>
    <x v="1"/>
    <n v="100.65"/>
    <n v="26.2"/>
    <x v="0"/>
    <n v="0"/>
    <x v="2"/>
    <x v="3"/>
  </r>
  <r>
    <n v="19692"/>
    <x v="0"/>
    <n v="38"/>
    <n v="0"/>
    <n v="0"/>
    <x v="2"/>
    <x v="1"/>
    <x v="0"/>
    <x v="1"/>
    <n v="112.39"/>
    <n v="26.3"/>
    <x v="3"/>
    <n v="0"/>
    <x v="2"/>
    <x v="3"/>
  </r>
  <r>
    <n v="27616"/>
    <x v="0"/>
    <n v="33"/>
    <n v="0"/>
    <n v="0"/>
    <x v="2"/>
    <x v="0"/>
    <x v="2"/>
    <x v="1"/>
    <n v="81.099999999999994"/>
    <n v="24.8"/>
    <x v="1"/>
    <n v="0"/>
    <x v="2"/>
    <x v="2"/>
  </r>
  <r>
    <n v="19801"/>
    <x v="1"/>
    <n v="44"/>
    <n v="0"/>
    <n v="0"/>
    <x v="2"/>
    <x v="0"/>
    <x v="0"/>
    <x v="1"/>
    <n v="98.3"/>
    <n v="25"/>
    <x v="1"/>
    <n v="0"/>
    <x v="1"/>
    <x v="3"/>
  </r>
  <r>
    <n v="21467"/>
    <x v="0"/>
    <n v="44"/>
    <n v="0"/>
    <n v="0"/>
    <x v="2"/>
    <x v="0"/>
    <x v="0"/>
    <x v="0"/>
    <n v="89.68"/>
    <n v="34.6"/>
    <x v="3"/>
    <n v="0"/>
    <x v="1"/>
    <x v="0"/>
  </r>
  <r>
    <n v="25102"/>
    <x v="1"/>
    <n v="51"/>
    <n v="0"/>
    <n v="0"/>
    <x v="2"/>
    <x v="0"/>
    <x v="2"/>
    <x v="0"/>
    <n v="95.16"/>
    <n v="42.7"/>
    <x v="0"/>
    <n v="0"/>
    <x v="1"/>
    <x v="0"/>
  </r>
  <r>
    <n v="28788"/>
    <x v="0"/>
    <n v="40"/>
    <n v="0"/>
    <n v="0"/>
    <x v="2"/>
    <x v="0"/>
    <x v="0"/>
    <x v="0"/>
    <n v="191.15"/>
    <s v="N/A"/>
    <x v="2"/>
    <n v="0"/>
    <x v="1"/>
    <x v="1"/>
  </r>
  <r>
    <n v="29028"/>
    <x v="1"/>
    <n v="41"/>
    <n v="0"/>
    <n v="0"/>
    <x v="2"/>
    <x v="0"/>
    <x v="0"/>
    <x v="1"/>
    <n v="91.04"/>
    <n v="24.5"/>
    <x v="1"/>
    <n v="0"/>
    <x v="1"/>
    <x v="2"/>
  </r>
  <r>
    <n v="15581"/>
    <x v="0"/>
    <n v="5"/>
    <n v="0"/>
    <n v="0"/>
    <x v="2"/>
    <x v="1"/>
    <x v="3"/>
    <x v="0"/>
    <n v="101.87"/>
    <n v="19.3"/>
    <x v="3"/>
    <n v="0"/>
    <x v="2"/>
    <x v="2"/>
  </r>
  <r>
    <n v="16738"/>
    <x v="1"/>
    <n v="42"/>
    <n v="0"/>
    <n v="0"/>
    <x v="2"/>
    <x v="0"/>
    <x v="0"/>
    <x v="1"/>
    <n v="96.86"/>
    <n v="29.3"/>
    <x v="1"/>
    <n v="0"/>
    <x v="1"/>
    <x v="3"/>
  </r>
  <r>
    <n v="31836"/>
    <x v="1"/>
    <n v="6"/>
    <n v="0"/>
    <n v="0"/>
    <x v="2"/>
    <x v="1"/>
    <x v="3"/>
    <x v="0"/>
    <n v="91.05"/>
    <n v="22.1"/>
    <x v="3"/>
    <n v="0"/>
    <x v="2"/>
    <x v="2"/>
  </r>
  <r>
    <n v="43496"/>
    <x v="1"/>
    <n v="46"/>
    <n v="0"/>
    <n v="0"/>
    <x v="2"/>
    <x v="0"/>
    <x v="2"/>
    <x v="0"/>
    <n v="55.84"/>
    <n v="27.8"/>
    <x v="1"/>
    <n v="0"/>
    <x v="1"/>
    <x v="3"/>
  </r>
  <r>
    <n v="52677"/>
    <x v="1"/>
    <n v="47"/>
    <n v="0"/>
    <n v="0"/>
    <x v="2"/>
    <x v="0"/>
    <x v="0"/>
    <x v="0"/>
    <n v="84.04"/>
    <n v="24.7"/>
    <x v="1"/>
    <n v="0"/>
    <x v="1"/>
    <x v="2"/>
  </r>
  <r>
    <n v="11630"/>
    <x v="1"/>
    <n v="25"/>
    <n v="0"/>
    <n v="0"/>
    <x v="2"/>
    <x v="1"/>
    <x v="0"/>
    <x v="0"/>
    <n v="92.06"/>
    <n v="25.3"/>
    <x v="2"/>
    <n v="0"/>
    <x v="2"/>
    <x v="3"/>
  </r>
  <r>
    <n v="53478"/>
    <x v="1"/>
    <n v="40"/>
    <n v="0"/>
    <n v="0"/>
    <x v="2"/>
    <x v="0"/>
    <x v="0"/>
    <x v="0"/>
    <n v="89.61"/>
    <n v="41.2"/>
    <x v="0"/>
    <n v="0"/>
    <x v="1"/>
    <x v="0"/>
  </r>
  <r>
    <n v="38349"/>
    <x v="1"/>
    <n v="49"/>
    <n v="0"/>
    <n v="0"/>
    <x v="2"/>
    <x v="0"/>
    <x v="2"/>
    <x v="0"/>
    <n v="69.92"/>
    <n v="47.6"/>
    <x v="1"/>
    <n v="0"/>
    <x v="1"/>
    <x v="0"/>
  </r>
  <r>
    <n v="48425"/>
    <x v="0"/>
    <n v="21"/>
    <n v="0"/>
    <n v="0"/>
    <x v="2"/>
    <x v="1"/>
    <x v="0"/>
    <x v="1"/>
    <n v="89.29"/>
    <n v="23.4"/>
    <x v="1"/>
    <n v="0"/>
    <x v="2"/>
    <x v="2"/>
  </r>
  <r>
    <n v="64420"/>
    <x v="1"/>
    <n v="61"/>
    <n v="0"/>
    <n v="0"/>
    <x v="1"/>
    <x v="0"/>
    <x v="2"/>
    <x v="1"/>
    <n v="120.23"/>
    <n v="22.7"/>
    <x v="3"/>
    <n v="0"/>
    <x v="0"/>
    <x v="2"/>
  </r>
  <r>
    <n v="60271"/>
    <x v="0"/>
    <n v="78"/>
    <n v="0"/>
    <n v="0"/>
    <x v="1"/>
    <x v="0"/>
    <x v="0"/>
    <x v="0"/>
    <n v="60.22"/>
    <n v="29.7"/>
    <x v="0"/>
    <n v="0"/>
    <x v="0"/>
    <x v="3"/>
  </r>
  <r>
    <n v="38009"/>
    <x v="0"/>
    <n v="41"/>
    <n v="0"/>
    <n v="0"/>
    <x v="2"/>
    <x v="0"/>
    <x v="0"/>
    <x v="0"/>
    <n v="223.78"/>
    <n v="32.299999999999997"/>
    <x v="1"/>
    <n v="0"/>
    <x v="1"/>
    <x v="0"/>
  </r>
  <r>
    <n v="11184"/>
    <x v="1"/>
    <n v="82"/>
    <n v="0"/>
    <n v="0"/>
    <x v="1"/>
    <x v="0"/>
    <x v="1"/>
    <x v="1"/>
    <n v="211.58"/>
    <n v="36.9"/>
    <x v="1"/>
    <n v="0"/>
    <x v="0"/>
    <x v="0"/>
  </r>
  <r>
    <n v="68967"/>
    <x v="0"/>
    <n v="39"/>
    <n v="0"/>
    <n v="0"/>
    <x v="2"/>
    <x v="0"/>
    <x v="0"/>
    <x v="0"/>
    <n v="179.38"/>
    <n v="27.7"/>
    <x v="3"/>
    <n v="0"/>
    <x v="2"/>
    <x v="3"/>
  </r>
  <r>
    <n v="66684"/>
    <x v="0"/>
    <n v="70"/>
    <n v="0"/>
    <n v="0"/>
    <x v="1"/>
    <x v="0"/>
    <x v="1"/>
    <x v="1"/>
    <n v="193.88"/>
    <n v="24.3"/>
    <x v="3"/>
    <n v="0"/>
    <x v="0"/>
    <x v="2"/>
  </r>
  <r>
    <n v="7789"/>
    <x v="1"/>
    <n v="31"/>
    <n v="0"/>
    <n v="0"/>
    <x v="2"/>
    <x v="0"/>
    <x v="0"/>
    <x v="0"/>
    <n v="89.01"/>
    <n v="37.4"/>
    <x v="1"/>
    <n v="0"/>
    <x v="2"/>
    <x v="0"/>
  </r>
  <r>
    <n v="40112"/>
    <x v="1"/>
    <n v="37"/>
    <n v="0"/>
    <n v="0"/>
    <x v="2"/>
    <x v="1"/>
    <x v="0"/>
    <x v="0"/>
    <n v="118.41"/>
    <n v="25.1"/>
    <x v="1"/>
    <n v="0"/>
    <x v="2"/>
    <x v="3"/>
  </r>
  <r>
    <n v="65814"/>
    <x v="0"/>
    <n v="21"/>
    <n v="0"/>
    <n v="0"/>
    <x v="2"/>
    <x v="1"/>
    <x v="0"/>
    <x v="0"/>
    <n v="138.51"/>
    <n v="24.3"/>
    <x v="1"/>
    <n v="0"/>
    <x v="2"/>
    <x v="2"/>
  </r>
  <r>
    <n v="49598"/>
    <x v="0"/>
    <n v="80"/>
    <n v="0"/>
    <n v="0"/>
    <x v="1"/>
    <x v="0"/>
    <x v="1"/>
    <x v="0"/>
    <n v="120.03"/>
    <n v="24.3"/>
    <x v="0"/>
    <n v="0"/>
    <x v="0"/>
    <x v="2"/>
  </r>
  <r>
    <n v="15599"/>
    <x v="1"/>
    <n v="21"/>
    <n v="0"/>
    <n v="0"/>
    <x v="2"/>
    <x v="1"/>
    <x v="0"/>
    <x v="0"/>
    <n v="91.01"/>
    <n v="28.7"/>
    <x v="1"/>
    <n v="0"/>
    <x v="2"/>
    <x v="3"/>
  </r>
  <r>
    <n v="62425"/>
    <x v="1"/>
    <n v="5"/>
    <n v="0"/>
    <n v="0"/>
    <x v="2"/>
    <x v="1"/>
    <x v="3"/>
    <x v="0"/>
    <n v="61.98"/>
    <n v="16.8"/>
    <x v="3"/>
    <n v="0"/>
    <x v="2"/>
    <x v="4"/>
  </r>
  <r>
    <n v="52652"/>
    <x v="0"/>
    <n v="81"/>
    <n v="0"/>
    <n v="0"/>
    <x v="1"/>
    <x v="0"/>
    <x v="0"/>
    <x v="1"/>
    <n v="135.32"/>
    <n v="35.799999999999997"/>
    <x v="3"/>
    <n v="0"/>
    <x v="0"/>
    <x v="0"/>
  </r>
  <r>
    <n v="71957"/>
    <x v="1"/>
    <n v="35"/>
    <n v="0"/>
    <n v="0"/>
    <x v="2"/>
    <x v="0"/>
    <x v="0"/>
    <x v="1"/>
    <n v="58.72"/>
    <n v="40"/>
    <x v="2"/>
    <n v="0"/>
    <x v="2"/>
    <x v="0"/>
  </r>
  <r>
    <n v="17231"/>
    <x v="1"/>
    <n v="24"/>
    <n v="0"/>
    <n v="0"/>
    <x v="2"/>
    <x v="1"/>
    <x v="0"/>
    <x v="0"/>
    <n v="90.42"/>
    <n v="24.3"/>
    <x v="1"/>
    <n v="0"/>
    <x v="2"/>
    <x v="2"/>
  </r>
  <r>
    <n v="30379"/>
    <x v="1"/>
    <n v="52"/>
    <n v="0"/>
    <n v="0"/>
    <x v="2"/>
    <x v="0"/>
    <x v="2"/>
    <x v="0"/>
    <n v="104"/>
    <n v="25.6"/>
    <x v="2"/>
    <n v="0"/>
    <x v="1"/>
    <x v="3"/>
  </r>
  <r>
    <n v="63997"/>
    <x v="0"/>
    <n v="70"/>
    <n v="0"/>
    <n v="0"/>
    <x v="1"/>
    <x v="0"/>
    <x v="0"/>
    <x v="0"/>
    <n v="102.5"/>
    <n v="37.799999999999997"/>
    <x v="3"/>
    <n v="0"/>
    <x v="0"/>
    <x v="0"/>
  </r>
  <r>
    <n v="39935"/>
    <x v="1"/>
    <n v="34"/>
    <n v="0"/>
    <n v="0"/>
    <x v="2"/>
    <x v="0"/>
    <x v="0"/>
    <x v="1"/>
    <n v="174.37"/>
    <n v="23"/>
    <x v="1"/>
    <n v="0"/>
    <x v="2"/>
    <x v="2"/>
  </r>
  <r>
    <n v="8203"/>
    <x v="0"/>
    <n v="17"/>
    <n v="0"/>
    <n v="0"/>
    <x v="2"/>
    <x v="1"/>
    <x v="0"/>
    <x v="1"/>
    <n v="106.56"/>
    <n v="21"/>
    <x v="3"/>
    <n v="0"/>
    <x v="2"/>
    <x v="2"/>
  </r>
  <r>
    <n v="27446"/>
    <x v="1"/>
    <n v="8"/>
    <n v="0"/>
    <n v="0"/>
    <x v="2"/>
    <x v="1"/>
    <x v="3"/>
    <x v="0"/>
    <n v="76.31"/>
    <n v="15.5"/>
    <x v="3"/>
    <n v="0"/>
    <x v="2"/>
    <x v="4"/>
  </r>
  <r>
    <n v="42709"/>
    <x v="0"/>
    <n v="1.72"/>
    <n v="0"/>
    <n v="0"/>
    <x v="2"/>
    <x v="1"/>
    <x v="3"/>
    <x v="0"/>
    <n v="77.28"/>
    <n v="17.100000000000001"/>
    <x v="3"/>
    <n v="0"/>
    <x v="2"/>
    <x v="4"/>
  </r>
  <r>
    <n v="22691"/>
    <x v="1"/>
    <n v="29"/>
    <n v="0"/>
    <n v="0"/>
    <x v="2"/>
    <x v="0"/>
    <x v="1"/>
    <x v="0"/>
    <n v="90.52"/>
    <n v="28"/>
    <x v="1"/>
    <n v="0"/>
    <x v="2"/>
    <x v="3"/>
  </r>
  <r>
    <n v="37680"/>
    <x v="0"/>
    <n v="55"/>
    <n v="0"/>
    <n v="0"/>
    <x v="2"/>
    <x v="0"/>
    <x v="2"/>
    <x v="1"/>
    <n v="108.35"/>
    <n v="40.799999999999997"/>
    <x v="0"/>
    <n v="0"/>
    <x v="1"/>
    <x v="0"/>
  </r>
  <r>
    <n v="24552"/>
    <x v="1"/>
    <n v="44"/>
    <n v="0"/>
    <n v="0"/>
    <x v="2"/>
    <x v="0"/>
    <x v="0"/>
    <x v="1"/>
    <n v="72.03"/>
    <n v="37.5"/>
    <x v="2"/>
    <n v="0"/>
    <x v="1"/>
    <x v="0"/>
  </r>
  <r>
    <n v="72914"/>
    <x v="1"/>
    <n v="19"/>
    <n v="0"/>
    <n v="0"/>
    <x v="2"/>
    <x v="1"/>
    <x v="0"/>
    <x v="0"/>
    <n v="90.57"/>
    <n v="24.2"/>
    <x v="3"/>
    <n v="0"/>
    <x v="2"/>
    <x v="2"/>
  </r>
  <r>
    <n v="29540"/>
    <x v="0"/>
    <n v="67"/>
    <n v="0"/>
    <n v="0"/>
    <x v="1"/>
    <x v="0"/>
    <x v="0"/>
    <x v="1"/>
    <n v="97.04"/>
    <n v="26.9"/>
    <x v="2"/>
    <n v="0"/>
    <x v="0"/>
    <x v="3"/>
  </r>
  <r>
    <n v="53525"/>
    <x v="1"/>
    <n v="72"/>
    <n v="0"/>
    <n v="0"/>
    <x v="1"/>
    <x v="0"/>
    <x v="0"/>
    <x v="0"/>
    <n v="83.89"/>
    <n v="33.1"/>
    <x v="0"/>
    <n v="0"/>
    <x v="0"/>
    <x v="0"/>
  </r>
  <r>
    <n v="65411"/>
    <x v="1"/>
    <n v="51"/>
    <n v="0"/>
    <n v="0"/>
    <x v="2"/>
    <x v="0"/>
    <x v="0"/>
    <x v="0"/>
    <n v="152.56"/>
    <n v="21.8"/>
    <x v="3"/>
    <n v="0"/>
    <x v="1"/>
    <x v="2"/>
  </r>
  <r>
    <n v="26214"/>
    <x v="1"/>
    <n v="63"/>
    <n v="0"/>
    <n v="0"/>
    <x v="1"/>
    <x v="0"/>
    <x v="1"/>
    <x v="1"/>
    <n v="75.930000000000007"/>
    <n v="34.700000000000003"/>
    <x v="0"/>
    <n v="0"/>
    <x v="0"/>
    <x v="0"/>
  </r>
  <r>
    <n v="22190"/>
    <x v="1"/>
    <n v="64"/>
    <n v="1"/>
    <n v="0"/>
    <x v="0"/>
    <x v="0"/>
    <x v="1"/>
    <x v="0"/>
    <n v="76.89"/>
    <n v="30.2"/>
    <x v="3"/>
    <n v="0"/>
    <x v="0"/>
    <x v="0"/>
  </r>
  <r>
    <n v="56714"/>
    <x v="1"/>
    <n v="0.72"/>
    <n v="0"/>
    <n v="0"/>
    <x v="2"/>
    <x v="1"/>
    <x v="3"/>
    <x v="1"/>
    <n v="62.13"/>
    <n v="16.8"/>
    <x v="3"/>
    <n v="0"/>
    <x v="2"/>
    <x v="4"/>
  </r>
  <r>
    <n v="4211"/>
    <x v="0"/>
    <n v="26"/>
    <n v="0"/>
    <n v="0"/>
    <x v="2"/>
    <x v="1"/>
    <x v="2"/>
    <x v="1"/>
    <n v="100.85"/>
    <n v="21"/>
    <x v="2"/>
    <n v="0"/>
    <x v="2"/>
    <x v="2"/>
  </r>
  <r>
    <n v="6369"/>
    <x v="0"/>
    <n v="59"/>
    <n v="1"/>
    <n v="0"/>
    <x v="2"/>
    <x v="0"/>
    <x v="0"/>
    <x v="1"/>
    <n v="95.05"/>
    <n v="30.9"/>
    <x v="1"/>
    <n v="0"/>
    <x v="1"/>
    <x v="0"/>
  </r>
  <r>
    <n v="56799"/>
    <x v="0"/>
    <n v="76"/>
    <n v="0"/>
    <n v="0"/>
    <x v="1"/>
    <x v="0"/>
    <x v="2"/>
    <x v="0"/>
    <n v="82.35"/>
    <n v="38.9"/>
    <x v="1"/>
    <n v="0"/>
    <x v="0"/>
    <x v="0"/>
  </r>
  <r>
    <n v="32235"/>
    <x v="1"/>
    <n v="45"/>
    <n v="1"/>
    <n v="0"/>
    <x v="2"/>
    <x v="0"/>
    <x v="2"/>
    <x v="1"/>
    <n v="95.02"/>
    <s v="N/A"/>
    <x v="2"/>
    <n v="0"/>
    <x v="1"/>
    <x v="1"/>
  </r>
  <r>
    <n v="28048"/>
    <x v="0"/>
    <n v="13"/>
    <n v="0"/>
    <n v="0"/>
    <x v="2"/>
    <x v="1"/>
    <x v="3"/>
    <x v="0"/>
    <n v="82.38"/>
    <n v="24.3"/>
    <x v="3"/>
    <n v="0"/>
    <x v="2"/>
    <x v="2"/>
  </r>
  <r>
    <n v="68598"/>
    <x v="0"/>
    <n v="1.08"/>
    <n v="0"/>
    <n v="0"/>
    <x v="2"/>
    <x v="1"/>
    <x v="3"/>
    <x v="1"/>
    <n v="79.150000000000006"/>
    <n v="17.399999999999999"/>
    <x v="3"/>
    <n v="0"/>
    <x v="2"/>
    <x v="4"/>
  </r>
  <r>
    <n v="41512"/>
    <x v="0"/>
    <n v="57"/>
    <n v="0"/>
    <n v="0"/>
    <x v="2"/>
    <x v="0"/>
    <x v="2"/>
    <x v="1"/>
    <n v="76.62"/>
    <n v="28.2"/>
    <x v="1"/>
    <n v="0"/>
    <x v="1"/>
    <x v="3"/>
  </r>
  <r>
    <n v="64520"/>
    <x v="0"/>
    <n v="68"/>
    <n v="0"/>
    <n v="0"/>
    <x v="1"/>
    <x v="0"/>
    <x v="1"/>
    <x v="0"/>
    <n v="91.68"/>
    <n v="40.799999999999997"/>
    <x v="3"/>
    <n v="0"/>
    <x v="0"/>
    <x v="0"/>
  </r>
  <r>
    <n v="579"/>
    <x v="0"/>
    <n v="9"/>
    <n v="0"/>
    <n v="0"/>
    <x v="2"/>
    <x v="1"/>
    <x v="3"/>
    <x v="0"/>
    <n v="71.88"/>
    <n v="17.5"/>
    <x v="3"/>
    <n v="0"/>
    <x v="2"/>
    <x v="4"/>
  </r>
  <r>
    <n v="7293"/>
    <x v="0"/>
    <n v="40"/>
    <n v="0"/>
    <n v="0"/>
    <x v="2"/>
    <x v="0"/>
    <x v="0"/>
    <x v="1"/>
    <n v="83.94"/>
    <s v="N/A"/>
    <x v="2"/>
    <n v="0"/>
    <x v="1"/>
    <x v="1"/>
  </r>
  <r>
    <n v="68398"/>
    <x v="0"/>
    <n v="82"/>
    <n v="1"/>
    <n v="0"/>
    <x v="0"/>
    <x v="0"/>
    <x v="1"/>
    <x v="1"/>
    <n v="71.97"/>
    <n v="28.3"/>
    <x v="1"/>
    <n v="0"/>
    <x v="0"/>
    <x v="3"/>
  </r>
  <r>
    <n v="36901"/>
    <x v="1"/>
    <n v="45"/>
    <n v="0"/>
    <n v="0"/>
    <x v="2"/>
    <x v="0"/>
    <x v="0"/>
    <x v="0"/>
    <n v="97.95"/>
    <n v="24.5"/>
    <x v="3"/>
    <n v="0"/>
    <x v="1"/>
    <x v="2"/>
  </r>
  <r>
    <n v="45010"/>
    <x v="1"/>
    <n v="57"/>
    <n v="0"/>
    <n v="0"/>
    <x v="2"/>
    <x v="0"/>
    <x v="0"/>
    <x v="1"/>
    <n v="77.930000000000007"/>
    <n v="21.7"/>
    <x v="1"/>
    <n v="0"/>
    <x v="1"/>
    <x v="2"/>
  </r>
  <r>
    <n v="22127"/>
    <x v="1"/>
    <n v="18"/>
    <n v="0"/>
    <n v="0"/>
    <x v="2"/>
    <x v="1"/>
    <x v="0"/>
    <x v="0"/>
    <n v="82.85"/>
    <n v="46.9"/>
    <x v="3"/>
    <n v="0"/>
    <x v="2"/>
    <x v="0"/>
  </r>
  <r>
    <n v="14180"/>
    <x v="1"/>
    <n v="13"/>
    <n v="0"/>
    <n v="0"/>
    <x v="2"/>
    <x v="1"/>
    <x v="3"/>
    <x v="1"/>
    <n v="103.08"/>
    <n v="18.600000000000001"/>
    <x v="3"/>
    <n v="0"/>
    <x v="2"/>
    <x v="2"/>
  </r>
  <r>
    <n v="18234"/>
    <x v="1"/>
    <n v="80"/>
    <n v="1"/>
    <n v="0"/>
    <x v="0"/>
    <x v="0"/>
    <x v="0"/>
    <x v="0"/>
    <n v="83.75"/>
    <s v="N/A"/>
    <x v="1"/>
    <n v="0"/>
    <x v="0"/>
    <x v="1"/>
  </r>
  <r>
    <n v="44873"/>
    <x v="1"/>
    <n v="81"/>
    <n v="0"/>
    <n v="0"/>
    <x v="1"/>
    <x v="0"/>
    <x v="1"/>
    <x v="0"/>
    <n v="125.2"/>
    <n v="40"/>
    <x v="1"/>
    <n v="0"/>
    <x v="0"/>
    <x v="0"/>
  </r>
  <r>
    <n v="19723"/>
    <x v="1"/>
    <n v="35"/>
    <n v="0"/>
    <n v="0"/>
    <x v="2"/>
    <x v="0"/>
    <x v="1"/>
    <x v="1"/>
    <n v="82.99"/>
    <n v="30.6"/>
    <x v="1"/>
    <n v="0"/>
    <x v="2"/>
    <x v="0"/>
  </r>
  <r>
    <n v="37544"/>
    <x v="0"/>
    <n v="51"/>
    <n v="0"/>
    <n v="0"/>
    <x v="2"/>
    <x v="0"/>
    <x v="0"/>
    <x v="1"/>
    <n v="166.29"/>
    <n v="25.6"/>
    <x v="0"/>
    <n v="0"/>
    <x v="1"/>
    <x v="3"/>
  </r>
  <r>
    <n v="44679"/>
    <x v="1"/>
    <n v="44"/>
    <n v="0"/>
    <n v="0"/>
    <x v="2"/>
    <x v="0"/>
    <x v="2"/>
    <x v="0"/>
    <n v="85.28"/>
    <n v="26.2"/>
    <x v="3"/>
    <n v="0"/>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7BA302-C1E2-465C-BA78-CFAE448D72E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Gender" colHeaderCaption="Smoking_status">
  <location ref="D17:I22" firstHeaderRow="1" firstDataRow="2" firstDataCol="1"/>
  <pivotFields count="15">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axis="axisCol" showAll="0">
      <items count="5">
        <item x="0"/>
        <item x="1"/>
        <item x="2"/>
        <item x="3"/>
        <item t="default"/>
      </items>
    </pivotField>
    <pivotField dataField="1" showAll="0"/>
    <pivotField showAll="0"/>
    <pivotField showAll="0"/>
  </pivotFields>
  <rowFields count="1">
    <field x="1"/>
  </rowFields>
  <rowItems count="4">
    <i>
      <x/>
    </i>
    <i>
      <x v="1"/>
    </i>
    <i>
      <x v="2"/>
    </i>
    <i t="grand">
      <x/>
    </i>
  </rowItems>
  <colFields count="1">
    <field x="11"/>
  </colFields>
  <colItems count="5">
    <i>
      <x/>
    </i>
    <i>
      <x v="1"/>
    </i>
    <i>
      <x v="2"/>
    </i>
    <i>
      <x v="3"/>
    </i>
    <i t="grand">
      <x/>
    </i>
  </colItems>
  <dataFields count="1">
    <dataField name="Strokecases"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E6FB5C-750D-4CF4-ACF4-A3CAB42970F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3:B36" firstHeaderRow="1" firstDataRow="1" firstDataCol="1"/>
  <pivotFields count="15">
    <pivotField showAll="0"/>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3">
    <i>
      <x/>
    </i>
    <i>
      <x v="1"/>
    </i>
    <i t="grand">
      <x/>
    </i>
  </rowItems>
  <colItems count="1">
    <i/>
  </colItems>
  <dataFields count="1">
    <dataField name="Average of Stroke" fld="12" subtotal="average" baseField="1" baseItem="0" numFmtId="2"/>
  </dataFields>
  <formats count="4">
    <format dxfId="3">
      <pivotArea collapsedLevelsAreSubtotals="1" fieldPosition="0">
        <references count="1">
          <reference field="1" count="1">
            <x v="0"/>
          </reference>
        </references>
      </pivotArea>
    </format>
    <format dxfId="2">
      <pivotArea collapsedLevelsAreSubtotals="1" fieldPosition="0">
        <references count="1">
          <reference field="1" count="1">
            <x v="1"/>
          </reference>
        </references>
      </pivotArea>
    </format>
    <format dxfId="1">
      <pivotArea collapsedLevelsAreSubtotals="1" fieldPosition="0">
        <references count="1">
          <reference field="1" count="1">
            <x v="2"/>
          </reference>
        </references>
      </pivotArea>
    </format>
    <format dxfId="0">
      <pivotArea grandRow="1"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C3048A-AE20-4228-9458-F9F5E982E08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28:J33" firstHeaderRow="1" firstDataRow="1" firstDataCol="1"/>
  <pivotFields count="15">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6">
        <item x="2"/>
        <item x="0"/>
        <item x="3"/>
        <item x="4"/>
        <item h="1" x="1"/>
        <item t="default"/>
      </items>
    </pivotField>
  </pivotFields>
  <rowFields count="1">
    <field x="14"/>
  </rowFields>
  <rowItems count="5">
    <i>
      <x/>
    </i>
    <i>
      <x v="1"/>
    </i>
    <i>
      <x v="2"/>
    </i>
    <i>
      <x v="3"/>
    </i>
    <i t="grand">
      <x/>
    </i>
  </rowItems>
  <colItems count="1">
    <i/>
  </colItems>
  <dataFields count="1">
    <dataField name="Average of Stroke" fld="12" subtotal="average" baseField="14" baseItem="0" numFmtId="165"/>
  </dataFields>
  <formats count="6">
    <format dxfId="9">
      <pivotArea collapsedLevelsAreSubtotals="1" fieldPosition="0">
        <references count="1">
          <reference field="14" count="1">
            <x v="2"/>
          </reference>
        </references>
      </pivotArea>
    </format>
    <format dxfId="8">
      <pivotArea collapsedLevelsAreSubtotals="1" fieldPosition="0">
        <references count="1">
          <reference field="14" count="1">
            <x v="1"/>
          </reference>
        </references>
      </pivotArea>
    </format>
    <format dxfId="7">
      <pivotArea collapsedLevelsAreSubtotals="1" fieldPosition="0">
        <references count="1">
          <reference field="14" count="1">
            <x v="0"/>
          </reference>
        </references>
      </pivotArea>
    </format>
    <format dxfId="6">
      <pivotArea collapsedLevelsAreSubtotals="1" fieldPosition="0">
        <references count="1">
          <reference field="14" count="1">
            <x v="3"/>
          </reference>
        </references>
      </pivotArea>
    </format>
    <format dxfId="5">
      <pivotArea collapsedLevelsAreSubtotals="1" fieldPosition="0">
        <references count="1">
          <reference field="14" count="1">
            <x v="4"/>
          </reference>
        </references>
      </pivotArea>
    </format>
    <format dxfId="4">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5ED9D2-3DA7-455B-8678-480AAF225C8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gegroup">
  <location ref="D3:E7" firstHeaderRow="1" firstDataRow="1" firstDataCol="1"/>
  <pivotFields count="15">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dataField="1" showAll="0"/>
    <pivotField axis="axisRow" showAll="0">
      <items count="4">
        <item x="1"/>
        <item x="0"/>
        <item x="2"/>
        <item t="default"/>
      </items>
    </pivotField>
    <pivotField showAll="0">
      <items count="6">
        <item x="2"/>
        <item x="0"/>
        <item x="3"/>
        <item x="4"/>
        <item x="1"/>
        <item t="default"/>
      </items>
    </pivotField>
  </pivotFields>
  <rowFields count="1">
    <field x="13"/>
  </rowFields>
  <rowItems count="4">
    <i>
      <x/>
    </i>
    <i>
      <x v="1"/>
    </i>
    <i>
      <x v="2"/>
    </i>
    <i t="grand">
      <x/>
    </i>
  </rowItems>
  <colItems count="1">
    <i/>
  </colItems>
  <dataFields count="1">
    <dataField name="Average of Stroke" fld="12" subtotal="average" baseField="13" baseItem="0" numFmtId="2"/>
  </dataFields>
  <formats count="4">
    <format dxfId="13">
      <pivotArea grandRow="1" outline="0" collapsedLevelsAreSubtotals="1" fieldPosition="0"/>
    </format>
    <format dxfId="12">
      <pivotArea collapsedLevelsAreSubtotals="1" fieldPosition="0">
        <references count="1">
          <reference field="13" count="1">
            <x v="2"/>
          </reference>
        </references>
      </pivotArea>
    </format>
    <format dxfId="11">
      <pivotArea collapsedLevelsAreSubtotals="1" fieldPosition="0">
        <references count="1">
          <reference field="13" count="1">
            <x v="1"/>
          </reference>
        </references>
      </pivotArea>
    </format>
    <format dxfId="10">
      <pivotArea collapsedLevelsAreSubtotals="1" fieldPosition="0">
        <references count="1">
          <reference field="13"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8EA98A-3FB4-45E2-914C-6C88C4308F2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isk_factor">
  <location ref="F26:G30" firstHeaderRow="1" firstDataRow="1" firstDataCol="1"/>
  <pivotFields count="15">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dataField="1" showAll="0"/>
    <pivotField showAll="0"/>
    <pivotField showAll="0"/>
  </pivotFields>
  <rowFields count="1">
    <field x="5"/>
  </rowFields>
  <rowItems count="4">
    <i>
      <x/>
    </i>
    <i>
      <x v="1"/>
    </i>
    <i>
      <x v="2"/>
    </i>
    <i t="grand">
      <x/>
    </i>
  </rowItems>
  <colItems count="1">
    <i/>
  </colItems>
  <dataFields count="1">
    <dataField name="Average of Stroke" fld="12"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ED1CDD-7E5B-4837-92F8-BA8725400C18}" name="PivotTable3"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7" rowHeaderCaption="Smoking status">
  <location ref="D10:E15" firstHeaderRow="1" firstDataRow="1" firstDataCol="1"/>
  <pivotFields count="15">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dataField="1" showAll="0"/>
    <pivotField showAll="0"/>
    <pivotField showAll="0"/>
  </pivotFields>
  <rowFields count="1">
    <field x="11"/>
  </rowFields>
  <rowItems count="5">
    <i>
      <x/>
    </i>
    <i>
      <x v="1"/>
    </i>
    <i>
      <x v="2"/>
    </i>
    <i>
      <x v="3"/>
    </i>
    <i t="grand">
      <x/>
    </i>
  </rowItems>
  <colItems count="1">
    <i/>
  </colItems>
  <dataFields count="1">
    <dataField name="Average of Stroke" fld="12" subtotal="average" baseField="11" baseItem="0" numFmtId="164"/>
  </dataFields>
  <formats count="1">
    <format dxfId="14">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0110A3-5228-489E-A9F4-E7AB07F5CFE5}" name="risk_facto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Risk_factor">
  <location ref="A3:B7" firstHeaderRow="1" firstDataRow="1" firstDataCol="1"/>
  <pivotFields count="15">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dataField="1" showAll="0"/>
    <pivotField showAll="0"/>
    <pivotField showAll="0"/>
  </pivotFields>
  <rowFields count="1">
    <field x="5"/>
  </rowFields>
  <rowItems count="4">
    <i>
      <x/>
    </i>
    <i>
      <x v="1"/>
    </i>
    <i>
      <x v="2"/>
    </i>
    <i t="grand">
      <x/>
    </i>
  </rowItems>
  <colItems count="1">
    <i/>
  </colItems>
  <dataFields count="1">
    <dataField name="StrokeCases" fld="12" subtotal="count" baseField="5"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5"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9355C9-2CD8-443D-B503-15BA0F4765C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ver_married">
  <location ref="A17:B20" firstHeaderRow="1" firstDataRow="1" firstDataCol="1"/>
  <pivotFields count="15">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dataField="1" showAll="0"/>
    <pivotField showAll="0"/>
    <pivotField showAll="0"/>
  </pivotFields>
  <rowFields count="1">
    <field x="6"/>
  </rowFields>
  <rowItems count="3">
    <i>
      <x/>
    </i>
    <i>
      <x v="1"/>
    </i>
    <i t="grand">
      <x/>
    </i>
  </rowItems>
  <colItems count="1">
    <i/>
  </colItems>
  <dataFields count="1">
    <dataField name="Stroke cases"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CE856AE-76C1-437E-8AB5-C5A6CB7949BF}" name="PivotTable5"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rowHeaderCaption="Residence_type">
  <location ref="G3:H6" firstHeaderRow="1" firstDataRow="1" firstDataCol="1"/>
  <pivotFields count="15">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dataField="1" showAll="0"/>
    <pivotField showAll="0"/>
    <pivotField showAll="0"/>
  </pivotFields>
  <rowFields count="1">
    <field x="8"/>
  </rowFields>
  <rowItems count="3">
    <i>
      <x/>
    </i>
    <i>
      <x v="1"/>
    </i>
    <i t="grand">
      <x/>
    </i>
  </rowItems>
  <colItems count="1">
    <i/>
  </colItems>
  <dataFields count="1">
    <dataField name="Strokecases" fld="12"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6D845B8-AC66-4BE3-B233-B4E959E351E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_group" colHeaderCaption="Residence_type">
  <location ref="A25:D30" firstHeaderRow="1" firstDataRow="2" firstDataCol="1"/>
  <pivotFields count="15">
    <pivotField showAll="0"/>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dataField="1" showAll="0"/>
    <pivotField axis="axisRow" showAll="0">
      <items count="4">
        <item x="1"/>
        <item x="0"/>
        <item x="2"/>
        <item t="default"/>
      </items>
    </pivotField>
    <pivotField showAll="0"/>
  </pivotFields>
  <rowFields count="1">
    <field x="13"/>
  </rowFields>
  <rowItems count="4">
    <i>
      <x/>
    </i>
    <i>
      <x v="1"/>
    </i>
    <i>
      <x v="2"/>
    </i>
    <i t="grand">
      <x/>
    </i>
  </rowItems>
  <colFields count="1">
    <field x="8"/>
  </colFields>
  <colItems count="3">
    <i>
      <x/>
    </i>
    <i>
      <x v="1"/>
    </i>
    <i t="grand">
      <x/>
    </i>
  </colItems>
  <dataFields count="1">
    <dataField name="Strokecase"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CAA4782-56AA-449C-B3BE-93FDFE03EBE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sidence type">
  <location ref="A10:B13" firstHeaderRow="1" firstDataRow="1" firstDataCol="1"/>
  <pivotFields count="15">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dataField="1" showAll="0"/>
    <pivotField showAll="0"/>
    <pivotField showAll="0"/>
  </pivotFields>
  <rowFields count="1">
    <field x="8"/>
  </rowFields>
  <rowItems count="3">
    <i>
      <x/>
    </i>
    <i>
      <x v="1"/>
    </i>
    <i t="grand">
      <x/>
    </i>
  </rowItems>
  <colItems count="1">
    <i/>
  </colItems>
  <dataFields count="1">
    <dataField name="Stroke cases"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D068BCB-EF27-4EEF-A72C-44ED7A230B1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ork type">
  <location ref="G10:H16" firstHeaderRow="1" firstDataRow="1" firstDataCol="1"/>
  <pivotFields count="15">
    <pivotField showAll="0"/>
    <pivotField showAll="0"/>
    <pivotField showAll="0"/>
    <pivotField showAll="0"/>
    <pivotField showAll="0"/>
    <pivotField showAll="0"/>
    <pivotField showAll="0"/>
    <pivotField axis="axisRow" showAll="0">
      <items count="6">
        <item x="3"/>
        <item x="2"/>
        <item x="4"/>
        <item x="0"/>
        <item x="1"/>
        <item t="default"/>
      </items>
    </pivotField>
    <pivotField showAll="0"/>
    <pivotField showAll="0"/>
    <pivotField showAll="0"/>
    <pivotField showAll="0"/>
    <pivotField dataField="1" showAll="0"/>
    <pivotField showAll="0"/>
    <pivotField showAll="0"/>
  </pivotFields>
  <rowFields count="1">
    <field x="7"/>
  </rowFields>
  <rowItems count="6">
    <i>
      <x/>
    </i>
    <i>
      <x v="1"/>
    </i>
    <i>
      <x v="2"/>
    </i>
    <i>
      <x v="3"/>
    </i>
    <i>
      <x v="4"/>
    </i>
    <i t="grand">
      <x/>
    </i>
  </rowItems>
  <colItems count="1">
    <i/>
  </colItems>
  <dataFields count="1">
    <dataField name="Stroke cases"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3EDA0C9-43AE-4BDF-86F9-793E54CB806F}" sourceName="Gender">
  <pivotTables>
    <pivotTable tabId="2" name="PivotTable4"/>
  </pivotTables>
  <data>
    <tabular pivotCacheId="3215102">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ing_status" xr10:uid="{3AE8C67B-3ED9-4415-A2A7-5BCB57BC1194}" sourceName="Smoking_status">
  <pivotTables>
    <pivotTable tabId="2" name="PivotTable4"/>
  </pivotTables>
  <data>
    <tabular pivotCacheId="3215102">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1D0A8DC7-23F9-41F8-B331-867BE0B06176}" sourceName="Age_group">
  <pivotTables>
    <pivotTable tabId="2" name="PivotTable4"/>
  </pivotTables>
  <data>
    <tabular pivotCacheId="3215102">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050A55D-0578-4F15-9163-B5AF9A4902CC}" cache="Slicer_Gender" caption="Gender" style="SlicerStyleOther2" rowHeight="247650"/>
  <slicer name="Smoking_status" xr10:uid="{0358CB3A-7465-4CA4-AA63-2DD2BDA3C996}" cache="Slicer_Smoking_status" caption="Smoking_status" style="SlicerStyleOther2" rowHeight="247650"/>
  <slicer name="Age_group" xr10:uid="{38B08102-64EF-423A-B8B9-6765DB176BD7}" cache="Slicer_Age_group" caption="Age_group" style="SlicerStyleOther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60EF3F-D46D-4545-A0F2-7AC799111547}" name="strokedata" displayName="strokedata" ref="A1:O5111" totalsRowShown="0" headerRowDxfId="15">
  <autoFilter ref="A1:O5111" xr:uid="{9B263299-6EEA-4A88-9B97-B5B331836550}"/>
  <tableColumns count="15">
    <tableColumn id="1" xr3:uid="{8E1D3110-EA67-4617-AEC3-BB8FBF2F79FC}" name="Id"/>
    <tableColumn id="2" xr3:uid="{B0A7C0F1-DE3A-4103-A5B2-D93D15EC7F7E}" name="gender"/>
    <tableColumn id="3" xr3:uid="{0C4363AF-2B56-4B97-9B98-5B9F8CDB4729}" name="age"/>
    <tableColumn id="4" xr3:uid="{E62C1685-E05E-4E7E-BCF5-60CECFC705CE}" name="hypertension"/>
    <tableColumn id="5" xr3:uid="{62343FCA-D77D-478D-A7B7-23F80F253694}" name="heart_disease"/>
    <tableColumn id="6" xr3:uid="{05178E4D-58EA-4912-AB53-C7B02A0182B4}" name="risk_factor">
      <calculatedColumnFormula>IF(C2&gt;=60,
IF(OR(D2=1,E2=1),"High Risk","Moderate Risk"),
"Lower Risk")</calculatedColumnFormula>
    </tableColumn>
    <tableColumn id="7" xr3:uid="{5E6D9D68-6407-4CF1-806A-F361E640A57B}" name="ever_married"/>
    <tableColumn id="8" xr3:uid="{5413F04B-52F8-4D99-913B-B90B2A0B3CFF}" name="work_type"/>
    <tableColumn id="9" xr3:uid="{8706B71A-4B6C-4CD1-B46C-1AC87F2E66E8}" name="residence_type"/>
    <tableColumn id="10" xr3:uid="{41E07D47-3689-4BD6-93E5-5558AC56CAED}" name="avg_glucose_level"/>
    <tableColumn id="11" xr3:uid="{78ECF776-0668-44C7-9F6E-AF9FA9593333}" name="BMI"/>
    <tableColumn id="12" xr3:uid="{89F2FCA1-692A-49F2-AEC0-B5A02DEC9D9C}" name="smoking_status"/>
    <tableColumn id="13" xr3:uid="{A4781DA4-214D-48BD-825C-2821FB421C71}" name="stroke"/>
    <tableColumn id="14" xr3:uid="{793DD883-5C34-492A-B931-9637A3F95283}" name="age_group">
      <calculatedColumnFormula>IF(C2&lt;40,"Under 40",IF(C2&lt;60,"40–59","60+"))</calculatedColumnFormula>
    </tableColumn>
    <tableColumn id="15" xr3:uid="{7C242105-E739-4C9D-9506-3E4604DA01B7}" name="BMI_category">
      <calculatedColumnFormula>IF(K2="N/A","Unknown",
IF(K2="","Unknown",
IF(K2&lt;18.5,"Underweight",
IF(K2&lt;25,"Normal",
IF(K2&lt;30,"Overweight","Obese")))))</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94CF9-415C-4AFF-A1A1-A88B61D9D4F0}">
  <dimension ref="A1:XEH5"/>
  <sheetViews>
    <sheetView topLeftCell="A79" zoomScaleNormal="100" workbookViewId="0">
      <selection activeCell="M103" sqref="M103"/>
    </sheetView>
  </sheetViews>
  <sheetFormatPr defaultRowHeight="14.4" x14ac:dyDescent="0.3"/>
  <cols>
    <col min="1" max="13" width="8.88671875" style="8"/>
    <col min="14" max="14" width="9.88671875" style="8" customWidth="1"/>
    <col min="15" max="16359" width="8.88671875" style="8"/>
    <col min="16360" max="16360" width="8.77734375" style="8" customWidth="1"/>
    <col min="16361" max="16361" width="11.77734375" style="8" customWidth="1"/>
    <col min="16362" max="16362" width="8.88671875" style="8" customWidth="1"/>
    <col min="16363" max="16373" width="8.88671875" style="8"/>
    <col min="16374" max="16374" width="13.6640625" style="8" bestFit="1" customWidth="1"/>
    <col min="16375" max="16376" width="15.33203125" style="8" bestFit="1" customWidth="1"/>
    <col min="16377" max="16384" width="8.88671875" style="8"/>
  </cols>
  <sheetData>
    <row r="1" spans="1:23 16361:16362" ht="47.4" x14ac:dyDescent="0.9">
      <c r="A1" s="6" t="s">
        <v>42</v>
      </c>
      <c r="B1" s="6"/>
      <c r="C1" s="6"/>
      <c r="D1" s="6"/>
      <c r="E1" s="6"/>
      <c r="F1" s="6"/>
      <c r="G1" s="7"/>
      <c r="H1" s="6"/>
      <c r="I1" s="6"/>
      <c r="J1" s="6"/>
      <c r="K1" s="6"/>
      <c r="L1" s="6"/>
      <c r="M1" s="6"/>
      <c r="N1" s="6"/>
      <c r="O1" s="6"/>
      <c r="P1" s="6"/>
      <c r="Q1" s="6"/>
      <c r="R1" s="6"/>
      <c r="S1" s="6"/>
      <c r="T1" s="6"/>
      <c r="U1" s="6"/>
      <c r="V1" s="6"/>
      <c r="W1" s="6"/>
    </row>
    <row r="2" spans="1:23 16361:16362" ht="21" x14ac:dyDescent="0.4">
      <c r="I2" s="9" t="s">
        <v>43</v>
      </c>
      <c r="J2" s="9"/>
      <c r="K2" s="9"/>
      <c r="L2" s="9"/>
      <c r="M2" s="9"/>
      <c r="XEG2" s="8" t="s">
        <v>44</v>
      </c>
      <c r="XEH2" s="8">
        <f>ROWS(strokedata[])</f>
        <v>5110</v>
      </c>
    </row>
    <row r="3" spans="1:23 16361:16362" x14ac:dyDescent="0.3">
      <c r="XEG3" s="8" t="s">
        <v>45</v>
      </c>
      <c r="XEH3" s="8">
        <f>COUNTIF(strokedata[stroke],1)</f>
        <v>249</v>
      </c>
    </row>
    <row r="4" spans="1:23 16361:16362" x14ac:dyDescent="0.3">
      <c r="XEG4" s="8" t="s">
        <v>46</v>
      </c>
      <c r="XEH4" s="10">
        <f>COUNTIF(strokedata[stroke],1)/ROWS(strokedata[])</f>
        <v>4.8727984344422701E-2</v>
      </c>
    </row>
    <row r="5" spans="1:23 16361:16362" x14ac:dyDescent="0.3">
      <c r="XEG5" s="8" t="s">
        <v>47</v>
      </c>
      <c r="XEH5" s="8">
        <f>ROUND(AVERAGE(strokedata[age]),1)</f>
        <v>43.2</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85A59-5C2D-4554-9C10-D9612A804F32}">
  <dimension ref="A3:J36"/>
  <sheetViews>
    <sheetView workbookViewId="0">
      <selection activeCell="L13" sqref="L13"/>
    </sheetView>
  </sheetViews>
  <sheetFormatPr defaultRowHeight="14.4" x14ac:dyDescent="0.3"/>
  <cols>
    <col min="1" max="1" width="12.44140625" bestFit="1" customWidth="1"/>
    <col min="2" max="2" width="15.33203125" bestFit="1" customWidth="1"/>
    <col min="3" max="3" width="6" bestFit="1" customWidth="1"/>
    <col min="4" max="4" width="10.88671875" bestFit="1" customWidth="1"/>
    <col min="5" max="5" width="15.33203125" bestFit="1" customWidth="1"/>
    <col min="6" max="6" width="12.44140625" bestFit="1" customWidth="1"/>
    <col min="7" max="7" width="16.44140625" bestFit="1" customWidth="1"/>
    <col min="8" max="8" width="11.21875" bestFit="1" customWidth="1"/>
    <col min="9" max="9" width="12.44140625" bestFit="1" customWidth="1"/>
    <col min="10" max="10" width="15.33203125" bestFit="1" customWidth="1"/>
  </cols>
  <sheetData>
    <row r="3" spans="1:8" x14ac:dyDescent="0.3">
      <c r="A3" s="1" t="s">
        <v>19</v>
      </c>
      <c r="B3" t="s">
        <v>34</v>
      </c>
      <c r="D3" s="1" t="s">
        <v>33</v>
      </c>
      <c r="E3" t="s">
        <v>41</v>
      </c>
      <c r="G3" s="1" t="s">
        <v>1</v>
      </c>
      <c r="H3" t="s">
        <v>35</v>
      </c>
    </row>
    <row r="4" spans="1:8" x14ac:dyDescent="0.3">
      <c r="A4" s="2" t="s">
        <v>25</v>
      </c>
      <c r="B4">
        <v>455</v>
      </c>
      <c r="D4" s="2" t="s">
        <v>30</v>
      </c>
      <c r="E4" s="5">
        <v>3.8363171355498722E-2</v>
      </c>
      <c r="G4" s="2" t="s">
        <v>9</v>
      </c>
      <c r="H4">
        <v>2514</v>
      </c>
    </row>
    <row r="5" spans="1:8" x14ac:dyDescent="0.3">
      <c r="A5" s="2" t="s">
        <v>26</v>
      </c>
      <c r="B5">
        <v>3734</v>
      </c>
      <c r="D5" s="2" t="s">
        <v>31</v>
      </c>
      <c r="E5" s="5">
        <v>0.13154069767441862</v>
      </c>
      <c r="G5" s="2" t="s">
        <v>5</v>
      </c>
      <c r="H5">
        <v>2596</v>
      </c>
    </row>
    <row r="6" spans="1:8" x14ac:dyDescent="0.3">
      <c r="A6" s="2" t="s">
        <v>27</v>
      </c>
      <c r="B6">
        <v>921</v>
      </c>
      <c r="D6" s="2" t="s">
        <v>32</v>
      </c>
      <c r="E6" s="5">
        <v>3.6866359447004608E-3</v>
      </c>
      <c r="G6" s="2" t="s">
        <v>28</v>
      </c>
      <c r="H6">
        <v>5110</v>
      </c>
    </row>
    <row r="7" spans="1:8" x14ac:dyDescent="0.3">
      <c r="A7" s="2" t="s">
        <v>28</v>
      </c>
      <c r="B7">
        <v>5110</v>
      </c>
      <c r="D7" s="2" t="s">
        <v>28</v>
      </c>
      <c r="E7" s="5">
        <v>4.8727984344422701E-2</v>
      </c>
    </row>
    <row r="10" spans="1:8" x14ac:dyDescent="0.3">
      <c r="A10" s="1" t="s">
        <v>36</v>
      </c>
      <c r="B10" t="s">
        <v>37</v>
      </c>
      <c r="D10" s="1" t="s">
        <v>38</v>
      </c>
      <c r="E10" t="s">
        <v>41</v>
      </c>
      <c r="G10" s="1" t="s">
        <v>39</v>
      </c>
      <c r="H10" t="s">
        <v>37</v>
      </c>
    </row>
    <row r="11" spans="1:8" x14ac:dyDescent="0.3">
      <c r="A11" s="2" t="s">
        <v>9</v>
      </c>
      <c r="B11">
        <v>2514</v>
      </c>
      <c r="D11" s="2" t="s">
        <v>6</v>
      </c>
      <c r="E11" s="5">
        <v>7.909604519774012E-2</v>
      </c>
      <c r="G11" s="2" t="s">
        <v>16</v>
      </c>
      <c r="H11">
        <v>687</v>
      </c>
    </row>
    <row r="12" spans="1:8" x14ac:dyDescent="0.3">
      <c r="A12" s="2" t="s">
        <v>5</v>
      </c>
      <c r="B12">
        <v>2596</v>
      </c>
      <c r="D12" s="2" t="s">
        <v>11</v>
      </c>
      <c r="E12" s="5">
        <v>4.7568710359408031E-2</v>
      </c>
      <c r="G12" s="2" t="s">
        <v>15</v>
      </c>
      <c r="H12">
        <v>657</v>
      </c>
    </row>
    <row r="13" spans="1:8" x14ac:dyDescent="0.3">
      <c r="A13" s="2" t="s">
        <v>28</v>
      </c>
      <c r="B13">
        <v>5110</v>
      </c>
      <c r="D13" s="2" t="s">
        <v>12</v>
      </c>
      <c r="E13" s="5">
        <v>5.3231939163498096E-2</v>
      </c>
      <c r="G13" s="2" t="s">
        <v>17</v>
      </c>
      <c r="H13">
        <v>22</v>
      </c>
    </row>
    <row r="14" spans="1:8" x14ac:dyDescent="0.3">
      <c r="D14" s="2" t="s">
        <v>14</v>
      </c>
      <c r="E14" s="5">
        <v>3.0440414507772021E-2</v>
      </c>
      <c r="G14" s="2" t="s">
        <v>4</v>
      </c>
      <c r="H14">
        <v>2925</v>
      </c>
    </row>
    <row r="15" spans="1:8" x14ac:dyDescent="0.3">
      <c r="D15" s="2" t="s">
        <v>28</v>
      </c>
      <c r="E15" s="5">
        <v>4.8727984344422701E-2</v>
      </c>
      <c r="G15" s="2" t="s">
        <v>8</v>
      </c>
      <c r="H15">
        <v>819</v>
      </c>
    </row>
    <row r="16" spans="1:8" x14ac:dyDescent="0.3">
      <c r="G16" s="2" t="s">
        <v>28</v>
      </c>
      <c r="H16">
        <v>5110</v>
      </c>
    </row>
    <row r="17" spans="1:10" x14ac:dyDescent="0.3">
      <c r="A17" s="1" t="s">
        <v>21</v>
      </c>
      <c r="B17" t="s">
        <v>37</v>
      </c>
      <c r="D17" s="1" t="s">
        <v>35</v>
      </c>
      <c r="E17" s="1" t="s">
        <v>23</v>
      </c>
    </row>
    <row r="18" spans="1:10" x14ac:dyDescent="0.3">
      <c r="A18" s="2" t="s">
        <v>13</v>
      </c>
      <c r="B18">
        <v>1757</v>
      </c>
      <c r="D18" s="1" t="s">
        <v>20</v>
      </c>
      <c r="E18" t="s">
        <v>6</v>
      </c>
      <c r="F18" t="s">
        <v>11</v>
      </c>
      <c r="G18" t="s">
        <v>12</v>
      </c>
      <c r="H18" t="s">
        <v>14</v>
      </c>
      <c r="I18" t="s">
        <v>28</v>
      </c>
    </row>
    <row r="19" spans="1:10" x14ac:dyDescent="0.3">
      <c r="A19" s="2" t="s">
        <v>3</v>
      </c>
      <c r="B19">
        <v>3353</v>
      </c>
      <c r="D19" s="2" t="s">
        <v>7</v>
      </c>
      <c r="E19">
        <v>477</v>
      </c>
      <c r="F19">
        <v>1229</v>
      </c>
      <c r="G19">
        <v>452</v>
      </c>
      <c r="H19">
        <v>836</v>
      </c>
      <c r="I19">
        <v>2994</v>
      </c>
    </row>
    <row r="20" spans="1:10" x14ac:dyDescent="0.3">
      <c r="A20" s="2" t="s">
        <v>28</v>
      </c>
      <c r="B20">
        <v>5110</v>
      </c>
      <c r="D20" s="2" t="s">
        <v>2</v>
      </c>
      <c r="E20">
        <v>407</v>
      </c>
      <c r="F20">
        <v>663</v>
      </c>
      <c r="G20">
        <v>337</v>
      </c>
      <c r="H20">
        <v>708</v>
      </c>
      <c r="I20">
        <v>2115</v>
      </c>
    </row>
    <row r="21" spans="1:10" x14ac:dyDescent="0.3">
      <c r="D21" s="2" t="s">
        <v>18</v>
      </c>
      <c r="E21">
        <v>1</v>
      </c>
      <c r="I21">
        <v>1</v>
      </c>
    </row>
    <row r="22" spans="1:10" x14ac:dyDescent="0.3">
      <c r="D22" s="2" t="s">
        <v>28</v>
      </c>
      <c r="E22">
        <v>885</v>
      </c>
      <c r="F22">
        <v>1892</v>
      </c>
      <c r="G22">
        <v>789</v>
      </c>
      <c r="H22">
        <v>1544</v>
      </c>
      <c r="I22">
        <v>5110</v>
      </c>
    </row>
    <row r="25" spans="1:10" x14ac:dyDescent="0.3">
      <c r="A25" s="1" t="s">
        <v>40</v>
      </c>
      <c r="B25" s="1" t="s">
        <v>1</v>
      </c>
    </row>
    <row r="26" spans="1:10" x14ac:dyDescent="0.3">
      <c r="A26" s="1" t="s">
        <v>29</v>
      </c>
      <c r="B26" t="s">
        <v>9</v>
      </c>
      <c r="C26" t="s">
        <v>5</v>
      </c>
      <c r="D26" t="s">
        <v>28</v>
      </c>
      <c r="F26" s="1" t="s">
        <v>19</v>
      </c>
      <c r="G26" t="s">
        <v>41</v>
      </c>
    </row>
    <row r="27" spans="1:10" x14ac:dyDescent="0.3">
      <c r="A27" s="2" t="s">
        <v>30</v>
      </c>
      <c r="B27">
        <v>771</v>
      </c>
      <c r="C27">
        <v>793</v>
      </c>
      <c r="D27">
        <v>1564</v>
      </c>
      <c r="F27" s="2" t="s">
        <v>25</v>
      </c>
      <c r="G27" s="3">
        <v>0.18461538461538463</v>
      </c>
    </row>
    <row r="28" spans="1:10" x14ac:dyDescent="0.3">
      <c r="A28" s="2" t="s">
        <v>31</v>
      </c>
      <c r="B28">
        <v>669</v>
      </c>
      <c r="C28">
        <v>707</v>
      </c>
      <c r="D28">
        <v>1376</v>
      </c>
      <c r="F28" s="2" t="s">
        <v>26</v>
      </c>
      <c r="G28" s="3">
        <v>1.821103374397429E-2</v>
      </c>
      <c r="I28" s="1" t="s">
        <v>48</v>
      </c>
      <c r="J28" t="s">
        <v>41</v>
      </c>
    </row>
    <row r="29" spans="1:10" x14ac:dyDescent="0.3">
      <c r="A29" s="2" t="s">
        <v>32</v>
      </c>
      <c r="B29">
        <v>1074</v>
      </c>
      <c r="C29">
        <v>1096</v>
      </c>
      <c r="D29">
        <v>2170</v>
      </c>
      <c r="F29" s="2" t="s">
        <v>27</v>
      </c>
      <c r="G29" s="3">
        <v>0.10532030401737243</v>
      </c>
      <c r="I29" s="2" t="s">
        <v>49</v>
      </c>
      <c r="J29" s="5">
        <v>2.8157683024939661E-2</v>
      </c>
    </row>
    <row r="30" spans="1:10" x14ac:dyDescent="0.3">
      <c r="A30" s="2" t="s">
        <v>28</v>
      </c>
      <c r="B30">
        <v>2514</v>
      </c>
      <c r="C30">
        <v>2596</v>
      </c>
      <c r="D30">
        <v>5110</v>
      </c>
      <c r="F30" s="2" t="s">
        <v>28</v>
      </c>
      <c r="G30" s="3">
        <v>4.8727984344422701E-2</v>
      </c>
      <c r="I30" s="2" t="s">
        <v>50</v>
      </c>
      <c r="J30" s="5">
        <v>5.1041666666666666E-2</v>
      </c>
    </row>
    <row r="31" spans="1:10" x14ac:dyDescent="0.3">
      <c r="I31" s="2" t="s">
        <v>51</v>
      </c>
      <c r="J31" s="5">
        <v>5.3229240596167494E-2</v>
      </c>
    </row>
    <row r="32" spans="1:10" x14ac:dyDescent="0.3">
      <c r="I32" s="2" t="s">
        <v>52</v>
      </c>
      <c r="J32" s="5">
        <v>2.967359050445104E-3</v>
      </c>
    </row>
    <row r="33" spans="1:10" x14ac:dyDescent="0.3">
      <c r="A33" s="1" t="s">
        <v>48</v>
      </c>
      <c r="B33" t="s">
        <v>41</v>
      </c>
      <c r="I33" s="2" t="s">
        <v>28</v>
      </c>
      <c r="J33" s="5">
        <v>4.257486249745366E-2</v>
      </c>
    </row>
    <row r="34" spans="1:10" x14ac:dyDescent="0.3">
      <c r="A34" s="2" t="s">
        <v>7</v>
      </c>
      <c r="B34" s="5">
        <v>4.7094188376753505E-2</v>
      </c>
    </row>
    <row r="35" spans="1:10" x14ac:dyDescent="0.3">
      <c r="A35" s="2" t="s">
        <v>2</v>
      </c>
      <c r="B35" s="5">
        <v>5.106382978723404E-2</v>
      </c>
    </row>
    <row r="36" spans="1:10" x14ac:dyDescent="0.3">
      <c r="A36" s="2" t="s">
        <v>28</v>
      </c>
      <c r="B36" s="5">
        <v>4.8737522019964771E-2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63299-6EEA-4A88-9B97-B5B331836550}">
  <dimension ref="A1:O5111"/>
  <sheetViews>
    <sheetView tabSelected="1" topLeftCell="F1" workbookViewId="0">
      <pane ySplit="1" topLeftCell="A2" activePane="bottomLeft" state="frozen"/>
      <selection activeCell="G1" sqref="G1"/>
      <selection pane="bottomLeft" activeCell="Q10" sqref="Q10"/>
    </sheetView>
  </sheetViews>
  <sheetFormatPr defaultColWidth="13.5546875" defaultRowHeight="14.4" x14ac:dyDescent="0.3"/>
  <cols>
    <col min="3" max="3" width="13.88671875" customWidth="1"/>
    <col min="4" max="4" width="14" customWidth="1"/>
    <col min="5" max="5" width="14.77734375" customWidth="1"/>
    <col min="7" max="7" width="13.88671875" customWidth="1"/>
    <col min="9" max="9" width="16" customWidth="1"/>
    <col min="10" max="10" width="17.6640625" customWidth="1"/>
    <col min="12" max="12" width="16.33203125" customWidth="1"/>
    <col min="14" max="14" width="18.6640625" customWidth="1"/>
    <col min="15" max="15" width="17.44140625" customWidth="1"/>
    <col min="17" max="17" width="16.88671875" customWidth="1"/>
  </cols>
  <sheetData>
    <row r="1" spans="1:15" s="4" customFormat="1" x14ac:dyDescent="0.3">
      <c r="A1" s="4" t="s">
        <v>24</v>
      </c>
      <c r="B1" s="4" t="s">
        <v>53</v>
      </c>
      <c r="C1" s="4" t="s">
        <v>54</v>
      </c>
      <c r="D1" s="4" t="s">
        <v>55</v>
      </c>
      <c r="E1" s="4" t="s">
        <v>56</v>
      </c>
      <c r="F1" s="4" t="s">
        <v>57</v>
      </c>
      <c r="G1" s="4" t="s">
        <v>58</v>
      </c>
      <c r="H1" s="4" t="s">
        <v>0</v>
      </c>
      <c r="I1" s="4" t="s">
        <v>59</v>
      </c>
      <c r="J1" s="4" t="s">
        <v>60</v>
      </c>
      <c r="K1" s="4" t="s">
        <v>22</v>
      </c>
      <c r="L1" s="4" t="s">
        <v>61</v>
      </c>
      <c r="M1" s="4" t="s">
        <v>62</v>
      </c>
      <c r="N1" s="4" t="s">
        <v>63</v>
      </c>
      <c r="O1" s="4" t="s">
        <v>64</v>
      </c>
    </row>
    <row r="2" spans="1:15" x14ac:dyDescent="0.3">
      <c r="A2">
        <v>9046</v>
      </c>
      <c r="B2" t="s">
        <v>2</v>
      </c>
      <c r="C2">
        <v>67</v>
      </c>
      <c r="D2">
        <v>0</v>
      </c>
      <c r="E2">
        <v>1</v>
      </c>
      <c r="F2" t="str">
        <f>IF(C2&gt;=60,
IF(OR(D2=1,E2=1),"High Risk","Moderate Risk"),
"Lower Risk")</f>
        <v>High Risk</v>
      </c>
      <c r="G2" t="s">
        <v>3</v>
      </c>
      <c r="H2" t="s">
        <v>4</v>
      </c>
      <c r="I2" t="s">
        <v>5</v>
      </c>
      <c r="J2">
        <v>228.69</v>
      </c>
      <c r="K2">
        <v>36.6</v>
      </c>
      <c r="L2" t="s">
        <v>6</v>
      </c>
      <c r="M2">
        <v>1</v>
      </c>
      <c r="N2" t="str">
        <f t="shared" ref="N2:N65" si="0">IF(C2&lt;40,"Under 40",IF(C2&lt;60,"40–59","60+"))</f>
        <v>60+</v>
      </c>
      <c r="O2" t="str">
        <f t="shared" ref="O2:O65" si="1">IF(K2="N/A","Unknown",
IF(K2="","Unknown",
IF(K2&lt;18.5,"Underweight",
IF(K2&lt;25,"Normal",
IF(K2&lt;30,"Overweight","Obese")))))</f>
        <v>Obese</v>
      </c>
    </row>
    <row r="3" spans="1:15" x14ac:dyDescent="0.3">
      <c r="A3">
        <v>51676</v>
      </c>
      <c r="B3" t="s">
        <v>7</v>
      </c>
      <c r="C3">
        <v>61</v>
      </c>
      <c r="D3">
        <v>0</v>
      </c>
      <c r="E3">
        <v>0</v>
      </c>
      <c r="F3" t="str">
        <f t="shared" ref="F3:F66" si="2">IF(C3&gt;=60,
IF(OR(D3=1,E3=1),"High Risk","Moderate Risk"),
"Lower Risk")</f>
        <v>Moderate Risk</v>
      </c>
      <c r="G3" t="s">
        <v>3</v>
      </c>
      <c r="H3" t="s">
        <v>8</v>
      </c>
      <c r="I3" t="s">
        <v>9</v>
      </c>
      <c r="J3">
        <v>202.21</v>
      </c>
      <c r="K3" t="s">
        <v>10</v>
      </c>
      <c r="L3" t="s">
        <v>11</v>
      </c>
      <c r="M3">
        <v>1</v>
      </c>
      <c r="N3" t="str">
        <f t="shared" si="0"/>
        <v>60+</v>
      </c>
      <c r="O3" t="str">
        <f t="shared" si="1"/>
        <v>Unknown</v>
      </c>
    </row>
    <row r="4" spans="1:15" x14ac:dyDescent="0.3">
      <c r="A4">
        <v>31112</v>
      </c>
      <c r="B4" t="s">
        <v>2</v>
      </c>
      <c r="C4">
        <v>80</v>
      </c>
      <c r="D4">
        <v>0</v>
      </c>
      <c r="E4">
        <v>1</v>
      </c>
      <c r="F4" t="str">
        <f t="shared" si="2"/>
        <v>High Risk</v>
      </c>
      <c r="G4" t="s">
        <v>3</v>
      </c>
      <c r="H4" t="s">
        <v>4</v>
      </c>
      <c r="I4" t="s">
        <v>9</v>
      </c>
      <c r="J4">
        <v>105.92</v>
      </c>
      <c r="K4">
        <v>32.5</v>
      </c>
      <c r="L4" t="s">
        <v>11</v>
      </c>
      <c r="M4">
        <v>1</v>
      </c>
      <c r="N4" t="str">
        <f t="shared" si="0"/>
        <v>60+</v>
      </c>
      <c r="O4" t="str">
        <f t="shared" si="1"/>
        <v>Obese</v>
      </c>
    </row>
    <row r="5" spans="1:15" x14ac:dyDescent="0.3">
      <c r="A5">
        <v>60182</v>
      </c>
      <c r="B5" t="s">
        <v>7</v>
      </c>
      <c r="C5">
        <v>49</v>
      </c>
      <c r="D5">
        <v>0</v>
      </c>
      <c r="E5">
        <v>0</v>
      </c>
      <c r="F5" t="str">
        <f t="shared" si="2"/>
        <v>Lower Risk</v>
      </c>
      <c r="G5" t="s">
        <v>3</v>
      </c>
      <c r="H5" t="s">
        <v>4</v>
      </c>
      <c r="I5" t="s">
        <v>5</v>
      </c>
      <c r="J5">
        <v>171.23</v>
      </c>
      <c r="K5">
        <v>34.4</v>
      </c>
      <c r="L5" t="s">
        <v>12</v>
      </c>
      <c r="M5">
        <v>1</v>
      </c>
      <c r="N5" t="str">
        <f t="shared" si="0"/>
        <v>40–59</v>
      </c>
      <c r="O5" t="str">
        <f t="shared" si="1"/>
        <v>Obese</v>
      </c>
    </row>
    <row r="6" spans="1:15" x14ac:dyDescent="0.3">
      <c r="A6">
        <v>1665</v>
      </c>
      <c r="B6" t="s">
        <v>7</v>
      </c>
      <c r="C6">
        <v>79</v>
      </c>
      <c r="D6">
        <v>1</v>
      </c>
      <c r="E6">
        <v>0</v>
      </c>
      <c r="F6" t="str">
        <f t="shared" si="2"/>
        <v>High Risk</v>
      </c>
      <c r="G6" t="s">
        <v>3</v>
      </c>
      <c r="H6" t="s">
        <v>8</v>
      </c>
      <c r="I6" t="s">
        <v>9</v>
      </c>
      <c r="J6">
        <v>174.12</v>
      </c>
      <c r="K6">
        <v>24</v>
      </c>
      <c r="L6" t="s">
        <v>11</v>
      </c>
      <c r="M6">
        <v>1</v>
      </c>
      <c r="N6" t="str">
        <f t="shared" si="0"/>
        <v>60+</v>
      </c>
      <c r="O6" t="str">
        <f t="shared" si="1"/>
        <v>Normal</v>
      </c>
    </row>
    <row r="7" spans="1:15" x14ac:dyDescent="0.3">
      <c r="A7">
        <v>56669</v>
      </c>
      <c r="B7" t="s">
        <v>2</v>
      </c>
      <c r="C7">
        <v>81</v>
      </c>
      <c r="D7">
        <v>0</v>
      </c>
      <c r="E7">
        <v>0</v>
      </c>
      <c r="F7" t="str">
        <f t="shared" si="2"/>
        <v>Moderate Risk</v>
      </c>
      <c r="G7" t="s">
        <v>3</v>
      </c>
      <c r="H7" t="s">
        <v>4</v>
      </c>
      <c r="I7" t="s">
        <v>5</v>
      </c>
      <c r="J7">
        <v>186.21</v>
      </c>
      <c r="K7">
        <v>29</v>
      </c>
      <c r="L7" t="s">
        <v>6</v>
      </c>
      <c r="M7">
        <v>1</v>
      </c>
      <c r="N7" t="str">
        <f t="shared" si="0"/>
        <v>60+</v>
      </c>
      <c r="O7" t="str">
        <f t="shared" si="1"/>
        <v>Overweight</v>
      </c>
    </row>
    <row r="8" spans="1:15" x14ac:dyDescent="0.3">
      <c r="A8">
        <v>53882</v>
      </c>
      <c r="B8" t="s">
        <v>2</v>
      </c>
      <c r="C8">
        <v>74</v>
      </c>
      <c r="D8">
        <v>1</v>
      </c>
      <c r="E8">
        <v>1</v>
      </c>
      <c r="F8" t="str">
        <f t="shared" si="2"/>
        <v>High Risk</v>
      </c>
      <c r="G8" t="s">
        <v>3</v>
      </c>
      <c r="H8" t="s">
        <v>4</v>
      </c>
      <c r="I8" t="s">
        <v>9</v>
      </c>
      <c r="J8">
        <v>70.09</v>
      </c>
      <c r="K8">
        <v>27.4</v>
      </c>
      <c r="L8" t="s">
        <v>11</v>
      </c>
      <c r="M8">
        <v>1</v>
      </c>
      <c r="N8" t="str">
        <f t="shared" si="0"/>
        <v>60+</v>
      </c>
      <c r="O8" t="str">
        <f t="shared" si="1"/>
        <v>Overweight</v>
      </c>
    </row>
    <row r="9" spans="1:15" x14ac:dyDescent="0.3">
      <c r="A9">
        <v>10434</v>
      </c>
      <c r="B9" t="s">
        <v>7</v>
      </c>
      <c r="C9">
        <v>69</v>
      </c>
      <c r="D9">
        <v>0</v>
      </c>
      <c r="E9">
        <v>0</v>
      </c>
      <c r="F9" t="str">
        <f t="shared" si="2"/>
        <v>Moderate Risk</v>
      </c>
      <c r="G9" t="s">
        <v>13</v>
      </c>
      <c r="H9" t="s">
        <v>4</v>
      </c>
      <c r="I9" t="s">
        <v>5</v>
      </c>
      <c r="J9">
        <v>94.39</v>
      </c>
      <c r="K9">
        <v>22.8</v>
      </c>
      <c r="L9" t="s">
        <v>11</v>
      </c>
      <c r="M9">
        <v>1</v>
      </c>
      <c r="N9" t="str">
        <f t="shared" si="0"/>
        <v>60+</v>
      </c>
      <c r="O9" t="str">
        <f t="shared" si="1"/>
        <v>Normal</v>
      </c>
    </row>
    <row r="10" spans="1:15" x14ac:dyDescent="0.3">
      <c r="A10">
        <v>27419</v>
      </c>
      <c r="B10" t="s">
        <v>7</v>
      </c>
      <c r="C10">
        <v>59</v>
      </c>
      <c r="D10">
        <v>0</v>
      </c>
      <c r="E10">
        <v>0</v>
      </c>
      <c r="F10" t="str">
        <f t="shared" si="2"/>
        <v>Lower Risk</v>
      </c>
      <c r="G10" t="s">
        <v>3</v>
      </c>
      <c r="H10" t="s">
        <v>4</v>
      </c>
      <c r="I10" t="s">
        <v>9</v>
      </c>
      <c r="J10">
        <v>76.150000000000006</v>
      </c>
      <c r="K10" t="s">
        <v>10</v>
      </c>
      <c r="L10" t="s">
        <v>14</v>
      </c>
      <c r="M10">
        <v>1</v>
      </c>
      <c r="N10" t="str">
        <f t="shared" si="0"/>
        <v>40–59</v>
      </c>
      <c r="O10" t="str">
        <f t="shared" si="1"/>
        <v>Unknown</v>
      </c>
    </row>
    <row r="11" spans="1:15" x14ac:dyDescent="0.3">
      <c r="A11">
        <v>60491</v>
      </c>
      <c r="B11" t="s">
        <v>7</v>
      </c>
      <c r="C11">
        <v>78</v>
      </c>
      <c r="D11">
        <v>0</v>
      </c>
      <c r="E11">
        <v>0</v>
      </c>
      <c r="F11" t="str">
        <f t="shared" si="2"/>
        <v>Moderate Risk</v>
      </c>
      <c r="G11" t="s">
        <v>3</v>
      </c>
      <c r="H11" t="s">
        <v>4</v>
      </c>
      <c r="I11" t="s">
        <v>5</v>
      </c>
      <c r="J11">
        <v>58.57</v>
      </c>
      <c r="K11">
        <v>24.2</v>
      </c>
      <c r="L11" t="s">
        <v>14</v>
      </c>
      <c r="M11">
        <v>1</v>
      </c>
      <c r="N11" t="str">
        <f t="shared" si="0"/>
        <v>60+</v>
      </c>
      <c r="O11" t="str">
        <f t="shared" si="1"/>
        <v>Normal</v>
      </c>
    </row>
    <row r="12" spans="1:15" x14ac:dyDescent="0.3">
      <c r="A12">
        <v>12109</v>
      </c>
      <c r="B12" t="s">
        <v>7</v>
      </c>
      <c r="C12">
        <v>81</v>
      </c>
      <c r="D12">
        <v>1</v>
      </c>
      <c r="E12">
        <v>0</v>
      </c>
      <c r="F12" t="str">
        <f t="shared" si="2"/>
        <v>High Risk</v>
      </c>
      <c r="G12" t="s">
        <v>3</v>
      </c>
      <c r="H12" t="s">
        <v>4</v>
      </c>
      <c r="I12" t="s">
        <v>9</v>
      </c>
      <c r="J12">
        <v>80.430000000000007</v>
      </c>
      <c r="K12">
        <v>29.7</v>
      </c>
      <c r="L12" t="s">
        <v>11</v>
      </c>
      <c r="M12">
        <v>1</v>
      </c>
      <c r="N12" t="str">
        <f t="shared" si="0"/>
        <v>60+</v>
      </c>
      <c r="O12" t="str">
        <f t="shared" si="1"/>
        <v>Overweight</v>
      </c>
    </row>
    <row r="13" spans="1:15" x14ac:dyDescent="0.3">
      <c r="A13">
        <v>12095</v>
      </c>
      <c r="B13" t="s">
        <v>7</v>
      </c>
      <c r="C13">
        <v>61</v>
      </c>
      <c r="D13">
        <v>0</v>
      </c>
      <c r="E13">
        <v>1</v>
      </c>
      <c r="F13" t="str">
        <f t="shared" si="2"/>
        <v>High Risk</v>
      </c>
      <c r="G13" t="s">
        <v>3</v>
      </c>
      <c r="H13" t="s">
        <v>15</v>
      </c>
      <c r="I13" t="s">
        <v>9</v>
      </c>
      <c r="J13">
        <v>120.46</v>
      </c>
      <c r="K13">
        <v>36.799999999999997</v>
      </c>
      <c r="L13" t="s">
        <v>12</v>
      </c>
      <c r="M13">
        <v>1</v>
      </c>
      <c r="N13" t="str">
        <f t="shared" si="0"/>
        <v>60+</v>
      </c>
      <c r="O13" t="str">
        <f t="shared" si="1"/>
        <v>Obese</v>
      </c>
    </row>
    <row r="14" spans="1:15" x14ac:dyDescent="0.3">
      <c r="A14">
        <v>12175</v>
      </c>
      <c r="B14" t="s">
        <v>7</v>
      </c>
      <c r="C14">
        <v>54</v>
      </c>
      <c r="D14">
        <v>0</v>
      </c>
      <c r="E14">
        <v>0</v>
      </c>
      <c r="F14" t="str">
        <f t="shared" si="2"/>
        <v>Lower Risk</v>
      </c>
      <c r="G14" t="s">
        <v>3</v>
      </c>
      <c r="H14" t="s">
        <v>4</v>
      </c>
      <c r="I14" t="s">
        <v>5</v>
      </c>
      <c r="J14">
        <v>104.51</v>
      </c>
      <c r="K14">
        <v>27.3</v>
      </c>
      <c r="L14" t="s">
        <v>12</v>
      </c>
      <c r="M14">
        <v>1</v>
      </c>
      <c r="N14" t="str">
        <f t="shared" si="0"/>
        <v>40–59</v>
      </c>
      <c r="O14" t="str">
        <f t="shared" si="1"/>
        <v>Overweight</v>
      </c>
    </row>
    <row r="15" spans="1:15" x14ac:dyDescent="0.3">
      <c r="A15">
        <v>8213</v>
      </c>
      <c r="B15" t="s">
        <v>2</v>
      </c>
      <c r="C15">
        <v>78</v>
      </c>
      <c r="D15">
        <v>0</v>
      </c>
      <c r="E15">
        <v>1</v>
      </c>
      <c r="F15" t="str">
        <f t="shared" si="2"/>
        <v>High Risk</v>
      </c>
      <c r="G15" t="s">
        <v>3</v>
      </c>
      <c r="H15" t="s">
        <v>4</v>
      </c>
      <c r="I15" t="s">
        <v>5</v>
      </c>
      <c r="J15">
        <v>219.84</v>
      </c>
      <c r="K15" t="s">
        <v>10</v>
      </c>
      <c r="L15" t="s">
        <v>14</v>
      </c>
      <c r="M15">
        <v>1</v>
      </c>
      <c r="N15" t="str">
        <f t="shared" si="0"/>
        <v>60+</v>
      </c>
      <c r="O15" t="str">
        <f t="shared" si="1"/>
        <v>Unknown</v>
      </c>
    </row>
    <row r="16" spans="1:15" x14ac:dyDescent="0.3">
      <c r="A16">
        <v>5317</v>
      </c>
      <c r="B16" t="s">
        <v>7</v>
      </c>
      <c r="C16">
        <v>79</v>
      </c>
      <c r="D16">
        <v>0</v>
      </c>
      <c r="E16">
        <v>1</v>
      </c>
      <c r="F16" t="str">
        <f t="shared" si="2"/>
        <v>High Risk</v>
      </c>
      <c r="G16" t="s">
        <v>3</v>
      </c>
      <c r="H16" t="s">
        <v>4</v>
      </c>
      <c r="I16" t="s">
        <v>5</v>
      </c>
      <c r="J16">
        <v>214.09</v>
      </c>
      <c r="K16">
        <v>28.2</v>
      </c>
      <c r="L16" t="s">
        <v>11</v>
      </c>
      <c r="M16">
        <v>1</v>
      </c>
      <c r="N16" t="str">
        <f t="shared" si="0"/>
        <v>60+</v>
      </c>
      <c r="O16" t="str">
        <f t="shared" si="1"/>
        <v>Overweight</v>
      </c>
    </row>
    <row r="17" spans="1:15" x14ac:dyDescent="0.3">
      <c r="A17">
        <v>58202</v>
      </c>
      <c r="B17" t="s">
        <v>7</v>
      </c>
      <c r="C17">
        <v>50</v>
      </c>
      <c r="D17">
        <v>1</v>
      </c>
      <c r="E17">
        <v>0</v>
      </c>
      <c r="F17" t="str">
        <f t="shared" si="2"/>
        <v>Lower Risk</v>
      </c>
      <c r="G17" t="s">
        <v>3</v>
      </c>
      <c r="H17" t="s">
        <v>8</v>
      </c>
      <c r="I17" t="s">
        <v>9</v>
      </c>
      <c r="J17">
        <v>167.41</v>
      </c>
      <c r="K17">
        <v>30.9</v>
      </c>
      <c r="L17" t="s">
        <v>11</v>
      </c>
      <c r="M17">
        <v>1</v>
      </c>
      <c r="N17" t="str">
        <f t="shared" si="0"/>
        <v>40–59</v>
      </c>
      <c r="O17" t="str">
        <f t="shared" si="1"/>
        <v>Obese</v>
      </c>
    </row>
    <row r="18" spans="1:15" x14ac:dyDescent="0.3">
      <c r="A18">
        <v>56112</v>
      </c>
      <c r="B18" t="s">
        <v>2</v>
      </c>
      <c r="C18">
        <v>64</v>
      </c>
      <c r="D18">
        <v>0</v>
      </c>
      <c r="E18">
        <v>1</v>
      </c>
      <c r="F18" t="str">
        <f t="shared" si="2"/>
        <v>High Risk</v>
      </c>
      <c r="G18" t="s">
        <v>3</v>
      </c>
      <c r="H18" t="s">
        <v>4</v>
      </c>
      <c r="I18" t="s">
        <v>5</v>
      </c>
      <c r="J18">
        <v>191.61</v>
      </c>
      <c r="K18">
        <v>37.5</v>
      </c>
      <c r="L18" t="s">
        <v>12</v>
      </c>
      <c r="M18">
        <v>1</v>
      </c>
      <c r="N18" t="str">
        <f t="shared" si="0"/>
        <v>60+</v>
      </c>
      <c r="O18" t="str">
        <f t="shared" si="1"/>
        <v>Obese</v>
      </c>
    </row>
    <row r="19" spans="1:15" x14ac:dyDescent="0.3">
      <c r="A19">
        <v>34120</v>
      </c>
      <c r="B19" t="s">
        <v>2</v>
      </c>
      <c r="C19">
        <v>75</v>
      </c>
      <c r="D19">
        <v>1</v>
      </c>
      <c r="E19">
        <v>0</v>
      </c>
      <c r="F19" t="str">
        <f t="shared" si="2"/>
        <v>High Risk</v>
      </c>
      <c r="G19" t="s">
        <v>3</v>
      </c>
      <c r="H19" t="s">
        <v>4</v>
      </c>
      <c r="I19" t="s">
        <v>5</v>
      </c>
      <c r="J19">
        <v>221.29</v>
      </c>
      <c r="K19">
        <v>25.8</v>
      </c>
      <c r="L19" t="s">
        <v>12</v>
      </c>
      <c r="M19">
        <v>1</v>
      </c>
      <c r="N19" t="str">
        <f t="shared" si="0"/>
        <v>60+</v>
      </c>
      <c r="O19" t="str">
        <f t="shared" si="1"/>
        <v>Overweight</v>
      </c>
    </row>
    <row r="20" spans="1:15" x14ac:dyDescent="0.3">
      <c r="A20">
        <v>27458</v>
      </c>
      <c r="B20" t="s">
        <v>7</v>
      </c>
      <c r="C20">
        <v>60</v>
      </c>
      <c r="D20">
        <v>0</v>
      </c>
      <c r="E20">
        <v>0</v>
      </c>
      <c r="F20" t="str">
        <f t="shared" si="2"/>
        <v>Moderate Risk</v>
      </c>
      <c r="G20" t="s">
        <v>13</v>
      </c>
      <c r="H20" t="s">
        <v>4</v>
      </c>
      <c r="I20" t="s">
        <v>5</v>
      </c>
      <c r="J20">
        <v>89.22</v>
      </c>
      <c r="K20">
        <v>37.799999999999997</v>
      </c>
      <c r="L20" t="s">
        <v>11</v>
      </c>
      <c r="M20">
        <v>1</v>
      </c>
      <c r="N20" t="str">
        <f t="shared" si="0"/>
        <v>60+</v>
      </c>
      <c r="O20" t="str">
        <f t="shared" si="1"/>
        <v>Obese</v>
      </c>
    </row>
    <row r="21" spans="1:15" x14ac:dyDescent="0.3">
      <c r="A21">
        <v>25226</v>
      </c>
      <c r="B21" t="s">
        <v>2</v>
      </c>
      <c r="C21">
        <v>57</v>
      </c>
      <c r="D21">
        <v>0</v>
      </c>
      <c r="E21">
        <v>1</v>
      </c>
      <c r="F21" t="str">
        <f t="shared" si="2"/>
        <v>Lower Risk</v>
      </c>
      <c r="G21" t="s">
        <v>13</v>
      </c>
      <c r="H21" t="s">
        <v>15</v>
      </c>
      <c r="I21" t="s">
        <v>5</v>
      </c>
      <c r="J21">
        <v>217.08</v>
      </c>
      <c r="K21" t="s">
        <v>10</v>
      </c>
      <c r="L21" t="s">
        <v>14</v>
      </c>
      <c r="M21">
        <v>1</v>
      </c>
      <c r="N21" t="str">
        <f t="shared" si="0"/>
        <v>40–59</v>
      </c>
      <c r="O21" t="str">
        <f t="shared" si="1"/>
        <v>Unknown</v>
      </c>
    </row>
    <row r="22" spans="1:15" x14ac:dyDescent="0.3">
      <c r="A22">
        <v>70630</v>
      </c>
      <c r="B22" t="s">
        <v>7</v>
      </c>
      <c r="C22">
        <v>71</v>
      </c>
      <c r="D22">
        <v>0</v>
      </c>
      <c r="E22">
        <v>0</v>
      </c>
      <c r="F22" t="str">
        <f t="shared" si="2"/>
        <v>Moderate Risk</v>
      </c>
      <c r="G22" t="s">
        <v>3</v>
      </c>
      <c r="H22" t="s">
        <v>15</v>
      </c>
      <c r="I22" t="s">
        <v>9</v>
      </c>
      <c r="J22">
        <v>193.94</v>
      </c>
      <c r="K22">
        <v>22.4</v>
      </c>
      <c r="L22" t="s">
        <v>12</v>
      </c>
      <c r="M22">
        <v>1</v>
      </c>
      <c r="N22" t="str">
        <f t="shared" si="0"/>
        <v>60+</v>
      </c>
      <c r="O22" t="str">
        <f t="shared" si="1"/>
        <v>Normal</v>
      </c>
    </row>
    <row r="23" spans="1:15" x14ac:dyDescent="0.3">
      <c r="A23">
        <v>13861</v>
      </c>
      <c r="B23" t="s">
        <v>7</v>
      </c>
      <c r="C23">
        <v>52</v>
      </c>
      <c r="D23">
        <v>1</v>
      </c>
      <c r="E23">
        <v>0</v>
      </c>
      <c r="F23" t="str">
        <f t="shared" si="2"/>
        <v>Lower Risk</v>
      </c>
      <c r="G23" t="s">
        <v>3</v>
      </c>
      <c r="H23" t="s">
        <v>8</v>
      </c>
      <c r="I23" t="s">
        <v>5</v>
      </c>
      <c r="J23">
        <v>233.29</v>
      </c>
      <c r="K23">
        <v>48.9</v>
      </c>
      <c r="L23" t="s">
        <v>11</v>
      </c>
      <c r="M23">
        <v>1</v>
      </c>
      <c r="N23" t="str">
        <f t="shared" si="0"/>
        <v>40–59</v>
      </c>
      <c r="O23" t="str">
        <f t="shared" si="1"/>
        <v>Obese</v>
      </c>
    </row>
    <row r="24" spans="1:15" x14ac:dyDescent="0.3">
      <c r="A24">
        <v>68794</v>
      </c>
      <c r="B24" t="s">
        <v>7</v>
      </c>
      <c r="C24">
        <v>79</v>
      </c>
      <c r="D24">
        <v>0</v>
      </c>
      <c r="E24">
        <v>0</v>
      </c>
      <c r="F24" t="str">
        <f t="shared" si="2"/>
        <v>Moderate Risk</v>
      </c>
      <c r="G24" t="s">
        <v>3</v>
      </c>
      <c r="H24" t="s">
        <v>8</v>
      </c>
      <c r="I24" t="s">
        <v>5</v>
      </c>
      <c r="J24">
        <v>228.7</v>
      </c>
      <c r="K24">
        <v>26.6</v>
      </c>
      <c r="L24" t="s">
        <v>11</v>
      </c>
      <c r="M24">
        <v>1</v>
      </c>
      <c r="N24" t="str">
        <f t="shared" si="0"/>
        <v>60+</v>
      </c>
      <c r="O24" t="str">
        <f t="shared" si="1"/>
        <v>Overweight</v>
      </c>
    </row>
    <row r="25" spans="1:15" x14ac:dyDescent="0.3">
      <c r="A25">
        <v>64778</v>
      </c>
      <c r="B25" t="s">
        <v>2</v>
      </c>
      <c r="C25">
        <v>82</v>
      </c>
      <c r="D25">
        <v>0</v>
      </c>
      <c r="E25">
        <v>1</v>
      </c>
      <c r="F25" t="str">
        <f t="shared" si="2"/>
        <v>High Risk</v>
      </c>
      <c r="G25" t="s">
        <v>3</v>
      </c>
      <c r="H25" t="s">
        <v>4</v>
      </c>
      <c r="I25" t="s">
        <v>9</v>
      </c>
      <c r="J25">
        <v>208.3</v>
      </c>
      <c r="K25">
        <v>32.5</v>
      </c>
      <c r="L25" t="s">
        <v>14</v>
      </c>
      <c r="M25">
        <v>1</v>
      </c>
      <c r="N25" t="str">
        <f t="shared" si="0"/>
        <v>60+</v>
      </c>
      <c r="O25" t="str">
        <f t="shared" si="1"/>
        <v>Obese</v>
      </c>
    </row>
    <row r="26" spans="1:15" x14ac:dyDescent="0.3">
      <c r="A26">
        <v>4219</v>
      </c>
      <c r="B26" t="s">
        <v>2</v>
      </c>
      <c r="C26">
        <v>71</v>
      </c>
      <c r="D26">
        <v>0</v>
      </c>
      <c r="E26">
        <v>0</v>
      </c>
      <c r="F26" t="str">
        <f t="shared" si="2"/>
        <v>Moderate Risk</v>
      </c>
      <c r="G26" t="s">
        <v>3</v>
      </c>
      <c r="H26" t="s">
        <v>4</v>
      </c>
      <c r="I26" t="s">
        <v>5</v>
      </c>
      <c r="J26">
        <v>102.87</v>
      </c>
      <c r="K26">
        <v>27.2</v>
      </c>
      <c r="L26" t="s">
        <v>6</v>
      </c>
      <c r="M26">
        <v>1</v>
      </c>
      <c r="N26" t="str">
        <f t="shared" si="0"/>
        <v>60+</v>
      </c>
      <c r="O26" t="str">
        <f t="shared" si="1"/>
        <v>Overweight</v>
      </c>
    </row>
    <row r="27" spans="1:15" x14ac:dyDescent="0.3">
      <c r="A27">
        <v>70822</v>
      </c>
      <c r="B27" t="s">
        <v>2</v>
      </c>
      <c r="C27">
        <v>80</v>
      </c>
      <c r="D27">
        <v>0</v>
      </c>
      <c r="E27">
        <v>0</v>
      </c>
      <c r="F27" t="str">
        <f t="shared" si="2"/>
        <v>Moderate Risk</v>
      </c>
      <c r="G27" t="s">
        <v>3</v>
      </c>
      <c r="H27" t="s">
        <v>8</v>
      </c>
      <c r="I27" t="s">
        <v>9</v>
      </c>
      <c r="J27">
        <v>104.12</v>
      </c>
      <c r="K27">
        <v>23.5</v>
      </c>
      <c r="L27" t="s">
        <v>11</v>
      </c>
      <c r="M27">
        <v>1</v>
      </c>
      <c r="N27" t="str">
        <f t="shared" si="0"/>
        <v>60+</v>
      </c>
      <c r="O27" t="str">
        <f t="shared" si="1"/>
        <v>Normal</v>
      </c>
    </row>
    <row r="28" spans="1:15" x14ac:dyDescent="0.3">
      <c r="A28">
        <v>38047</v>
      </c>
      <c r="B28" t="s">
        <v>7</v>
      </c>
      <c r="C28">
        <v>65</v>
      </c>
      <c r="D28">
        <v>0</v>
      </c>
      <c r="E28">
        <v>0</v>
      </c>
      <c r="F28" t="str">
        <f t="shared" si="2"/>
        <v>Moderate Risk</v>
      </c>
      <c r="G28" t="s">
        <v>3</v>
      </c>
      <c r="H28" t="s">
        <v>4</v>
      </c>
      <c r="I28" t="s">
        <v>9</v>
      </c>
      <c r="J28">
        <v>100.98</v>
      </c>
      <c r="K28">
        <v>28.2</v>
      </c>
      <c r="L28" t="s">
        <v>6</v>
      </c>
      <c r="M28">
        <v>1</v>
      </c>
      <c r="N28" t="str">
        <f t="shared" si="0"/>
        <v>60+</v>
      </c>
      <c r="O28" t="str">
        <f t="shared" si="1"/>
        <v>Overweight</v>
      </c>
    </row>
    <row r="29" spans="1:15" x14ac:dyDescent="0.3">
      <c r="A29">
        <v>61843</v>
      </c>
      <c r="B29" t="s">
        <v>2</v>
      </c>
      <c r="C29">
        <v>58</v>
      </c>
      <c r="D29">
        <v>0</v>
      </c>
      <c r="E29">
        <v>0</v>
      </c>
      <c r="F29" t="str">
        <f t="shared" si="2"/>
        <v>Lower Risk</v>
      </c>
      <c r="G29" t="s">
        <v>3</v>
      </c>
      <c r="H29" t="s">
        <v>4</v>
      </c>
      <c r="I29" t="s">
        <v>9</v>
      </c>
      <c r="J29">
        <v>189.84</v>
      </c>
      <c r="K29" t="s">
        <v>10</v>
      </c>
      <c r="L29" t="s">
        <v>14</v>
      </c>
      <c r="M29">
        <v>1</v>
      </c>
      <c r="N29" t="str">
        <f t="shared" si="0"/>
        <v>40–59</v>
      </c>
      <c r="O29" t="str">
        <f t="shared" si="1"/>
        <v>Unknown</v>
      </c>
    </row>
    <row r="30" spans="1:15" x14ac:dyDescent="0.3">
      <c r="A30">
        <v>54827</v>
      </c>
      <c r="B30" t="s">
        <v>2</v>
      </c>
      <c r="C30">
        <v>69</v>
      </c>
      <c r="D30">
        <v>0</v>
      </c>
      <c r="E30">
        <v>1</v>
      </c>
      <c r="F30" t="str">
        <f t="shared" si="2"/>
        <v>High Risk</v>
      </c>
      <c r="G30" t="s">
        <v>3</v>
      </c>
      <c r="H30" t="s">
        <v>8</v>
      </c>
      <c r="I30" t="s">
        <v>5</v>
      </c>
      <c r="J30">
        <v>195.23</v>
      </c>
      <c r="K30">
        <v>28.3</v>
      </c>
      <c r="L30" t="s">
        <v>12</v>
      </c>
      <c r="M30">
        <v>1</v>
      </c>
      <c r="N30" t="str">
        <f t="shared" si="0"/>
        <v>60+</v>
      </c>
      <c r="O30" t="str">
        <f t="shared" si="1"/>
        <v>Overweight</v>
      </c>
    </row>
    <row r="31" spans="1:15" x14ac:dyDescent="0.3">
      <c r="A31">
        <v>69160</v>
      </c>
      <c r="B31" t="s">
        <v>2</v>
      </c>
      <c r="C31">
        <v>59</v>
      </c>
      <c r="D31">
        <v>0</v>
      </c>
      <c r="E31">
        <v>0</v>
      </c>
      <c r="F31" t="str">
        <f t="shared" si="2"/>
        <v>Lower Risk</v>
      </c>
      <c r="G31" t="s">
        <v>3</v>
      </c>
      <c r="H31" t="s">
        <v>4</v>
      </c>
      <c r="I31" t="s">
        <v>9</v>
      </c>
      <c r="J31">
        <v>211.78</v>
      </c>
      <c r="K31" t="s">
        <v>10</v>
      </c>
      <c r="L31" t="s">
        <v>6</v>
      </c>
      <c r="M31">
        <v>1</v>
      </c>
      <c r="N31" t="str">
        <f t="shared" si="0"/>
        <v>40–59</v>
      </c>
      <c r="O31" t="str">
        <f t="shared" si="1"/>
        <v>Unknown</v>
      </c>
    </row>
    <row r="32" spans="1:15" x14ac:dyDescent="0.3">
      <c r="A32">
        <v>43717</v>
      </c>
      <c r="B32" t="s">
        <v>2</v>
      </c>
      <c r="C32">
        <v>57</v>
      </c>
      <c r="D32">
        <v>1</v>
      </c>
      <c r="E32">
        <v>0</v>
      </c>
      <c r="F32" t="str">
        <f t="shared" si="2"/>
        <v>Lower Risk</v>
      </c>
      <c r="G32" t="s">
        <v>3</v>
      </c>
      <c r="H32" t="s">
        <v>4</v>
      </c>
      <c r="I32" t="s">
        <v>5</v>
      </c>
      <c r="J32">
        <v>212.08</v>
      </c>
      <c r="K32">
        <v>44.2</v>
      </c>
      <c r="L32" t="s">
        <v>12</v>
      </c>
      <c r="M32">
        <v>1</v>
      </c>
      <c r="N32" t="str">
        <f t="shared" si="0"/>
        <v>40–59</v>
      </c>
      <c r="O32" t="str">
        <f t="shared" si="1"/>
        <v>Obese</v>
      </c>
    </row>
    <row r="33" spans="1:15" x14ac:dyDescent="0.3">
      <c r="A33">
        <v>33879</v>
      </c>
      <c r="B33" t="s">
        <v>2</v>
      </c>
      <c r="C33">
        <v>42</v>
      </c>
      <c r="D33">
        <v>0</v>
      </c>
      <c r="E33">
        <v>0</v>
      </c>
      <c r="F33" t="str">
        <f t="shared" si="2"/>
        <v>Lower Risk</v>
      </c>
      <c r="G33" t="s">
        <v>3</v>
      </c>
      <c r="H33" t="s">
        <v>4</v>
      </c>
      <c r="I33" t="s">
        <v>9</v>
      </c>
      <c r="J33">
        <v>83.41</v>
      </c>
      <c r="K33">
        <v>25.4</v>
      </c>
      <c r="L33" t="s">
        <v>14</v>
      </c>
      <c r="M33">
        <v>1</v>
      </c>
      <c r="N33" t="str">
        <f t="shared" si="0"/>
        <v>40–59</v>
      </c>
      <c r="O33" t="str">
        <f t="shared" si="1"/>
        <v>Overweight</v>
      </c>
    </row>
    <row r="34" spans="1:15" x14ac:dyDescent="0.3">
      <c r="A34">
        <v>39373</v>
      </c>
      <c r="B34" t="s">
        <v>7</v>
      </c>
      <c r="C34">
        <v>82</v>
      </c>
      <c r="D34">
        <v>1</v>
      </c>
      <c r="E34">
        <v>0</v>
      </c>
      <c r="F34" t="str">
        <f t="shared" si="2"/>
        <v>High Risk</v>
      </c>
      <c r="G34" t="s">
        <v>3</v>
      </c>
      <c r="H34" t="s">
        <v>8</v>
      </c>
      <c r="I34" t="s">
        <v>5</v>
      </c>
      <c r="J34">
        <v>196.92</v>
      </c>
      <c r="K34">
        <v>22.2</v>
      </c>
      <c r="L34" t="s">
        <v>11</v>
      </c>
      <c r="M34">
        <v>1</v>
      </c>
      <c r="N34" t="str">
        <f t="shared" si="0"/>
        <v>60+</v>
      </c>
      <c r="O34" t="str">
        <f t="shared" si="1"/>
        <v>Normal</v>
      </c>
    </row>
    <row r="35" spans="1:15" x14ac:dyDescent="0.3">
      <c r="A35">
        <v>54401</v>
      </c>
      <c r="B35" t="s">
        <v>2</v>
      </c>
      <c r="C35">
        <v>80</v>
      </c>
      <c r="D35">
        <v>0</v>
      </c>
      <c r="E35">
        <v>1</v>
      </c>
      <c r="F35" t="str">
        <f t="shared" si="2"/>
        <v>High Risk</v>
      </c>
      <c r="G35" t="s">
        <v>3</v>
      </c>
      <c r="H35" t="s">
        <v>8</v>
      </c>
      <c r="I35" t="s">
        <v>5</v>
      </c>
      <c r="J35">
        <v>252.72</v>
      </c>
      <c r="K35">
        <v>30.5</v>
      </c>
      <c r="L35" t="s">
        <v>6</v>
      </c>
      <c r="M35">
        <v>1</v>
      </c>
      <c r="N35" t="str">
        <f t="shared" si="0"/>
        <v>60+</v>
      </c>
      <c r="O35" t="str">
        <f t="shared" si="1"/>
        <v>Obese</v>
      </c>
    </row>
    <row r="36" spans="1:15" x14ac:dyDescent="0.3">
      <c r="A36">
        <v>14248</v>
      </c>
      <c r="B36" t="s">
        <v>2</v>
      </c>
      <c r="C36">
        <v>48</v>
      </c>
      <c r="D36">
        <v>0</v>
      </c>
      <c r="E36">
        <v>0</v>
      </c>
      <c r="F36" t="str">
        <f t="shared" si="2"/>
        <v>Lower Risk</v>
      </c>
      <c r="G36" t="s">
        <v>13</v>
      </c>
      <c r="H36" t="s">
        <v>15</v>
      </c>
      <c r="I36" t="s">
        <v>5</v>
      </c>
      <c r="J36">
        <v>84.2</v>
      </c>
      <c r="K36">
        <v>29.7</v>
      </c>
      <c r="L36" t="s">
        <v>11</v>
      </c>
      <c r="M36">
        <v>1</v>
      </c>
      <c r="N36" t="str">
        <f t="shared" si="0"/>
        <v>40–59</v>
      </c>
      <c r="O36" t="str">
        <f t="shared" si="1"/>
        <v>Overweight</v>
      </c>
    </row>
    <row r="37" spans="1:15" x14ac:dyDescent="0.3">
      <c r="A37">
        <v>712</v>
      </c>
      <c r="B37" t="s">
        <v>7</v>
      </c>
      <c r="C37">
        <v>82</v>
      </c>
      <c r="D37">
        <v>1</v>
      </c>
      <c r="E37">
        <v>1</v>
      </c>
      <c r="F37" t="str">
        <f t="shared" si="2"/>
        <v>High Risk</v>
      </c>
      <c r="G37" t="s">
        <v>13</v>
      </c>
      <c r="H37" t="s">
        <v>4</v>
      </c>
      <c r="I37" t="s">
        <v>9</v>
      </c>
      <c r="J37">
        <v>84.03</v>
      </c>
      <c r="K37">
        <v>26.5</v>
      </c>
      <c r="L37" t="s">
        <v>6</v>
      </c>
      <c r="M37">
        <v>1</v>
      </c>
      <c r="N37" t="str">
        <f t="shared" si="0"/>
        <v>60+</v>
      </c>
      <c r="O37" t="str">
        <f t="shared" si="1"/>
        <v>Overweight</v>
      </c>
    </row>
    <row r="38" spans="1:15" x14ac:dyDescent="0.3">
      <c r="A38">
        <v>47269</v>
      </c>
      <c r="B38" t="s">
        <v>2</v>
      </c>
      <c r="C38">
        <v>74</v>
      </c>
      <c r="D38">
        <v>0</v>
      </c>
      <c r="E38">
        <v>0</v>
      </c>
      <c r="F38" t="str">
        <f t="shared" si="2"/>
        <v>Moderate Risk</v>
      </c>
      <c r="G38" t="s">
        <v>3</v>
      </c>
      <c r="H38" t="s">
        <v>4</v>
      </c>
      <c r="I38" t="s">
        <v>9</v>
      </c>
      <c r="J38">
        <v>219.72</v>
      </c>
      <c r="K38">
        <v>33.700000000000003</v>
      </c>
      <c r="L38" t="s">
        <v>6</v>
      </c>
      <c r="M38">
        <v>1</v>
      </c>
      <c r="N38" t="str">
        <f t="shared" si="0"/>
        <v>60+</v>
      </c>
      <c r="O38" t="str">
        <f t="shared" si="1"/>
        <v>Obese</v>
      </c>
    </row>
    <row r="39" spans="1:15" x14ac:dyDescent="0.3">
      <c r="A39">
        <v>24977</v>
      </c>
      <c r="B39" t="s">
        <v>7</v>
      </c>
      <c r="C39">
        <v>72</v>
      </c>
      <c r="D39">
        <v>1</v>
      </c>
      <c r="E39">
        <v>0</v>
      </c>
      <c r="F39" t="str">
        <f t="shared" si="2"/>
        <v>High Risk</v>
      </c>
      <c r="G39" t="s">
        <v>3</v>
      </c>
      <c r="H39" t="s">
        <v>4</v>
      </c>
      <c r="I39" t="s">
        <v>9</v>
      </c>
      <c r="J39">
        <v>74.63</v>
      </c>
      <c r="K39">
        <v>23.1</v>
      </c>
      <c r="L39" t="s">
        <v>6</v>
      </c>
      <c r="M39">
        <v>1</v>
      </c>
      <c r="N39" t="str">
        <f t="shared" si="0"/>
        <v>60+</v>
      </c>
      <c r="O39" t="str">
        <f t="shared" si="1"/>
        <v>Normal</v>
      </c>
    </row>
    <row r="40" spans="1:15" x14ac:dyDescent="0.3">
      <c r="A40">
        <v>47306</v>
      </c>
      <c r="B40" t="s">
        <v>2</v>
      </c>
      <c r="C40">
        <v>58</v>
      </c>
      <c r="D40">
        <v>0</v>
      </c>
      <c r="E40">
        <v>0</v>
      </c>
      <c r="F40" t="str">
        <f t="shared" si="2"/>
        <v>Lower Risk</v>
      </c>
      <c r="G40" t="s">
        <v>13</v>
      </c>
      <c r="H40" t="s">
        <v>4</v>
      </c>
      <c r="I40" t="s">
        <v>9</v>
      </c>
      <c r="J40">
        <v>92.62</v>
      </c>
      <c r="K40">
        <v>32</v>
      </c>
      <c r="L40" t="s">
        <v>14</v>
      </c>
      <c r="M40">
        <v>1</v>
      </c>
      <c r="N40" t="str">
        <f t="shared" si="0"/>
        <v>40–59</v>
      </c>
      <c r="O40" t="str">
        <f t="shared" si="1"/>
        <v>Obese</v>
      </c>
    </row>
    <row r="41" spans="1:15" x14ac:dyDescent="0.3">
      <c r="A41">
        <v>62602</v>
      </c>
      <c r="B41" t="s">
        <v>7</v>
      </c>
      <c r="C41">
        <v>49</v>
      </c>
      <c r="D41">
        <v>0</v>
      </c>
      <c r="E41">
        <v>0</v>
      </c>
      <c r="F41" t="str">
        <f t="shared" si="2"/>
        <v>Lower Risk</v>
      </c>
      <c r="G41" t="s">
        <v>3</v>
      </c>
      <c r="H41" t="s">
        <v>4</v>
      </c>
      <c r="I41" t="s">
        <v>5</v>
      </c>
      <c r="J41">
        <v>60.91</v>
      </c>
      <c r="K41">
        <v>29.9</v>
      </c>
      <c r="L41" t="s">
        <v>11</v>
      </c>
      <c r="M41">
        <v>1</v>
      </c>
      <c r="N41" t="str">
        <f t="shared" si="0"/>
        <v>40–59</v>
      </c>
      <c r="O41" t="str">
        <f t="shared" si="1"/>
        <v>Overweight</v>
      </c>
    </row>
    <row r="42" spans="1:15" x14ac:dyDescent="0.3">
      <c r="A42">
        <v>4651</v>
      </c>
      <c r="B42" t="s">
        <v>2</v>
      </c>
      <c r="C42">
        <v>78</v>
      </c>
      <c r="D42">
        <v>0</v>
      </c>
      <c r="E42">
        <v>0</v>
      </c>
      <c r="F42" t="str">
        <f t="shared" si="2"/>
        <v>Moderate Risk</v>
      </c>
      <c r="G42" t="s">
        <v>3</v>
      </c>
      <c r="H42" t="s">
        <v>4</v>
      </c>
      <c r="I42" t="s">
        <v>9</v>
      </c>
      <c r="J42">
        <v>78.03</v>
      </c>
      <c r="K42">
        <v>23.9</v>
      </c>
      <c r="L42" t="s">
        <v>6</v>
      </c>
      <c r="M42">
        <v>1</v>
      </c>
      <c r="N42" t="str">
        <f t="shared" si="0"/>
        <v>60+</v>
      </c>
      <c r="O42" t="str">
        <f t="shared" si="1"/>
        <v>Normal</v>
      </c>
    </row>
    <row r="43" spans="1:15" x14ac:dyDescent="0.3">
      <c r="A43">
        <v>1261</v>
      </c>
      <c r="B43" t="s">
        <v>2</v>
      </c>
      <c r="C43">
        <v>54</v>
      </c>
      <c r="D43">
        <v>0</v>
      </c>
      <c r="E43">
        <v>0</v>
      </c>
      <c r="F43" t="str">
        <f t="shared" si="2"/>
        <v>Lower Risk</v>
      </c>
      <c r="G43" t="s">
        <v>3</v>
      </c>
      <c r="H43" t="s">
        <v>4</v>
      </c>
      <c r="I43" t="s">
        <v>5</v>
      </c>
      <c r="J43">
        <v>71.22</v>
      </c>
      <c r="K43">
        <v>28.5</v>
      </c>
      <c r="L43" t="s">
        <v>11</v>
      </c>
      <c r="M43">
        <v>1</v>
      </c>
      <c r="N43" t="str">
        <f t="shared" si="0"/>
        <v>40–59</v>
      </c>
      <c r="O43" t="str">
        <f t="shared" si="1"/>
        <v>Overweight</v>
      </c>
    </row>
    <row r="44" spans="1:15" x14ac:dyDescent="0.3">
      <c r="A44">
        <v>61960</v>
      </c>
      <c r="B44" t="s">
        <v>2</v>
      </c>
      <c r="C44">
        <v>82</v>
      </c>
      <c r="D44">
        <v>0</v>
      </c>
      <c r="E44">
        <v>1</v>
      </c>
      <c r="F44" t="str">
        <f t="shared" si="2"/>
        <v>High Risk</v>
      </c>
      <c r="G44" t="s">
        <v>3</v>
      </c>
      <c r="H44" t="s">
        <v>4</v>
      </c>
      <c r="I44" t="s">
        <v>5</v>
      </c>
      <c r="J44">
        <v>144.9</v>
      </c>
      <c r="K44">
        <v>26.4</v>
      </c>
      <c r="L44" t="s">
        <v>12</v>
      </c>
      <c r="M44">
        <v>1</v>
      </c>
      <c r="N44" t="str">
        <f t="shared" si="0"/>
        <v>60+</v>
      </c>
      <c r="O44" t="str">
        <f t="shared" si="1"/>
        <v>Overweight</v>
      </c>
    </row>
    <row r="45" spans="1:15" x14ac:dyDescent="0.3">
      <c r="A45">
        <v>1845</v>
      </c>
      <c r="B45" t="s">
        <v>7</v>
      </c>
      <c r="C45">
        <v>63</v>
      </c>
      <c r="D45">
        <v>0</v>
      </c>
      <c r="E45">
        <v>0</v>
      </c>
      <c r="F45" t="str">
        <f t="shared" si="2"/>
        <v>Moderate Risk</v>
      </c>
      <c r="G45" t="s">
        <v>3</v>
      </c>
      <c r="H45" t="s">
        <v>4</v>
      </c>
      <c r="I45" t="s">
        <v>5</v>
      </c>
      <c r="J45">
        <v>90.9</v>
      </c>
      <c r="K45" t="s">
        <v>10</v>
      </c>
      <c r="L45" t="s">
        <v>6</v>
      </c>
      <c r="M45">
        <v>1</v>
      </c>
      <c r="N45" t="str">
        <f t="shared" si="0"/>
        <v>60+</v>
      </c>
      <c r="O45" t="str">
        <f t="shared" si="1"/>
        <v>Unknown</v>
      </c>
    </row>
    <row r="46" spans="1:15" x14ac:dyDescent="0.3">
      <c r="A46">
        <v>7937</v>
      </c>
      <c r="B46" t="s">
        <v>2</v>
      </c>
      <c r="C46">
        <v>60</v>
      </c>
      <c r="D46">
        <v>1</v>
      </c>
      <c r="E46">
        <v>0</v>
      </c>
      <c r="F46" t="str">
        <f t="shared" si="2"/>
        <v>High Risk</v>
      </c>
      <c r="G46" t="s">
        <v>3</v>
      </c>
      <c r="H46" t="s">
        <v>15</v>
      </c>
      <c r="I46" t="s">
        <v>5</v>
      </c>
      <c r="J46">
        <v>213.03</v>
      </c>
      <c r="K46">
        <v>20.2</v>
      </c>
      <c r="L46" t="s">
        <v>12</v>
      </c>
      <c r="M46">
        <v>1</v>
      </c>
      <c r="N46" t="str">
        <f t="shared" si="0"/>
        <v>60+</v>
      </c>
      <c r="O46" t="str">
        <f t="shared" si="1"/>
        <v>Normal</v>
      </c>
    </row>
    <row r="47" spans="1:15" x14ac:dyDescent="0.3">
      <c r="A47">
        <v>19824</v>
      </c>
      <c r="B47" t="s">
        <v>2</v>
      </c>
      <c r="C47">
        <v>76</v>
      </c>
      <c r="D47">
        <v>1</v>
      </c>
      <c r="E47">
        <v>0</v>
      </c>
      <c r="F47" t="str">
        <f t="shared" si="2"/>
        <v>High Risk</v>
      </c>
      <c r="G47" t="s">
        <v>3</v>
      </c>
      <c r="H47" t="s">
        <v>4</v>
      </c>
      <c r="I47" t="s">
        <v>9</v>
      </c>
      <c r="J47">
        <v>243.58</v>
      </c>
      <c r="K47">
        <v>33.6</v>
      </c>
      <c r="L47" t="s">
        <v>11</v>
      </c>
      <c r="M47">
        <v>1</v>
      </c>
      <c r="N47" t="str">
        <f t="shared" si="0"/>
        <v>60+</v>
      </c>
      <c r="O47" t="str">
        <f t="shared" si="1"/>
        <v>Obese</v>
      </c>
    </row>
    <row r="48" spans="1:15" x14ac:dyDescent="0.3">
      <c r="A48">
        <v>37937</v>
      </c>
      <c r="B48" t="s">
        <v>7</v>
      </c>
      <c r="C48">
        <v>75</v>
      </c>
      <c r="D48">
        <v>0</v>
      </c>
      <c r="E48">
        <v>1</v>
      </c>
      <c r="F48" t="str">
        <f t="shared" si="2"/>
        <v>High Risk</v>
      </c>
      <c r="G48" t="s">
        <v>13</v>
      </c>
      <c r="H48" t="s">
        <v>8</v>
      </c>
      <c r="I48" t="s">
        <v>5</v>
      </c>
      <c r="J48">
        <v>109.78</v>
      </c>
      <c r="K48" t="s">
        <v>10</v>
      </c>
      <c r="L48" t="s">
        <v>14</v>
      </c>
      <c r="M48">
        <v>1</v>
      </c>
      <c r="N48" t="str">
        <f t="shared" si="0"/>
        <v>60+</v>
      </c>
      <c r="O48" t="str">
        <f t="shared" si="1"/>
        <v>Unknown</v>
      </c>
    </row>
    <row r="49" spans="1:15" x14ac:dyDescent="0.3">
      <c r="A49">
        <v>47472</v>
      </c>
      <c r="B49" t="s">
        <v>7</v>
      </c>
      <c r="C49">
        <v>58</v>
      </c>
      <c r="D49">
        <v>0</v>
      </c>
      <c r="E49">
        <v>0</v>
      </c>
      <c r="F49" t="str">
        <f t="shared" si="2"/>
        <v>Lower Risk</v>
      </c>
      <c r="G49" t="s">
        <v>3</v>
      </c>
      <c r="H49" t="s">
        <v>4</v>
      </c>
      <c r="I49" t="s">
        <v>5</v>
      </c>
      <c r="J49">
        <v>107.26</v>
      </c>
      <c r="K49">
        <v>38.6</v>
      </c>
      <c r="L49" t="s">
        <v>6</v>
      </c>
      <c r="M49">
        <v>1</v>
      </c>
      <c r="N49" t="str">
        <f t="shared" si="0"/>
        <v>40–59</v>
      </c>
      <c r="O49" t="str">
        <f t="shared" si="1"/>
        <v>Obese</v>
      </c>
    </row>
    <row r="50" spans="1:15" x14ac:dyDescent="0.3">
      <c r="A50">
        <v>35626</v>
      </c>
      <c r="B50" t="s">
        <v>2</v>
      </c>
      <c r="C50">
        <v>81</v>
      </c>
      <c r="D50">
        <v>0</v>
      </c>
      <c r="E50">
        <v>0</v>
      </c>
      <c r="F50" t="str">
        <f t="shared" si="2"/>
        <v>Moderate Risk</v>
      </c>
      <c r="G50" t="s">
        <v>3</v>
      </c>
      <c r="H50" t="s">
        <v>8</v>
      </c>
      <c r="I50" t="s">
        <v>5</v>
      </c>
      <c r="J50">
        <v>99.33</v>
      </c>
      <c r="K50">
        <v>33.700000000000003</v>
      </c>
      <c r="L50" t="s">
        <v>11</v>
      </c>
      <c r="M50">
        <v>1</v>
      </c>
      <c r="N50" t="str">
        <f t="shared" si="0"/>
        <v>60+</v>
      </c>
      <c r="O50" t="str">
        <f t="shared" si="1"/>
        <v>Obese</v>
      </c>
    </row>
    <row r="51" spans="1:15" x14ac:dyDescent="0.3">
      <c r="A51">
        <v>36338</v>
      </c>
      <c r="B51" t="s">
        <v>7</v>
      </c>
      <c r="C51">
        <v>39</v>
      </c>
      <c r="D51">
        <v>1</v>
      </c>
      <c r="E51">
        <v>0</v>
      </c>
      <c r="F51" t="str">
        <f t="shared" si="2"/>
        <v>Lower Risk</v>
      </c>
      <c r="G51" t="s">
        <v>3</v>
      </c>
      <c r="H51" t="s">
        <v>4</v>
      </c>
      <c r="I51" t="s">
        <v>9</v>
      </c>
      <c r="J51">
        <v>58.09</v>
      </c>
      <c r="K51">
        <v>39.200000000000003</v>
      </c>
      <c r="L51" t="s">
        <v>12</v>
      </c>
      <c r="M51">
        <v>1</v>
      </c>
      <c r="N51" t="str">
        <f t="shared" si="0"/>
        <v>Under 40</v>
      </c>
      <c r="O51" t="str">
        <f t="shared" si="1"/>
        <v>Obese</v>
      </c>
    </row>
    <row r="52" spans="1:15" x14ac:dyDescent="0.3">
      <c r="A52">
        <v>18587</v>
      </c>
      <c r="B52" t="s">
        <v>7</v>
      </c>
      <c r="C52">
        <v>76</v>
      </c>
      <c r="D52">
        <v>0</v>
      </c>
      <c r="E52">
        <v>0</v>
      </c>
      <c r="F52" t="str">
        <f t="shared" si="2"/>
        <v>Moderate Risk</v>
      </c>
      <c r="G52" t="s">
        <v>13</v>
      </c>
      <c r="H52" t="s">
        <v>4</v>
      </c>
      <c r="I52" t="s">
        <v>5</v>
      </c>
      <c r="J52">
        <v>89.96</v>
      </c>
      <c r="K52" t="s">
        <v>10</v>
      </c>
      <c r="L52" t="s">
        <v>14</v>
      </c>
      <c r="M52">
        <v>1</v>
      </c>
      <c r="N52" t="str">
        <f t="shared" si="0"/>
        <v>60+</v>
      </c>
      <c r="O52" t="str">
        <f t="shared" si="1"/>
        <v>Unknown</v>
      </c>
    </row>
    <row r="53" spans="1:15" x14ac:dyDescent="0.3">
      <c r="A53">
        <v>15102</v>
      </c>
      <c r="B53" t="s">
        <v>2</v>
      </c>
      <c r="C53">
        <v>78</v>
      </c>
      <c r="D53">
        <v>1</v>
      </c>
      <c r="E53">
        <v>0</v>
      </c>
      <c r="F53" t="str">
        <f t="shared" si="2"/>
        <v>High Risk</v>
      </c>
      <c r="G53" t="s">
        <v>3</v>
      </c>
      <c r="H53" t="s">
        <v>4</v>
      </c>
      <c r="I53" t="s">
        <v>5</v>
      </c>
      <c r="J53">
        <v>75.319999999999993</v>
      </c>
      <c r="K53" t="s">
        <v>10</v>
      </c>
      <c r="L53" t="s">
        <v>6</v>
      </c>
      <c r="M53">
        <v>1</v>
      </c>
      <c r="N53" t="str">
        <f t="shared" si="0"/>
        <v>60+</v>
      </c>
      <c r="O53" t="str">
        <f t="shared" si="1"/>
        <v>Unknown</v>
      </c>
    </row>
    <row r="54" spans="1:15" x14ac:dyDescent="0.3">
      <c r="A54">
        <v>59190</v>
      </c>
      <c r="B54" t="s">
        <v>7</v>
      </c>
      <c r="C54">
        <v>79</v>
      </c>
      <c r="D54">
        <v>0</v>
      </c>
      <c r="E54">
        <v>1</v>
      </c>
      <c r="F54" t="str">
        <f t="shared" si="2"/>
        <v>High Risk</v>
      </c>
      <c r="G54" t="s">
        <v>3</v>
      </c>
      <c r="H54" t="s">
        <v>4</v>
      </c>
      <c r="I54" t="s">
        <v>9</v>
      </c>
      <c r="J54">
        <v>127.29</v>
      </c>
      <c r="K54">
        <v>27.7</v>
      </c>
      <c r="L54" t="s">
        <v>11</v>
      </c>
      <c r="M54">
        <v>1</v>
      </c>
      <c r="N54" t="str">
        <f t="shared" si="0"/>
        <v>60+</v>
      </c>
      <c r="O54" t="str">
        <f t="shared" si="1"/>
        <v>Overweight</v>
      </c>
    </row>
    <row r="55" spans="1:15" x14ac:dyDescent="0.3">
      <c r="A55">
        <v>47167</v>
      </c>
      <c r="B55" t="s">
        <v>7</v>
      </c>
      <c r="C55">
        <v>77</v>
      </c>
      <c r="D55">
        <v>1</v>
      </c>
      <c r="E55">
        <v>0</v>
      </c>
      <c r="F55" t="str">
        <f t="shared" si="2"/>
        <v>High Risk</v>
      </c>
      <c r="G55" t="s">
        <v>3</v>
      </c>
      <c r="H55" t="s">
        <v>8</v>
      </c>
      <c r="I55" t="s">
        <v>5</v>
      </c>
      <c r="J55">
        <v>124.13</v>
      </c>
      <c r="K55">
        <v>31.4</v>
      </c>
      <c r="L55" t="s">
        <v>11</v>
      </c>
      <c r="M55">
        <v>1</v>
      </c>
      <c r="N55" t="str">
        <f t="shared" si="0"/>
        <v>60+</v>
      </c>
      <c r="O55" t="str">
        <f t="shared" si="1"/>
        <v>Obese</v>
      </c>
    </row>
    <row r="56" spans="1:15" x14ac:dyDescent="0.3">
      <c r="A56">
        <v>8752</v>
      </c>
      <c r="B56" t="s">
        <v>7</v>
      </c>
      <c r="C56">
        <v>63</v>
      </c>
      <c r="D56">
        <v>0</v>
      </c>
      <c r="E56">
        <v>0</v>
      </c>
      <c r="F56" t="str">
        <f t="shared" si="2"/>
        <v>Moderate Risk</v>
      </c>
      <c r="G56" t="s">
        <v>3</v>
      </c>
      <c r="H56" t="s">
        <v>15</v>
      </c>
      <c r="I56" t="s">
        <v>5</v>
      </c>
      <c r="J56">
        <v>197.54</v>
      </c>
      <c r="K56" t="s">
        <v>10</v>
      </c>
      <c r="L56" t="s">
        <v>11</v>
      </c>
      <c r="M56">
        <v>1</v>
      </c>
      <c r="N56" t="str">
        <f t="shared" si="0"/>
        <v>60+</v>
      </c>
      <c r="O56" t="str">
        <f t="shared" si="1"/>
        <v>Unknown</v>
      </c>
    </row>
    <row r="57" spans="1:15" x14ac:dyDescent="0.3">
      <c r="A57">
        <v>25831</v>
      </c>
      <c r="B57" t="s">
        <v>2</v>
      </c>
      <c r="C57">
        <v>63</v>
      </c>
      <c r="D57">
        <v>0</v>
      </c>
      <c r="E57">
        <v>1</v>
      </c>
      <c r="F57" t="str">
        <f t="shared" si="2"/>
        <v>High Risk</v>
      </c>
      <c r="G57" t="s">
        <v>3</v>
      </c>
      <c r="H57" t="s">
        <v>4</v>
      </c>
      <c r="I57" t="s">
        <v>9</v>
      </c>
      <c r="J57">
        <v>196.71</v>
      </c>
      <c r="K57">
        <v>36.5</v>
      </c>
      <c r="L57" t="s">
        <v>6</v>
      </c>
      <c r="M57">
        <v>1</v>
      </c>
      <c r="N57" t="str">
        <f t="shared" si="0"/>
        <v>60+</v>
      </c>
      <c r="O57" t="str">
        <f t="shared" si="1"/>
        <v>Obese</v>
      </c>
    </row>
    <row r="58" spans="1:15" x14ac:dyDescent="0.3">
      <c r="A58">
        <v>38829</v>
      </c>
      <c r="B58" t="s">
        <v>7</v>
      </c>
      <c r="C58">
        <v>82</v>
      </c>
      <c r="D58">
        <v>0</v>
      </c>
      <c r="E58">
        <v>0</v>
      </c>
      <c r="F58" t="str">
        <f t="shared" si="2"/>
        <v>Moderate Risk</v>
      </c>
      <c r="G58" t="s">
        <v>3</v>
      </c>
      <c r="H58" t="s">
        <v>4</v>
      </c>
      <c r="I58" t="s">
        <v>9</v>
      </c>
      <c r="J58">
        <v>59.32</v>
      </c>
      <c r="K58">
        <v>33.200000000000003</v>
      </c>
      <c r="L58" t="s">
        <v>11</v>
      </c>
      <c r="M58">
        <v>1</v>
      </c>
      <c r="N58" t="str">
        <f t="shared" si="0"/>
        <v>60+</v>
      </c>
      <c r="O58" t="str">
        <f t="shared" si="1"/>
        <v>Obese</v>
      </c>
    </row>
    <row r="59" spans="1:15" x14ac:dyDescent="0.3">
      <c r="A59">
        <v>66400</v>
      </c>
      <c r="B59" t="s">
        <v>2</v>
      </c>
      <c r="C59">
        <v>78</v>
      </c>
      <c r="D59">
        <v>0</v>
      </c>
      <c r="E59">
        <v>0</v>
      </c>
      <c r="F59" t="str">
        <f t="shared" si="2"/>
        <v>Moderate Risk</v>
      </c>
      <c r="G59" t="s">
        <v>3</v>
      </c>
      <c r="H59" t="s">
        <v>4</v>
      </c>
      <c r="I59" t="s">
        <v>5</v>
      </c>
      <c r="J59">
        <v>237.75</v>
      </c>
      <c r="K59" t="s">
        <v>10</v>
      </c>
      <c r="L59" t="s">
        <v>6</v>
      </c>
      <c r="M59">
        <v>1</v>
      </c>
      <c r="N59" t="str">
        <f t="shared" si="0"/>
        <v>60+</v>
      </c>
      <c r="O59" t="str">
        <f t="shared" si="1"/>
        <v>Unknown</v>
      </c>
    </row>
    <row r="60" spans="1:15" x14ac:dyDescent="0.3">
      <c r="A60">
        <v>58631</v>
      </c>
      <c r="B60" t="s">
        <v>2</v>
      </c>
      <c r="C60">
        <v>73</v>
      </c>
      <c r="D60">
        <v>1</v>
      </c>
      <c r="E60">
        <v>0</v>
      </c>
      <c r="F60" t="str">
        <f t="shared" si="2"/>
        <v>High Risk</v>
      </c>
      <c r="G60" t="s">
        <v>3</v>
      </c>
      <c r="H60" t="s">
        <v>8</v>
      </c>
      <c r="I60" t="s">
        <v>5</v>
      </c>
      <c r="J60">
        <v>194.99</v>
      </c>
      <c r="K60">
        <v>32.799999999999997</v>
      </c>
      <c r="L60" t="s">
        <v>11</v>
      </c>
      <c r="M60">
        <v>1</v>
      </c>
      <c r="N60" t="str">
        <f t="shared" si="0"/>
        <v>60+</v>
      </c>
      <c r="O60" t="str">
        <f t="shared" si="1"/>
        <v>Obese</v>
      </c>
    </row>
    <row r="61" spans="1:15" x14ac:dyDescent="0.3">
      <c r="A61">
        <v>5111</v>
      </c>
      <c r="B61" t="s">
        <v>7</v>
      </c>
      <c r="C61">
        <v>54</v>
      </c>
      <c r="D61">
        <v>1</v>
      </c>
      <c r="E61">
        <v>0</v>
      </c>
      <c r="F61" t="str">
        <f t="shared" si="2"/>
        <v>Lower Risk</v>
      </c>
      <c r="G61" t="s">
        <v>3</v>
      </c>
      <c r="H61" t="s">
        <v>15</v>
      </c>
      <c r="I61" t="s">
        <v>5</v>
      </c>
      <c r="J61">
        <v>180.93</v>
      </c>
      <c r="K61">
        <v>27.7</v>
      </c>
      <c r="L61" t="s">
        <v>11</v>
      </c>
      <c r="M61">
        <v>1</v>
      </c>
      <c r="N61" t="str">
        <f t="shared" si="0"/>
        <v>40–59</v>
      </c>
      <c r="O61" t="str">
        <f t="shared" si="1"/>
        <v>Overweight</v>
      </c>
    </row>
    <row r="62" spans="1:15" x14ac:dyDescent="0.3">
      <c r="A62">
        <v>10710</v>
      </c>
      <c r="B62" t="s">
        <v>7</v>
      </c>
      <c r="C62">
        <v>56</v>
      </c>
      <c r="D62">
        <v>0</v>
      </c>
      <c r="E62">
        <v>0</v>
      </c>
      <c r="F62" t="str">
        <f t="shared" si="2"/>
        <v>Lower Risk</v>
      </c>
      <c r="G62" t="s">
        <v>3</v>
      </c>
      <c r="H62" t="s">
        <v>4</v>
      </c>
      <c r="I62" t="s">
        <v>5</v>
      </c>
      <c r="J62">
        <v>185.17</v>
      </c>
      <c r="K62">
        <v>40.4</v>
      </c>
      <c r="L62" t="s">
        <v>6</v>
      </c>
      <c r="M62">
        <v>1</v>
      </c>
      <c r="N62" t="str">
        <f t="shared" si="0"/>
        <v>40–59</v>
      </c>
      <c r="O62" t="str">
        <f t="shared" si="1"/>
        <v>Obese</v>
      </c>
    </row>
    <row r="63" spans="1:15" x14ac:dyDescent="0.3">
      <c r="A63">
        <v>55927</v>
      </c>
      <c r="B63" t="s">
        <v>7</v>
      </c>
      <c r="C63">
        <v>80</v>
      </c>
      <c r="D63">
        <v>1</v>
      </c>
      <c r="E63">
        <v>0</v>
      </c>
      <c r="F63" t="str">
        <f t="shared" si="2"/>
        <v>High Risk</v>
      </c>
      <c r="G63" t="s">
        <v>3</v>
      </c>
      <c r="H63" t="s">
        <v>4</v>
      </c>
      <c r="I63" t="s">
        <v>9</v>
      </c>
      <c r="J63">
        <v>74.900000000000006</v>
      </c>
      <c r="K63">
        <v>22.2</v>
      </c>
      <c r="L63" t="s">
        <v>11</v>
      </c>
      <c r="M63">
        <v>1</v>
      </c>
      <c r="N63" t="str">
        <f t="shared" si="0"/>
        <v>60+</v>
      </c>
      <c r="O63" t="str">
        <f t="shared" si="1"/>
        <v>Normal</v>
      </c>
    </row>
    <row r="64" spans="1:15" x14ac:dyDescent="0.3">
      <c r="A64">
        <v>65842</v>
      </c>
      <c r="B64" t="s">
        <v>7</v>
      </c>
      <c r="C64">
        <v>67</v>
      </c>
      <c r="D64">
        <v>1</v>
      </c>
      <c r="E64">
        <v>0</v>
      </c>
      <c r="F64" t="str">
        <f t="shared" si="2"/>
        <v>High Risk</v>
      </c>
      <c r="G64" t="s">
        <v>3</v>
      </c>
      <c r="H64" t="s">
        <v>8</v>
      </c>
      <c r="I64" t="s">
        <v>9</v>
      </c>
      <c r="J64">
        <v>61.94</v>
      </c>
      <c r="K64">
        <v>25.3</v>
      </c>
      <c r="L64" t="s">
        <v>12</v>
      </c>
      <c r="M64">
        <v>1</v>
      </c>
      <c r="N64" t="str">
        <f t="shared" si="0"/>
        <v>60+</v>
      </c>
      <c r="O64" t="str">
        <f t="shared" si="1"/>
        <v>Overweight</v>
      </c>
    </row>
    <row r="65" spans="1:15" x14ac:dyDescent="0.3">
      <c r="A65">
        <v>19557</v>
      </c>
      <c r="B65" t="s">
        <v>7</v>
      </c>
      <c r="C65">
        <v>45</v>
      </c>
      <c r="D65">
        <v>0</v>
      </c>
      <c r="E65">
        <v>0</v>
      </c>
      <c r="F65" t="str">
        <f t="shared" si="2"/>
        <v>Lower Risk</v>
      </c>
      <c r="G65" t="s">
        <v>3</v>
      </c>
      <c r="H65" t="s">
        <v>4</v>
      </c>
      <c r="I65" t="s">
        <v>9</v>
      </c>
      <c r="J65">
        <v>93.72</v>
      </c>
      <c r="K65">
        <v>30.2</v>
      </c>
      <c r="L65" t="s">
        <v>6</v>
      </c>
      <c r="M65">
        <v>1</v>
      </c>
      <c r="N65" t="str">
        <f t="shared" si="0"/>
        <v>40–59</v>
      </c>
      <c r="O65" t="str">
        <f t="shared" si="1"/>
        <v>Obese</v>
      </c>
    </row>
    <row r="66" spans="1:15" x14ac:dyDescent="0.3">
      <c r="A66">
        <v>7356</v>
      </c>
      <c r="B66" t="s">
        <v>2</v>
      </c>
      <c r="C66">
        <v>75</v>
      </c>
      <c r="D66">
        <v>0</v>
      </c>
      <c r="E66">
        <v>0</v>
      </c>
      <c r="F66" t="str">
        <f t="shared" si="2"/>
        <v>Moderate Risk</v>
      </c>
      <c r="G66" t="s">
        <v>3</v>
      </c>
      <c r="H66" t="s">
        <v>4</v>
      </c>
      <c r="I66" t="s">
        <v>5</v>
      </c>
      <c r="J66">
        <v>104.72</v>
      </c>
      <c r="K66" t="s">
        <v>10</v>
      </c>
      <c r="L66" t="s">
        <v>14</v>
      </c>
      <c r="M66">
        <v>1</v>
      </c>
      <c r="N66" t="str">
        <f t="shared" ref="N66:N129" si="3">IF(C66&lt;40,"Under 40",IF(C66&lt;60,"40–59","60+"))</f>
        <v>60+</v>
      </c>
      <c r="O66" t="str">
        <f t="shared" ref="O66:O129" si="4">IF(K66="N/A","Unknown",
IF(K66="","Unknown",
IF(K66&lt;18.5,"Underweight",
IF(K66&lt;25,"Normal",
IF(K66&lt;30,"Overweight","Obese")))))</f>
        <v>Unknown</v>
      </c>
    </row>
    <row r="67" spans="1:15" x14ac:dyDescent="0.3">
      <c r="A67">
        <v>17013</v>
      </c>
      <c r="B67" t="s">
        <v>2</v>
      </c>
      <c r="C67">
        <v>78</v>
      </c>
      <c r="D67">
        <v>1</v>
      </c>
      <c r="E67">
        <v>0</v>
      </c>
      <c r="F67" t="str">
        <f t="shared" ref="F67:F130" si="5">IF(C67&gt;=60,
IF(OR(D67=1,E67=1),"High Risk","Moderate Risk"),
"Lower Risk")</f>
        <v>High Risk</v>
      </c>
      <c r="G67" t="s">
        <v>13</v>
      </c>
      <c r="H67" t="s">
        <v>4</v>
      </c>
      <c r="I67" t="s">
        <v>5</v>
      </c>
      <c r="J67">
        <v>113.01</v>
      </c>
      <c r="K67">
        <v>24</v>
      </c>
      <c r="L67" t="s">
        <v>11</v>
      </c>
      <c r="M67">
        <v>1</v>
      </c>
      <c r="N67" t="str">
        <f t="shared" si="3"/>
        <v>60+</v>
      </c>
      <c r="O67" t="str">
        <f t="shared" si="4"/>
        <v>Normal</v>
      </c>
    </row>
    <row r="68" spans="1:15" x14ac:dyDescent="0.3">
      <c r="A68">
        <v>17004</v>
      </c>
      <c r="B68" t="s">
        <v>7</v>
      </c>
      <c r="C68">
        <v>70</v>
      </c>
      <c r="D68">
        <v>0</v>
      </c>
      <c r="E68">
        <v>0</v>
      </c>
      <c r="F68" t="str">
        <f t="shared" si="5"/>
        <v>Moderate Risk</v>
      </c>
      <c r="G68" t="s">
        <v>3</v>
      </c>
      <c r="H68" t="s">
        <v>4</v>
      </c>
      <c r="I68" t="s">
        <v>5</v>
      </c>
      <c r="J68">
        <v>221.58</v>
      </c>
      <c r="K68">
        <v>47.5</v>
      </c>
      <c r="L68" t="s">
        <v>11</v>
      </c>
      <c r="M68">
        <v>1</v>
      </c>
      <c r="N68" t="str">
        <f t="shared" si="3"/>
        <v>60+</v>
      </c>
      <c r="O68" t="str">
        <f t="shared" si="4"/>
        <v>Obese</v>
      </c>
    </row>
    <row r="69" spans="1:15" x14ac:dyDescent="0.3">
      <c r="A69">
        <v>72366</v>
      </c>
      <c r="B69" t="s">
        <v>2</v>
      </c>
      <c r="C69">
        <v>76</v>
      </c>
      <c r="D69">
        <v>0</v>
      </c>
      <c r="E69">
        <v>0</v>
      </c>
      <c r="F69" t="str">
        <f t="shared" si="5"/>
        <v>Moderate Risk</v>
      </c>
      <c r="G69" t="s">
        <v>3</v>
      </c>
      <c r="H69" t="s">
        <v>4</v>
      </c>
      <c r="I69" t="s">
        <v>5</v>
      </c>
      <c r="J69">
        <v>104.47</v>
      </c>
      <c r="K69">
        <v>20.3</v>
      </c>
      <c r="L69" t="s">
        <v>14</v>
      </c>
      <c r="M69">
        <v>1</v>
      </c>
      <c r="N69" t="str">
        <f t="shared" si="3"/>
        <v>60+</v>
      </c>
      <c r="O69" t="str">
        <f t="shared" si="4"/>
        <v>Normal</v>
      </c>
    </row>
    <row r="70" spans="1:15" x14ac:dyDescent="0.3">
      <c r="A70">
        <v>6118</v>
      </c>
      <c r="B70" t="s">
        <v>2</v>
      </c>
      <c r="C70">
        <v>59</v>
      </c>
      <c r="D70">
        <v>0</v>
      </c>
      <c r="E70">
        <v>0</v>
      </c>
      <c r="F70" t="str">
        <f t="shared" si="5"/>
        <v>Lower Risk</v>
      </c>
      <c r="G70" t="s">
        <v>3</v>
      </c>
      <c r="H70" t="s">
        <v>4</v>
      </c>
      <c r="I70" t="s">
        <v>5</v>
      </c>
      <c r="J70">
        <v>86.23</v>
      </c>
      <c r="K70">
        <v>30</v>
      </c>
      <c r="L70" t="s">
        <v>6</v>
      </c>
      <c r="M70">
        <v>1</v>
      </c>
      <c r="N70" t="str">
        <f t="shared" si="3"/>
        <v>40–59</v>
      </c>
      <c r="O70" t="str">
        <f t="shared" si="4"/>
        <v>Obese</v>
      </c>
    </row>
    <row r="71" spans="1:15" x14ac:dyDescent="0.3">
      <c r="A71">
        <v>7371</v>
      </c>
      <c r="B71" t="s">
        <v>7</v>
      </c>
      <c r="C71">
        <v>80</v>
      </c>
      <c r="D71">
        <v>1</v>
      </c>
      <c r="E71">
        <v>0</v>
      </c>
      <c r="F71" t="str">
        <f t="shared" si="5"/>
        <v>High Risk</v>
      </c>
      <c r="G71" t="s">
        <v>3</v>
      </c>
      <c r="H71" t="s">
        <v>8</v>
      </c>
      <c r="I71" t="s">
        <v>9</v>
      </c>
      <c r="J71">
        <v>72.67</v>
      </c>
      <c r="K71">
        <v>28.9</v>
      </c>
      <c r="L71" t="s">
        <v>11</v>
      </c>
      <c r="M71">
        <v>1</v>
      </c>
      <c r="N71" t="str">
        <f t="shared" si="3"/>
        <v>60+</v>
      </c>
      <c r="O71" t="str">
        <f t="shared" si="4"/>
        <v>Overweight</v>
      </c>
    </row>
    <row r="72" spans="1:15" x14ac:dyDescent="0.3">
      <c r="A72">
        <v>70676</v>
      </c>
      <c r="B72" t="s">
        <v>7</v>
      </c>
      <c r="C72">
        <v>76</v>
      </c>
      <c r="D72">
        <v>0</v>
      </c>
      <c r="E72">
        <v>0</v>
      </c>
      <c r="F72" t="str">
        <f t="shared" si="5"/>
        <v>Moderate Risk</v>
      </c>
      <c r="G72" t="s">
        <v>3</v>
      </c>
      <c r="H72" t="s">
        <v>15</v>
      </c>
      <c r="I72" t="s">
        <v>9</v>
      </c>
      <c r="J72">
        <v>62.57</v>
      </c>
      <c r="K72" t="s">
        <v>10</v>
      </c>
      <c r="L72" t="s">
        <v>6</v>
      </c>
      <c r="M72">
        <v>1</v>
      </c>
      <c r="N72" t="str">
        <f t="shared" si="3"/>
        <v>60+</v>
      </c>
      <c r="O72" t="str">
        <f t="shared" si="4"/>
        <v>Unknown</v>
      </c>
    </row>
    <row r="73" spans="1:15" x14ac:dyDescent="0.3">
      <c r="A73">
        <v>2326</v>
      </c>
      <c r="B73" t="s">
        <v>7</v>
      </c>
      <c r="C73">
        <v>67</v>
      </c>
      <c r="D73">
        <v>1</v>
      </c>
      <c r="E73">
        <v>0</v>
      </c>
      <c r="F73" t="str">
        <f t="shared" si="5"/>
        <v>High Risk</v>
      </c>
      <c r="G73" t="s">
        <v>3</v>
      </c>
      <c r="H73" t="s">
        <v>4</v>
      </c>
      <c r="I73" t="s">
        <v>9</v>
      </c>
      <c r="J73">
        <v>179.12</v>
      </c>
      <c r="K73">
        <v>28.1</v>
      </c>
      <c r="L73" t="s">
        <v>6</v>
      </c>
      <c r="M73">
        <v>1</v>
      </c>
      <c r="N73" t="str">
        <f t="shared" si="3"/>
        <v>60+</v>
      </c>
      <c r="O73" t="str">
        <f t="shared" si="4"/>
        <v>Overweight</v>
      </c>
    </row>
    <row r="74" spans="1:15" x14ac:dyDescent="0.3">
      <c r="A74">
        <v>27169</v>
      </c>
      <c r="B74" t="s">
        <v>7</v>
      </c>
      <c r="C74">
        <v>66</v>
      </c>
      <c r="D74">
        <v>1</v>
      </c>
      <c r="E74">
        <v>0</v>
      </c>
      <c r="F74" t="str">
        <f t="shared" si="5"/>
        <v>High Risk</v>
      </c>
      <c r="G74" t="s">
        <v>3</v>
      </c>
      <c r="H74" t="s">
        <v>15</v>
      </c>
      <c r="I74" t="s">
        <v>9</v>
      </c>
      <c r="J74">
        <v>116.55</v>
      </c>
      <c r="K74">
        <v>31.1</v>
      </c>
      <c r="L74" t="s">
        <v>6</v>
      </c>
      <c r="M74">
        <v>1</v>
      </c>
      <c r="N74" t="str">
        <f t="shared" si="3"/>
        <v>60+</v>
      </c>
      <c r="O74" t="str">
        <f t="shared" si="4"/>
        <v>Obese</v>
      </c>
    </row>
    <row r="75" spans="1:15" x14ac:dyDescent="0.3">
      <c r="A75">
        <v>50784</v>
      </c>
      <c r="B75" t="s">
        <v>2</v>
      </c>
      <c r="C75">
        <v>63</v>
      </c>
      <c r="D75">
        <v>0</v>
      </c>
      <c r="E75">
        <v>0</v>
      </c>
      <c r="F75" t="str">
        <f t="shared" si="5"/>
        <v>Moderate Risk</v>
      </c>
      <c r="G75" t="s">
        <v>3</v>
      </c>
      <c r="H75" t="s">
        <v>4</v>
      </c>
      <c r="I75" t="s">
        <v>9</v>
      </c>
      <c r="J75">
        <v>228.56</v>
      </c>
      <c r="K75">
        <v>27.4</v>
      </c>
      <c r="L75" t="s">
        <v>11</v>
      </c>
      <c r="M75">
        <v>1</v>
      </c>
      <c r="N75" t="str">
        <f t="shared" si="3"/>
        <v>60+</v>
      </c>
      <c r="O75" t="str">
        <f t="shared" si="4"/>
        <v>Overweight</v>
      </c>
    </row>
    <row r="76" spans="1:15" x14ac:dyDescent="0.3">
      <c r="A76">
        <v>19773</v>
      </c>
      <c r="B76" t="s">
        <v>7</v>
      </c>
      <c r="C76">
        <v>52</v>
      </c>
      <c r="D76">
        <v>0</v>
      </c>
      <c r="E76">
        <v>0</v>
      </c>
      <c r="F76" t="str">
        <f t="shared" si="5"/>
        <v>Lower Risk</v>
      </c>
      <c r="G76" t="s">
        <v>3</v>
      </c>
      <c r="H76" t="s">
        <v>4</v>
      </c>
      <c r="I76" t="s">
        <v>9</v>
      </c>
      <c r="J76">
        <v>96.59</v>
      </c>
      <c r="K76">
        <v>26.4</v>
      </c>
      <c r="L76" t="s">
        <v>11</v>
      </c>
      <c r="M76">
        <v>1</v>
      </c>
      <c r="N76" t="str">
        <f t="shared" si="3"/>
        <v>40–59</v>
      </c>
      <c r="O76" t="str">
        <f t="shared" si="4"/>
        <v>Overweight</v>
      </c>
    </row>
    <row r="77" spans="1:15" x14ac:dyDescent="0.3">
      <c r="A77">
        <v>66159</v>
      </c>
      <c r="B77" t="s">
        <v>7</v>
      </c>
      <c r="C77">
        <v>80</v>
      </c>
      <c r="D77">
        <v>0</v>
      </c>
      <c r="E77">
        <v>1</v>
      </c>
      <c r="F77" t="str">
        <f t="shared" si="5"/>
        <v>High Risk</v>
      </c>
      <c r="G77" t="s">
        <v>3</v>
      </c>
      <c r="H77" t="s">
        <v>8</v>
      </c>
      <c r="I77" t="s">
        <v>9</v>
      </c>
      <c r="J77">
        <v>66.72</v>
      </c>
      <c r="K77">
        <v>21.7</v>
      </c>
      <c r="L77" t="s">
        <v>6</v>
      </c>
      <c r="M77">
        <v>1</v>
      </c>
      <c r="N77" t="str">
        <f t="shared" si="3"/>
        <v>60+</v>
      </c>
      <c r="O77" t="str">
        <f t="shared" si="4"/>
        <v>Normal</v>
      </c>
    </row>
    <row r="78" spans="1:15" x14ac:dyDescent="0.3">
      <c r="A78">
        <v>36236</v>
      </c>
      <c r="B78" t="s">
        <v>2</v>
      </c>
      <c r="C78">
        <v>80</v>
      </c>
      <c r="D78">
        <v>1</v>
      </c>
      <c r="E78">
        <v>0</v>
      </c>
      <c r="F78" t="str">
        <f t="shared" si="5"/>
        <v>High Risk</v>
      </c>
      <c r="G78" t="s">
        <v>3</v>
      </c>
      <c r="H78" t="s">
        <v>4</v>
      </c>
      <c r="I78" t="s">
        <v>5</v>
      </c>
      <c r="J78">
        <v>240.09</v>
      </c>
      <c r="K78">
        <v>27</v>
      </c>
      <c r="L78" t="s">
        <v>11</v>
      </c>
      <c r="M78">
        <v>1</v>
      </c>
      <c r="N78" t="str">
        <f t="shared" si="3"/>
        <v>60+</v>
      </c>
      <c r="O78" t="str">
        <f t="shared" si="4"/>
        <v>Overweight</v>
      </c>
    </row>
    <row r="79" spans="1:15" x14ac:dyDescent="0.3">
      <c r="A79">
        <v>71673</v>
      </c>
      <c r="B79" t="s">
        <v>7</v>
      </c>
      <c r="C79">
        <v>79</v>
      </c>
      <c r="D79">
        <v>0</v>
      </c>
      <c r="E79">
        <v>0</v>
      </c>
      <c r="F79" t="str">
        <f t="shared" si="5"/>
        <v>Moderate Risk</v>
      </c>
      <c r="G79" t="s">
        <v>3</v>
      </c>
      <c r="H79" t="s">
        <v>4</v>
      </c>
      <c r="I79" t="s">
        <v>5</v>
      </c>
      <c r="J79">
        <v>110.85</v>
      </c>
      <c r="K79">
        <v>24.1</v>
      </c>
      <c r="L79" t="s">
        <v>6</v>
      </c>
      <c r="M79">
        <v>1</v>
      </c>
      <c r="N79" t="str">
        <f t="shared" si="3"/>
        <v>60+</v>
      </c>
      <c r="O79" t="str">
        <f t="shared" si="4"/>
        <v>Normal</v>
      </c>
    </row>
    <row r="80" spans="1:15" x14ac:dyDescent="0.3">
      <c r="A80">
        <v>45805</v>
      </c>
      <c r="B80" t="s">
        <v>7</v>
      </c>
      <c r="C80">
        <v>51</v>
      </c>
      <c r="D80">
        <v>0</v>
      </c>
      <c r="E80">
        <v>0</v>
      </c>
      <c r="F80" t="str">
        <f t="shared" si="5"/>
        <v>Lower Risk</v>
      </c>
      <c r="G80" t="s">
        <v>3</v>
      </c>
      <c r="H80" t="s">
        <v>4</v>
      </c>
      <c r="I80" t="s">
        <v>5</v>
      </c>
      <c r="J80">
        <v>165.31</v>
      </c>
      <c r="K80" t="s">
        <v>10</v>
      </c>
      <c r="L80" t="s">
        <v>11</v>
      </c>
      <c r="M80">
        <v>1</v>
      </c>
      <c r="N80" t="str">
        <f t="shared" si="3"/>
        <v>40–59</v>
      </c>
      <c r="O80" t="str">
        <f t="shared" si="4"/>
        <v>Unknown</v>
      </c>
    </row>
    <row r="81" spans="1:15" x14ac:dyDescent="0.3">
      <c r="A81">
        <v>42117</v>
      </c>
      <c r="B81" t="s">
        <v>2</v>
      </c>
      <c r="C81">
        <v>43</v>
      </c>
      <c r="D81">
        <v>0</v>
      </c>
      <c r="E81">
        <v>0</v>
      </c>
      <c r="F81" t="str">
        <f t="shared" si="5"/>
        <v>Lower Risk</v>
      </c>
      <c r="G81" t="s">
        <v>3</v>
      </c>
      <c r="H81" t="s">
        <v>8</v>
      </c>
      <c r="I81" t="s">
        <v>5</v>
      </c>
      <c r="J81">
        <v>143.43</v>
      </c>
      <c r="K81">
        <v>45.9</v>
      </c>
      <c r="L81" t="s">
        <v>14</v>
      </c>
      <c r="M81">
        <v>1</v>
      </c>
      <c r="N81" t="str">
        <f t="shared" si="3"/>
        <v>40–59</v>
      </c>
      <c r="O81" t="str">
        <f t="shared" si="4"/>
        <v>Obese</v>
      </c>
    </row>
    <row r="82" spans="1:15" x14ac:dyDescent="0.3">
      <c r="A82">
        <v>57419</v>
      </c>
      <c r="B82" t="s">
        <v>2</v>
      </c>
      <c r="C82">
        <v>59</v>
      </c>
      <c r="D82">
        <v>0</v>
      </c>
      <c r="E82">
        <v>0</v>
      </c>
      <c r="F82" t="str">
        <f t="shared" si="5"/>
        <v>Lower Risk</v>
      </c>
      <c r="G82" t="s">
        <v>3</v>
      </c>
      <c r="H82" t="s">
        <v>4</v>
      </c>
      <c r="I82" t="s">
        <v>9</v>
      </c>
      <c r="J82">
        <v>96.16</v>
      </c>
      <c r="K82">
        <v>44.1</v>
      </c>
      <c r="L82" t="s">
        <v>14</v>
      </c>
      <c r="M82">
        <v>1</v>
      </c>
      <c r="N82" t="str">
        <f t="shared" si="3"/>
        <v>40–59</v>
      </c>
      <c r="O82" t="str">
        <f t="shared" si="4"/>
        <v>Obese</v>
      </c>
    </row>
    <row r="83" spans="1:15" x14ac:dyDescent="0.3">
      <c r="A83">
        <v>26015</v>
      </c>
      <c r="B83" t="s">
        <v>7</v>
      </c>
      <c r="C83">
        <v>66</v>
      </c>
      <c r="D83">
        <v>0</v>
      </c>
      <c r="E83">
        <v>0</v>
      </c>
      <c r="F83" t="str">
        <f t="shared" si="5"/>
        <v>Moderate Risk</v>
      </c>
      <c r="G83" t="s">
        <v>3</v>
      </c>
      <c r="H83" t="s">
        <v>8</v>
      </c>
      <c r="I83" t="s">
        <v>5</v>
      </c>
      <c r="J83">
        <v>101.45</v>
      </c>
      <c r="K83" t="s">
        <v>10</v>
      </c>
      <c r="L83" t="s">
        <v>14</v>
      </c>
      <c r="M83">
        <v>1</v>
      </c>
      <c r="N83" t="str">
        <f t="shared" si="3"/>
        <v>60+</v>
      </c>
      <c r="O83" t="str">
        <f t="shared" si="4"/>
        <v>Unknown</v>
      </c>
    </row>
    <row r="84" spans="1:15" x14ac:dyDescent="0.3">
      <c r="A84">
        <v>26727</v>
      </c>
      <c r="B84" t="s">
        <v>7</v>
      </c>
      <c r="C84">
        <v>79</v>
      </c>
      <c r="D84">
        <v>0</v>
      </c>
      <c r="E84">
        <v>0</v>
      </c>
      <c r="F84" t="str">
        <f t="shared" si="5"/>
        <v>Moderate Risk</v>
      </c>
      <c r="G84" t="s">
        <v>13</v>
      </c>
      <c r="H84" t="s">
        <v>4</v>
      </c>
      <c r="I84" t="s">
        <v>9</v>
      </c>
      <c r="J84">
        <v>88.92</v>
      </c>
      <c r="K84">
        <v>22.9</v>
      </c>
      <c r="L84" t="s">
        <v>11</v>
      </c>
      <c r="M84">
        <v>1</v>
      </c>
      <c r="N84" t="str">
        <f t="shared" si="3"/>
        <v>60+</v>
      </c>
      <c r="O84" t="str">
        <f t="shared" si="4"/>
        <v>Normal</v>
      </c>
    </row>
    <row r="85" spans="1:15" x14ac:dyDescent="0.3">
      <c r="A85">
        <v>66638</v>
      </c>
      <c r="B85" t="s">
        <v>7</v>
      </c>
      <c r="C85">
        <v>68</v>
      </c>
      <c r="D85">
        <v>1</v>
      </c>
      <c r="E85">
        <v>0</v>
      </c>
      <c r="F85" t="str">
        <f t="shared" si="5"/>
        <v>High Risk</v>
      </c>
      <c r="G85" t="s">
        <v>13</v>
      </c>
      <c r="H85" t="s">
        <v>8</v>
      </c>
      <c r="I85" t="s">
        <v>5</v>
      </c>
      <c r="J85">
        <v>79.790000000000006</v>
      </c>
      <c r="K85">
        <v>29.7</v>
      </c>
      <c r="L85" t="s">
        <v>11</v>
      </c>
      <c r="M85">
        <v>1</v>
      </c>
      <c r="N85" t="str">
        <f t="shared" si="3"/>
        <v>60+</v>
      </c>
      <c r="O85" t="str">
        <f t="shared" si="4"/>
        <v>Overweight</v>
      </c>
    </row>
    <row r="86" spans="1:15" x14ac:dyDescent="0.3">
      <c r="A86">
        <v>70042</v>
      </c>
      <c r="B86" t="s">
        <v>2</v>
      </c>
      <c r="C86">
        <v>58</v>
      </c>
      <c r="D86">
        <v>0</v>
      </c>
      <c r="E86">
        <v>0</v>
      </c>
      <c r="F86" t="str">
        <f t="shared" si="5"/>
        <v>Lower Risk</v>
      </c>
      <c r="G86" t="s">
        <v>3</v>
      </c>
      <c r="H86" t="s">
        <v>4</v>
      </c>
      <c r="I86" t="s">
        <v>5</v>
      </c>
      <c r="J86">
        <v>71.2</v>
      </c>
      <c r="K86" t="s">
        <v>10</v>
      </c>
      <c r="L86" t="s">
        <v>14</v>
      </c>
      <c r="M86">
        <v>1</v>
      </c>
      <c r="N86" t="str">
        <f t="shared" si="3"/>
        <v>40–59</v>
      </c>
      <c r="O86" t="str">
        <f t="shared" si="4"/>
        <v>Unknown</v>
      </c>
    </row>
    <row r="87" spans="1:15" x14ac:dyDescent="0.3">
      <c r="A87">
        <v>32399</v>
      </c>
      <c r="B87" t="s">
        <v>2</v>
      </c>
      <c r="C87">
        <v>54</v>
      </c>
      <c r="D87">
        <v>0</v>
      </c>
      <c r="E87">
        <v>0</v>
      </c>
      <c r="F87" t="str">
        <f t="shared" si="5"/>
        <v>Lower Risk</v>
      </c>
      <c r="G87" t="s">
        <v>3</v>
      </c>
      <c r="H87" t="s">
        <v>4</v>
      </c>
      <c r="I87" t="s">
        <v>9</v>
      </c>
      <c r="J87">
        <v>96.97</v>
      </c>
      <c r="K87">
        <v>29.1</v>
      </c>
      <c r="L87" t="s">
        <v>12</v>
      </c>
      <c r="M87">
        <v>1</v>
      </c>
      <c r="N87" t="str">
        <f t="shared" si="3"/>
        <v>40–59</v>
      </c>
      <c r="O87" t="str">
        <f t="shared" si="4"/>
        <v>Overweight</v>
      </c>
    </row>
    <row r="88" spans="1:15" x14ac:dyDescent="0.3">
      <c r="A88">
        <v>3253</v>
      </c>
      <c r="B88" t="s">
        <v>2</v>
      </c>
      <c r="C88">
        <v>61</v>
      </c>
      <c r="D88">
        <v>0</v>
      </c>
      <c r="E88">
        <v>1</v>
      </c>
      <c r="F88" t="str">
        <f t="shared" si="5"/>
        <v>High Risk</v>
      </c>
      <c r="G88" t="s">
        <v>3</v>
      </c>
      <c r="H88" t="s">
        <v>4</v>
      </c>
      <c r="I88" t="s">
        <v>9</v>
      </c>
      <c r="J88">
        <v>111.81</v>
      </c>
      <c r="K88">
        <v>27.3</v>
      </c>
      <c r="L88" t="s">
        <v>12</v>
      </c>
      <c r="M88">
        <v>1</v>
      </c>
      <c r="N88" t="str">
        <f t="shared" si="3"/>
        <v>60+</v>
      </c>
      <c r="O88" t="str">
        <f t="shared" si="4"/>
        <v>Overweight</v>
      </c>
    </row>
    <row r="89" spans="1:15" x14ac:dyDescent="0.3">
      <c r="A89">
        <v>71796</v>
      </c>
      <c r="B89" t="s">
        <v>7</v>
      </c>
      <c r="C89">
        <v>70</v>
      </c>
      <c r="D89">
        <v>0</v>
      </c>
      <c r="E89">
        <v>1</v>
      </c>
      <c r="F89" t="str">
        <f t="shared" si="5"/>
        <v>High Risk</v>
      </c>
      <c r="G89" t="s">
        <v>3</v>
      </c>
      <c r="H89" t="s">
        <v>4</v>
      </c>
      <c r="I89" t="s">
        <v>9</v>
      </c>
      <c r="J89">
        <v>59.35</v>
      </c>
      <c r="K89">
        <v>32.299999999999997</v>
      </c>
      <c r="L89" t="s">
        <v>6</v>
      </c>
      <c r="M89">
        <v>1</v>
      </c>
      <c r="N89" t="str">
        <f t="shared" si="3"/>
        <v>60+</v>
      </c>
      <c r="O89" t="str">
        <f t="shared" si="4"/>
        <v>Obese</v>
      </c>
    </row>
    <row r="90" spans="1:15" x14ac:dyDescent="0.3">
      <c r="A90">
        <v>14499</v>
      </c>
      <c r="B90" t="s">
        <v>2</v>
      </c>
      <c r="C90">
        <v>47</v>
      </c>
      <c r="D90">
        <v>0</v>
      </c>
      <c r="E90">
        <v>0</v>
      </c>
      <c r="F90" t="str">
        <f t="shared" si="5"/>
        <v>Lower Risk</v>
      </c>
      <c r="G90" t="s">
        <v>3</v>
      </c>
      <c r="H90" t="s">
        <v>4</v>
      </c>
      <c r="I90" t="s">
        <v>5</v>
      </c>
      <c r="J90">
        <v>86.94</v>
      </c>
      <c r="K90">
        <v>41.1</v>
      </c>
      <c r="L90" t="s">
        <v>6</v>
      </c>
      <c r="M90">
        <v>1</v>
      </c>
      <c r="N90" t="str">
        <f t="shared" si="3"/>
        <v>40–59</v>
      </c>
      <c r="O90" t="str">
        <f t="shared" si="4"/>
        <v>Obese</v>
      </c>
    </row>
    <row r="91" spans="1:15" x14ac:dyDescent="0.3">
      <c r="A91">
        <v>49130</v>
      </c>
      <c r="B91" t="s">
        <v>2</v>
      </c>
      <c r="C91">
        <v>74</v>
      </c>
      <c r="D91">
        <v>0</v>
      </c>
      <c r="E91">
        <v>0</v>
      </c>
      <c r="F91" t="str">
        <f t="shared" si="5"/>
        <v>Moderate Risk</v>
      </c>
      <c r="G91" t="s">
        <v>3</v>
      </c>
      <c r="H91" t="s">
        <v>4</v>
      </c>
      <c r="I91" t="s">
        <v>5</v>
      </c>
      <c r="J91">
        <v>98.55</v>
      </c>
      <c r="K91">
        <v>25.6</v>
      </c>
      <c r="L91" t="s">
        <v>14</v>
      </c>
      <c r="M91">
        <v>1</v>
      </c>
      <c r="N91" t="str">
        <f t="shared" si="3"/>
        <v>60+</v>
      </c>
      <c r="O91" t="str">
        <f t="shared" si="4"/>
        <v>Overweight</v>
      </c>
    </row>
    <row r="92" spans="1:15" x14ac:dyDescent="0.3">
      <c r="A92">
        <v>28291</v>
      </c>
      <c r="B92" t="s">
        <v>7</v>
      </c>
      <c r="C92">
        <v>79</v>
      </c>
      <c r="D92">
        <v>0</v>
      </c>
      <c r="E92">
        <v>1</v>
      </c>
      <c r="F92" t="str">
        <f t="shared" si="5"/>
        <v>High Risk</v>
      </c>
      <c r="G92" t="s">
        <v>3</v>
      </c>
      <c r="H92" t="s">
        <v>4</v>
      </c>
      <c r="I92" t="s">
        <v>5</v>
      </c>
      <c r="J92">
        <v>226.98</v>
      </c>
      <c r="K92">
        <v>29.8</v>
      </c>
      <c r="L92" t="s">
        <v>11</v>
      </c>
      <c r="M92">
        <v>1</v>
      </c>
      <c r="N92" t="str">
        <f t="shared" si="3"/>
        <v>60+</v>
      </c>
      <c r="O92" t="str">
        <f t="shared" si="4"/>
        <v>Overweight</v>
      </c>
    </row>
    <row r="93" spans="1:15" x14ac:dyDescent="0.3">
      <c r="A93">
        <v>51169</v>
      </c>
      <c r="B93" t="s">
        <v>2</v>
      </c>
      <c r="C93">
        <v>81</v>
      </c>
      <c r="D93">
        <v>0</v>
      </c>
      <c r="E93">
        <v>0</v>
      </c>
      <c r="F93" t="str">
        <f t="shared" si="5"/>
        <v>Moderate Risk</v>
      </c>
      <c r="G93" t="s">
        <v>3</v>
      </c>
      <c r="H93" t="s">
        <v>4</v>
      </c>
      <c r="I93" t="s">
        <v>5</v>
      </c>
      <c r="J93">
        <v>72.81</v>
      </c>
      <c r="K93">
        <v>26.3</v>
      </c>
      <c r="L93" t="s">
        <v>11</v>
      </c>
      <c r="M93">
        <v>1</v>
      </c>
      <c r="N93" t="str">
        <f t="shared" si="3"/>
        <v>60+</v>
      </c>
      <c r="O93" t="str">
        <f t="shared" si="4"/>
        <v>Overweight</v>
      </c>
    </row>
    <row r="94" spans="1:15" x14ac:dyDescent="0.3">
      <c r="A94">
        <v>66315</v>
      </c>
      <c r="B94" t="s">
        <v>7</v>
      </c>
      <c r="C94">
        <v>57</v>
      </c>
      <c r="D94">
        <v>0</v>
      </c>
      <c r="E94">
        <v>0</v>
      </c>
      <c r="F94" t="str">
        <f t="shared" si="5"/>
        <v>Lower Risk</v>
      </c>
      <c r="G94" t="s">
        <v>13</v>
      </c>
      <c r="H94" t="s">
        <v>8</v>
      </c>
      <c r="I94" t="s">
        <v>5</v>
      </c>
      <c r="J94">
        <v>68.02</v>
      </c>
      <c r="K94">
        <v>37.5</v>
      </c>
      <c r="L94" t="s">
        <v>11</v>
      </c>
      <c r="M94">
        <v>1</v>
      </c>
      <c r="N94" t="str">
        <f t="shared" si="3"/>
        <v>40–59</v>
      </c>
      <c r="O94" t="str">
        <f t="shared" si="4"/>
        <v>Obese</v>
      </c>
    </row>
    <row r="95" spans="1:15" x14ac:dyDescent="0.3">
      <c r="A95">
        <v>37726</v>
      </c>
      <c r="B95" t="s">
        <v>7</v>
      </c>
      <c r="C95">
        <v>80</v>
      </c>
      <c r="D95">
        <v>1</v>
      </c>
      <c r="E95">
        <v>0</v>
      </c>
      <c r="F95" t="str">
        <f t="shared" si="5"/>
        <v>High Risk</v>
      </c>
      <c r="G95" t="s">
        <v>3</v>
      </c>
      <c r="H95" t="s">
        <v>8</v>
      </c>
      <c r="I95" t="s">
        <v>5</v>
      </c>
      <c r="J95">
        <v>68.56</v>
      </c>
      <c r="K95">
        <v>26.2</v>
      </c>
      <c r="L95" t="s">
        <v>14</v>
      </c>
      <c r="M95">
        <v>1</v>
      </c>
      <c r="N95" t="str">
        <f t="shared" si="3"/>
        <v>60+</v>
      </c>
      <c r="O95" t="str">
        <f t="shared" si="4"/>
        <v>Overweight</v>
      </c>
    </row>
    <row r="96" spans="1:15" x14ac:dyDescent="0.3">
      <c r="A96">
        <v>54385</v>
      </c>
      <c r="B96" t="s">
        <v>2</v>
      </c>
      <c r="C96">
        <v>45</v>
      </c>
      <c r="D96">
        <v>0</v>
      </c>
      <c r="E96">
        <v>0</v>
      </c>
      <c r="F96" t="str">
        <f t="shared" si="5"/>
        <v>Lower Risk</v>
      </c>
      <c r="G96" t="s">
        <v>3</v>
      </c>
      <c r="H96" t="s">
        <v>4</v>
      </c>
      <c r="I96" t="s">
        <v>9</v>
      </c>
      <c r="J96">
        <v>64.14</v>
      </c>
      <c r="K96">
        <v>29.4</v>
      </c>
      <c r="L96" t="s">
        <v>11</v>
      </c>
      <c r="M96">
        <v>1</v>
      </c>
      <c r="N96" t="str">
        <f t="shared" si="3"/>
        <v>40–59</v>
      </c>
      <c r="O96" t="str">
        <f t="shared" si="4"/>
        <v>Overweight</v>
      </c>
    </row>
    <row r="97" spans="1:15" x14ac:dyDescent="0.3">
      <c r="A97">
        <v>2458</v>
      </c>
      <c r="B97" t="s">
        <v>7</v>
      </c>
      <c r="C97">
        <v>78</v>
      </c>
      <c r="D97">
        <v>0</v>
      </c>
      <c r="E97">
        <v>0</v>
      </c>
      <c r="F97" t="str">
        <f t="shared" si="5"/>
        <v>Moderate Risk</v>
      </c>
      <c r="G97" t="s">
        <v>3</v>
      </c>
      <c r="H97" t="s">
        <v>4</v>
      </c>
      <c r="I97" t="s">
        <v>9</v>
      </c>
      <c r="J97">
        <v>235.63</v>
      </c>
      <c r="K97">
        <v>32.299999999999997</v>
      </c>
      <c r="L97" t="s">
        <v>11</v>
      </c>
      <c r="M97">
        <v>1</v>
      </c>
      <c r="N97" t="str">
        <f t="shared" si="3"/>
        <v>60+</v>
      </c>
      <c r="O97" t="str">
        <f t="shared" si="4"/>
        <v>Obese</v>
      </c>
    </row>
    <row r="98" spans="1:15" x14ac:dyDescent="0.3">
      <c r="A98">
        <v>35512</v>
      </c>
      <c r="B98" t="s">
        <v>7</v>
      </c>
      <c r="C98">
        <v>70</v>
      </c>
      <c r="D98">
        <v>0</v>
      </c>
      <c r="E98">
        <v>0</v>
      </c>
      <c r="F98" t="str">
        <f t="shared" si="5"/>
        <v>Moderate Risk</v>
      </c>
      <c r="G98" t="s">
        <v>3</v>
      </c>
      <c r="H98" t="s">
        <v>8</v>
      </c>
      <c r="I98" t="s">
        <v>9</v>
      </c>
      <c r="J98">
        <v>76.34</v>
      </c>
      <c r="K98">
        <v>24.4</v>
      </c>
      <c r="L98" t="s">
        <v>6</v>
      </c>
      <c r="M98">
        <v>1</v>
      </c>
      <c r="N98" t="str">
        <f t="shared" si="3"/>
        <v>60+</v>
      </c>
      <c r="O98" t="str">
        <f t="shared" si="4"/>
        <v>Normal</v>
      </c>
    </row>
    <row r="99" spans="1:15" x14ac:dyDescent="0.3">
      <c r="A99">
        <v>56841</v>
      </c>
      <c r="B99" t="s">
        <v>2</v>
      </c>
      <c r="C99">
        <v>58</v>
      </c>
      <c r="D99">
        <v>0</v>
      </c>
      <c r="E99">
        <v>1</v>
      </c>
      <c r="F99" t="str">
        <f t="shared" si="5"/>
        <v>Lower Risk</v>
      </c>
      <c r="G99" t="s">
        <v>3</v>
      </c>
      <c r="H99" t="s">
        <v>4</v>
      </c>
      <c r="I99" t="s">
        <v>9</v>
      </c>
      <c r="J99">
        <v>240.59</v>
      </c>
      <c r="K99">
        <v>31.4</v>
      </c>
      <c r="L99" t="s">
        <v>12</v>
      </c>
      <c r="M99">
        <v>1</v>
      </c>
      <c r="N99" t="str">
        <f t="shared" si="3"/>
        <v>40–59</v>
      </c>
      <c r="O99" t="str">
        <f t="shared" si="4"/>
        <v>Obese</v>
      </c>
    </row>
    <row r="100" spans="1:15" x14ac:dyDescent="0.3">
      <c r="A100">
        <v>8154</v>
      </c>
      <c r="B100" t="s">
        <v>2</v>
      </c>
      <c r="C100">
        <v>57</v>
      </c>
      <c r="D100">
        <v>1</v>
      </c>
      <c r="E100">
        <v>0</v>
      </c>
      <c r="F100" t="str">
        <f t="shared" si="5"/>
        <v>Lower Risk</v>
      </c>
      <c r="G100" t="s">
        <v>3</v>
      </c>
      <c r="H100" t="s">
        <v>15</v>
      </c>
      <c r="I100" t="s">
        <v>5</v>
      </c>
      <c r="J100">
        <v>78.92</v>
      </c>
      <c r="K100">
        <v>27.7</v>
      </c>
      <c r="L100" t="s">
        <v>6</v>
      </c>
      <c r="M100">
        <v>1</v>
      </c>
      <c r="N100" t="str">
        <f t="shared" si="3"/>
        <v>40–59</v>
      </c>
      <c r="O100" t="str">
        <f t="shared" si="4"/>
        <v>Overweight</v>
      </c>
    </row>
    <row r="101" spans="1:15" x14ac:dyDescent="0.3">
      <c r="A101">
        <v>4639</v>
      </c>
      <c r="B101" t="s">
        <v>7</v>
      </c>
      <c r="C101">
        <v>69</v>
      </c>
      <c r="D101">
        <v>0</v>
      </c>
      <c r="E101">
        <v>0</v>
      </c>
      <c r="F101" t="str">
        <f t="shared" si="5"/>
        <v>Moderate Risk</v>
      </c>
      <c r="G101" t="s">
        <v>3</v>
      </c>
      <c r="H101" t="s">
        <v>15</v>
      </c>
      <c r="I101" t="s">
        <v>5</v>
      </c>
      <c r="J101">
        <v>82.81</v>
      </c>
      <c r="K101">
        <v>28</v>
      </c>
      <c r="L101" t="s">
        <v>11</v>
      </c>
      <c r="M101">
        <v>1</v>
      </c>
      <c r="N101" t="str">
        <f t="shared" si="3"/>
        <v>60+</v>
      </c>
      <c r="O101" t="str">
        <f t="shared" si="4"/>
        <v>Overweight</v>
      </c>
    </row>
    <row r="102" spans="1:15" x14ac:dyDescent="0.3">
      <c r="A102">
        <v>12363</v>
      </c>
      <c r="B102" t="s">
        <v>2</v>
      </c>
      <c r="C102">
        <v>64</v>
      </c>
      <c r="D102">
        <v>0</v>
      </c>
      <c r="E102">
        <v>1</v>
      </c>
      <c r="F102" t="str">
        <f t="shared" si="5"/>
        <v>High Risk</v>
      </c>
      <c r="G102" t="s">
        <v>3</v>
      </c>
      <c r="H102" t="s">
        <v>15</v>
      </c>
      <c r="I102" t="s">
        <v>5</v>
      </c>
      <c r="J102">
        <v>74.099999999999994</v>
      </c>
      <c r="K102">
        <v>28.8</v>
      </c>
      <c r="L102" t="s">
        <v>14</v>
      </c>
      <c r="M102">
        <v>1</v>
      </c>
      <c r="N102" t="str">
        <f t="shared" si="3"/>
        <v>60+</v>
      </c>
      <c r="O102" t="str">
        <f t="shared" si="4"/>
        <v>Overweight</v>
      </c>
    </row>
    <row r="103" spans="1:15" x14ac:dyDescent="0.3">
      <c r="A103">
        <v>63973</v>
      </c>
      <c r="B103" t="s">
        <v>7</v>
      </c>
      <c r="C103">
        <v>77</v>
      </c>
      <c r="D103">
        <v>0</v>
      </c>
      <c r="E103">
        <v>0</v>
      </c>
      <c r="F103" t="str">
        <f t="shared" si="5"/>
        <v>Moderate Risk</v>
      </c>
      <c r="G103" t="s">
        <v>3</v>
      </c>
      <c r="H103" t="s">
        <v>15</v>
      </c>
      <c r="I103" t="s">
        <v>9</v>
      </c>
      <c r="J103">
        <v>190.32</v>
      </c>
      <c r="K103">
        <v>31.4</v>
      </c>
      <c r="L103" t="s">
        <v>11</v>
      </c>
      <c r="M103">
        <v>1</v>
      </c>
      <c r="N103" t="str">
        <f t="shared" si="3"/>
        <v>60+</v>
      </c>
      <c r="O103" t="str">
        <f t="shared" si="4"/>
        <v>Obese</v>
      </c>
    </row>
    <row r="104" spans="1:15" x14ac:dyDescent="0.3">
      <c r="A104">
        <v>45277</v>
      </c>
      <c r="B104" t="s">
        <v>7</v>
      </c>
      <c r="C104">
        <v>74</v>
      </c>
      <c r="D104">
        <v>0</v>
      </c>
      <c r="E104">
        <v>0</v>
      </c>
      <c r="F104" t="str">
        <f t="shared" si="5"/>
        <v>Moderate Risk</v>
      </c>
      <c r="G104" t="s">
        <v>3</v>
      </c>
      <c r="H104" t="s">
        <v>4</v>
      </c>
      <c r="I104" t="s">
        <v>9</v>
      </c>
      <c r="J104">
        <v>231.61</v>
      </c>
      <c r="K104">
        <v>34.6</v>
      </c>
      <c r="L104" t="s">
        <v>6</v>
      </c>
      <c r="M104">
        <v>1</v>
      </c>
      <c r="N104" t="str">
        <f t="shared" si="3"/>
        <v>60+</v>
      </c>
      <c r="O104" t="str">
        <f t="shared" si="4"/>
        <v>Obese</v>
      </c>
    </row>
    <row r="105" spans="1:15" x14ac:dyDescent="0.3">
      <c r="A105">
        <v>4712</v>
      </c>
      <c r="B105" t="s">
        <v>7</v>
      </c>
      <c r="C105">
        <v>81</v>
      </c>
      <c r="D105">
        <v>0</v>
      </c>
      <c r="E105">
        <v>1</v>
      </c>
      <c r="F105" t="str">
        <f t="shared" si="5"/>
        <v>High Risk</v>
      </c>
      <c r="G105" t="s">
        <v>3</v>
      </c>
      <c r="H105" t="s">
        <v>8</v>
      </c>
      <c r="I105" t="s">
        <v>9</v>
      </c>
      <c r="J105">
        <v>78.7</v>
      </c>
      <c r="K105">
        <v>19.399999999999999</v>
      </c>
      <c r="L105" t="s">
        <v>14</v>
      </c>
      <c r="M105">
        <v>1</v>
      </c>
      <c r="N105" t="str">
        <f t="shared" si="3"/>
        <v>60+</v>
      </c>
      <c r="O105" t="str">
        <f t="shared" si="4"/>
        <v>Normal</v>
      </c>
    </row>
    <row r="106" spans="1:15" x14ac:dyDescent="0.3">
      <c r="A106">
        <v>33175</v>
      </c>
      <c r="B106" t="s">
        <v>7</v>
      </c>
      <c r="C106">
        <v>57</v>
      </c>
      <c r="D106">
        <v>0</v>
      </c>
      <c r="E106">
        <v>0</v>
      </c>
      <c r="F106" t="str">
        <f t="shared" si="5"/>
        <v>Lower Risk</v>
      </c>
      <c r="G106" t="s">
        <v>3</v>
      </c>
      <c r="H106" t="s">
        <v>15</v>
      </c>
      <c r="I106" t="s">
        <v>5</v>
      </c>
      <c r="J106">
        <v>110.52</v>
      </c>
      <c r="K106">
        <v>28.5</v>
      </c>
      <c r="L106" t="s">
        <v>14</v>
      </c>
      <c r="M106">
        <v>1</v>
      </c>
      <c r="N106" t="str">
        <f t="shared" si="3"/>
        <v>40–59</v>
      </c>
      <c r="O106" t="str">
        <f t="shared" si="4"/>
        <v>Overweight</v>
      </c>
    </row>
    <row r="107" spans="1:15" x14ac:dyDescent="0.3">
      <c r="A107">
        <v>2346</v>
      </c>
      <c r="B107" t="s">
        <v>2</v>
      </c>
      <c r="C107">
        <v>58</v>
      </c>
      <c r="D107">
        <v>0</v>
      </c>
      <c r="E107">
        <v>0</v>
      </c>
      <c r="F107" t="str">
        <f t="shared" si="5"/>
        <v>Lower Risk</v>
      </c>
      <c r="G107" t="s">
        <v>3</v>
      </c>
      <c r="H107" t="s">
        <v>4</v>
      </c>
      <c r="I107" t="s">
        <v>5</v>
      </c>
      <c r="J107">
        <v>82.3</v>
      </c>
      <c r="K107" t="s">
        <v>10</v>
      </c>
      <c r="L107" t="s">
        <v>12</v>
      </c>
      <c r="M107">
        <v>1</v>
      </c>
      <c r="N107" t="str">
        <f t="shared" si="3"/>
        <v>40–59</v>
      </c>
      <c r="O107" t="str">
        <f t="shared" si="4"/>
        <v>Unknown</v>
      </c>
    </row>
    <row r="108" spans="1:15" x14ac:dyDescent="0.3">
      <c r="A108">
        <v>42072</v>
      </c>
      <c r="B108" t="s">
        <v>7</v>
      </c>
      <c r="C108">
        <v>50</v>
      </c>
      <c r="D108">
        <v>1</v>
      </c>
      <c r="E108">
        <v>0</v>
      </c>
      <c r="F108" t="str">
        <f t="shared" si="5"/>
        <v>Lower Risk</v>
      </c>
      <c r="G108" t="s">
        <v>3</v>
      </c>
      <c r="H108" t="s">
        <v>4</v>
      </c>
      <c r="I108" t="s">
        <v>9</v>
      </c>
      <c r="J108">
        <v>73.180000000000007</v>
      </c>
      <c r="K108">
        <v>30.3</v>
      </c>
      <c r="L108" t="s">
        <v>6</v>
      </c>
      <c r="M108">
        <v>1</v>
      </c>
      <c r="N108" t="str">
        <f t="shared" si="3"/>
        <v>40–59</v>
      </c>
      <c r="O108" t="str">
        <f t="shared" si="4"/>
        <v>Obese</v>
      </c>
    </row>
    <row r="109" spans="1:15" x14ac:dyDescent="0.3">
      <c r="A109">
        <v>12062</v>
      </c>
      <c r="B109" t="s">
        <v>7</v>
      </c>
      <c r="C109">
        <v>54</v>
      </c>
      <c r="D109">
        <v>0</v>
      </c>
      <c r="E109">
        <v>0</v>
      </c>
      <c r="F109" t="str">
        <f t="shared" si="5"/>
        <v>Lower Risk</v>
      </c>
      <c r="G109" t="s">
        <v>3</v>
      </c>
      <c r="H109" t="s">
        <v>8</v>
      </c>
      <c r="I109" t="s">
        <v>9</v>
      </c>
      <c r="J109">
        <v>191.82</v>
      </c>
      <c r="K109">
        <v>40.4</v>
      </c>
      <c r="L109" t="s">
        <v>12</v>
      </c>
      <c r="M109">
        <v>1</v>
      </c>
      <c r="N109" t="str">
        <f t="shared" si="3"/>
        <v>40–59</v>
      </c>
      <c r="O109" t="str">
        <f t="shared" si="4"/>
        <v>Obese</v>
      </c>
    </row>
    <row r="110" spans="1:15" x14ac:dyDescent="0.3">
      <c r="A110">
        <v>30456</v>
      </c>
      <c r="B110" t="s">
        <v>7</v>
      </c>
      <c r="C110">
        <v>79</v>
      </c>
      <c r="D110">
        <v>0</v>
      </c>
      <c r="E110">
        <v>0</v>
      </c>
      <c r="F110" t="str">
        <f t="shared" si="5"/>
        <v>Moderate Risk</v>
      </c>
      <c r="G110" t="s">
        <v>3</v>
      </c>
      <c r="H110" t="s">
        <v>4</v>
      </c>
      <c r="I110" t="s">
        <v>9</v>
      </c>
      <c r="J110">
        <v>93.05</v>
      </c>
      <c r="K110">
        <v>24.2</v>
      </c>
      <c r="L110" t="s">
        <v>11</v>
      </c>
      <c r="M110">
        <v>1</v>
      </c>
      <c r="N110" t="str">
        <f t="shared" si="3"/>
        <v>60+</v>
      </c>
      <c r="O110" t="str">
        <f t="shared" si="4"/>
        <v>Normal</v>
      </c>
    </row>
    <row r="111" spans="1:15" x14ac:dyDescent="0.3">
      <c r="A111">
        <v>59125</v>
      </c>
      <c r="B111" t="s">
        <v>7</v>
      </c>
      <c r="C111">
        <v>53</v>
      </c>
      <c r="D111">
        <v>0</v>
      </c>
      <c r="E111">
        <v>0</v>
      </c>
      <c r="F111" t="str">
        <f t="shared" si="5"/>
        <v>Lower Risk</v>
      </c>
      <c r="G111" t="s">
        <v>3</v>
      </c>
      <c r="H111" t="s">
        <v>15</v>
      </c>
      <c r="I111" t="s">
        <v>5</v>
      </c>
      <c r="J111">
        <v>64.17</v>
      </c>
      <c r="K111">
        <v>41.5</v>
      </c>
      <c r="L111" t="s">
        <v>11</v>
      </c>
      <c r="M111">
        <v>1</v>
      </c>
      <c r="N111" t="str">
        <f t="shared" si="3"/>
        <v>40–59</v>
      </c>
      <c r="O111" t="str">
        <f t="shared" si="4"/>
        <v>Obese</v>
      </c>
    </row>
    <row r="112" spans="1:15" x14ac:dyDescent="0.3">
      <c r="A112">
        <v>56546</v>
      </c>
      <c r="B112" t="s">
        <v>2</v>
      </c>
      <c r="C112">
        <v>79</v>
      </c>
      <c r="D112">
        <v>0</v>
      </c>
      <c r="E112">
        <v>1</v>
      </c>
      <c r="F112" t="str">
        <f t="shared" si="5"/>
        <v>High Risk</v>
      </c>
      <c r="G112" t="s">
        <v>3</v>
      </c>
      <c r="H112" t="s">
        <v>4</v>
      </c>
      <c r="I112" t="s">
        <v>9</v>
      </c>
      <c r="J112">
        <v>129.97999999999999</v>
      </c>
      <c r="K112">
        <v>22.6</v>
      </c>
      <c r="L112" t="s">
        <v>6</v>
      </c>
      <c r="M112">
        <v>1</v>
      </c>
      <c r="N112" t="str">
        <f t="shared" si="3"/>
        <v>60+</v>
      </c>
      <c r="O112" t="str">
        <f t="shared" si="4"/>
        <v>Normal</v>
      </c>
    </row>
    <row r="113" spans="1:15" x14ac:dyDescent="0.3">
      <c r="A113">
        <v>48405</v>
      </c>
      <c r="B113" t="s">
        <v>2</v>
      </c>
      <c r="C113">
        <v>80</v>
      </c>
      <c r="D113">
        <v>0</v>
      </c>
      <c r="E113">
        <v>1</v>
      </c>
      <c r="F113" t="str">
        <f t="shared" si="5"/>
        <v>High Risk</v>
      </c>
      <c r="G113" t="s">
        <v>3</v>
      </c>
      <c r="H113" t="s">
        <v>4</v>
      </c>
      <c r="I113" t="s">
        <v>5</v>
      </c>
      <c r="J113">
        <v>68.53</v>
      </c>
      <c r="K113">
        <v>24.2</v>
      </c>
      <c r="L113" t="s">
        <v>12</v>
      </c>
      <c r="M113">
        <v>1</v>
      </c>
      <c r="N113" t="str">
        <f t="shared" si="3"/>
        <v>60+</v>
      </c>
      <c r="O113" t="str">
        <f t="shared" si="4"/>
        <v>Normal</v>
      </c>
    </row>
    <row r="114" spans="1:15" x14ac:dyDescent="0.3">
      <c r="A114">
        <v>36706</v>
      </c>
      <c r="B114" t="s">
        <v>7</v>
      </c>
      <c r="C114">
        <v>76</v>
      </c>
      <c r="D114">
        <v>0</v>
      </c>
      <c r="E114">
        <v>0</v>
      </c>
      <c r="F114" t="str">
        <f t="shared" si="5"/>
        <v>Moderate Risk</v>
      </c>
      <c r="G114" t="s">
        <v>3</v>
      </c>
      <c r="H114" t="s">
        <v>8</v>
      </c>
      <c r="I114" t="s">
        <v>5</v>
      </c>
      <c r="J114">
        <v>106.41</v>
      </c>
      <c r="K114" t="s">
        <v>10</v>
      </c>
      <c r="L114" t="s">
        <v>6</v>
      </c>
      <c r="M114">
        <v>1</v>
      </c>
      <c r="N114" t="str">
        <f t="shared" si="3"/>
        <v>60+</v>
      </c>
      <c r="O114" t="str">
        <f t="shared" si="4"/>
        <v>Unknown</v>
      </c>
    </row>
    <row r="115" spans="1:15" x14ac:dyDescent="0.3">
      <c r="A115">
        <v>41069</v>
      </c>
      <c r="B115" t="s">
        <v>7</v>
      </c>
      <c r="C115">
        <v>45</v>
      </c>
      <c r="D115">
        <v>0</v>
      </c>
      <c r="E115">
        <v>0</v>
      </c>
      <c r="F115" t="str">
        <f t="shared" si="5"/>
        <v>Lower Risk</v>
      </c>
      <c r="G115" t="s">
        <v>3</v>
      </c>
      <c r="H115" t="s">
        <v>4</v>
      </c>
      <c r="I115" t="s">
        <v>9</v>
      </c>
      <c r="J115">
        <v>224.1</v>
      </c>
      <c r="K115">
        <v>56.6</v>
      </c>
      <c r="L115" t="s">
        <v>11</v>
      </c>
      <c r="M115">
        <v>1</v>
      </c>
      <c r="N115" t="str">
        <f t="shared" si="3"/>
        <v>40–59</v>
      </c>
      <c r="O115" t="str">
        <f t="shared" si="4"/>
        <v>Obese</v>
      </c>
    </row>
    <row r="116" spans="1:15" x14ac:dyDescent="0.3">
      <c r="A116">
        <v>71639</v>
      </c>
      <c r="B116" t="s">
        <v>7</v>
      </c>
      <c r="C116">
        <v>68</v>
      </c>
      <c r="D116">
        <v>0</v>
      </c>
      <c r="E116">
        <v>0</v>
      </c>
      <c r="F116" t="str">
        <f t="shared" si="5"/>
        <v>Moderate Risk</v>
      </c>
      <c r="G116" t="s">
        <v>13</v>
      </c>
      <c r="H116" t="s">
        <v>15</v>
      </c>
      <c r="I116" t="s">
        <v>5</v>
      </c>
      <c r="J116">
        <v>82.1</v>
      </c>
      <c r="K116">
        <v>27.1</v>
      </c>
      <c r="L116" t="s">
        <v>14</v>
      </c>
      <c r="M116">
        <v>1</v>
      </c>
      <c r="N116" t="str">
        <f t="shared" si="3"/>
        <v>60+</v>
      </c>
      <c r="O116" t="str">
        <f t="shared" si="4"/>
        <v>Overweight</v>
      </c>
    </row>
    <row r="117" spans="1:15" x14ac:dyDescent="0.3">
      <c r="A117">
        <v>53401</v>
      </c>
      <c r="B117" t="s">
        <v>2</v>
      </c>
      <c r="C117">
        <v>71</v>
      </c>
      <c r="D117">
        <v>1</v>
      </c>
      <c r="E117">
        <v>1</v>
      </c>
      <c r="F117" t="str">
        <f t="shared" si="5"/>
        <v>High Risk</v>
      </c>
      <c r="G117" t="s">
        <v>13</v>
      </c>
      <c r="H117" t="s">
        <v>15</v>
      </c>
      <c r="I117" t="s">
        <v>9</v>
      </c>
      <c r="J117">
        <v>216.94</v>
      </c>
      <c r="K117">
        <v>30.9</v>
      </c>
      <c r="L117" t="s">
        <v>11</v>
      </c>
      <c r="M117">
        <v>1</v>
      </c>
      <c r="N117" t="str">
        <f t="shared" si="3"/>
        <v>60+</v>
      </c>
      <c r="O117" t="str">
        <f t="shared" si="4"/>
        <v>Obese</v>
      </c>
    </row>
    <row r="118" spans="1:15" x14ac:dyDescent="0.3">
      <c r="A118">
        <v>60744</v>
      </c>
      <c r="B118" t="s">
        <v>2</v>
      </c>
      <c r="C118">
        <v>61</v>
      </c>
      <c r="D118">
        <v>1</v>
      </c>
      <c r="E118">
        <v>0</v>
      </c>
      <c r="F118" t="str">
        <f t="shared" si="5"/>
        <v>High Risk</v>
      </c>
      <c r="G118" t="s">
        <v>3</v>
      </c>
      <c r="H118" t="s">
        <v>8</v>
      </c>
      <c r="I118" t="s">
        <v>9</v>
      </c>
      <c r="J118">
        <v>76.11</v>
      </c>
      <c r="K118">
        <v>27.3</v>
      </c>
      <c r="L118" t="s">
        <v>12</v>
      </c>
      <c r="M118">
        <v>1</v>
      </c>
      <c r="N118" t="str">
        <f t="shared" si="3"/>
        <v>60+</v>
      </c>
      <c r="O118" t="str">
        <f t="shared" si="4"/>
        <v>Overweight</v>
      </c>
    </row>
    <row r="119" spans="1:15" x14ac:dyDescent="0.3">
      <c r="A119">
        <v>7547</v>
      </c>
      <c r="B119" t="s">
        <v>2</v>
      </c>
      <c r="C119">
        <v>74</v>
      </c>
      <c r="D119">
        <v>0</v>
      </c>
      <c r="E119">
        <v>0</v>
      </c>
      <c r="F119" t="str">
        <f t="shared" si="5"/>
        <v>Moderate Risk</v>
      </c>
      <c r="G119" t="s">
        <v>3</v>
      </c>
      <c r="H119" t="s">
        <v>4</v>
      </c>
      <c r="I119" t="s">
        <v>5</v>
      </c>
      <c r="J119">
        <v>72.959999999999994</v>
      </c>
      <c r="K119">
        <v>31.3</v>
      </c>
      <c r="L119" t="s">
        <v>12</v>
      </c>
      <c r="M119">
        <v>1</v>
      </c>
      <c r="N119" t="str">
        <f t="shared" si="3"/>
        <v>60+</v>
      </c>
      <c r="O119" t="str">
        <f t="shared" si="4"/>
        <v>Obese</v>
      </c>
    </row>
    <row r="120" spans="1:15" x14ac:dyDescent="0.3">
      <c r="A120">
        <v>31720</v>
      </c>
      <c r="B120" t="s">
        <v>7</v>
      </c>
      <c r="C120">
        <v>38</v>
      </c>
      <c r="D120">
        <v>0</v>
      </c>
      <c r="E120">
        <v>0</v>
      </c>
      <c r="F120" t="str">
        <f t="shared" si="5"/>
        <v>Lower Risk</v>
      </c>
      <c r="G120" t="s">
        <v>13</v>
      </c>
      <c r="H120" t="s">
        <v>8</v>
      </c>
      <c r="I120" t="s">
        <v>5</v>
      </c>
      <c r="J120">
        <v>82.28</v>
      </c>
      <c r="K120">
        <v>24</v>
      </c>
      <c r="L120" t="s">
        <v>6</v>
      </c>
      <c r="M120">
        <v>1</v>
      </c>
      <c r="N120" t="str">
        <f t="shared" si="3"/>
        <v>Under 40</v>
      </c>
      <c r="O120" t="str">
        <f t="shared" si="4"/>
        <v>Normal</v>
      </c>
    </row>
    <row r="121" spans="1:15" x14ac:dyDescent="0.3">
      <c r="A121">
        <v>5563</v>
      </c>
      <c r="B121" t="s">
        <v>7</v>
      </c>
      <c r="C121">
        <v>77</v>
      </c>
      <c r="D121">
        <v>0</v>
      </c>
      <c r="E121">
        <v>0</v>
      </c>
      <c r="F121" t="str">
        <f t="shared" si="5"/>
        <v>Moderate Risk</v>
      </c>
      <c r="G121" t="s">
        <v>3</v>
      </c>
      <c r="H121" t="s">
        <v>4</v>
      </c>
      <c r="I121" t="s">
        <v>5</v>
      </c>
      <c r="J121">
        <v>105.22</v>
      </c>
      <c r="K121">
        <v>31</v>
      </c>
      <c r="L121" t="s">
        <v>11</v>
      </c>
      <c r="M121">
        <v>1</v>
      </c>
      <c r="N121" t="str">
        <f t="shared" si="3"/>
        <v>60+</v>
      </c>
      <c r="O121" t="str">
        <f t="shared" si="4"/>
        <v>Obese</v>
      </c>
    </row>
    <row r="122" spans="1:15" x14ac:dyDescent="0.3">
      <c r="A122">
        <v>68798</v>
      </c>
      <c r="B122" t="s">
        <v>7</v>
      </c>
      <c r="C122">
        <v>58</v>
      </c>
      <c r="D122">
        <v>0</v>
      </c>
      <c r="E122">
        <v>0</v>
      </c>
      <c r="F122" t="str">
        <f t="shared" si="5"/>
        <v>Lower Risk</v>
      </c>
      <c r="G122" t="s">
        <v>3</v>
      </c>
      <c r="H122" t="s">
        <v>4</v>
      </c>
      <c r="I122" t="s">
        <v>9</v>
      </c>
      <c r="J122">
        <v>59.86</v>
      </c>
      <c r="K122">
        <v>28</v>
      </c>
      <c r="L122" t="s">
        <v>6</v>
      </c>
      <c r="M122">
        <v>1</v>
      </c>
      <c r="N122" t="str">
        <f t="shared" si="3"/>
        <v>40–59</v>
      </c>
      <c r="O122" t="str">
        <f t="shared" si="4"/>
        <v>Overweight</v>
      </c>
    </row>
    <row r="123" spans="1:15" x14ac:dyDescent="0.3">
      <c r="A123">
        <v>72918</v>
      </c>
      <c r="B123" t="s">
        <v>7</v>
      </c>
      <c r="C123">
        <v>53</v>
      </c>
      <c r="D123">
        <v>1</v>
      </c>
      <c r="E123">
        <v>0</v>
      </c>
      <c r="F123" t="str">
        <f t="shared" si="5"/>
        <v>Lower Risk</v>
      </c>
      <c r="G123" t="s">
        <v>3</v>
      </c>
      <c r="H123" t="s">
        <v>4</v>
      </c>
      <c r="I123" t="s">
        <v>5</v>
      </c>
      <c r="J123">
        <v>62.55</v>
      </c>
      <c r="K123">
        <v>30.3</v>
      </c>
      <c r="L123" t="s">
        <v>14</v>
      </c>
      <c r="M123">
        <v>1</v>
      </c>
      <c r="N123" t="str">
        <f t="shared" si="3"/>
        <v>40–59</v>
      </c>
      <c r="O123" t="str">
        <f t="shared" si="4"/>
        <v>Obese</v>
      </c>
    </row>
    <row r="124" spans="1:15" x14ac:dyDescent="0.3">
      <c r="A124">
        <v>13491</v>
      </c>
      <c r="B124" t="s">
        <v>2</v>
      </c>
      <c r="C124">
        <v>80</v>
      </c>
      <c r="D124">
        <v>0</v>
      </c>
      <c r="E124">
        <v>0</v>
      </c>
      <c r="F124" t="str">
        <f t="shared" si="5"/>
        <v>Moderate Risk</v>
      </c>
      <c r="G124" t="s">
        <v>3</v>
      </c>
      <c r="H124" t="s">
        <v>4</v>
      </c>
      <c r="I124" t="s">
        <v>9</v>
      </c>
      <c r="J124">
        <v>259.63</v>
      </c>
      <c r="K124">
        <v>31.7</v>
      </c>
      <c r="L124" t="s">
        <v>12</v>
      </c>
      <c r="M124">
        <v>1</v>
      </c>
      <c r="N124" t="str">
        <f t="shared" si="3"/>
        <v>60+</v>
      </c>
      <c r="O124" t="str">
        <f t="shared" si="4"/>
        <v>Obese</v>
      </c>
    </row>
    <row r="125" spans="1:15" x14ac:dyDescent="0.3">
      <c r="A125">
        <v>44033</v>
      </c>
      <c r="B125" t="s">
        <v>2</v>
      </c>
      <c r="C125">
        <v>56</v>
      </c>
      <c r="D125">
        <v>1</v>
      </c>
      <c r="E125">
        <v>0</v>
      </c>
      <c r="F125" t="str">
        <f t="shared" si="5"/>
        <v>Lower Risk</v>
      </c>
      <c r="G125" t="s">
        <v>3</v>
      </c>
      <c r="H125" t="s">
        <v>4</v>
      </c>
      <c r="I125" t="s">
        <v>9</v>
      </c>
      <c r="J125">
        <v>249.31</v>
      </c>
      <c r="K125">
        <v>35.799999999999997</v>
      </c>
      <c r="L125" t="s">
        <v>11</v>
      </c>
      <c r="M125">
        <v>1</v>
      </c>
      <c r="N125" t="str">
        <f t="shared" si="3"/>
        <v>40–59</v>
      </c>
      <c r="O125" t="str">
        <f t="shared" si="4"/>
        <v>Obese</v>
      </c>
    </row>
    <row r="126" spans="1:15" x14ac:dyDescent="0.3">
      <c r="A126">
        <v>14164</v>
      </c>
      <c r="B126" t="s">
        <v>7</v>
      </c>
      <c r="C126">
        <v>72</v>
      </c>
      <c r="D126">
        <v>0</v>
      </c>
      <c r="E126">
        <v>0</v>
      </c>
      <c r="F126" t="str">
        <f t="shared" si="5"/>
        <v>Moderate Risk</v>
      </c>
      <c r="G126" t="s">
        <v>3</v>
      </c>
      <c r="H126" t="s">
        <v>4</v>
      </c>
      <c r="I126" t="s">
        <v>5</v>
      </c>
      <c r="J126">
        <v>219.91</v>
      </c>
      <c r="K126" t="s">
        <v>10</v>
      </c>
      <c r="L126" t="s">
        <v>14</v>
      </c>
      <c r="M126">
        <v>1</v>
      </c>
      <c r="N126" t="str">
        <f t="shared" si="3"/>
        <v>60+</v>
      </c>
      <c r="O126" t="str">
        <f t="shared" si="4"/>
        <v>Unknown</v>
      </c>
    </row>
    <row r="127" spans="1:15" x14ac:dyDescent="0.3">
      <c r="A127">
        <v>50522</v>
      </c>
      <c r="B127" t="s">
        <v>7</v>
      </c>
      <c r="C127">
        <v>72</v>
      </c>
      <c r="D127">
        <v>0</v>
      </c>
      <c r="E127">
        <v>0</v>
      </c>
      <c r="F127" t="str">
        <f t="shared" si="5"/>
        <v>Moderate Risk</v>
      </c>
      <c r="G127" t="s">
        <v>3</v>
      </c>
      <c r="H127" t="s">
        <v>15</v>
      </c>
      <c r="I127" t="s">
        <v>5</v>
      </c>
      <c r="J127">
        <v>131.41</v>
      </c>
      <c r="K127">
        <v>28.4</v>
      </c>
      <c r="L127" t="s">
        <v>11</v>
      </c>
      <c r="M127">
        <v>1</v>
      </c>
      <c r="N127" t="str">
        <f t="shared" si="3"/>
        <v>60+</v>
      </c>
      <c r="O127" t="str">
        <f t="shared" si="4"/>
        <v>Overweight</v>
      </c>
    </row>
    <row r="128" spans="1:15" x14ac:dyDescent="0.3">
      <c r="A128">
        <v>3352</v>
      </c>
      <c r="B128" t="s">
        <v>2</v>
      </c>
      <c r="C128">
        <v>78</v>
      </c>
      <c r="D128">
        <v>1</v>
      </c>
      <c r="E128">
        <v>0</v>
      </c>
      <c r="F128" t="str">
        <f t="shared" si="5"/>
        <v>High Risk</v>
      </c>
      <c r="G128" t="s">
        <v>3</v>
      </c>
      <c r="H128" t="s">
        <v>8</v>
      </c>
      <c r="I128" t="s">
        <v>5</v>
      </c>
      <c r="J128">
        <v>93.13</v>
      </c>
      <c r="K128" t="s">
        <v>10</v>
      </c>
      <c r="L128" t="s">
        <v>6</v>
      </c>
      <c r="M128">
        <v>1</v>
      </c>
      <c r="N128" t="str">
        <f t="shared" si="3"/>
        <v>60+</v>
      </c>
      <c r="O128" t="str">
        <f t="shared" si="4"/>
        <v>Unknown</v>
      </c>
    </row>
    <row r="129" spans="1:15" x14ac:dyDescent="0.3">
      <c r="A129">
        <v>70943</v>
      </c>
      <c r="B129" t="s">
        <v>7</v>
      </c>
      <c r="C129">
        <v>80</v>
      </c>
      <c r="D129">
        <v>0</v>
      </c>
      <c r="E129">
        <v>0</v>
      </c>
      <c r="F129" t="str">
        <f t="shared" si="5"/>
        <v>Moderate Risk</v>
      </c>
      <c r="G129" t="s">
        <v>3</v>
      </c>
      <c r="H129" t="s">
        <v>4</v>
      </c>
      <c r="I129" t="s">
        <v>5</v>
      </c>
      <c r="J129">
        <v>73.540000000000006</v>
      </c>
      <c r="K129">
        <v>24</v>
      </c>
      <c r="L129" t="s">
        <v>14</v>
      </c>
      <c r="M129">
        <v>1</v>
      </c>
      <c r="N129" t="str">
        <f t="shared" si="3"/>
        <v>60+</v>
      </c>
      <c r="O129" t="str">
        <f t="shared" si="4"/>
        <v>Normal</v>
      </c>
    </row>
    <row r="130" spans="1:15" x14ac:dyDescent="0.3">
      <c r="A130">
        <v>37132</v>
      </c>
      <c r="B130" t="s">
        <v>2</v>
      </c>
      <c r="C130">
        <v>82</v>
      </c>
      <c r="D130">
        <v>0</v>
      </c>
      <c r="E130">
        <v>0</v>
      </c>
      <c r="F130" t="str">
        <f t="shared" si="5"/>
        <v>Moderate Risk</v>
      </c>
      <c r="G130" t="s">
        <v>3</v>
      </c>
      <c r="H130" t="s">
        <v>15</v>
      </c>
      <c r="I130" t="s">
        <v>5</v>
      </c>
      <c r="J130">
        <v>200.59</v>
      </c>
      <c r="K130">
        <v>29</v>
      </c>
      <c r="L130" t="s">
        <v>6</v>
      </c>
      <c r="M130">
        <v>1</v>
      </c>
      <c r="N130" t="str">
        <f t="shared" ref="N130:N193" si="6">IF(C130&lt;40,"Under 40",IF(C130&lt;60,"40–59","60+"))</f>
        <v>60+</v>
      </c>
      <c r="O130" t="str">
        <f t="shared" ref="O130:O193" si="7">IF(K130="N/A","Unknown",
IF(K130="","Unknown",
IF(K130&lt;18.5,"Underweight",
IF(K130&lt;25,"Normal",
IF(K130&lt;30,"Overweight","Obese")))))</f>
        <v>Overweight</v>
      </c>
    </row>
    <row r="131" spans="1:15" x14ac:dyDescent="0.3">
      <c r="A131">
        <v>48796</v>
      </c>
      <c r="B131" t="s">
        <v>7</v>
      </c>
      <c r="C131">
        <v>75</v>
      </c>
      <c r="D131">
        <v>0</v>
      </c>
      <c r="E131">
        <v>0</v>
      </c>
      <c r="F131" t="str">
        <f t="shared" ref="F131:F194" si="8">IF(C131&gt;=60,
IF(OR(D131=1,E131=1),"High Risk","Moderate Risk"),
"Lower Risk")</f>
        <v>Moderate Risk</v>
      </c>
      <c r="G131" t="s">
        <v>3</v>
      </c>
      <c r="H131" t="s">
        <v>15</v>
      </c>
      <c r="I131" t="s">
        <v>5</v>
      </c>
      <c r="J131">
        <v>62.48</v>
      </c>
      <c r="K131" t="s">
        <v>10</v>
      </c>
      <c r="L131" t="s">
        <v>14</v>
      </c>
      <c r="M131">
        <v>1</v>
      </c>
      <c r="N131" t="str">
        <f t="shared" si="6"/>
        <v>60+</v>
      </c>
      <c r="O131" t="str">
        <f t="shared" si="7"/>
        <v>Unknown</v>
      </c>
    </row>
    <row r="132" spans="1:15" x14ac:dyDescent="0.3">
      <c r="A132">
        <v>53440</v>
      </c>
      <c r="B132" t="s">
        <v>7</v>
      </c>
      <c r="C132">
        <v>73</v>
      </c>
      <c r="D132">
        <v>1</v>
      </c>
      <c r="E132">
        <v>0</v>
      </c>
      <c r="F132" t="str">
        <f t="shared" si="8"/>
        <v>High Risk</v>
      </c>
      <c r="G132" t="s">
        <v>3</v>
      </c>
      <c r="H132" t="s">
        <v>4</v>
      </c>
      <c r="I132" t="s">
        <v>9</v>
      </c>
      <c r="J132">
        <v>190.14</v>
      </c>
      <c r="K132">
        <v>36.5</v>
      </c>
      <c r="L132" t="s">
        <v>11</v>
      </c>
      <c r="M132">
        <v>1</v>
      </c>
      <c r="N132" t="str">
        <f t="shared" si="6"/>
        <v>60+</v>
      </c>
      <c r="O132" t="str">
        <f t="shared" si="7"/>
        <v>Obese</v>
      </c>
    </row>
    <row r="133" spans="1:15" x14ac:dyDescent="0.3">
      <c r="A133">
        <v>16817</v>
      </c>
      <c r="B133" t="s">
        <v>7</v>
      </c>
      <c r="C133">
        <v>78</v>
      </c>
      <c r="D133">
        <v>1</v>
      </c>
      <c r="E133">
        <v>0</v>
      </c>
      <c r="F133" t="str">
        <f t="shared" si="8"/>
        <v>High Risk</v>
      </c>
      <c r="G133" t="s">
        <v>13</v>
      </c>
      <c r="H133" t="s">
        <v>4</v>
      </c>
      <c r="I133" t="s">
        <v>5</v>
      </c>
      <c r="J133">
        <v>130.54</v>
      </c>
      <c r="K133">
        <v>20.100000000000001</v>
      </c>
      <c r="L133" t="s">
        <v>11</v>
      </c>
      <c r="M133">
        <v>1</v>
      </c>
      <c r="N133" t="str">
        <f t="shared" si="6"/>
        <v>60+</v>
      </c>
      <c r="O133" t="str">
        <f t="shared" si="7"/>
        <v>Normal</v>
      </c>
    </row>
    <row r="134" spans="1:15" x14ac:dyDescent="0.3">
      <c r="A134">
        <v>69551</v>
      </c>
      <c r="B134" t="s">
        <v>2</v>
      </c>
      <c r="C134">
        <v>69</v>
      </c>
      <c r="D134">
        <v>1</v>
      </c>
      <c r="E134">
        <v>0</v>
      </c>
      <c r="F134" t="str">
        <f t="shared" si="8"/>
        <v>High Risk</v>
      </c>
      <c r="G134" t="s">
        <v>13</v>
      </c>
      <c r="H134" t="s">
        <v>4</v>
      </c>
      <c r="I134" t="s">
        <v>9</v>
      </c>
      <c r="J134">
        <v>182.99</v>
      </c>
      <c r="K134">
        <v>36.5</v>
      </c>
      <c r="L134" t="s">
        <v>11</v>
      </c>
      <c r="M134">
        <v>1</v>
      </c>
      <c r="N134" t="str">
        <f t="shared" si="6"/>
        <v>60+</v>
      </c>
      <c r="O134" t="str">
        <f t="shared" si="7"/>
        <v>Obese</v>
      </c>
    </row>
    <row r="135" spans="1:15" x14ac:dyDescent="0.3">
      <c r="A135">
        <v>31563</v>
      </c>
      <c r="B135" t="s">
        <v>7</v>
      </c>
      <c r="C135">
        <v>38</v>
      </c>
      <c r="D135">
        <v>0</v>
      </c>
      <c r="E135">
        <v>0</v>
      </c>
      <c r="F135" t="str">
        <f t="shared" si="8"/>
        <v>Lower Risk</v>
      </c>
      <c r="G135" t="s">
        <v>3</v>
      </c>
      <c r="H135" t="s">
        <v>4</v>
      </c>
      <c r="I135" t="s">
        <v>9</v>
      </c>
      <c r="J135">
        <v>101.45</v>
      </c>
      <c r="K135" t="s">
        <v>10</v>
      </c>
      <c r="L135" t="s">
        <v>6</v>
      </c>
      <c r="M135">
        <v>1</v>
      </c>
      <c r="N135" t="str">
        <f t="shared" si="6"/>
        <v>Under 40</v>
      </c>
      <c r="O135" t="str">
        <f t="shared" si="7"/>
        <v>Unknown</v>
      </c>
    </row>
    <row r="136" spans="1:15" x14ac:dyDescent="0.3">
      <c r="A136">
        <v>20387</v>
      </c>
      <c r="B136" t="s">
        <v>7</v>
      </c>
      <c r="C136">
        <v>68</v>
      </c>
      <c r="D136">
        <v>1</v>
      </c>
      <c r="E136">
        <v>0</v>
      </c>
      <c r="F136" t="str">
        <f t="shared" si="8"/>
        <v>High Risk</v>
      </c>
      <c r="G136" t="s">
        <v>3</v>
      </c>
      <c r="H136" t="s">
        <v>8</v>
      </c>
      <c r="I136" t="s">
        <v>9</v>
      </c>
      <c r="J136">
        <v>206.09</v>
      </c>
      <c r="K136">
        <v>26.7</v>
      </c>
      <c r="L136" t="s">
        <v>11</v>
      </c>
      <c r="M136">
        <v>1</v>
      </c>
      <c r="N136" t="str">
        <f t="shared" si="6"/>
        <v>60+</v>
      </c>
      <c r="O136" t="str">
        <f t="shared" si="7"/>
        <v>Overweight</v>
      </c>
    </row>
    <row r="137" spans="1:15" x14ac:dyDescent="0.3">
      <c r="A137">
        <v>71279</v>
      </c>
      <c r="B137" t="s">
        <v>7</v>
      </c>
      <c r="C137">
        <v>71</v>
      </c>
      <c r="D137">
        <v>0</v>
      </c>
      <c r="E137">
        <v>0</v>
      </c>
      <c r="F137" t="str">
        <f t="shared" si="8"/>
        <v>Moderate Risk</v>
      </c>
      <c r="G137" t="s">
        <v>3</v>
      </c>
      <c r="H137" t="s">
        <v>15</v>
      </c>
      <c r="I137" t="s">
        <v>5</v>
      </c>
      <c r="J137">
        <v>263.32</v>
      </c>
      <c r="K137">
        <v>38.700000000000003</v>
      </c>
      <c r="L137" t="s">
        <v>11</v>
      </c>
      <c r="M137">
        <v>1</v>
      </c>
      <c r="N137" t="str">
        <f t="shared" si="6"/>
        <v>60+</v>
      </c>
      <c r="O137" t="str">
        <f t="shared" si="7"/>
        <v>Obese</v>
      </c>
    </row>
    <row r="138" spans="1:15" x14ac:dyDescent="0.3">
      <c r="A138">
        <v>55824</v>
      </c>
      <c r="B138" t="s">
        <v>2</v>
      </c>
      <c r="C138">
        <v>76</v>
      </c>
      <c r="D138">
        <v>0</v>
      </c>
      <c r="E138">
        <v>0</v>
      </c>
      <c r="F138" t="str">
        <f t="shared" si="8"/>
        <v>Moderate Risk</v>
      </c>
      <c r="G138" t="s">
        <v>3</v>
      </c>
      <c r="H138" t="s">
        <v>4</v>
      </c>
      <c r="I138" t="s">
        <v>5</v>
      </c>
      <c r="J138">
        <v>140.1</v>
      </c>
      <c r="K138">
        <v>29.9</v>
      </c>
      <c r="L138" t="s">
        <v>6</v>
      </c>
      <c r="M138">
        <v>1</v>
      </c>
      <c r="N138" t="str">
        <f t="shared" si="6"/>
        <v>60+</v>
      </c>
      <c r="O138" t="str">
        <f t="shared" si="7"/>
        <v>Overweight</v>
      </c>
    </row>
    <row r="139" spans="1:15" x14ac:dyDescent="0.3">
      <c r="A139">
        <v>11762</v>
      </c>
      <c r="B139" t="s">
        <v>7</v>
      </c>
      <c r="C139">
        <v>76</v>
      </c>
      <c r="D139">
        <v>0</v>
      </c>
      <c r="E139">
        <v>0</v>
      </c>
      <c r="F139" t="str">
        <f t="shared" si="8"/>
        <v>Moderate Risk</v>
      </c>
      <c r="G139" t="s">
        <v>3</v>
      </c>
      <c r="H139" t="s">
        <v>4</v>
      </c>
      <c r="I139" t="s">
        <v>5</v>
      </c>
      <c r="J139">
        <v>207.28</v>
      </c>
      <c r="K139">
        <v>34.9</v>
      </c>
      <c r="L139" t="s">
        <v>14</v>
      </c>
      <c r="M139">
        <v>1</v>
      </c>
      <c r="N139" t="str">
        <f t="shared" si="6"/>
        <v>60+</v>
      </c>
      <c r="O139" t="str">
        <f t="shared" si="7"/>
        <v>Obese</v>
      </c>
    </row>
    <row r="140" spans="1:15" x14ac:dyDescent="0.3">
      <c r="A140">
        <v>29281</v>
      </c>
      <c r="B140" t="s">
        <v>2</v>
      </c>
      <c r="C140">
        <v>76</v>
      </c>
      <c r="D140">
        <v>1</v>
      </c>
      <c r="E140">
        <v>0</v>
      </c>
      <c r="F140" t="str">
        <f t="shared" si="8"/>
        <v>High Risk</v>
      </c>
      <c r="G140" t="s">
        <v>3</v>
      </c>
      <c r="H140" t="s">
        <v>8</v>
      </c>
      <c r="I140" t="s">
        <v>9</v>
      </c>
      <c r="J140">
        <v>194.37</v>
      </c>
      <c r="K140">
        <v>27</v>
      </c>
      <c r="L140" t="s">
        <v>6</v>
      </c>
      <c r="M140">
        <v>1</v>
      </c>
      <c r="N140" t="str">
        <f t="shared" si="6"/>
        <v>60+</v>
      </c>
      <c r="O140" t="str">
        <f t="shared" si="7"/>
        <v>Overweight</v>
      </c>
    </row>
    <row r="141" spans="1:15" x14ac:dyDescent="0.3">
      <c r="A141">
        <v>30683</v>
      </c>
      <c r="B141" t="s">
        <v>7</v>
      </c>
      <c r="C141">
        <v>75</v>
      </c>
      <c r="D141">
        <v>0</v>
      </c>
      <c r="E141">
        <v>0</v>
      </c>
      <c r="F141" t="str">
        <f t="shared" si="8"/>
        <v>Moderate Risk</v>
      </c>
      <c r="G141" t="s">
        <v>3</v>
      </c>
      <c r="H141" t="s">
        <v>4</v>
      </c>
      <c r="I141" t="s">
        <v>9</v>
      </c>
      <c r="J141">
        <v>199.2</v>
      </c>
      <c r="K141">
        <v>26.6</v>
      </c>
      <c r="L141" t="s">
        <v>14</v>
      </c>
      <c r="M141">
        <v>1</v>
      </c>
      <c r="N141" t="str">
        <f t="shared" si="6"/>
        <v>60+</v>
      </c>
      <c r="O141" t="str">
        <f t="shared" si="7"/>
        <v>Overweight</v>
      </c>
    </row>
    <row r="142" spans="1:15" x14ac:dyDescent="0.3">
      <c r="A142">
        <v>20439</v>
      </c>
      <c r="B142" t="s">
        <v>2</v>
      </c>
      <c r="C142">
        <v>82</v>
      </c>
      <c r="D142">
        <v>0</v>
      </c>
      <c r="E142">
        <v>1</v>
      </c>
      <c r="F142" t="str">
        <f t="shared" si="8"/>
        <v>High Risk</v>
      </c>
      <c r="G142" t="s">
        <v>3</v>
      </c>
      <c r="H142" t="s">
        <v>15</v>
      </c>
      <c r="I142" t="s">
        <v>9</v>
      </c>
      <c r="J142">
        <v>103.68</v>
      </c>
      <c r="K142">
        <v>25</v>
      </c>
      <c r="L142" t="s">
        <v>11</v>
      </c>
      <c r="M142">
        <v>1</v>
      </c>
      <c r="N142" t="str">
        <f t="shared" si="6"/>
        <v>60+</v>
      </c>
      <c r="O142" t="str">
        <f t="shared" si="7"/>
        <v>Overweight</v>
      </c>
    </row>
    <row r="143" spans="1:15" x14ac:dyDescent="0.3">
      <c r="A143">
        <v>45965</v>
      </c>
      <c r="B143" t="s">
        <v>7</v>
      </c>
      <c r="C143">
        <v>59</v>
      </c>
      <c r="D143">
        <v>0</v>
      </c>
      <c r="E143">
        <v>0</v>
      </c>
      <c r="F143" t="str">
        <f t="shared" si="8"/>
        <v>Lower Risk</v>
      </c>
      <c r="G143" t="s">
        <v>3</v>
      </c>
      <c r="H143" t="s">
        <v>4</v>
      </c>
      <c r="I143" t="s">
        <v>9</v>
      </c>
      <c r="J143">
        <v>116.44</v>
      </c>
      <c r="K143">
        <v>23.8</v>
      </c>
      <c r="L143" t="s">
        <v>12</v>
      </c>
      <c r="M143">
        <v>1</v>
      </c>
      <c r="N143" t="str">
        <f t="shared" si="6"/>
        <v>40–59</v>
      </c>
      <c r="O143" t="str">
        <f t="shared" si="7"/>
        <v>Normal</v>
      </c>
    </row>
    <row r="144" spans="1:15" x14ac:dyDescent="0.3">
      <c r="A144">
        <v>8045</v>
      </c>
      <c r="B144" t="s">
        <v>7</v>
      </c>
      <c r="C144">
        <v>74</v>
      </c>
      <c r="D144">
        <v>1</v>
      </c>
      <c r="E144">
        <v>0</v>
      </c>
      <c r="F144" t="str">
        <f t="shared" si="8"/>
        <v>High Risk</v>
      </c>
      <c r="G144" t="s">
        <v>3</v>
      </c>
      <c r="H144" t="s">
        <v>4</v>
      </c>
      <c r="I144" t="s">
        <v>5</v>
      </c>
      <c r="J144">
        <v>70.28</v>
      </c>
      <c r="K144">
        <v>21.8</v>
      </c>
      <c r="L144" t="s">
        <v>11</v>
      </c>
      <c r="M144">
        <v>1</v>
      </c>
      <c r="N144" t="str">
        <f t="shared" si="6"/>
        <v>60+</v>
      </c>
      <c r="O144" t="str">
        <f t="shared" si="7"/>
        <v>Normal</v>
      </c>
    </row>
    <row r="145" spans="1:15" x14ac:dyDescent="0.3">
      <c r="A145">
        <v>37651</v>
      </c>
      <c r="B145" t="s">
        <v>7</v>
      </c>
      <c r="C145">
        <v>69</v>
      </c>
      <c r="D145">
        <v>1</v>
      </c>
      <c r="E145">
        <v>1</v>
      </c>
      <c r="F145" t="str">
        <f t="shared" si="8"/>
        <v>High Risk</v>
      </c>
      <c r="G145" t="s">
        <v>13</v>
      </c>
      <c r="H145" t="s">
        <v>8</v>
      </c>
      <c r="I145" t="s">
        <v>5</v>
      </c>
      <c r="J145">
        <v>72.17</v>
      </c>
      <c r="K145">
        <v>36.799999999999997</v>
      </c>
      <c r="L145" t="s">
        <v>11</v>
      </c>
      <c r="M145">
        <v>1</v>
      </c>
      <c r="N145" t="str">
        <f t="shared" si="6"/>
        <v>60+</v>
      </c>
      <c r="O145" t="str">
        <f t="shared" si="7"/>
        <v>Obese</v>
      </c>
    </row>
    <row r="146" spans="1:15" x14ac:dyDescent="0.3">
      <c r="A146">
        <v>17308</v>
      </c>
      <c r="B146" t="s">
        <v>7</v>
      </c>
      <c r="C146">
        <v>72</v>
      </c>
      <c r="D146">
        <v>1</v>
      </c>
      <c r="E146">
        <v>0</v>
      </c>
      <c r="F146" t="str">
        <f t="shared" si="8"/>
        <v>High Risk</v>
      </c>
      <c r="G146" t="s">
        <v>3</v>
      </c>
      <c r="H146" t="s">
        <v>4</v>
      </c>
      <c r="I146" t="s">
        <v>5</v>
      </c>
      <c r="J146">
        <v>221.79</v>
      </c>
      <c r="K146">
        <v>30</v>
      </c>
      <c r="L146" t="s">
        <v>11</v>
      </c>
      <c r="M146">
        <v>1</v>
      </c>
      <c r="N146" t="str">
        <f t="shared" si="6"/>
        <v>60+</v>
      </c>
      <c r="O146" t="str">
        <f t="shared" si="7"/>
        <v>Obese</v>
      </c>
    </row>
    <row r="147" spans="1:15" x14ac:dyDescent="0.3">
      <c r="A147">
        <v>67981</v>
      </c>
      <c r="B147" t="s">
        <v>2</v>
      </c>
      <c r="C147">
        <v>66</v>
      </c>
      <c r="D147">
        <v>0</v>
      </c>
      <c r="E147">
        <v>0</v>
      </c>
      <c r="F147" t="str">
        <f t="shared" si="8"/>
        <v>Moderate Risk</v>
      </c>
      <c r="G147" t="s">
        <v>3</v>
      </c>
      <c r="H147" t="s">
        <v>4</v>
      </c>
      <c r="I147" t="s">
        <v>5</v>
      </c>
      <c r="J147">
        <v>151.16</v>
      </c>
      <c r="K147">
        <v>27.5</v>
      </c>
      <c r="L147" t="s">
        <v>6</v>
      </c>
      <c r="M147">
        <v>1</v>
      </c>
      <c r="N147" t="str">
        <f t="shared" si="6"/>
        <v>60+</v>
      </c>
      <c r="O147" t="str">
        <f t="shared" si="7"/>
        <v>Overweight</v>
      </c>
    </row>
    <row r="148" spans="1:15" x14ac:dyDescent="0.3">
      <c r="A148">
        <v>41241</v>
      </c>
      <c r="B148" t="s">
        <v>2</v>
      </c>
      <c r="C148">
        <v>65</v>
      </c>
      <c r="D148">
        <v>0</v>
      </c>
      <c r="E148">
        <v>0</v>
      </c>
      <c r="F148" t="str">
        <f t="shared" si="8"/>
        <v>Moderate Risk</v>
      </c>
      <c r="G148" t="s">
        <v>3</v>
      </c>
      <c r="H148" t="s">
        <v>8</v>
      </c>
      <c r="I148" t="s">
        <v>5</v>
      </c>
      <c r="J148">
        <v>68.430000000000007</v>
      </c>
      <c r="K148" t="s">
        <v>10</v>
      </c>
      <c r="L148" t="s">
        <v>6</v>
      </c>
      <c r="M148">
        <v>1</v>
      </c>
      <c r="N148" t="str">
        <f t="shared" si="6"/>
        <v>60+</v>
      </c>
      <c r="O148" t="str">
        <f t="shared" si="7"/>
        <v>Unknown</v>
      </c>
    </row>
    <row r="149" spans="1:15" x14ac:dyDescent="0.3">
      <c r="A149">
        <v>62861</v>
      </c>
      <c r="B149" t="s">
        <v>7</v>
      </c>
      <c r="C149">
        <v>78</v>
      </c>
      <c r="D149">
        <v>0</v>
      </c>
      <c r="E149">
        <v>0</v>
      </c>
      <c r="F149" t="str">
        <f t="shared" si="8"/>
        <v>Moderate Risk</v>
      </c>
      <c r="G149" t="s">
        <v>3</v>
      </c>
      <c r="H149" t="s">
        <v>4</v>
      </c>
      <c r="I149" t="s">
        <v>5</v>
      </c>
      <c r="J149">
        <v>67.290000000000006</v>
      </c>
      <c r="K149">
        <v>24.6</v>
      </c>
      <c r="L149" t="s">
        <v>11</v>
      </c>
      <c r="M149">
        <v>1</v>
      </c>
      <c r="N149" t="str">
        <f t="shared" si="6"/>
        <v>60+</v>
      </c>
      <c r="O149" t="str">
        <f t="shared" si="7"/>
        <v>Normal</v>
      </c>
    </row>
    <row r="150" spans="1:15" x14ac:dyDescent="0.3">
      <c r="A150">
        <v>72081</v>
      </c>
      <c r="B150" t="s">
        <v>7</v>
      </c>
      <c r="C150">
        <v>57</v>
      </c>
      <c r="D150">
        <v>1</v>
      </c>
      <c r="E150">
        <v>0</v>
      </c>
      <c r="F150" t="str">
        <f t="shared" si="8"/>
        <v>Lower Risk</v>
      </c>
      <c r="G150" t="s">
        <v>3</v>
      </c>
      <c r="H150" t="s">
        <v>15</v>
      </c>
      <c r="I150" t="s">
        <v>9</v>
      </c>
      <c r="J150">
        <v>67.41</v>
      </c>
      <c r="K150">
        <v>32.9</v>
      </c>
      <c r="L150" t="s">
        <v>11</v>
      </c>
      <c r="M150">
        <v>1</v>
      </c>
      <c r="N150" t="str">
        <f t="shared" si="6"/>
        <v>40–59</v>
      </c>
      <c r="O150" t="str">
        <f t="shared" si="7"/>
        <v>Obese</v>
      </c>
    </row>
    <row r="151" spans="1:15" x14ac:dyDescent="0.3">
      <c r="A151">
        <v>58978</v>
      </c>
      <c r="B151" t="s">
        <v>7</v>
      </c>
      <c r="C151">
        <v>70</v>
      </c>
      <c r="D151">
        <v>0</v>
      </c>
      <c r="E151">
        <v>1</v>
      </c>
      <c r="F151" t="str">
        <f t="shared" si="8"/>
        <v>High Risk</v>
      </c>
      <c r="G151" t="s">
        <v>3</v>
      </c>
      <c r="H151" t="s">
        <v>4</v>
      </c>
      <c r="I151" t="s">
        <v>9</v>
      </c>
      <c r="J151">
        <v>239.07</v>
      </c>
      <c r="K151">
        <v>26.1</v>
      </c>
      <c r="L151" t="s">
        <v>11</v>
      </c>
      <c r="M151">
        <v>1</v>
      </c>
      <c r="N151" t="str">
        <f t="shared" si="6"/>
        <v>60+</v>
      </c>
      <c r="O151" t="str">
        <f t="shared" si="7"/>
        <v>Overweight</v>
      </c>
    </row>
    <row r="152" spans="1:15" x14ac:dyDescent="0.3">
      <c r="A152">
        <v>11933</v>
      </c>
      <c r="B152" t="s">
        <v>7</v>
      </c>
      <c r="C152">
        <v>79</v>
      </c>
      <c r="D152">
        <v>0</v>
      </c>
      <c r="E152">
        <v>0</v>
      </c>
      <c r="F152" t="str">
        <f t="shared" si="8"/>
        <v>Moderate Risk</v>
      </c>
      <c r="G152" t="s">
        <v>3</v>
      </c>
      <c r="H152" t="s">
        <v>4</v>
      </c>
      <c r="I152" t="s">
        <v>9</v>
      </c>
      <c r="J152">
        <v>169.67</v>
      </c>
      <c r="K152" t="s">
        <v>10</v>
      </c>
      <c r="L152" t="s">
        <v>14</v>
      </c>
      <c r="M152">
        <v>1</v>
      </c>
      <c r="N152" t="str">
        <f t="shared" si="6"/>
        <v>60+</v>
      </c>
      <c r="O152" t="str">
        <f t="shared" si="7"/>
        <v>Unknown</v>
      </c>
    </row>
    <row r="153" spans="1:15" x14ac:dyDescent="0.3">
      <c r="A153">
        <v>46703</v>
      </c>
      <c r="B153" t="s">
        <v>2</v>
      </c>
      <c r="C153">
        <v>68</v>
      </c>
      <c r="D153">
        <v>0</v>
      </c>
      <c r="E153">
        <v>1</v>
      </c>
      <c r="F153" t="str">
        <f t="shared" si="8"/>
        <v>High Risk</v>
      </c>
      <c r="G153" t="s">
        <v>3</v>
      </c>
      <c r="H153" t="s">
        <v>4</v>
      </c>
      <c r="I153" t="s">
        <v>5</v>
      </c>
      <c r="J153">
        <v>223.83</v>
      </c>
      <c r="K153">
        <v>31.9</v>
      </c>
      <c r="L153" t="s">
        <v>6</v>
      </c>
      <c r="M153">
        <v>1</v>
      </c>
      <c r="N153" t="str">
        <f t="shared" si="6"/>
        <v>60+</v>
      </c>
      <c r="O153" t="str">
        <f t="shared" si="7"/>
        <v>Obese</v>
      </c>
    </row>
    <row r="154" spans="1:15" x14ac:dyDescent="0.3">
      <c r="A154">
        <v>32503</v>
      </c>
      <c r="B154" t="s">
        <v>7</v>
      </c>
      <c r="C154">
        <v>80</v>
      </c>
      <c r="D154">
        <v>0</v>
      </c>
      <c r="E154">
        <v>0</v>
      </c>
      <c r="F154" t="str">
        <f t="shared" si="8"/>
        <v>Moderate Risk</v>
      </c>
      <c r="G154" t="s">
        <v>3</v>
      </c>
      <c r="H154" t="s">
        <v>8</v>
      </c>
      <c r="I154" t="s">
        <v>5</v>
      </c>
      <c r="J154">
        <v>76.569999999999993</v>
      </c>
      <c r="K154">
        <v>34.1</v>
      </c>
      <c r="L154" t="s">
        <v>11</v>
      </c>
      <c r="M154">
        <v>1</v>
      </c>
      <c r="N154" t="str">
        <f t="shared" si="6"/>
        <v>60+</v>
      </c>
      <c r="O154" t="str">
        <f t="shared" si="7"/>
        <v>Obese</v>
      </c>
    </row>
    <row r="155" spans="1:15" x14ac:dyDescent="0.3">
      <c r="A155">
        <v>12482</v>
      </c>
      <c r="B155" t="s">
        <v>2</v>
      </c>
      <c r="C155">
        <v>68</v>
      </c>
      <c r="D155">
        <v>0</v>
      </c>
      <c r="E155">
        <v>0</v>
      </c>
      <c r="F155" t="str">
        <f t="shared" si="8"/>
        <v>Moderate Risk</v>
      </c>
      <c r="G155" t="s">
        <v>3</v>
      </c>
      <c r="H155" t="s">
        <v>8</v>
      </c>
      <c r="I155" t="s">
        <v>5</v>
      </c>
      <c r="J155">
        <v>77.819999999999993</v>
      </c>
      <c r="K155">
        <v>27.5</v>
      </c>
      <c r="L155" t="s">
        <v>12</v>
      </c>
      <c r="M155">
        <v>1</v>
      </c>
      <c r="N155" t="str">
        <f t="shared" si="6"/>
        <v>60+</v>
      </c>
      <c r="O155" t="str">
        <f t="shared" si="7"/>
        <v>Overweight</v>
      </c>
    </row>
    <row r="156" spans="1:15" x14ac:dyDescent="0.3">
      <c r="A156">
        <v>56939</v>
      </c>
      <c r="B156" t="s">
        <v>7</v>
      </c>
      <c r="C156">
        <v>55</v>
      </c>
      <c r="D156">
        <v>0</v>
      </c>
      <c r="E156">
        <v>0</v>
      </c>
      <c r="F156" t="str">
        <f t="shared" si="8"/>
        <v>Lower Risk</v>
      </c>
      <c r="G156" t="s">
        <v>3</v>
      </c>
      <c r="H156" t="s">
        <v>8</v>
      </c>
      <c r="I156" t="s">
        <v>9</v>
      </c>
      <c r="J156">
        <v>92.98</v>
      </c>
      <c r="K156">
        <v>25.6</v>
      </c>
      <c r="L156" t="s">
        <v>11</v>
      </c>
      <c r="M156">
        <v>1</v>
      </c>
      <c r="N156" t="str">
        <f t="shared" si="6"/>
        <v>40–59</v>
      </c>
      <c r="O156" t="str">
        <f t="shared" si="7"/>
        <v>Overweight</v>
      </c>
    </row>
    <row r="157" spans="1:15" x14ac:dyDescent="0.3">
      <c r="A157">
        <v>24669</v>
      </c>
      <c r="B157" t="s">
        <v>7</v>
      </c>
      <c r="C157">
        <v>77</v>
      </c>
      <c r="D157">
        <v>0</v>
      </c>
      <c r="E157">
        <v>1</v>
      </c>
      <c r="F157" t="str">
        <f t="shared" si="8"/>
        <v>High Risk</v>
      </c>
      <c r="G157" t="s">
        <v>3</v>
      </c>
      <c r="H157" t="s">
        <v>4</v>
      </c>
      <c r="I157" t="s">
        <v>9</v>
      </c>
      <c r="J157">
        <v>231.56</v>
      </c>
      <c r="K157">
        <v>36.9</v>
      </c>
      <c r="L157" t="s">
        <v>11</v>
      </c>
      <c r="M157">
        <v>1</v>
      </c>
      <c r="N157" t="str">
        <f t="shared" si="6"/>
        <v>60+</v>
      </c>
      <c r="O157" t="str">
        <f t="shared" si="7"/>
        <v>Obese</v>
      </c>
    </row>
    <row r="158" spans="1:15" x14ac:dyDescent="0.3">
      <c r="A158">
        <v>43054</v>
      </c>
      <c r="B158" t="s">
        <v>7</v>
      </c>
      <c r="C158">
        <v>50</v>
      </c>
      <c r="D158">
        <v>0</v>
      </c>
      <c r="E158">
        <v>0</v>
      </c>
      <c r="F158" t="str">
        <f t="shared" si="8"/>
        <v>Lower Risk</v>
      </c>
      <c r="G158" t="s">
        <v>3</v>
      </c>
      <c r="H158" t="s">
        <v>4</v>
      </c>
      <c r="I158" t="s">
        <v>9</v>
      </c>
      <c r="J158">
        <v>102.16</v>
      </c>
      <c r="K158">
        <v>31.4</v>
      </c>
      <c r="L158" t="s">
        <v>12</v>
      </c>
      <c r="M158">
        <v>1</v>
      </c>
      <c r="N158" t="str">
        <f t="shared" si="6"/>
        <v>40–59</v>
      </c>
      <c r="O158" t="str">
        <f t="shared" si="7"/>
        <v>Obese</v>
      </c>
    </row>
    <row r="159" spans="1:15" x14ac:dyDescent="0.3">
      <c r="A159">
        <v>59437</v>
      </c>
      <c r="B159" t="s">
        <v>7</v>
      </c>
      <c r="C159">
        <v>57</v>
      </c>
      <c r="D159">
        <v>0</v>
      </c>
      <c r="E159">
        <v>0</v>
      </c>
      <c r="F159" t="str">
        <f t="shared" si="8"/>
        <v>Lower Risk</v>
      </c>
      <c r="G159" t="s">
        <v>3</v>
      </c>
      <c r="H159" t="s">
        <v>4</v>
      </c>
      <c r="I159" t="s">
        <v>5</v>
      </c>
      <c r="J159">
        <v>221.89</v>
      </c>
      <c r="K159">
        <v>37.299999999999997</v>
      </c>
      <c r="L159" t="s">
        <v>12</v>
      </c>
      <c r="M159">
        <v>1</v>
      </c>
      <c r="N159" t="str">
        <f t="shared" si="6"/>
        <v>40–59</v>
      </c>
      <c r="O159" t="str">
        <f t="shared" si="7"/>
        <v>Obese</v>
      </c>
    </row>
    <row r="160" spans="1:15" x14ac:dyDescent="0.3">
      <c r="A160">
        <v>66258</v>
      </c>
      <c r="B160" t="s">
        <v>7</v>
      </c>
      <c r="C160">
        <v>71</v>
      </c>
      <c r="D160">
        <v>0</v>
      </c>
      <c r="E160">
        <v>0</v>
      </c>
      <c r="F160" t="str">
        <f t="shared" si="8"/>
        <v>Moderate Risk</v>
      </c>
      <c r="G160" t="s">
        <v>3</v>
      </c>
      <c r="H160" t="s">
        <v>8</v>
      </c>
      <c r="I160" t="s">
        <v>5</v>
      </c>
      <c r="J160">
        <v>195.71</v>
      </c>
      <c r="K160">
        <v>34.1</v>
      </c>
      <c r="L160" t="s">
        <v>6</v>
      </c>
      <c r="M160">
        <v>1</v>
      </c>
      <c r="N160" t="str">
        <f t="shared" si="6"/>
        <v>60+</v>
      </c>
      <c r="O160" t="str">
        <f t="shared" si="7"/>
        <v>Obese</v>
      </c>
    </row>
    <row r="161" spans="1:15" x14ac:dyDescent="0.3">
      <c r="A161">
        <v>34567</v>
      </c>
      <c r="B161" t="s">
        <v>7</v>
      </c>
      <c r="C161">
        <v>81</v>
      </c>
      <c r="D161">
        <v>1</v>
      </c>
      <c r="E161">
        <v>0</v>
      </c>
      <c r="F161" t="str">
        <f t="shared" si="8"/>
        <v>High Risk</v>
      </c>
      <c r="G161" t="s">
        <v>3</v>
      </c>
      <c r="H161" t="s">
        <v>8</v>
      </c>
      <c r="I161" t="s">
        <v>9</v>
      </c>
      <c r="J161">
        <v>74.02</v>
      </c>
      <c r="K161">
        <v>25</v>
      </c>
      <c r="L161" t="s">
        <v>11</v>
      </c>
      <c r="M161">
        <v>1</v>
      </c>
      <c r="N161" t="str">
        <f t="shared" si="6"/>
        <v>60+</v>
      </c>
      <c r="O161" t="str">
        <f t="shared" si="7"/>
        <v>Overweight</v>
      </c>
    </row>
    <row r="162" spans="1:15" x14ac:dyDescent="0.3">
      <c r="A162">
        <v>50931</v>
      </c>
      <c r="B162" t="s">
        <v>7</v>
      </c>
      <c r="C162">
        <v>76</v>
      </c>
      <c r="D162">
        <v>0</v>
      </c>
      <c r="E162">
        <v>0</v>
      </c>
      <c r="F162" t="str">
        <f t="shared" si="8"/>
        <v>Moderate Risk</v>
      </c>
      <c r="G162" t="s">
        <v>3</v>
      </c>
      <c r="H162" t="s">
        <v>4</v>
      </c>
      <c r="I162" t="s">
        <v>5</v>
      </c>
      <c r="J162">
        <v>57.92</v>
      </c>
      <c r="K162" t="s">
        <v>10</v>
      </c>
      <c r="L162" t="s">
        <v>6</v>
      </c>
      <c r="M162">
        <v>1</v>
      </c>
      <c r="N162" t="str">
        <f t="shared" si="6"/>
        <v>60+</v>
      </c>
      <c r="O162" t="str">
        <f t="shared" si="7"/>
        <v>Unknown</v>
      </c>
    </row>
    <row r="163" spans="1:15" x14ac:dyDescent="0.3">
      <c r="A163">
        <v>16590</v>
      </c>
      <c r="B163" t="s">
        <v>2</v>
      </c>
      <c r="C163">
        <v>71</v>
      </c>
      <c r="D163">
        <v>0</v>
      </c>
      <c r="E163">
        <v>1</v>
      </c>
      <c r="F163" t="str">
        <f t="shared" si="8"/>
        <v>High Risk</v>
      </c>
      <c r="G163" t="s">
        <v>3</v>
      </c>
      <c r="H163" t="s">
        <v>4</v>
      </c>
      <c r="I163" t="s">
        <v>5</v>
      </c>
      <c r="J163">
        <v>81.760000000000005</v>
      </c>
      <c r="K163" t="s">
        <v>10</v>
      </c>
      <c r="L163" t="s">
        <v>12</v>
      </c>
      <c r="M163">
        <v>1</v>
      </c>
      <c r="N163" t="str">
        <f t="shared" si="6"/>
        <v>60+</v>
      </c>
      <c r="O163" t="str">
        <f t="shared" si="7"/>
        <v>Unknown</v>
      </c>
    </row>
    <row r="164" spans="1:15" x14ac:dyDescent="0.3">
      <c r="A164">
        <v>69768</v>
      </c>
      <c r="B164" t="s">
        <v>7</v>
      </c>
      <c r="C164">
        <v>1.32</v>
      </c>
      <c r="D164">
        <v>0</v>
      </c>
      <c r="E164">
        <v>0</v>
      </c>
      <c r="F164" t="str">
        <f t="shared" si="8"/>
        <v>Lower Risk</v>
      </c>
      <c r="G164" t="s">
        <v>13</v>
      </c>
      <c r="H164" t="s">
        <v>16</v>
      </c>
      <c r="I164" t="s">
        <v>5</v>
      </c>
      <c r="J164">
        <v>70.37</v>
      </c>
      <c r="K164" t="s">
        <v>10</v>
      </c>
      <c r="L164" t="s">
        <v>14</v>
      </c>
      <c r="M164">
        <v>1</v>
      </c>
      <c r="N164" t="str">
        <f t="shared" si="6"/>
        <v>Under 40</v>
      </c>
      <c r="O164" t="str">
        <f t="shared" si="7"/>
        <v>Unknown</v>
      </c>
    </row>
    <row r="165" spans="1:15" x14ac:dyDescent="0.3">
      <c r="A165">
        <v>20426</v>
      </c>
      <c r="B165" t="s">
        <v>7</v>
      </c>
      <c r="C165">
        <v>78</v>
      </c>
      <c r="D165">
        <v>1</v>
      </c>
      <c r="E165">
        <v>0</v>
      </c>
      <c r="F165" t="str">
        <f t="shared" si="8"/>
        <v>High Risk</v>
      </c>
      <c r="G165" t="s">
        <v>13</v>
      </c>
      <c r="H165" t="s">
        <v>4</v>
      </c>
      <c r="I165" t="s">
        <v>5</v>
      </c>
      <c r="J165">
        <v>203.87</v>
      </c>
      <c r="K165">
        <v>45.7</v>
      </c>
      <c r="L165" t="s">
        <v>11</v>
      </c>
      <c r="M165">
        <v>1</v>
      </c>
      <c r="N165" t="str">
        <f t="shared" si="6"/>
        <v>60+</v>
      </c>
      <c r="O165" t="str">
        <f t="shared" si="7"/>
        <v>Obese</v>
      </c>
    </row>
    <row r="166" spans="1:15" x14ac:dyDescent="0.3">
      <c r="A166">
        <v>3512</v>
      </c>
      <c r="B166" t="s">
        <v>7</v>
      </c>
      <c r="C166">
        <v>70</v>
      </c>
      <c r="D166">
        <v>1</v>
      </c>
      <c r="E166">
        <v>0</v>
      </c>
      <c r="F166" t="str">
        <f t="shared" si="8"/>
        <v>High Risk</v>
      </c>
      <c r="G166" t="s">
        <v>3</v>
      </c>
      <c r="H166" t="s">
        <v>8</v>
      </c>
      <c r="I166" t="s">
        <v>5</v>
      </c>
      <c r="J166">
        <v>89.13</v>
      </c>
      <c r="K166">
        <v>34.200000000000003</v>
      </c>
      <c r="L166" t="s">
        <v>6</v>
      </c>
      <c r="M166">
        <v>1</v>
      </c>
      <c r="N166" t="str">
        <f t="shared" si="6"/>
        <v>60+</v>
      </c>
      <c r="O166" t="str">
        <f t="shared" si="7"/>
        <v>Obese</v>
      </c>
    </row>
    <row r="167" spans="1:15" x14ac:dyDescent="0.3">
      <c r="A167">
        <v>42899</v>
      </c>
      <c r="B167" t="s">
        <v>2</v>
      </c>
      <c r="C167">
        <v>78</v>
      </c>
      <c r="D167">
        <v>0</v>
      </c>
      <c r="E167">
        <v>0</v>
      </c>
      <c r="F167" t="str">
        <f t="shared" si="8"/>
        <v>Moderate Risk</v>
      </c>
      <c r="G167" t="s">
        <v>3</v>
      </c>
      <c r="H167" t="s">
        <v>8</v>
      </c>
      <c r="I167" t="s">
        <v>5</v>
      </c>
      <c r="J167">
        <v>133.19</v>
      </c>
      <c r="K167">
        <v>23.6</v>
      </c>
      <c r="L167" t="s">
        <v>6</v>
      </c>
      <c r="M167">
        <v>1</v>
      </c>
      <c r="N167" t="str">
        <f t="shared" si="6"/>
        <v>60+</v>
      </c>
      <c r="O167" t="str">
        <f t="shared" si="7"/>
        <v>Normal</v>
      </c>
    </row>
    <row r="168" spans="1:15" x14ac:dyDescent="0.3">
      <c r="A168">
        <v>63453</v>
      </c>
      <c r="B168" t="s">
        <v>7</v>
      </c>
      <c r="C168">
        <v>56</v>
      </c>
      <c r="D168">
        <v>0</v>
      </c>
      <c r="E168">
        <v>0</v>
      </c>
      <c r="F168" t="str">
        <f t="shared" si="8"/>
        <v>Lower Risk</v>
      </c>
      <c r="G168" t="s">
        <v>3</v>
      </c>
      <c r="H168" t="s">
        <v>15</v>
      </c>
      <c r="I168" t="s">
        <v>9</v>
      </c>
      <c r="J168">
        <v>162.22999999999999</v>
      </c>
      <c r="K168">
        <v>27.3</v>
      </c>
      <c r="L168" t="s">
        <v>14</v>
      </c>
      <c r="M168">
        <v>1</v>
      </c>
      <c r="N168" t="str">
        <f t="shared" si="6"/>
        <v>40–59</v>
      </c>
      <c r="O168" t="str">
        <f t="shared" si="7"/>
        <v>Overweight</v>
      </c>
    </row>
    <row r="169" spans="1:15" x14ac:dyDescent="0.3">
      <c r="A169">
        <v>43364</v>
      </c>
      <c r="B169" t="s">
        <v>2</v>
      </c>
      <c r="C169">
        <v>79</v>
      </c>
      <c r="D169">
        <v>1</v>
      </c>
      <c r="E169">
        <v>0</v>
      </c>
      <c r="F169" t="str">
        <f t="shared" si="8"/>
        <v>High Risk</v>
      </c>
      <c r="G169" t="s">
        <v>3</v>
      </c>
      <c r="H169" t="s">
        <v>4</v>
      </c>
      <c r="I169" t="s">
        <v>9</v>
      </c>
      <c r="J169">
        <v>75.02</v>
      </c>
      <c r="K169" t="s">
        <v>10</v>
      </c>
      <c r="L169" t="s">
        <v>11</v>
      </c>
      <c r="M169">
        <v>1</v>
      </c>
      <c r="N169" t="str">
        <f t="shared" si="6"/>
        <v>60+</v>
      </c>
      <c r="O169" t="str">
        <f t="shared" si="7"/>
        <v>Unknown</v>
      </c>
    </row>
    <row r="170" spans="1:15" x14ac:dyDescent="0.3">
      <c r="A170">
        <v>44993</v>
      </c>
      <c r="B170" t="s">
        <v>7</v>
      </c>
      <c r="C170">
        <v>79</v>
      </c>
      <c r="D170">
        <v>1</v>
      </c>
      <c r="E170">
        <v>0</v>
      </c>
      <c r="F170" t="str">
        <f t="shared" si="8"/>
        <v>High Risk</v>
      </c>
      <c r="G170" t="s">
        <v>13</v>
      </c>
      <c r="H170" t="s">
        <v>15</v>
      </c>
      <c r="I170" t="s">
        <v>5</v>
      </c>
      <c r="J170">
        <v>98.02</v>
      </c>
      <c r="K170">
        <v>22.3</v>
      </c>
      <c r="L170" t="s">
        <v>6</v>
      </c>
      <c r="M170">
        <v>1</v>
      </c>
      <c r="N170" t="str">
        <f t="shared" si="6"/>
        <v>60+</v>
      </c>
      <c r="O170" t="str">
        <f t="shared" si="7"/>
        <v>Normal</v>
      </c>
    </row>
    <row r="171" spans="1:15" x14ac:dyDescent="0.3">
      <c r="A171">
        <v>210</v>
      </c>
      <c r="B171" t="s">
        <v>2</v>
      </c>
      <c r="C171">
        <v>81</v>
      </c>
      <c r="D171">
        <v>0</v>
      </c>
      <c r="E171">
        <v>0</v>
      </c>
      <c r="F171" t="str">
        <f t="shared" si="8"/>
        <v>Moderate Risk</v>
      </c>
      <c r="G171" t="s">
        <v>3</v>
      </c>
      <c r="H171" t="s">
        <v>8</v>
      </c>
      <c r="I171" t="s">
        <v>9</v>
      </c>
      <c r="J171">
        <v>91.54</v>
      </c>
      <c r="K171">
        <v>31.4</v>
      </c>
      <c r="L171" t="s">
        <v>11</v>
      </c>
      <c r="M171">
        <v>1</v>
      </c>
      <c r="N171" t="str">
        <f t="shared" si="6"/>
        <v>60+</v>
      </c>
      <c r="O171" t="str">
        <f t="shared" si="7"/>
        <v>Obese</v>
      </c>
    </row>
    <row r="172" spans="1:15" x14ac:dyDescent="0.3">
      <c r="A172">
        <v>28939</v>
      </c>
      <c r="B172" t="s">
        <v>2</v>
      </c>
      <c r="C172">
        <v>64</v>
      </c>
      <c r="D172">
        <v>0</v>
      </c>
      <c r="E172">
        <v>0</v>
      </c>
      <c r="F172" t="str">
        <f t="shared" si="8"/>
        <v>Moderate Risk</v>
      </c>
      <c r="G172" t="s">
        <v>3</v>
      </c>
      <c r="H172" t="s">
        <v>8</v>
      </c>
      <c r="I172" t="s">
        <v>9</v>
      </c>
      <c r="J172">
        <v>111.98</v>
      </c>
      <c r="K172" t="s">
        <v>10</v>
      </c>
      <c r="L172" t="s">
        <v>6</v>
      </c>
      <c r="M172">
        <v>1</v>
      </c>
      <c r="N172" t="str">
        <f t="shared" si="6"/>
        <v>60+</v>
      </c>
      <c r="O172" t="str">
        <f t="shared" si="7"/>
        <v>Unknown</v>
      </c>
    </row>
    <row r="173" spans="1:15" x14ac:dyDescent="0.3">
      <c r="A173">
        <v>60739</v>
      </c>
      <c r="B173" t="s">
        <v>7</v>
      </c>
      <c r="C173">
        <v>79</v>
      </c>
      <c r="D173">
        <v>1</v>
      </c>
      <c r="E173">
        <v>1</v>
      </c>
      <c r="F173" t="str">
        <f t="shared" si="8"/>
        <v>High Risk</v>
      </c>
      <c r="G173" t="s">
        <v>13</v>
      </c>
      <c r="H173" t="s">
        <v>8</v>
      </c>
      <c r="I173" t="s">
        <v>9</v>
      </c>
      <c r="J173">
        <v>60.94</v>
      </c>
      <c r="K173" t="s">
        <v>10</v>
      </c>
      <c r="L173" t="s">
        <v>11</v>
      </c>
      <c r="M173">
        <v>1</v>
      </c>
      <c r="N173" t="str">
        <f t="shared" si="6"/>
        <v>60+</v>
      </c>
      <c r="O173" t="str">
        <f t="shared" si="7"/>
        <v>Unknown</v>
      </c>
    </row>
    <row r="174" spans="1:15" x14ac:dyDescent="0.3">
      <c r="A174">
        <v>67432</v>
      </c>
      <c r="B174" t="s">
        <v>7</v>
      </c>
      <c r="C174">
        <v>60</v>
      </c>
      <c r="D174">
        <v>0</v>
      </c>
      <c r="E174">
        <v>0</v>
      </c>
      <c r="F174" t="str">
        <f t="shared" si="8"/>
        <v>Moderate Risk</v>
      </c>
      <c r="G174" t="s">
        <v>3</v>
      </c>
      <c r="H174" t="s">
        <v>4</v>
      </c>
      <c r="I174" t="s">
        <v>5</v>
      </c>
      <c r="J174">
        <v>97.43</v>
      </c>
      <c r="K174">
        <v>26.4</v>
      </c>
      <c r="L174" t="s">
        <v>12</v>
      </c>
      <c r="M174">
        <v>1</v>
      </c>
      <c r="N174" t="str">
        <f t="shared" si="6"/>
        <v>60+</v>
      </c>
      <c r="O174" t="str">
        <f t="shared" si="7"/>
        <v>Overweight</v>
      </c>
    </row>
    <row r="175" spans="1:15" x14ac:dyDescent="0.3">
      <c r="A175">
        <v>2182</v>
      </c>
      <c r="B175" t="s">
        <v>7</v>
      </c>
      <c r="C175">
        <v>80</v>
      </c>
      <c r="D175">
        <v>1</v>
      </c>
      <c r="E175">
        <v>0</v>
      </c>
      <c r="F175" t="str">
        <f t="shared" si="8"/>
        <v>High Risk</v>
      </c>
      <c r="G175" t="s">
        <v>3</v>
      </c>
      <c r="H175" t="s">
        <v>8</v>
      </c>
      <c r="I175" t="s">
        <v>9</v>
      </c>
      <c r="J175">
        <v>91.02</v>
      </c>
      <c r="K175">
        <v>32.9</v>
      </c>
      <c r="L175" t="s">
        <v>6</v>
      </c>
      <c r="M175">
        <v>1</v>
      </c>
      <c r="N175" t="str">
        <f t="shared" si="6"/>
        <v>60+</v>
      </c>
      <c r="O175" t="str">
        <f t="shared" si="7"/>
        <v>Obese</v>
      </c>
    </row>
    <row r="176" spans="1:15" x14ac:dyDescent="0.3">
      <c r="A176">
        <v>40899</v>
      </c>
      <c r="B176" t="s">
        <v>7</v>
      </c>
      <c r="C176">
        <v>78</v>
      </c>
      <c r="D176">
        <v>0</v>
      </c>
      <c r="E176">
        <v>0</v>
      </c>
      <c r="F176" t="str">
        <f t="shared" si="8"/>
        <v>Moderate Risk</v>
      </c>
      <c r="G176" t="s">
        <v>3</v>
      </c>
      <c r="H176" t="s">
        <v>8</v>
      </c>
      <c r="I176" t="s">
        <v>9</v>
      </c>
      <c r="J176">
        <v>60.67</v>
      </c>
      <c r="K176" t="s">
        <v>10</v>
      </c>
      <c r="L176" t="s">
        <v>6</v>
      </c>
      <c r="M176">
        <v>1</v>
      </c>
      <c r="N176" t="str">
        <f t="shared" si="6"/>
        <v>60+</v>
      </c>
      <c r="O176" t="str">
        <f t="shared" si="7"/>
        <v>Unknown</v>
      </c>
    </row>
    <row r="177" spans="1:15" x14ac:dyDescent="0.3">
      <c r="A177">
        <v>14431</v>
      </c>
      <c r="B177" t="s">
        <v>2</v>
      </c>
      <c r="C177">
        <v>72</v>
      </c>
      <c r="D177">
        <v>1</v>
      </c>
      <c r="E177">
        <v>0</v>
      </c>
      <c r="F177" t="str">
        <f t="shared" si="8"/>
        <v>High Risk</v>
      </c>
      <c r="G177" t="s">
        <v>3</v>
      </c>
      <c r="H177" t="s">
        <v>8</v>
      </c>
      <c r="I177" t="s">
        <v>9</v>
      </c>
      <c r="J177">
        <v>185.49</v>
      </c>
      <c r="K177">
        <v>37.1</v>
      </c>
      <c r="L177" t="s">
        <v>11</v>
      </c>
      <c r="M177">
        <v>1</v>
      </c>
      <c r="N177" t="str">
        <f t="shared" si="6"/>
        <v>60+</v>
      </c>
      <c r="O177" t="str">
        <f t="shared" si="7"/>
        <v>Obese</v>
      </c>
    </row>
    <row r="178" spans="1:15" x14ac:dyDescent="0.3">
      <c r="A178">
        <v>62466</v>
      </c>
      <c r="B178" t="s">
        <v>7</v>
      </c>
      <c r="C178">
        <v>80</v>
      </c>
      <c r="D178">
        <v>0</v>
      </c>
      <c r="E178">
        <v>0</v>
      </c>
      <c r="F178" t="str">
        <f t="shared" si="8"/>
        <v>Moderate Risk</v>
      </c>
      <c r="G178" t="s">
        <v>3</v>
      </c>
      <c r="H178" t="s">
        <v>4</v>
      </c>
      <c r="I178" t="s">
        <v>5</v>
      </c>
      <c r="J178">
        <v>64.44</v>
      </c>
      <c r="K178">
        <v>45</v>
      </c>
      <c r="L178" t="s">
        <v>11</v>
      </c>
      <c r="M178">
        <v>1</v>
      </c>
      <c r="N178" t="str">
        <f t="shared" si="6"/>
        <v>60+</v>
      </c>
      <c r="O178" t="str">
        <f t="shared" si="7"/>
        <v>Obese</v>
      </c>
    </row>
    <row r="179" spans="1:15" x14ac:dyDescent="0.3">
      <c r="A179">
        <v>36841</v>
      </c>
      <c r="B179" t="s">
        <v>2</v>
      </c>
      <c r="C179">
        <v>78</v>
      </c>
      <c r="D179">
        <v>1</v>
      </c>
      <c r="E179">
        <v>0</v>
      </c>
      <c r="F179" t="str">
        <f t="shared" si="8"/>
        <v>High Risk</v>
      </c>
      <c r="G179" t="s">
        <v>3</v>
      </c>
      <c r="H179" t="s">
        <v>8</v>
      </c>
      <c r="I179" t="s">
        <v>9</v>
      </c>
      <c r="J179">
        <v>56.11</v>
      </c>
      <c r="K179">
        <v>25.5</v>
      </c>
      <c r="L179" t="s">
        <v>6</v>
      </c>
      <c r="M179">
        <v>1</v>
      </c>
      <c r="N179" t="str">
        <f t="shared" si="6"/>
        <v>60+</v>
      </c>
      <c r="O179" t="str">
        <f t="shared" si="7"/>
        <v>Overweight</v>
      </c>
    </row>
    <row r="180" spans="1:15" x14ac:dyDescent="0.3">
      <c r="A180">
        <v>33486</v>
      </c>
      <c r="B180" t="s">
        <v>7</v>
      </c>
      <c r="C180">
        <v>80</v>
      </c>
      <c r="D180">
        <v>0</v>
      </c>
      <c r="E180">
        <v>0</v>
      </c>
      <c r="F180" t="str">
        <f t="shared" si="8"/>
        <v>Moderate Risk</v>
      </c>
      <c r="G180" t="s">
        <v>3</v>
      </c>
      <c r="H180" t="s">
        <v>15</v>
      </c>
      <c r="I180" t="s">
        <v>5</v>
      </c>
      <c r="J180">
        <v>110.66</v>
      </c>
      <c r="K180" t="s">
        <v>10</v>
      </c>
      <c r="L180" t="s">
        <v>14</v>
      </c>
      <c r="M180">
        <v>1</v>
      </c>
      <c r="N180" t="str">
        <f t="shared" si="6"/>
        <v>60+</v>
      </c>
      <c r="O180" t="str">
        <f t="shared" si="7"/>
        <v>Unknown</v>
      </c>
    </row>
    <row r="181" spans="1:15" x14ac:dyDescent="0.3">
      <c r="A181">
        <v>65105</v>
      </c>
      <c r="B181" t="s">
        <v>2</v>
      </c>
      <c r="C181">
        <v>81</v>
      </c>
      <c r="D181">
        <v>0</v>
      </c>
      <c r="E181">
        <v>0</v>
      </c>
      <c r="F181" t="str">
        <f t="shared" si="8"/>
        <v>Moderate Risk</v>
      </c>
      <c r="G181" t="s">
        <v>3</v>
      </c>
      <c r="H181" t="s">
        <v>4</v>
      </c>
      <c r="I181" t="s">
        <v>5</v>
      </c>
      <c r="J181">
        <v>213.22</v>
      </c>
      <c r="K181">
        <v>26.1</v>
      </c>
      <c r="L181" t="s">
        <v>14</v>
      </c>
      <c r="M181">
        <v>1</v>
      </c>
      <c r="N181" t="str">
        <f t="shared" si="6"/>
        <v>60+</v>
      </c>
      <c r="O181" t="str">
        <f t="shared" si="7"/>
        <v>Overweight</v>
      </c>
    </row>
    <row r="182" spans="1:15" x14ac:dyDescent="0.3">
      <c r="A182">
        <v>54567</v>
      </c>
      <c r="B182" t="s">
        <v>7</v>
      </c>
      <c r="C182">
        <v>46</v>
      </c>
      <c r="D182">
        <v>0</v>
      </c>
      <c r="E182">
        <v>0</v>
      </c>
      <c r="F182" t="str">
        <f t="shared" si="8"/>
        <v>Lower Risk</v>
      </c>
      <c r="G182" t="s">
        <v>3</v>
      </c>
      <c r="H182" t="s">
        <v>4</v>
      </c>
      <c r="I182" t="s">
        <v>5</v>
      </c>
      <c r="J182">
        <v>78.180000000000007</v>
      </c>
      <c r="K182">
        <v>30.8</v>
      </c>
      <c r="L182" t="s">
        <v>11</v>
      </c>
      <c r="M182">
        <v>1</v>
      </c>
      <c r="N182" t="str">
        <f t="shared" si="6"/>
        <v>40–59</v>
      </c>
      <c r="O182" t="str">
        <f t="shared" si="7"/>
        <v>Obese</v>
      </c>
    </row>
    <row r="183" spans="1:15" x14ac:dyDescent="0.3">
      <c r="A183">
        <v>66204</v>
      </c>
      <c r="B183" t="s">
        <v>2</v>
      </c>
      <c r="C183">
        <v>59</v>
      </c>
      <c r="D183">
        <v>0</v>
      </c>
      <c r="E183">
        <v>0</v>
      </c>
      <c r="F183" t="str">
        <f t="shared" si="8"/>
        <v>Lower Risk</v>
      </c>
      <c r="G183" t="s">
        <v>3</v>
      </c>
      <c r="H183" t="s">
        <v>4</v>
      </c>
      <c r="I183" t="s">
        <v>5</v>
      </c>
      <c r="J183">
        <v>111.04</v>
      </c>
      <c r="K183">
        <v>32</v>
      </c>
      <c r="L183" t="s">
        <v>6</v>
      </c>
      <c r="M183">
        <v>1</v>
      </c>
      <c r="N183" t="str">
        <f t="shared" si="6"/>
        <v>40–59</v>
      </c>
      <c r="O183" t="str">
        <f t="shared" si="7"/>
        <v>Obese</v>
      </c>
    </row>
    <row r="184" spans="1:15" x14ac:dyDescent="0.3">
      <c r="A184">
        <v>39912</v>
      </c>
      <c r="B184" t="s">
        <v>7</v>
      </c>
      <c r="C184">
        <v>32</v>
      </c>
      <c r="D184">
        <v>0</v>
      </c>
      <c r="E184">
        <v>0</v>
      </c>
      <c r="F184" t="str">
        <f t="shared" si="8"/>
        <v>Lower Risk</v>
      </c>
      <c r="G184" t="s">
        <v>3</v>
      </c>
      <c r="H184" t="s">
        <v>4</v>
      </c>
      <c r="I184" t="s">
        <v>9</v>
      </c>
      <c r="J184">
        <v>76.13</v>
      </c>
      <c r="K184">
        <v>29.9</v>
      </c>
      <c r="L184" t="s">
        <v>12</v>
      </c>
      <c r="M184">
        <v>1</v>
      </c>
      <c r="N184" t="str">
        <f t="shared" si="6"/>
        <v>Under 40</v>
      </c>
      <c r="O184" t="str">
        <f t="shared" si="7"/>
        <v>Overweight</v>
      </c>
    </row>
    <row r="185" spans="1:15" x14ac:dyDescent="0.3">
      <c r="A185">
        <v>8003</v>
      </c>
      <c r="B185" t="s">
        <v>7</v>
      </c>
      <c r="C185">
        <v>77</v>
      </c>
      <c r="D185">
        <v>0</v>
      </c>
      <c r="E185">
        <v>0</v>
      </c>
      <c r="F185" t="str">
        <f t="shared" si="8"/>
        <v>Moderate Risk</v>
      </c>
      <c r="G185" t="s">
        <v>13</v>
      </c>
      <c r="H185" t="s">
        <v>4</v>
      </c>
      <c r="I185" t="s">
        <v>5</v>
      </c>
      <c r="J185">
        <v>81.319999999999993</v>
      </c>
      <c r="K185" t="s">
        <v>10</v>
      </c>
      <c r="L185" t="s">
        <v>14</v>
      </c>
      <c r="M185">
        <v>1</v>
      </c>
      <c r="N185" t="str">
        <f t="shared" si="6"/>
        <v>60+</v>
      </c>
      <c r="O185" t="str">
        <f t="shared" si="7"/>
        <v>Unknown</v>
      </c>
    </row>
    <row r="186" spans="1:15" x14ac:dyDescent="0.3">
      <c r="A186">
        <v>28378</v>
      </c>
      <c r="B186" t="s">
        <v>2</v>
      </c>
      <c r="C186">
        <v>61</v>
      </c>
      <c r="D186">
        <v>1</v>
      </c>
      <c r="E186">
        <v>1</v>
      </c>
      <c r="F186" t="str">
        <f t="shared" si="8"/>
        <v>High Risk</v>
      </c>
      <c r="G186" t="s">
        <v>3</v>
      </c>
      <c r="H186" t="s">
        <v>4</v>
      </c>
      <c r="I186" t="s">
        <v>5</v>
      </c>
      <c r="J186">
        <v>112.24</v>
      </c>
      <c r="K186">
        <v>37.4</v>
      </c>
      <c r="L186" t="s">
        <v>12</v>
      </c>
      <c r="M186">
        <v>1</v>
      </c>
      <c r="N186" t="str">
        <f t="shared" si="6"/>
        <v>60+</v>
      </c>
      <c r="O186" t="str">
        <f t="shared" si="7"/>
        <v>Obese</v>
      </c>
    </row>
    <row r="187" spans="1:15" x14ac:dyDescent="0.3">
      <c r="A187">
        <v>41081</v>
      </c>
      <c r="B187" t="s">
        <v>2</v>
      </c>
      <c r="C187">
        <v>63</v>
      </c>
      <c r="D187">
        <v>0</v>
      </c>
      <c r="E187">
        <v>0</v>
      </c>
      <c r="F187" t="str">
        <f t="shared" si="8"/>
        <v>Moderate Risk</v>
      </c>
      <c r="G187" t="s">
        <v>3</v>
      </c>
      <c r="H187" t="s">
        <v>4</v>
      </c>
      <c r="I187" t="s">
        <v>9</v>
      </c>
      <c r="J187">
        <v>137.30000000000001</v>
      </c>
      <c r="K187">
        <v>31.7</v>
      </c>
      <c r="L187" t="s">
        <v>6</v>
      </c>
      <c r="M187">
        <v>1</v>
      </c>
      <c r="N187" t="str">
        <f t="shared" si="6"/>
        <v>60+</v>
      </c>
      <c r="O187" t="str">
        <f t="shared" si="7"/>
        <v>Obese</v>
      </c>
    </row>
    <row r="188" spans="1:15" x14ac:dyDescent="0.3">
      <c r="A188">
        <v>16077</v>
      </c>
      <c r="B188" t="s">
        <v>2</v>
      </c>
      <c r="C188">
        <v>63</v>
      </c>
      <c r="D188">
        <v>0</v>
      </c>
      <c r="E188">
        <v>1</v>
      </c>
      <c r="F188" t="str">
        <f t="shared" si="8"/>
        <v>High Risk</v>
      </c>
      <c r="G188" t="s">
        <v>3</v>
      </c>
      <c r="H188" t="s">
        <v>8</v>
      </c>
      <c r="I188" t="s">
        <v>5</v>
      </c>
      <c r="J188">
        <v>116.69</v>
      </c>
      <c r="K188">
        <v>34.5</v>
      </c>
      <c r="L188" t="s">
        <v>6</v>
      </c>
      <c r="M188">
        <v>1</v>
      </c>
      <c r="N188" t="str">
        <f t="shared" si="6"/>
        <v>60+</v>
      </c>
      <c r="O188" t="str">
        <f t="shared" si="7"/>
        <v>Obese</v>
      </c>
    </row>
    <row r="189" spans="1:15" x14ac:dyDescent="0.3">
      <c r="A189">
        <v>67895</v>
      </c>
      <c r="B189" t="s">
        <v>7</v>
      </c>
      <c r="C189">
        <v>82</v>
      </c>
      <c r="D189">
        <v>1</v>
      </c>
      <c r="E189">
        <v>1</v>
      </c>
      <c r="F189" t="str">
        <f t="shared" si="8"/>
        <v>High Risk</v>
      </c>
      <c r="G189" t="s">
        <v>3</v>
      </c>
      <c r="H189" t="s">
        <v>15</v>
      </c>
      <c r="I189" t="s">
        <v>5</v>
      </c>
      <c r="J189">
        <v>215.94</v>
      </c>
      <c r="K189">
        <v>27.9</v>
      </c>
      <c r="L189" t="s">
        <v>6</v>
      </c>
      <c r="M189">
        <v>1</v>
      </c>
      <c r="N189" t="str">
        <f t="shared" si="6"/>
        <v>60+</v>
      </c>
      <c r="O189" t="str">
        <f t="shared" si="7"/>
        <v>Overweight</v>
      </c>
    </row>
    <row r="190" spans="1:15" x14ac:dyDescent="0.3">
      <c r="A190">
        <v>30184</v>
      </c>
      <c r="B190" t="s">
        <v>2</v>
      </c>
      <c r="C190">
        <v>82</v>
      </c>
      <c r="D190">
        <v>0</v>
      </c>
      <c r="E190">
        <v>0</v>
      </c>
      <c r="F190" t="str">
        <f t="shared" si="8"/>
        <v>Moderate Risk</v>
      </c>
      <c r="G190" t="s">
        <v>3</v>
      </c>
      <c r="H190" t="s">
        <v>4</v>
      </c>
      <c r="I190" t="s">
        <v>9</v>
      </c>
      <c r="J190">
        <v>86.62</v>
      </c>
      <c r="K190">
        <v>29.5</v>
      </c>
      <c r="L190" t="s">
        <v>6</v>
      </c>
      <c r="M190">
        <v>1</v>
      </c>
      <c r="N190" t="str">
        <f t="shared" si="6"/>
        <v>60+</v>
      </c>
      <c r="O190" t="str">
        <f t="shared" si="7"/>
        <v>Overweight</v>
      </c>
    </row>
    <row r="191" spans="1:15" x14ac:dyDescent="0.3">
      <c r="A191">
        <v>66955</v>
      </c>
      <c r="B191" t="s">
        <v>2</v>
      </c>
      <c r="C191">
        <v>61</v>
      </c>
      <c r="D191">
        <v>0</v>
      </c>
      <c r="E191">
        <v>1</v>
      </c>
      <c r="F191" t="str">
        <f t="shared" si="8"/>
        <v>High Risk</v>
      </c>
      <c r="G191" t="s">
        <v>3</v>
      </c>
      <c r="H191" t="s">
        <v>4</v>
      </c>
      <c r="I191" t="s">
        <v>5</v>
      </c>
      <c r="J191">
        <v>209.86</v>
      </c>
      <c r="K191" t="s">
        <v>10</v>
      </c>
      <c r="L191" t="s">
        <v>14</v>
      </c>
      <c r="M191">
        <v>1</v>
      </c>
      <c r="N191" t="str">
        <f t="shared" si="6"/>
        <v>60+</v>
      </c>
      <c r="O191" t="str">
        <f t="shared" si="7"/>
        <v>Unknown</v>
      </c>
    </row>
    <row r="192" spans="1:15" x14ac:dyDescent="0.3">
      <c r="A192">
        <v>24905</v>
      </c>
      <c r="B192" t="s">
        <v>7</v>
      </c>
      <c r="C192">
        <v>65</v>
      </c>
      <c r="D192">
        <v>0</v>
      </c>
      <c r="E192">
        <v>0</v>
      </c>
      <c r="F192" t="str">
        <f t="shared" si="8"/>
        <v>Moderate Risk</v>
      </c>
      <c r="G192" t="s">
        <v>3</v>
      </c>
      <c r="H192" t="s">
        <v>4</v>
      </c>
      <c r="I192" t="s">
        <v>5</v>
      </c>
      <c r="J192">
        <v>205.77</v>
      </c>
      <c r="K192">
        <v>46</v>
      </c>
      <c r="L192" t="s">
        <v>6</v>
      </c>
      <c r="M192">
        <v>1</v>
      </c>
      <c r="N192" t="str">
        <f t="shared" si="6"/>
        <v>60+</v>
      </c>
      <c r="O192" t="str">
        <f t="shared" si="7"/>
        <v>Obese</v>
      </c>
    </row>
    <row r="193" spans="1:15" x14ac:dyDescent="0.3">
      <c r="A193">
        <v>66071</v>
      </c>
      <c r="B193" t="s">
        <v>2</v>
      </c>
      <c r="C193">
        <v>51</v>
      </c>
      <c r="D193">
        <v>1</v>
      </c>
      <c r="E193">
        <v>0</v>
      </c>
      <c r="F193" t="str">
        <f t="shared" si="8"/>
        <v>Lower Risk</v>
      </c>
      <c r="G193" t="s">
        <v>3</v>
      </c>
      <c r="H193" t="s">
        <v>4</v>
      </c>
      <c r="I193" t="s">
        <v>5</v>
      </c>
      <c r="J193">
        <v>112.16</v>
      </c>
      <c r="K193">
        <v>42.5</v>
      </c>
      <c r="L193" t="s">
        <v>6</v>
      </c>
      <c r="M193">
        <v>1</v>
      </c>
      <c r="N193" t="str">
        <f t="shared" si="6"/>
        <v>40–59</v>
      </c>
      <c r="O193" t="str">
        <f t="shared" si="7"/>
        <v>Obese</v>
      </c>
    </row>
    <row r="194" spans="1:15" x14ac:dyDescent="0.3">
      <c r="A194">
        <v>36255</v>
      </c>
      <c r="B194" t="s">
        <v>2</v>
      </c>
      <c r="C194">
        <v>59</v>
      </c>
      <c r="D194">
        <v>0</v>
      </c>
      <c r="E194">
        <v>0</v>
      </c>
      <c r="F194" t="str">
        <f t="shared" si="8"/>
        <v>Lower Risk</v>
      </c>
      <c r="G194" t="s">
        <v>3</v>
      </c>
      <c r="H194" t="s">
        <v>8</v>
      </c>
      <c r="I194" t="s">
        <v>9</v>
      </c>
      <c r="J194">
        <v>118.03</v>
      </c>
      <c r="K194">
        <v>35.5</v>
      </c>
      <c r="L194" t="s">
        <v>12</v>
      </c>
      <c r="M194">
        <v>1</v>
      </c>
      <c r="N194" t="str">
        <f t="shared" ref="N194:N257" si="9">IF(C194&lt;40,"Under 40",IF(C194&lt;60,"40–59","60+"))</f>
        <v>40–59</v>
      </c>
      <c r="O194" t="str">
        <f t="shared" ref="O194:O257" si="10">IF(K194="N/A","Unknown",
IF(K194="","Unknown",
IF(K194&lt;18.5,"Underweight",
IF(K194&lt;25,"Normal",
IF(K194&lt;30,"Overweight","Obese")))))</f>
        <v>Obese</v>
      </c>
    </row>
    <row r="195" spans="1:15" x14ac:dyDescent="0.3">
      <c r="A195">
        <v>69112</v>
      </c>
      <c r="B195" t="s">
        <v>2</v>
      </c>
      <c r="C195">
        <v>68</v>
      </c>
      <c r="D195">
        <v>1</v>
      </c>
      <c r="E195">
        <v>1</v>
      </c>
      <c r="F195" t="str">
        <f t="shared" ref="F195:F258" si="11">IF(C195&gt;=60,
IF(OR(D195=1,E195=1),"High Risk","Moderate Risk"),
"Lower Risk")</f>
        <v>High Risk</v>
      </c>
      <c r="G195" t="s">
        <v>3</v>
      </c>
      <c r="H195" t="s">
        <v>4</v>
      </c>
      <c r="I195" t="s">
        <v>9</v>
      </c>
      <c r="J195">
        <v>271.74</v>
      </c>
      <c r="K195">
        <v>31.1</v>
      </c>
      <c r="L195" t="s">
        <v>12</v>
      </c>
      <c r="M195">
        <v>1</v>
      </c>
      <c r="N195" t="str">
        <f t="shared" si="9"/>
        <v>60+</v>
      </c>
      <c r="O195" t="str">
        <f t="shared" si="10"/>
        <v>Obese</v>
      </c>
    </row>
    <row r="196" spans="1:15" x14ac:dyDescent="0.3">
      <c r="A196">
        <v>23410</v>
      </c>
      <c r="B196" t="s">
        <v>7</v>
      </c>
      <c r="C196">
        <v>72</v>
      </c>
      <c r="D196">
        <v>0</v>
      </c>
      <c r="E196">
        <v>0</v>
      </c>
      <c r="F196" t="str">
        <f t="shared" si="11"/>
        <v>Moderate Risk</v>
      </c>
      <c r="G196" t="s">
        <v>3</v>
      </c>
      <c r="H196" t="s">
        <v>4</v>
      </c>
      <c r="I196" t="s">
        <v>9</v>
      </c>
      <c r="J196">
        <v>97.92</v>
      </c>
      <c r="K196">
        <v>26.9</v>
      </c>
      <c r="L196" t="s">
        <v>12</v>
      </c>
      <c r="M196">
        <v>1</v>
      </c>
      <c r="N196" t="str">
        <f t="shared" si="9"/>
        <v>60+</v>
      </c>
      <c r="O196" t="str">
        <f t="shared" si="10"/>
        <v>Overweight</v>
      </c>
    </row>
    <row r="197" spans="1:15" x14ac:dyDescent="0.3">
      <c r="A197">
        <v>64373</v>
      </c>
      <c r="B197" t="s">
        <v>2</v>
      </c>
      <c r="C197">
        <v>59</v>
      </c>
      <c r="D197">
        <v>0</v>
      </c>
      <c r="E197">
        <v>0</v>
      </c>
      <c r="F197" t="str">
        <f t="shared" si="11"/>
        <v>Lower Risk</v>
      </c>
      <c r="G197" t="s">
        <v>3</v>
      </c>
      <c r="H197" t="s">
        <v>4</v>
      </c>
      <c r="I197" t="s">
        <v>5</v>
      </c>
      <c r="J197">
        <v>200.62</v>
      </c>
      <c r="K197">
        <v>35.799999999999997</v>
      </c>
      <c r="L197" t="s">
        <v>6</v>
      </c>
      <c r="M197">
        <v>1</v>
      </c>
      <c r="N197" t="str">
        <f t="shared" si="9"/>
        <v>40–59</v>
      </c>
      <c r="O197" t="str">
        <f t="shared" si="10"/>
        <v>Obese</v>
      </c>
    </row>
    <row r="198" spans="1:15" x14ac:dyDescent="0.3">
      <c r="A198">
        <v>58267</v>
      </c>
      <c r="B198" t="s">
        <v>2</v>
      </c>
      <c r="C198">
        <v>70</v>
      </c>
      <c r="D198">
        <v>1</v>
      </c>
      <c r="E198">
        <v>0</v>
      </c>
      <c r="F198" t="str">
        <f t="shared" si="11"/>
        <v>High Risk</v>
      </c>
      <c r="G198" t="s">
        <v>3</v>
      </c>
      <c r="H198" t="s">
        <v>4</v>
      </c>
      <c r="I198" t="s">
        <v>9</v>
      </c>
      <c r="J198">
        <v>242.52</v>
      </c>
      <c r="K198">
        <v>45.5</v>
      </c>
      <c r="L198" t="s">
        <v>6</v>
      </c>
      <c r="M198">
        <v>1</v>
      </c>
      <c r="N198" t="str">
        <f t="shared" si="9"/>
        <v>60+</v>
      </c>
      <c r="O198" t="str">
        <f t="shared" si="10"/>
        <v>Obese</v>
      </c>
    </row>
    <row r="199" spans="1:15" x14ac:dyDescent="0.3">
      <c r="A199">
        <v>35684</v>
      </c>
      <c r="B199" t="s">
        <v>2</v>
      </c>
      <c r="C199">
        <v>69</v>
      </c>
      <c r="D199">
        <v>0</v>
      </c>
      <c r="E199">
        <v>0</v>
      </c>
      <c r="F199" t="str">
        <f t="shared" si="11"/>
        <v>Moderate Risk</v>
      </c>
      <c r="G199" t="s">
        <v>3</v>
      </c>
      <c r="H199" t="s">
        <v>4</v>
      </c>
      <c r="I199" t="s">
        <v>9</v>
      </c>
      <c r="J199">
        <v>93.81</v>
      </c>
      <c r="K199">
        <v>28.5</v>
      </c>
      <c r="L199" t="s">
        <v>14</v>
      </c>
      <c r="M199">
        <v>1</v>
      </c>
      <c r="N199" t="str">
        <f t="shared" si="9"/>
        <v>60+</v>
      </c>
      <c r="O199" t="str">
        <f t="shared" si="10"/>
        <v>Overweight</v>
      </c>
    </row>
    <row r="200" spans="1:15" x14ac:dyDescent="0.3">
      <c r="A200">
        <v>18937</v>
      </c>
      <c r="B200" t="s">
        <v>2</v>
      </c>
      <c r="C200">
        <v>79</v>
      </c>
      <c r="D200">
        <v>0</v>
      </c>
      <c r="E200">
        <v>0</v>
      </c>
      <c r="F200" t="str">
        <f t="shared" si="11"/>
        <v>Moderate Risk</v>
      </c>
      <c r="G200" t="s">
        <v>3</v>
      </c>
      <c r="H200" t="s">
        <v>4</v>
      </c>
      <c r="I200" t="s">
        <v>9</v>
      </c>
      <c r="J200">
        <v>114.77</v>
      </c>
      <c r="K200" t="s">
        <v>10</v>
      </c>
      <c r="L200" t="s">
        <v>6</v>
      </c>
      <c r="M200">
        <v>1</v>
      </c>
      <c r="N200" t="str">
        <f t="shared" si="9"/>
        <v>60+</v>
      </c>
      <c r="O200" t="str">
        <f t="shared" si="10"/>
        <v>Unknown</v>
      </c>
    </row>
    <row r="201" spans="1:15" x14ac:dyDescent="0.3">
      <c r="A201">
        <v>491</v>
      </c>
      <c r="B201" t="s">
        <v>7</v>
      </c>
      <c r="C201">
        <v>74</v>
      </c>
      <c r="D201">
        <v>0</v>
      </c>
      <c r="E201">
        <v>0</v>
      </c>
      <c r="F201" t="str">
        <f t="shared" si="11"/>
        <v>Moderate Risk</v>
      </c>
      <c r="G201" t="s">
        <v>3</v>
      </c>
      <c r="H201" t="s">
        <v>8</v>
      </c>
      <c r="I201" t="s">
        <v>5</v>
      </c>
      <c r="J201">
        <v>74.959999999999994</v>
      </c>
      <c r="K201">
        <v>26.6</v>
      </c>
      <c r="L201" t="s">
        <v>11</v>
      </c>
      <c r="M201">
        <v>1</v>
      </c>
      <c r="N201" t="str">
        <f t="shared" si="9"/>
        <v>60+</v>
      </c>
      <c r="O201" t="str">
        <f t="shared" si="10"/>
        <v>Overweight</v>
      </c>
    </row>
    <row r="202" spans="1:15" x14ac:dyDescent="0.3">
      <c r="A202">
        <v>54695</v>
      </c>
      <c r="B202" t="s">
        <v>2</v>
      </c>
      <c r="C202">
        <v>74</v>
      </c>
      <c r="D202">
        <v>0</v>
      </c>
      <c r="E202">
        <v>0</v>
      </c>
      <c r="F202" t="str">
        <f t="shared" si="11"/>
        <v>Moderate Risk</v>
      </c>
      <c r="G202" t="s">
        <v>3</v>
      </c>
      <c r="H202" t="s">
        <v>4</v>
      </c>
      <c r="I202" t="s">
        <v>5</v>
      </c>
      <c r="J202">
        <v>167.13</v>
      </c>
      <c r="K202" t="s">
        <v>10</v>
      </c>
      <c r="L202" t="s">
        <v>14</v>
      </c>
      <c r="M202">
        <v>1</v>
      </c>
      <c r="N202" t="str">
        <f t="shared" si="9"/>
        <v>60+</v>
      </c>
      <c r="O202" t="str">
        <f t="shared" si="10"/>
        <v>Unknown</v>
      </c>
    </row>
    <row r="203" spans="1:15" x14ac:dyDescent="0.3">
      <c r="A203">
        <v>68627</v>
      </c>
      <c r="B203" t="s">
        <v>2</v>
      </c>
      <c r="C203">
        <v>80</v>
      </c>
      <c r="D203">
        <v>1</v>
      </c>
      <c r="E203">
        <v>1</v>
      </c>
      <c r="F203" t="str">
        <f t="shared" si="11"/>
        <v>High Risk</v>
      </c>
      <c r="G203" t="s">
        <v>3</v>
      </c>
      <c r="H203" t="s">
        <v>4</v>
      </c>
      <c r="I203" t="s">
        <v>5</v>
      </c>
      <c r="J203">
        <v>175.29</v>
      </c>
      <c r="K203">
        <v>31.5</v>
      </c>
      <c r="L203" t="s">
        <v>6</v>
      </c>
      <c r="M203">
        <v>1</v>
      </c>
      <c r="N203" t="str">
        <f t="shared" si="9"/>
        <v>60+</v>
      </c>
      <c r="O203" t="str">
        <f t="shared" si="10"/>
        <v>Obese</v>
      </c>
    </row>
    <row r="204" spans="1:15" x14ac:dyDescent="0.3">
      <c r="A204">
        <v>8580</v>
      </c>
      <c r="B204" t="s">
        <v>7</v>
      </c>
      <c r="C204">
        <v>77</v>
      </c>
      <c r="D204">
        <v>0</v>
      </c>
      <c r="E204">
        <v>0</v>
      </c>
      <c r="F204" t="str">
        <f t="shared" si="11"/>
        <v>Moderate Risk</v>
      </c>
      <c r="G204" t="s">
        <v>3</v>
      </c>
      <c r="H204" t="s">
        <v>8</v>
      </c>
      <c r="I204" t="s">
        <v>9</v>
      </c>
      <c r="J204">
        <v>90</v>
      </c>
      <c r="K204">
        <v>32</v>
      </c>
      <c r="L204" t="s">
        <v>11</v>
      </c>
      <c r="M204">
        <v>1</v>
      </c>
      <c r="N204" t="str">
        <f t="shared" si="9"/>
        <v>60+</v>
      </c>
      <c r="O204" t="str">
        <f t="shared" si="10"/>
        <v>Obese</v>
      </c>
    </row>
    <row r="205" spans="1:15" x14ac:dyDescent="0.3">
      <c r="A205">
        <v>28484</v>
      </c>
      <c r="B205" t="s">
        <v>7</v>
      </c>
      <c r="C205">
        <v>78</v>
      </c>
      <c r="D205">
        <v>0</v>
      </c>
      <c r="E205">
        <v>0</v>
      </c>
      <c r="F205" t="str">
        <f t="shared" si="11"/>
        <v>Moderate Risk</v>
      </c>
      <c r="G205" t="s">
        <v>3</v>
      </c>
      <c r="H205" t="s">
        <v>8</v>
      </c>
      <c r="I205" t="s">
        <v>9</v>
      </c>
      <c r="J205">
        <v>109.47</v>
      </c>
      <c r="K205">
        <v>30.8</v>
      </c>
      <c r="L205" t="s">
        <v>11</v>
      </c>
      <c r="M205">
        <v>1</v>
      </c>
      <c r="N205" t="str">
        <f t="shared" si="9"/>
        <v>60+</v>
      </c>
      <c r="O205" t="str">
        <f t="shared" si="10"/>
        <v>Obese</v>
      </c>
    </row>
    <row r="206" spans="1:15" x14ac:dyDescent="0.3">
      <c r="A206">
        <v>62019</v>
      </c>
      <c r="B206" t="s">
        <v>2</v>
      </c>
      <c r="C206">
        <v>54</v>
      </c>
      <c r="D206">
        <v>0</v>
      </c>
      <c r="E206">
        <v>0</v>
      </c>
      <c r="F206" t="str">
        <f t="shared" si="11"/>
        <v>Lower Risk</v>
      </c>
      <c r="G206" t="s">
        <v>3</v>
      </c>
      <c r="H206" t="s">
        <v>15</v>
      </c>
      <c r="I206" t="s">
        <v>9</v>
      </c>
      <c r="J206">
        <v>87.85</v>
      </c>
      <c r="K206">
        <v>31.1</v>
      </c>
      <c r="L206" t="s">
        <v>12</v>
      </c>
      <c r="M206">
        <v>1</v>
      </c>
      <c r="N206" t="str">
        <f t="shared" si="9"/>
        <v>40–59</v>
      </c>
      <c r="O206" t="str">
        <f t="shared" si="10"/>
        <v>Obese</v>
      </c>
    </row>
    <row r="207" spans="1:15" x14ac:dyDescent="0.3">
      <c r="A207">
        <v>51314</v>
      </c>
      <c r="B207" t="s">
        <v>7</v>
      </c>
      <c r="C207">
        <v>78</v>
      </c>
      <c r="D207">
        <v>0</v>
      </c>
      <c r="E207">
        <v>0</v>
      </c>
      <c r="F207" t="str">
        <f t="shared" si="11"/>
        <v>Moderate Risk</v>
      </c>
      <c r="G207" t="s">
        <v>3</v>
      </c>
      <c r="H207" t="s">
        <v>4</v>
      </c>
      <c r="I207" t="s">
        <v>5</v>
      </c>
      <c r="J207">
        <v>106.74</v>
      </c>
      <c r="K207">
        <v>33</v>
      </c>
      <c r="L207" t="s">
        <v>6</v>
      </c>
      <c r="M207">
        <v>1</v>
      </c>
      <c r="N207" t="str">
        <f t="shared" si="9"/>
        <v>60+</v>
      </c>
      <c r="O207" t="str">
        <f t="shared" si="10"/>
        <v>Obese</v>
      </c>
    </row>
    <row r="208" spans="1:15" x14ac:dyDescent="0.3">
      <c r="A208">
        <v>37060</v>
      </c>
      <c r="B208" t="s">
        <v>7</v>
      </c>
      <c r="C208">
        <v>81</v>
      </c>
      <c r="D208">
        <v>0</v>
      </c>
      <c r="E208">
        <v>0</v>
      </c>
      <c r="F208" t="str">
        <f t="shared" si="11"/>
        <v>Moderate Risk</v>
      </c>
      <c r="G208" t="s">
        <v>3</v>
      </c>
      <c r="H208" t="s">
        <v>4</v>
      </c>
      <c r="I208" t="s">
        <v>9</v>
      </c>
      <c r="J208">
        <v>80.13</v>
      </c>
      <c r="K208">
        <v>23.4</v>
      </c>
      <c r="L208" t="s">
        <v>11</v>
      </c>
      <c r="M208">
        <v>1</v>
      </c>
      <c r="N208" t="str">
        <f t="shared" si="9"/>
        <v>60+</v>
      </c>
      <c r="O208" t="str">
        <f t="shared" si="10"/>
        <v>Normal</v>
      </c>
    </row>
    <row r="209" spans="1:15" x14ac:dyDescent="0.3">
      <c r="A209">
        <v>35578</v>
      </c>
      <c r="B209" t="s">
        <v>2</v>
      </c>
      <c r="C209">
        <v>78</v>
      </c>
      <c r="D209">
        <v>0</v>
      </c>
      <c r="E209">
        <v>0</v>
      </c>
      <c r="F209" t="str">
        <f t="shared" si="11"/>
        <v>Moderate Risk</v>
      </c>
      <c r="G209" t="s">
        <v>13</v>
      </c>
      <c r="H209" t="s">
        <v>8</v>
      </c>
      <c r="I209" t="s">
        <v>5</v>
      </c>
      <c r="J209">
        <v>90.19</v>
      </c>
      <c r="K209">
        <v>26.9</v>
      </c>
      <c r="L209" t="s">
        <v>11</v>
      </c>
      <c r="M209">
        <v>1</v>
      </c>
      <c r="N209" t="str">
        <f t="shared" si="9"/>
        <v>60+</v>
      </c>
      <c r="O209" t="str">
        <f t="shared" si="10"/>
        <v>Overweight</v>
      </c>
    </row>
    <row r="210" spans="1:15" x14ac:dyDescent="0.3">
      <c r="A210">
        <v>54921</v>
      </c>
      <c r="B210" t="s">
        <v>2</v>
      </c>
      <c r="C210">
        <v>78</v>
      </c>
      <c r="D210">
        <v>1</v>
      </c>
      <c r="E210">
        <v>0</v>
      </c>
      <c r="F210" t="str">
        <f t="shared" si="11"/>
        <v>High Risk</v>
      </c>
      <c r="G210" t="s">
        <v>3</v>
      </c>
      <c r="H210" t="s">
        <v>8</v>
      </c>
      <c r="I210" t="s">
        <v>9</v>
      </c>
      <c r="J210">
        <v>134.80000000000001</v>
      </c>
      <c r="K210">
        <v>33.6</v>
      </c>
      <c r="L210" t="s">
        <v>14</v>
      </c>
      <c r="M210">
        <v>1</v>
      </c>
      <c r="N210" t="str">
        <f t="shared" si="9"/>
        <v>60+</v>
      </c>
      <c r="O210" t="str">
        <f t="shared" si="10"/>
        <v>Obese</v>
      </c>
    </row>
    <row r="211" spans="1:15" x14ac:dyDescent="0.3">
      <c r="A211">
        <v>33454</v>
      </c>
      <c r="B211" t="s">
        <v>7</v>
      </c>
      <c r="C211">
        <v>63</v>
      </c>
      <c r="D211">
        <v>0</v>
      </c>
      <c r="E211">
        <v>0</v>
      </c>
      <c r="F211" t="str">
        <f t="shared" si="11"/>
        <v>Moderate Risk</v>
      </c>
      <c r="G211" t="s">
        <v>3</v>
      </c>
      <c r="H211" t="s">
        <v>15</v>
      </c>
      <c r="I211" t="s">
        <v>9</v>
      </c>
      <c r="J211">
        <v>106.58</v>
      </c>
      <c r="K211">
        <v>23.9</v>
      </c>
      <c r="L211" t="s">
        <v>14</v>
      </c>
      <c r="M211">
        <v>1</v>
      </c>
      <c r="N211" t="str">
        <f t="shared" si="9"/>
        <v>60+</v>
      </c>
      <c r="O211" t="str">
        <f t="shared" si="10"/>
        <v>Normal</v>
      </c>
    </row>
    <row r="212" spans="1:15" x14ac:dyDescent="0.3">
      <c r="A212">
        <v>33943</v>
      </c>
      <c r="B212" t="s">
        <v>7</v>
      </c>
      <c r="C212">
        <v>39</v>
      </c>
      <c r="D212">
        <v>0</v>
      </c>
      <c r="E212">
        <v>0</v>
      </c>
      <c r="F212" t="str">
        <f t="shared" si="11"/>
        <v>Lower Risk</v>
      </c>
      <c r="G212" t="s">
        <v>3</v>
      </c>
      <c r="H212" t="s">
        <v>4</v>
      </c>
      <c r="I212" t="s">
        <v>5</v>
      </c>
      <c r="J212">
        <v>83.24</v>
      </c>
      <c r="K212">
        <v>26.3</v>
      </c>
      <c r="L212" t="s">
        <v>11</v>
      </c>
      <c r="M212">
        <v>1</v>
      </c>
      <c r="N212" t="str">
        <f t="shared" si="9"/>
        <v>Under 40</v>
      </c>
      <c r="O212" t="str">
        <f t="shared" si="10"/>
        <v>Overweight</v>
      </c>
    </row>
    <row r="213" spans="1:15" x14ac:dyDescent="0.3">
      <c r="A213">
        <v>62439</v>
      </c>
      <c r="B213" t="s">
        <v>7</v>
      </c>
      <c r="C213">
        <v>51</v>
      </c>
      <c r="D213">
        <v>0</v>
      </c>
      <c r="E213">
        <v>0</v>
      </c>
      <c r="F213" t="str">
        <f t="shared" si="11"/>
        <v>Lower Risk</v>
      </c>
      <c r="G213" t="s">
        <v>3</v>
      </c>
      <c r="H213" t="s">
        <v>15</v>
      </c>
      <c r="I213" t="s">
        <v>9</v>
      </c>
      <c r="J213">
        <v>103.43</v>
      </c>
      <c r="K213">
        <v>27.3</v>
      </c>
      <c r="L213" t="s">
        <v>6</v>
      </c>
      <c r="M213">
        <v>1</v>
      </c>
      <c r="N213" t="str">
        <f t="shared" si="9"/>
        <v>40–59</v>
      </c>
      <c r="O213" t="str">
        <f t="shared" si="10"/>
        <v>Overweight</v>
      </c>
    </row>
    <row r="214" spans="1:15" x14ac:dyDescent="0.3">
      <c r="A214">
        <v>31179</v>
      </c>
      <c r="B214" t="s">
        <v>2</v>
      </c>
      <c r="C214">
        <v>63</v>
      </c>
      <c r="D214">
        <v>0</v>
      </c>
      <c r="E214">
        <v>0</v>
      </c>
      <c r="F214" t="str">
        <f t="shared" si="11"/>
        <v>Moderate Risk</v>
      </c>
      <c r="G214" t="s">
        <v>3</v>
      </c>
      <c r="H214" t="s">
        <v>4</v>
      </c>
      <c r="I214" t="s">
        <v>5</v>
      </c>
      <c r="J214">
        <v>208.65</v>
      </c>
      <c r="K214">
        <v>30.7</v>
      </c>
      <c r="L214" t="s">
        <v>11</v>
      </c>
      <c r="M214">
        <v>1</v>
      </c>
      <c r="N214" t="str">
        <f t="shared" si="9"/>
        <v>60+</v>
      </c>
      <c r="O214" t="str">
        <f t="shared" si="10"/>
        <v>Obese</v>
      </c>
    </row>
    <row r="215" spans="1:15" x14ac:dyDescent="0.3">
      <c r="A215">
        <v>66866</v>
      </c>
      <c r="B215" t="s">
        <v>7</v>
      </c>
      <c r="C215">
        <v>48</v>
      </c>
      <c r="D215">
        <v>0</v>
      </c>
      <c r="E215">
        <v>0</v>
      </c>
      <c r="F215" t="str">
        <f t="shared" si="11"/>
        <v>Lower Risk</v>
      </c>
      <c r="G215" t="s">
        <v>3</v>
      </c>
      <c r="H215" t="s">
        <v>4</v>
      </c>
      <c r="I215" t="s">
        <v>5</v>
      </c>
      <c r="J215">
        <v>74.11</v>
      </c>
      <c r="K215">
        <v>20.5</v>
      </c>
      <c r="L215" t="s">
        <v>11</v>
      </c>
      <c r="M215">
        <v>1</v>
      </c>
      <c r="N215" t="str">
        <f t="shared" si="9"/>
        <v>40–59</v>
      </c>
      <c r="O215" t="str">
        <f t="shared" si="10"/>
        <v>Normal</v>
      </c>
    </row>
    <row r="216" spans="1:15" x14ac:dyDescent="0.3">
      <c r="A216">
        <v>2548</v>
      </c>
      <c r="B216" t="s">
        <v>7</v>
      </c>
      <c r="C216">
        <v>81</v>
      </c>
      <c r="D216">
        <v>0</v>
      </c>
      <c r="E216">
        <v>0</v>
      </c>
      <c r="F216" t="str">
        <f t="shared" si="11"/>
        <v>Moderate Risk</v>
      </c>
      <c r="G216" t="s">
        <v>3</v>
      </c>
      <c r="H216" t="s">
        <v>8</v>
      </c>
      <c r="I216" t="s">
        <v>5</v>
      </c>
      <c r="J216">
        <v>95.84</v>
      </c>
      <c r="K216">
        <v>21.5</v>
      </c>
      <c r="L216" t="s">
        <v>11</v>
      </c>
      <c r="M216">
        <v>1</v>
      </c>
      <c r="N216" t="str">
        <f t="shared" si="9"/>
        <v>60+</v>
      </c>
      <c r="O216" t="str">
        <f t="shared" si="10"/>
        <v>Normal</v>
      </c>
    </row>
    <row r="217" spans="1:15" x14ac:dyDescent="0.3">
      <c r="A217">
        <v>68025</v>
      </c>
      <c r="B217" t="s">
        <v>7</v>
      </c>
      <c r="C217">
        <v>79</v>
      </c>
      <c r="D217">
        <v>0</v>
      </c>
      <c r="E217">
        <v>1</v>
      </c>
      <c r="F217" t="str">
        <f t="shared" si="11"/>
        <v>High Risk</v>
      </c>
      <c r="G217" t="s">
        <v>13</v>
      </c>
      <c r="H217" t="s">
        <v>4</v>
      </c>
      <c r="I217" t="s">
        <v>5</v>
      </c>
      <c r="J217">
        <v>205.33</v>
      </c>
      <c r="K217">
        <v>31</v>
      </c>
      <c r="L217" t="s">
        <v>12</v>
      </c>
      <c r="M217">
        <v>1</v>
      </c>
      <c r="N217" t="str">
        <f t="shared" si="9"/>
        <v>60+</v>
      </c>
      <c r="O217" t="str">
        <f t="shared" si="10"/>
        <v>Obese</v>
      </c>
    </row>
    <row r="218" spans="1:15" x14ac:dyDescent="0.3">
      <c r="A218">
        <v>2390</v>
      </c>
      <c r="B218" t="s">
        <v>2</v>
      </c>
      <c r="C218">
        <v>78</v>
      </c>
      <c r="D218">
        <v>0</v>
      </c>
      <c r="E218">
        <v>0</v>
      </c>
      <c r="F218" t="str">
        <f t="shared" si="11"/>
        <v>Moderate Risk</v>
      </c>
      <c r="G218" t="s">
        <v>3</v>
      </c>
      <c r="H218" t="s">
        <v>8</v>
      </c>
      <c r="I218" t="s">
        <v>5</v>
      </c>
      <c r="J218">
        <v>116.1</v>
      </c>
      <c r="K218">
        <v>27.1</v>
      </c>
      <c r="L218" t="s">
        <v>11</v>
      </c>
      <c r="M218">
        <v>1</v>
      </c>
      <c r="N218" t="str">
        <f t="shared" si="9"/>
        <v>60+</v>
      </c>
      <c r="O218" t="str">
        <f t="shared" si="10"/>
        <v>Overweight</v>
      </c>
    </row>
    <row r="219" spans="1:15" x14ac:dyDescent="0.3">
      <c r="A219">
        <v>29552</v>
      </c>
      <c r="B219" t="s">
        <v>7</v>
      </c>
      <c r="C219">
        <v>55</v>
      </c>
      <c r="D219">
        <v>1</v>
      </c>
      <c r="E219">
        <v>1</v>
      </c>
      <c r="F219" t="str">
        <f t="shared" si="11"/>
        <v>Lower Risk</v>
      </c>
      <c r="G219" t="s">
        <v>3</v>
      </c>
      <c r="H219" t="s">
        <v>4</v>
      </c>
      <c r="I219" t="s">
        <v>5</v>
      </c>
      <c r="J219">
        <v>210.4</v>
      </c>
      <c r="K219">
        <v>40</v>
      </c>
      <c r="L219" t="s">
        <v>12</v>
      </c>
      <c r="M219">
        <v>1</v>
      </c>
      <c r="N219" t="str">
        <f t="shared" si="9"/>
        <v>40–59</v>
      </c>
      <c r="O219" t="str">
        <f t="shared" si="10"/>
        <v>Obese</v>
      </c>
    </row>
    <row r="220" spans="1:15" x14ac:dyDescent="0.3">
      <c r="A220">
        <v>25904</v>
      </c>
      <c r="B220" t="s">
        <v>7</v>
      </c>
      <c r="C220">
        <v>76</v>
      </c>
      <c r="D220">
        <v>1</v>
      </c>
      <c r="E220">
        <v>1</v>
      </c>
      <c r="F220" t="str">
        <f t="shared" si="11"/>
        <v>High Risk</v>
      </c>
      <c r="G220" t="s">
        <v>3</v>
      </c>
      <c r="H220" t="s">
        <v>8</v>
      </c>
      <c r="I220" t="s">
        <v>5</v>
      </c>
      <c r="J220">
        <v>199.86</v>
      </c>
      <c r="K220" t="s">
        <v>10</v>
      </c>
      <c r="L220" t="s">
        <v>12</v>
      </c>
      <c r="M220">
        <v>1</v>
      </c>
      <c r="N220" t="str">
        <f t="shared" si="9"/>
        <v>60+</v>
      </c>
      <c r="O220" t="str">
        <f t="shared" si="10"/>
        <v>Unknown</v>
      </c>
    </row>
    <row r="221" spans="1:15" x14ac:dyDescent="0.3">
      <c r="A221">
        <v>31421</v>
      </c>
      <c r="B221" t="s">
        <v>2</v>
      </c>
      <c r="C221">
        <v>73</v>
      </c>
      <c r="D221">
        <v>0</v>
      </c>
      <c r="E221">
        <v>1</v>
      </c>
      <c r="F221" t="str">
        <f t="shared" si="11"/>
        <v>High Risk</v>
      </c>
      <c r="G221" t="s">
        <v>3</v>
      </c>
      <c r="H221" t="s">
        <v>15</v>
      </c>
      <c r="I221" t="s">
        <v>9</v>
      </c>
      <c r="J221">
        <v>219.73</v>
      </c>
      <c r="K221">
        <v>28.6</v>
      </c>
      <c r="L221" t="s">
        <v>11</v>
      </c>
      <c r="M221">
        <v>1</v>
      </c>
      <c r="N221" t="str">
        <f t="shared" si="9"/>
        <v>60+</v>
      </c>
      <c r="O221" t="str">
        <f t="shared" si="10"/>
        <v>Overweight</v>
      </c>
    </row>
    <row r="222" spans="1:15" x14ac:dyDescent="0.3">
      <c r="A222">
        <v>20463</v>
      </c>
      <c r="B222" t="s">
        <v>2</v>
      </c>
      <c r="C222">
        <v>81</v>
      </c>
      <c r="D222">
        <v>1</v>
      </c>
      <c r="E222">
        <v>1</v>
      </c>
      <c r="F222" t="str">
        <f t="shared" si="11"/>
        <v>High Risk</v>
      </c>
      <c r="G222" t="s">
        <v>3</v>
      </c>
      <c r="H222" t="s">
        <v>4</v>
      </c>
      <c r="I222" t="s">
        <v>5</v>
      </c>
      <c r="J222">
        <v>250.89</v>
      </c>
      <c r="K222">
        <v>28.1</v>
      </c>
      <c r="L222" t="s">
        <v>12</v>
      </c>
      <c r="M222">
        <v>1</v>
      </c>
      <c r="N222" t="str">
        <f t="shared" si="9"/>
        <v>60+</v>
      </c>
      <c r="O222" t="str">
        <f t="shared" si="10"/>
        <v>Overweight</v>
      </c>
    </row>
    <row r="223" spans="1:15" x14ac:dyDescent="0.3">
      <c r="A223">
        <v>68023</v>
      </c>
      <c r="B223" t="s">
        <v>2</v>
      </c>
      <c r="C223">
        <v>79</v>
      </c>
      <c r="D223">
        <v>0</v>
      </c>
      <c r="E223">
        <v>0</v>
      </c>
      <c r="F223" t="str">
        <f t="shared" si="11"/>
        <v>Moderate Risk</v>
      </c>
      <c r="G223" t="s">
        <v>3</v>
      </c>
      <c r="H223" t="s">
        <v>4</v>
      </c>
      <c r="I223" t="s">
        <v>9</v>
      </c>
      <c r="J223">
        <v>72.73</v>
      </c>
      <c r="K223">
        <v>28.4</v>
      </c>
      <c r="L223" t="s">
        <v>11</v>
      </c>
      <c r="M223">
        <v>1</v>
      </c>
      <c r="N223" t="str">
        <f t="shared" si="9"/>
        <v>60+</v>
      </c>
      <c r="O223" t="str">
        <f t="shared" si="10"/>
        <v>Overweight</v>
      </c>
    </row>
    <row r="224" spans="1:15" x14ac:dyDescent="0.3">
      <c r="A224">
        <v>12689</v>
      </c>
      <c r="B224" t="s">
        <v>7</v>
      </c>
      <c r="C224">
        <v>63</v>
      </c>
      <c r="D224">
        <v>0</v>
      </c>
      <c r="E224">
        <v>0</v>
      </c>
      <c r="F224" t="str">
        <f t="shared" si="11"/>
        <v>Moderate Risk</v>
      </c>
      <c r="G224" t="s">
        <v>3</v>
      </c>
      <c r="H224" t="s">
        <v>15</v>
      </c>
      <c r="I224" t="s">
        <v>9</v>
      </c>
      <c r="J224">
        <v>205.35</v>
      </c>
      <c r="K224">
        <v>42.2</v>
      </c>
      <c r="L224" t="s">
        <v>6</v>
      </c>
      <c r="M224">
        <v>1</v>
      </c>
      <c r="N224" t="str">
        <f t="shared" si="9"/>
        <v>60+</v>
      </c>
      <c r="O224" t="str">
        <f t="shared" si="10"/>
        <v>Obese</v>
      </c>
    </row>
    <row r="225" spans="1:15" x14ac:dyDescent="0.3">
      <c r="A225">
        <v>54724</v>
      </c>
      <c r="B225" t="s">
        <v>7</v>
      </c>
      <c r="C225">
        <v>81</v>
      </c>
      <c r="D225">
        <v>0</v>
      </c>
      <c r="E225">
        <v>0</v>
      </c>
      <c r="F225" t="str">
        <f t="shared" si="11"/>
        <v>Moderate Risk</v>
      </c>
      <c r="G225" t="s">
        <v>13</v>
      </c>
      <c r="H225" t="s">
        <v>15</v>
      </c>
      <c r="I225" t="s">
        <v>5</v>
      </c>
      <c r="J225">
        <v>70.3</v>
      </c>
      <c r="K225">
        <v>25.8</v>
      </c>
      <c r="L225" t="s">
        <v>12</v>
      </c>
      <c r="M225">
        <v>1</v>
      </c>
      <c r="N225" t="str">
        <f t="shared" si="9"/>
        <v>60+</v>
      </c>
      <c r="O225" t="str">
        <f t="shared" si="10"/>
        <v>Overweight</v>
      </c>
    </row>
    <row r="226" spans="1:15" x14ac:dyDescent="0.3">
      <c r="A226">
        <v>8899</v>
      </c>
      <c r="B226" t="s">
        <v>2</v>
      </c>
      <c r="C226">
        <v>49</v>
      </c>
      <c r="D226">
        <v>0</v>
      </c>
      <c r="E226">
        <v>0</v>
      </c>
      <c r="F226" t="str">
        <f t="shared" si="11"/>
        <v>Lower Risk</v>
      </c>
      <c r="G226" t="s">
        <v>13</v>
      </c>
      <c r="H226" t="s">
        <v>4</v>
      </c>
      <c r="I226" t="s">
        <v>9</v>
      </c>
      <c r="J226">
        <v>104.86</v>
      </c>
      <c r="K226">
        <v>31.9</v>
      </c>
      <c r="L226" t="s">
        <v>12</v>
      </c>
      <c r="M226">
        <v>1</v>
      </c>
      <c r="N226" t="str">
        <f t="shared" si="9"/>
        <v>40–59</v>
      </c>
      <c r="O226" t="str">
        <f t="shared" si="10"/>
        <v>Obese</v>
      </c>
    </row>
    <row r="227" spans="1:15" x14ac:dyDescent="0.3">
      <c r="A227">
        <v>39186</v>
      </c>
      <c r="B227" t="s">
        <v>7</v>
      </c>
      <c r="C227">
        <v>57</v>
      </c>
      <c r="D227">
        <v>0</v>
      </c>
      <c r="E227">
        <v>1</v>
      </c>
      <c r="F227" t="str">
        <f t="shared" si="11"/>
        <v>Lower Risk</v>
      </c>
      <c r="G227" t="s">
        <v>3</v>
      </c>
      <c r="H227" t="s">
        <v>4</v>
      </c>
      <c r="I227" t="s">
        <v>5</v>
      </c>
      <c r="J227">
        <v>216.58</v>
      </c>
      <c r="K227">
        <v>31</v>
      </c>
      <c r="L227" t="s">
        <v>14</v>
      </c>
      <c r="M227">
        <v>1</v>
      </c>
      <c r="N227" t="str">
        <f t="shared" si="9"/>
        <v>40–59</v>
      </c>
      <c r="O227" t="str">
        <f t="shared" si="10"/>
        <v>Obese</v>
      </c>
    </row>
    <row r="228" spans="1:15" x14ac:dyDescent="0.3">
      <c r="A228">
        <v>32729</v>
      </c>
      <c r="B228" t="s">
        <v>7</v>
      </c>
      <c r="C228">
        <v>81</v>
      </c>
      <c r="D228">
        <v>0</v>
      </c>
      <c r="E228">
        <v>0</v>
      </c>
      <c r="F228" t="str">
        <f t="shared" si="11"/>
        <v>Moderate Risk</v>
      </c>
      <c r="G228" t="s">
        <v>3</v>
      </c>
      <c r="H228" t="s">
        <v>4</v>
      </c>
      <c r="I228" t="s">
        <v>9</v>
      </c>
      <c r="J228">
        <v>184.4</v>
      </c>
      <c r="K228">
        <v>27.5</v>
      </c>
      <c r="L228" t="s">
        <v>11</v>
      </c>
      <c r="M228">
        <v>1</v>
      </c>
      <c r="N228" t="str">
        <f t="shared" si="9"/>
        <v>60+</v>
      </c>
      <c r="O228" t="str">
        <f t="shared" si="10"/>
        <v>Overweight</v>
      </c>
    </row>
    <row r="229" spans="1:15" x14ac:dyDescent="0.3">
      <c r="A229">
        <v>39105</v>
      </c>
      <c r="B229" t="s">
        <v>2</v>
      </c>
      <c r="C229">
        <v>74</v>
      </c>
      <c r="D229">
        <v>0</v>
      </c>
      <c r="E229">
        <v>0</v>
      </c>
      <c r="F229" t="str">
        <f t="shared" si="11"/>
        <v>Moderate Risk</v>
      </c>
      <c r="G229" t="s">
        <v>3</v>
      </c>
      <c r="H229" t="s">
        <v>8</v>
      </c>
      <c r="I229" t="s">
        <v>9</v>
      </c>
      <c r="J229">
        <v>60.98</v>
      </c>
      <c r="K229" t="s">
        <v>10</v>
      </c>
      <c r="L229" t="s">
        <v>11</v>
      </c>
      <c r="M229">
        <v>1</v>
      </c>
      <c r="N229" t="str">
        <f t="shared" si="9"/>
        <v>60+</v>
      </c>
      <c r="O229" t="str">
        <f t="shared" si="10"/>
        <v>Unknown</v>
      </c>
    </row>
    <row r="230" spans="1:15" x14ac:dyDescent="0.3">
      <c r="A230">
        <v>31154</v>
      </c>
      <c r="B230" t="s">
        <v>7</v>
      </c>
      <c r="C230">
        <v>39</v>
      </c>
      <c r="D230">
        <v>0</v>
      </c>
      <c r="E230">
        <v>0</v>
      </c>
      <c r="F230" t="str">
        <f t="shared" si="11"/>
        <v>Lower Risk</v>
      </c>
      <c r="G230" t="s">
        <v>3</v>
      </c>
      <c r="H230" t="s">
        <v>8</v>
      </c>
      <c r="I230" t="s">
        <v>5</v>
      </c>
      <c r="J230">
        <v>97.76</v>
      </c>
      <c r="K230">
        <v>29.6</v>
      </c>
      <c r="L230" t="s">
        <v>12</v>
      </c>
      <c r="M230">
        <v>1</v>
      </c>
      <c r="N230" t="str">
        <f t="shared" si="9"/>
        <v>Under 40</v>
      </c>
      <c r="O230" t="str">
        <f t="shared" si="10"/>
        <v>Overweight</v>
      </c>
    </row>
    <row r="231" spans="1:15" x14ac:dyDescent="0.3">
      <c r="A231">
        <v>69959</v>
      </c>
      <c r="B231" t="s">
        <v>7</v>
      </c>
      <c r="C231">
        <v>80</v>
      </c>
      <c r="D231">
        <v>1</v>
      </c>
      <c r="E231">
        <v>0</v>
      </c>
      <c r="F231" t="str">
        <f t="shared" si="11"/>
        <v>High Risk</v>
      </c>
      <c r="G231" t="s">
        <v>13</v>
      </c>
      <c r="H231" t="s">
        <v>4</v>
      </c>
      <c r="I231" t="s">
        <v>5</v>
      </c>
      <c r="J231">
        <v>66.03</v>
      </c>
      <c r="K231">
        <v>35.4</v>
      </c>
      <c r="L231" t="s">
        <v>11</v>
      </c>
      <c r="M231">
        <v>1</v>
      </c>
      <c r="N231" t="str">
        <f t="shared" si="9"/>
        <v>60+</v>
      </c>
      <c r="O231" t="str">
        <f t="shared" si="10"/>
        <v>Obese</v>
      </c>
    </row>
    <row r="232" spans="1:15" x14ac:dyDescent="0.3">
      <c r="A232">
        <v>10552</v>
      </c>
      <c r="B232" t="s">
        <v>7</v>
      </c>
      <c r="C232">
        <v>81</v>
      </c>
      <c r="D232">
        <v>0</v>
      </c>
      <c r="E232">
        <v>0</v>
      </c>
      <c r="F232" t="str">
        <f t="shared" si="11"/>
        <v>Moderate Risk</v>
      </c>
      <c r="G232" t="s">
        <v>3</v>
      </c>
      <c r="H232" t="s">
        <v>8</v>
      </c>
      <c r="I232" t="s">
        <v>9</v>
      </c>
      <c r="J232">
        <v>81.95</v>
      </c>
      <c r="K232">
        <v>16.899999999999999</v>
      </c>
      <c r="L232" t="s">
        <v>11</v>
      </c>
      <c r="M232">
        <v>1</v>
      </c>
      <c r="N232" t="str">
        <f t="shared" si="9"/>
        <v>60+</v>
      </c>
      <c r="O232" t="str">
        <f t="shared" si="10"/>
        <v>Underweight</v>
      </c>
    </row>
    <row r="233" spans="1:15" x14ac:dyDescent="0.3">
      <c r="A233">
        <v>12917</v>
      </c>
      <c r="B233" t="s">
        <v>7</v>
      </c>
      <c r="C233">
        <v>79</v>
      </c>
      <c r="D233">
        <v>0</v>
      </c>
      <c r="E233">
        <v>0</v>
      </c>
      <c r="F233" t="str">
        <f t="shared" si="11"/>
        <v>Moderate Risk</v>
      </c>
      <c r="G233" t="s">
        <v>3</v>
      </c>
      <c r="H233" t="s">
        <v>4</v>
      </c>
      <c r="I233" t="s">
        <v>5</v>
      </c>
      <c r="J233">
        <v>97.73</v>
      </c>
      <c r="K233">
        <v>21.5</v>
      </c>
      <c r="L233" t="s">
        <v>12</v>
      </c>
      <c r="M233">
        <v>1</v>
      </c>
      <c r="N233" t="str">
        <f t="shared" si="9"/>
        <v>60+</v>
      </c>
      <c r="O233" t="str">
        <f t="shared" si="10"/>
        <v>Normal</v>
      </c>
    </row>
    <row r="234" spans="1:15" x14ac:dyDescent="0.3">
      <c r="A234">
        <v>68356</v>
      </c>
      <c r="B234" t="s">
        <v>7</v>
      </c>
      <c r="C234">
        <v>73</v>
      </c>
      <c r="D234">
        <v>0</v>
      </c>
      <c r="E234">
        <v>0</v>
      </c>
      <c r="F234" t="str">
        <f t="shared" si="11"/>
        <v>Moderate Risk</v>
      </c>
      <c r="G234" t="s">
        <v>3</v>
      </c>
      <c r="H234" t="s">
        <v>8</v>
      </c>
      <c r="I234" t="s">
        <v>5</v>
      </c>
      <c r="J234">
        <v>70.94</v>
      </c>
      <c r="K234">
        <v>34.4</v>
      </c>
      <c r="L234" t="s">
        <v>11</v>
      </c>
      <c r="M234">
        <v>1</v>
      </c>
      <c r="N234" t="str">
        <f t="shared" si="9"/>
        <v>60+</v>
      </c>
      <c r="O234" t="str">
        <f t="shared" si="10"/>
        <v>Obese</v>
      </c>
    </row>
    <row r="235" spans="1:15" x14ac:dyDescent="0.3">
      <c r="A235">
        <v>23368</v>
      </c>
      <c r="B235" t="s">
        <v>7</v>
      </c>
      <c r="C235">
        <v>77</v>
      </c>
      <c r="D235">
        <v>1</v>
      </c>
      <c r="E235">
        <v>0</v>
      </c>
      <c r="F235" t="str">
        <f t="shared" si="11"/>
        <v>High Risk</v>
      </c>
      <c r="G235" t="s">
        <v>3</v>
      </c>
      <c r="H235" t="s">
        <v>8</v>
      </c>
      <c r="I235" t="s">
        <v>5</v>
      </c>
      <c r="J235">
        <v>199.84</v>
      </c>
      <c r="K235">
        <v>28</v>
      </c>
      <c r="L235" t="s">
        <v>6</v>
      </c>
      <c r="M235">
        <v>1</v>
      </c>
      <c r="N235" t="str">
        <f t="shared" si="9"/>
        <v>60+</v>
      </c>
      <c r="O235" t="str">
        <f t="shared" si="10"/>
        <v>Overweight</v>
      </c>
    </row>
    <row r="236" spans="1:15" x14ac:dyDescent="0.3">
      <c r="A236">
        <v>25974</v>
      </c>
      <c r="B236" t="s">
        <v>2</v>
      </c>
      <c r="C236">
        <v>78</v>
      </c>
      <c r="D236">
        <v>0</v>
      </c>
      <c r="E236">
        <v>0</v>
      </c>
      <c r="F236" t="str">
        <f t="shared" si="11"/>
        <v>Moderate Risk</v>
      </c>
      <c r="G236" t="s">
        <v>3</v>
      </c>
      <c r="H236" t="s">
        <v>8</v>
      </c>
      <c r="I236" t="s">
        <v>5</v>
      </c>
      <c r="J236">
        <v>218.46</v>
      </c>
      <c r="K236">
        <v>26.8</v>
      </c>
      <c r="L236" t="s">
        <v>14</v>
      </c>
      <c r="M236">
        <v>1</v>
      </c>
      <c r="N236" t="str">
        <f t="shared" si="9"/>
        <v>60+</v>
      </c>
      <c r="O236" t="str">
        <f t="shared" si="10"/>
        <v>Overweight</v>
      </c>
    </row>
    <row r="237" spans="1:15" x14ac:dyDescent="0.3">
      <c r="A237">
        <v>1210</v>
      </c>
      <c r="B237" t="s">
        <v>7</v>
      </c>
      <c r="C237">
        <v>68</v>
      </c>
      <c r="D237">
        <v>0</v>
      </c>
      <c r="E237">
        <v>0</v>
      </c>
      <c r="F237" t="str">
        <f t="shared" si="11"/>
        <v>Moderate Risk</v>
      </c>
      <c r="G237" t="s">
        <v>3</v>
      </c>
      <c r="H237" t="s">
        <v>4</v>
      </c>
      <c r="I237" t="s">
        <v>9</v>
      </c>
      <c r="J237">
        <v>211.06</v>
      </c>
      <c r="K237">
        <v>39.299999999999997</v>
      </c>
      <c r="L237" t="s">
        <v>14</v>
      </c>
      <c r="M237">
        <v>1</v>
      </c>
      <c r="N237" t="str">
        <f t="shared" si="9"/>
        <v>60+</v>
      </c>
      <c r="O237" t="str">
        <f t="shared" si="10"/>
        <v>Obese</v>
      </c>
    </row>
    <row r="238" spans="1:15" x14ac:dyDescent="0.3">
      <c r="A238">
        <v>28493</v>
      </c>
      <c r="B238" t="s">
        <v>2</v>
      </c>
      <c r="C238">
        <v>57</v>
      </c>
      <c r="D238">
        <v>0</v>
      </c>
      <c r="E238">
        <v>0</v>
      </c>
      <c r="F238" t="str">
        <f t="shared" si="11"/>
        <v>Lower Risk</v>
      </c>
      <c r="G238" t="s">
        <v>3</v>
      </c>
      <c r="H238" t="s">
        <v>4</v>
      </c>
      <c r="I238" t="s">
        <v>5</v>
      </c>
      <c r="J238">
        <v>86.3</v>
      </c>
      <c r="K238">
        <v>31.7</v>
      </c>
      <c r="L238" t="s">
        <v>14</v>
      </c>
      <c r="M238">
        <v>1</v>
      </c>
      <c r="N238" t="str">
        <f t="shared" si="9"/>
        <v>40–59</v>
      </c>
      <c r="O238" t="str">
        <f t="shared" si="10"/>
        <v>Obese</v>
      </c>
    </row>
    <row r="239" spans="1:15" x14ac:dyDescent="0.3">
      <c r="A239">
        <v>36857</v>
      </c>
      <c r="B239" t="s">
        <v>2</v>
      </c>
      <c r="C239">
        <v>77</v>
      </c>
      <c r="D239">
        <v>0</v>
      </c>
      <c r="E239">
        <v>0</v>
      </c>
      <c r="F239" t="str">
        <f t="shared" si="11"/>
        <v>Moderate Risk</v>
      </c>
      <c r="G239" t="s">
        <v>3</v>
      </c>
      <c r="H239" t="s">
        <v>8</v>
      </c>
      <c r="I239" t="s">
        <v>9</v>
      </c>
      <c r="J239">
        <v>162.13999999999999</v>
      </c>
      <c r="K239">
        <v>32.6</v>
      </c>
      <c r="L239" t="s">
        <v>6</v>
      </c>
      <c r="M239">
        <v>1</v>
      </c>
      <c r="N239" t="str">
        <f t="shared" si="9"/>
        <v>60+</v>
      </c>
      <c r="O239" t="str">
        <f t="shared" si="10"/>
        <v>Obese</v>
      </c>
    </row>
    <row r="240" spans="1:15" x14ac:dyDescent="0.3">
      <c r="A240">
        <v>1836</v>
      </c>
      <c r="B240" t="s">
        <v>7</v>
      </c>
      <c r="C240">
        <v>51</v>
      </c>
      <c r="D240">
        <v>1</v>
      </c>
      <c r="E240">
        <v>0</v>
      </c>
      <c r="F240" t="str">
        <f t="shared" si="11"/>
        <v>Lower Risk</v>
      </c>
      <c r="G240" t="s">
        <v>3</v>
      </c>
      <c r="H240" t="s">
        <v>4</v>
      </c>
      <c r="I240" t="s">
        <v>5</v>
      </c>
      <c r="J240">
        <v>88.2</v>
      </c>
      <c r="K240">
        <v>28.4</v>
      </c>
      <c r="L240" t="s">
        <v>11</v>
      </c>
      <c r="M240">
        <v>1</v>
      </c>
      <c r="N240" t="str">
        <f t="shared" si="9"/>
        <v>40–59</v>
      </c>
      <c r="O240" t="str">
        <f t="shared" si="10"/>
        <v>Overweight</v>
      </c>
    </row>
    <row r="241" spans="1:15" x14ac:dyDescent="0.3">
      <c r="A241">
        <v>32221</v>
      </c>
      <c r="B241" t="s">
        <v>2</v>
      </c>
      <c r="C241">
        <v>60</v>
      </c>
      <c r="D241">
        <v>0</v>
      </c>
      <c r="E241">
        <v>1</v>
      </c>
      <c r="F241" t="str">
        <f t="shared" si="11"/>
        <v>High Risk</v>
      </c>
      <c r="G241" t="s">
        <v>3</v>
      </c>
      <c r="H241" t="s">
        <v>4</v>
      </c>
      <c r="I241" t="s">
        <v>5</v>
      </c>
      <c r="J241">
        <v>91.92</v>
      </c>
      <c r="K241">
        <v>35.9</v>
      </c>
      <c r="L241" t="s">
        <v>12</v>
      </c>
      <c r="M241">
        <v>1</v>
      </c>
      <c r="N241" t="str">
        <f t="shared" si="9"/>
        <v>60+</v>
      </c>
      <c r="O241" t="str">
        <f t="shared" si="10"/>
        <v>Obese</v>
      </c>
    </row>
    <row r="242" spans="1:15" x14ac:dyDescent="0.3">
      <c r="A242">
        <v>10548</v>
      </c>
      <c r="B242" t="s">
        <v>2</v>
      </c>
      <c r="C242">
        <v>66</v>
      </c>
      <c r="D242">
        <v>0</v>
      </c>
      <c r="E242">
        <v>0</v>
      </c>
      <c r="F242" t="str">
        <f t="shared" si="11"/>
        <v>Moderate Risk</v>
      </c>
      <c r="G242" t="s">
        <v>3</v>
      </c>
      <c r="H242" t="s">
        <v>4</v>
      </c>
      <c r="I242" t="s">
        <v>9</v>
      </c>
      <c r="J242">
        <v>76.459999999999994</v>
      </c>
      <c r="K242">
        <v>21.2</v>
      </c>
      <c r="L242" t="s">
        <v>6</v>
      </c>
      <c r="M242">
        <v>1</v>
      </c>
      <c r="N242" t="str">
        <f t="shared" si="9"/>
        <v>60+</v>
      </c>
      <c r="O242" t="str">
        <f t="shared" si="10"/>
        <v>Normal</v>
      </c>
    </row>
    <row r="243" spans="1:15" x14ac:dyDescent="0.3">
      <c r="A243">
        <v>52282</v>
      </c>
      <c r="B243" t="s">
        <v>2</v>
      </c>
      <c r="C243">
        <v>57</v>
      </c>
      <c r="D243">
        <v>0</v>
      </c>
      <c r="E243">
        <v>0</v>
      </c>
      <c r="F243" t="str">
        <f t="shared" si="11"/>
        <v>Lower Risk</v>
      </c>
      <c r="G243" t="s">
        <v>3</v>
      </c>
      <c r="H243" t="s">
        <v>4</v>
      </c>
      <c r="I243" t="s">
        <v>9</v>
      </c>
      <c r="J243">
        <v>197.28</v>
      </c>
      <c r="K243">
        <v>34.5</v>
      </c>
      <c r="L243" t="s">
        <v>6</v>
      </c>
      <c r="M243">
        <v>1</v>
      </c>
      <c r="N243" t="str">
        <f t="shared" si="9"/>
        <v>40–59</v>
      </c>
      <c r="O243" t="str">
        <f t="shared" si="10"/>
        <v>Obese</v>
      </c>
    </row>
    <row r="244" spans="1:15" x14ac:dyDescent="0.3">
      <c r="A244">
        <v>45535</v>
      </c>
      <c r="B244" t="s">
        <v>2</v>
      </c>
      <c r="C244">
        <v>68</v>
      </c>
      <c r="D244">
        <v>0</v>
      </c>
      <c r="E244">
        <v>0</v>
      </c>
      <c r="F244" t="str">
        <f t="shared" si="11"/>
        <v>Moderate Risk</v>
      </c>
      <c r="G244" t="s">
        <v>3</v>
      </c>
      <c r="H244" t="s">
        <v>4</v>
      </c>
      <c r="I244" t="s">
        <v>9</v>
      </c>
      <c r="J244">
        <v>233.94</v>
      </c>
      <c r="K244">
        <v>42.4</v>
      </c>
      <c r="L244" t="s">
        <v>11</v>
      </c>
      <c r="M244">
        <v>1</v>
      </c>
      <c r="N244" t="str">
        <f t="shared" si="9"/>
        <v>60+</v>
      </c>
      <c r="O244" t="str">
        <f t="shared" si="10"/>
        <v>Obese</v>
      </c>
    </row>
    <row r="245" spans="1:15" x14ac:dyDescent="0.3">
      <c r="A245">
        <v>40460</v>
      </c>
      <c r="B245" t="s">
        <v>7</v>
      </c>
      <c r="C245">
        <v>68</v>
      </c>
      <c r="D245">
        <v>1</v>
      </c>
      <c r="E245">
        <v>1</v>
      </c>
      <c r="F245" t="str">
        <f t="shared" si="11"/>
        <v>High Risk</v>
      </c>
      <c r="G245" t="s">
        <v>3</v>
      </c>
      <c r="H245" t="s">
        <v>4</v>
      </c>
      <c r="I245" t="s">
        <v>5</v>
      </c>
      <c r="J245">
        <v>247.51</v>
      </c>
      <c r="K245">
        <v>40.5</v>
      </c>
      <c r="L245" t="s">
        <v>6</v>
      </c>
      <c r="M245">
        <v>1</v>
      </c>
      <c r="N245" t="str">
        <f t="shared" si="9"/>
        <v>60+</v>
      </c>
      <c r="O245" t="str">
        <f t="shared" si="10"/>
        <v>Obese</v>
      </c>
    </row>
    <row r="246" spans="1:15" x14ac:dyDescent="0.3">
      <c r="A246">
        <v>17739</v>
      </c>
      <c r="B246" t="s">
        <v>2</v>
      </c>
      <c r="C246">
        <v>57</v>
      </c>
      <c r="D246">
        <v>0</v>
      </c>
      <c r="E246">
        <v>0</v>
      </c>
      <c r="F246" t="str">
        <f t="shared" si="11"/>
        <v>Lower Risk</v>
      </c>
      <c r="G246" t="s">
        <v>3</v>
      </c>
      <c r="H246" t="s">
        <v>4</v>
      </c>
      <c r="I246" t="s">
        <v>9</v>
      </c>
      <c r="J246">
        <v>84.96</v>
      </c>
      <c r="K246">
        <v>36.700000000000003</v>
      </c>
      <c r="L246" t="s">
        <v>14</v>
      </c>
      <c r="M246">
        <v>1</v>
      </c>
      <c r="N246" t="str">
        <f t="shared" si="9"/>
        <v>40–59</v>
      </c>
      <c r="O246" t="str">
        <f t="shared" si="10"/>
        <v>Obese</v>
      </c>
    </row>
    <row r="247" spans="1:15" x14ac:dyDescent="0.3">
      <c r="A247">
        <v>49669</v>
      </c>
      <c r="B247" t="s">
        <v>7</v>
      </c>
      <c r="C247">
        <v>14</v>
      </c>
      <c r="D247">
        <v>0</v>
      </c>
      <c r="E247">
        <v>0</v>
      </c>
      <c r="F247" t="str">
        <f t="shared" si="11"/>
        <v>Lower Risk</v>
      </c>
      <c r="G247" t="s">
        <v>13</v>
      </c>
      <c r="H247" t="s">
        <v>16</v>
      </c>
      <c r="I247" t="s">
        <v>9</v>
      </c>
      <c r="J247">
        <v>57.93</v>
      </c>
      <c r="K247">
        <v>30.9</v>
      </c>
      <c r="L247" t="s">
        <v>14</v>
      </c>
      <c r="M247">
        <v>1</v>
      </c>
      <c r="N247" t="str">
        <f t="shared" si="9"/>
        <v>Under 40</v>
      </c>
      <c r="O247" t="str">
        <f t="shared" si="10"/>
        <v>Obese</v>
      </c>
    </row>
    <row r="248" spans="1:15" x14ac:dyDescent="0.3">
      <c r="A248">
        <v>27153</v>
      </c>
      <c r="B248" t="s">
        <v>7</v>
      </c>
      <c r="C248">
        <v>75</v>
      </c>
      <c r="D248">
        <v>0</v>
      </c>
      <c r="E248">
        <v>0</v>
      </c>
      <c r="F248" t="str">
        <f t="shared" si="11"/>
        <v>Moderate Risk</v>
      </c>
      <c r="G248" t="s">
        <v>3</v>
      </c>
      <c r="H248" t="s">
        <v>8</v>
      </c>
      <c r="I248" t="s">
        <v>9</v>
      </c>
      <c r="J248">
        <v>78.8</v>
      </c>
      <c r="K248">
        <v>29.3</v>
      </c>
      <c r="L248" t="s">
        <v>6</v>
      </c>
      <c r="M248">
        <v>1</v>
      </c>
      <c r="N248" t="str">
        <f t="shared" si="9"/>
        <v>60+</v>
      </c>
      <c r="O248" t="str">
        <f t="shared" si="10"/>
        <v>Overweight</v>
      </c>
    </row>
    <row r="249" spans="1:15" x14ac:dyDescent="0.3">
      <c r="A249">
        <v>34060</v>
      </c>
      <c r="B249" t="s">
        <v>2</v>
      </c>
      <c r="C249">
        <v>71</v>
      </c>
      <c r="D249">
        <v>1</v>
      </c>
      <c r="E249">
        <v>0</v>
      </c>
      <c r="F249" t="str">
        <f t="shared" si="11"/>
        <v>High Risk</v>
      </c>
      <c r="G249" t="s">
        <v>3</v>
      </c>
      <c r="H249" t="s">
        <v>8</v>
      </c>
      <c r="I249" t="s">
        <v>9</v>
      </c>
      <c r="J249">
        <v>87.8</v>
      </c>
      <c r="K249" t="s">
        <v>10</v>
      </c>
      <c r="L249" t="s">
        <v>14</v>
      </c>
      <c r="M249">
        <v>1</v>
      </c>
      <c r="N249" t="str">
        <f t="shared" si="9"/>
        <v>60+</v>
      </c>
      <c r="O249" t="str">
        <f t="shared" si="10"/>
        <v>Unknown</v>
      </c>
    </row>
    <row r="250" spans="1:15" x14ac:dyDescent="0.3">
      <c r="A250">
        <v>43424</v>
      </c>
      <c r="B250" t="s">
        <v>7</v>
      </c>
      <c r="C250">
        <v>78</v>
      </c>
      <c r="D250">
        <v>0</v>
      </c>
      <c r="E250">
        <v>0</v>
      </c>
      <c r="F250" t="str">
        <f t="shared" si="11"/>
        <v>Moderate Risk</v>
      </c>
      <c r="G250" t="s">
        <v>3</v>
      </c>
      <c r="H250" t="s">
        <v>4</v>
      </c>
      <c r="I250" t="s">
        <v>9</v>
      </c>
      <c r="J250">
        <v>78.81</v>
      </c>
      <c r="K250">
        <v>19.600000000000001</v>
      </c>
      <c r="L250" t="s">
        <v>14</v>
      </c>
      <c r="M250">
        <v>1</v>
      </c>
      <c r="N250" t="str">
        <f t="shared" si="9"/>
        <v>60+</v>
      </c>
      <c r="O250" t="str">
        <f t="shared" si="10"/>
        <v>Normal</v>
      </c>
    </row>
    <row r="251" spans="1:15" x14ac:dyDescent="0.3">
      <c r="A251">
        <v>30669</v>
      </c>
      <c r="B251" t="s">
        <v>2</v>
      </c>
      <c r="C251">
        <v>3</v>
      </c>
      <c r="D251">
        <v>0</v>
      </c>
      <c r="E251">
        <v>0</v>
      </c>
      <c r="F251" t="str">
        <f t="shared" si="11"/>
        <v>Lower Risk</v>
      </c>
      <c r="G251" t="s">
        <v>13</v>
      </c>
      <c r="H251" t="s">
        <v>16</v>
      </c>
      <c r="I251" t="s">
        <v>9</v>
      </c>
      <c r="J251">
        <v>95.12</v>
      </c>
      <c r="K251">
        <v>18</v>
      </c>
      <c r="L251" t="s">
        <v>14</v>
      </c>
      <c r="M251">
        <v>0</v>
      </c>
      <c r="N251" t="str">
        <f t="shared" si="9"/>
        <v>Under 40</v>
      </c>
      <c r="O251" t="str">
        <f t="shared" si="10"/>
        <v>Underweight</v>
      </c>
    </row>
    <row r="252" spans="1:15" x14ac:dyDescent="0.3">
      <c r="A252">
        <v>30468</v>
      </c>
      <c r="B252" t="s">
        <v>2</v>
      </c>
      <c r="C252">
        <v>58</v>
      </c>
      <c r="D252">
        <v>1</v>
      </c>
      <c r="E252">
        <v>0</v>
      </c>
      <c r="F252" t="str">
        <f t="shared" si="11"/>
        <v>Lower Risk</v>
      </c>
      <c r="G252" t="s">
        <v>3</v>
      </c>
      <c r="H252" t="s">
        <v>4</v>
      </c>
      <c r="I252" t="s">
        <v>5</v>
      </c>
      <c r="J252">
        <v>87.96</v>
      </c>
      <c r="K252">
        <v>39.200000000000003</v>
      </c>
      <c r="L252" t="s">
        <v>11</v>
      </c>
      <c r="M252">
        <v>0</v>
      </c>
      <c r="N252" t="str">
        <f t="shared" si="9"/>
        <v>40–59</v>
      </c>
      <c r="O252" t="str">
        <f t="shared" si="10"/>
        <v>Obese</v>
      </c>
    </row>
    <row r="253" spans="1:15" x14ac:dyDescent="0.3">
      <c r="A253">
        <v>16523</v>
      </c>
      <c r="B253" t="s">
        <v>7</v>
      </c>
      <c r="C253">
        <v>8</v>
      </c>
      <c r="D253">
        <v>0</v>
      </c>
      <c r="E253">
        <v>0</v>
      </c>
      <c r="F253" t="str">
        <f t="shared" si="11"/>
        <v>Lower Risk</v>
      </c>
      <c r="G253" t="s">
        <v>13</v>
      </c>
      <c r="H253" t="s">
        <v>4</v>
      </c>
      <c r="I253" t="s">
        <v>5</v>
      </c>
      <c r="J253">
        <v>110.89</v>
      </c>
      <c r="K253">
        <v>17.600000000000001</v>
      </c>
      <c r="L253" t="s">
        <v>14</v>
      </c>
      <c r="M253">
        <v>0</v>
      </c>
      <c r="N253" t="str">
        <f t="shared" si="9"/>
        <v>Under 40</v>
      </c>
      <c r="O253" t="str">
        <f t="shared" si="10"/>
        <v>Underweight</v>
      </c>
    </row>
    <row r="254" spans="1:15" x14ac:dyDescent="0.3">
      <c r="A254">
        <v>56543</v>
      </c>
      <c r="B254" t="s">
        <v>7</v>
      </c>
      <c r="C254">
        <v>70</v>
      </c>
      <c r="D254">
        <v>0</v>
      </c>
      <c r="E254">
        <v>0</v>
      </c>
      <c r="F254" t="str">
        <f t="shared" si="11"/>
        <v>Moderate Risk</v>
      </c>
      <c r="G254" t="s">
        <v>3</v>
      </c>
      <c r="H254" t="s">
        <v>4</v>
      </c>
      <c r="I254" t="s">
        <v>9</v>
      </c>
      <c r="J254">
        <v>69.040000000000006</v>
      </c>
      <c r="K254">
        <v>35.9</v>
      </c>
      <c r="L254" t="s">
        <v>6</v>
      </c>
      <c r="M254">
        <v>0</v>
      </c>
      <c r="N254" t="str">
        <f t="shared" si="9"/>
        <v>60+</v>
      </c>
      <c r="O254" t="str">
        <f t="shared" si="10"/>
        <v>Obese</v>
      </c>
    </row>
    <row r="255" spans="1:15" x14ac:dyDescent="0.3">
      <c r="A255">
        <v>46136</v>
      </c>
      <c r="B255" t="s">
        <v>2</v>
      </c>
      <c r="C255">
        <v>14</v>
      </c>
      <c r="D255">
        <v>0</v>
      </c>
      <c r="E255">
        <v>0</v>
      </c>
      <c r="F255" t="str">
        <f t="shared" si="11"/>
        <v>Lower Risk</v>
      </c>
      <c r="G255" t="s">
        <v>13</v>
      </c>
      <c r="H255" t="s">
        <v>17</v>
      </c>
      <c r="I255" t="s">
        <v>9</v>
      </c>
      <c r="J255">
        <v>161.28</v>
      </c>
      <c r="K255">
        <v>19.100000000000001</v>
      </c>
      <c r="L255" t="s">
        <v>14</v>
      </c>
      <c r="M255">
        <v>0</v>
      </c>
      <c r="N255" t="str">
        <f t="shared" si="9"/>
        <v>Under 40</v>
      </c>
      <c r="O255" t="str">
        <f t="shared" si="10"/>
        <v>Normal</v>
      </c>
    </row>
    <row r="256" spans="1:15" x14ac:dyDescent="0.3">
      <c r="A256">
        <v>32257</v>
      </c>
      <c r="B256" t="s">
        <v>7</v>
      </c>
      <c r="C256">
        <v>47</v>
      </c>
      <c r="D256">
        <v>0</v>
      </c>
      <c r="E256">
        <v>0</v>
      </c>
      <c r="F256" t="str">
        <f t="shared" si="11"/>
        <v>Lower Risk</v>
      </c>
      <c r="G256" t="s">
        <v>3</v>
      </c>
      <c r="H256" t="s">
        <v>4</v>
      </c>
      <c r="I256" t="s">
        <v>5</v>
      </c>
      <c r="J256">
        <v>210.95</v>
      </c>
      <c r="K256">
        <v>50.1</v>
      </c>
      <c r="L256" t="s">
        <v>14</v>
      </c>
      <c r="M256">
        <v>0</v>
      </c>
      <c r="N256" t="str">
        <f t="shared" si="9"/>
        <v>40–59</v>
      </c>
      <c r="O256" t="str">
        <f t="shared" si="10"/>
        <v>Obese</v>
      </c>
    </row>
    <row r="257" spans="1:15" x14ac:dyDescent="0.3">
      <c r="A257">
        <v>52800</v>
      </c>
      <c r="B257" t="s">
        <v>7</v>
      </c>
      <c r="C257">
        <v>52</v>
      </c>
      <c r="D257">
        <v>0</v>
      </c>
      <c r="E257">
        <v>0</v>
      </c>
      <c r="F257" t="str">
        <f t="shared" si="11"/>
        <v>Lower Risk</v>
      </c>
      <c r="G257" t="s">
        <v>3</v>
      </c>
      <c r="H257" t="s">
        <v>4</v>
      </c>
      <c r="I257" t="s">
        <v>5</v>
      </c>
      <c r="J257">
        <v>77.59</v>
      </c>
      <c r="K257">
        <v>17.7</v>
      </c>
      <c r="L257" t="s">
        <v>6</v>
      </c>
      <c r="M257">
        <v>0</v>
      </c>
      <c r="N257" t="str">
        <f t="shared" si="9"/>
        <v>40–59</v>
      </c>
      <c r="O257" t="str">
        <f t="shared" si="10"/>
        <v>Underweight</v>
      </c>
    </row>
    <row r="258" spans="1:15" x14ac:dyDescent="0.3">
      <c r="A258">
        <v>41413</v>
      </c>
      <c r="B258" t="s">
        <v>7</v>
      </c>
      <c r="C258">
        <v>75</v>
      </c>
      <c r="D258">
        <v>0</v>
      </c>
      <c r="E258">
        <v>1</v>
      </c>
      <c r="F258" t="str">
        <f t="shared" si="11"/>
        <v>High Risk</v>
      </c>
      <c r="G258" t="s">
        <v>3</v>
      </c>
      <c r="H258" t="s">
        <v>8</v>
      </c>
      <c r="I258" t="s">
        <v>9</v>
      </c>
      <c r="J258">
        <v>243.53</v>
      </c>
      <c r="K258">
        <v>27</v>
      </c>
      <c r="L258" t="s">
        <v>11</v>
      </c>
      <c r="M258">
        <v>0</v>
      </c>
      <c r="N258" t="str">
        <f t="shared" ref="N258:N321" si="12">IF(C258&lt;40,"Under 40",IF(C258&lt;60,"40–59","60+"))</f>
        <v>60+</v>
      </c>
      <c r="O258" t="str">
        <f t="shared" ref="O258:O321" si="13">IF(K258="N/A","Unknown",
IF(K258="","Unknown",
IF(K258&lt;18.5,"Underweight",
IF(K258&lt;25,"Normal",
IF(K258&lt;30,"Overweight","Obese")))))</f>
        <v>Overweight</v>
      </c>
    </row>
    <row r="259" spans="1:15" x14ac:dyDescent="0.3">
      <c r="A259">
        <v>15266</v>
      </c>
      <c r="B259" t="s">
        <v>7</v>
      </c>
      <c r="C259">
        <v>32</v>
      </c>
      <c r="D259">
        <v>0</v>
      </c>
      <c r="E259">
        <v>0</v>
      </c>
      <c r="F259" t="str">
        <f t="shared" ref="F259:F322" si="14">IF(C259&gt;=60,
IF(OR(D259=1,E259=1),"High Risk","Moderate Risk"),
"Lower Risk")</f>
        <v>Lower Risk</v>
      </c>
      <c r="G259" t="s">
        <v>3</v>
      </c>
      <c r="H259" t="s">
        <v>4</v>
      </c>
      <c r="I259" t="s">
        <v>9</v>
      </c>
      <c r="J259">
        <v>77.67</v>
      </c>
      <c r="K259">
        <v>32.299999999999997</v>
      </c>
      <c r="L259" t="s">
        <v>12</v>
      </c>
      <c r="M259">
        <v>0</v>
      </c>
      <c r="N259" t="str">
        <f t="shared" si="12"/>
        <v>Under 40</v>
      </c>
      <c r="O259" t="str">
        <f t="shared" si="13"/>
        <v>Obese</v>
      </c>
    </row>
    <row r="260" spans="1:15" x14ac:dyDescent="0.3">
      <c r="A260">
        <v>28674</v>
      </c>
      <c r="B260" t="s">
        <v>7</v>
      </c>
      <c r="C260">
        <v>74</v>
      </c>
      <c r="D260">
        <v>1</v>
      </c>
      <c r="E260">
        <v>0</v>
      </c>
      <c r="F260" t="str">
        <f t="shared" si="14"/>
        <v>High Risk</v>
      </c>
      <c r="G260" t="s">
        <v>3</v>
      </c>
      <c r="H260" t="s">
        <v>8</v>
      </c>
      <c r="I260" t="s">
        <v>5</v>
      </c>
      <c r="J260">
        <v>205.84</v>
      </c>
      <c r="K260">
        <v>54.6</v>
      </c>
      <c r="L260" t="s">
        <v>11</v>
      </c>
      <c r="M260">
        <v>0</v>
      </c>
      <c r="N260" t="str">
        <f t="shared" si="12"/>
        <v>60+</v>
      </c>
      <c r="O260" t="str">
        <f t="shared" si="13"/>
        <v>Obese</v>
      </c>
    </row>
    <row r="261" spans="1:15" x14ac:dyDescent="0.3">
      <c r="A261">
        <v>10460</v>
      </c>
      <c r="B261" t="s">
        <v>7</v>
      </c>
      <c r="C261">
        <v>79</v>
      </c>
      <c r="D261">
        <v>0</v>
      </c>
      <c r="E261">
        <v>0</v>
      </c>
      <c r="F261" t="str">
        <f t="shared" si="14"/>
        <v>Moderate Risk</v>
      </c>
      <c r="G261" t="s">
        <v>3</v>
      </c>
      <c r="H261" t="s">
        <v>15</v>
      </c>
      <c r="I261" t="s">
        <v>5</v>
      </c>
      <c r="J261">
        <v>77.08</v>
      </c>
      <c r="K261">
        <v>35</v>
      </c>
      <c r="L261" t="s">
        <v>14</v>
      </c>
      <c r="M261">
        <v>0</v>
      </c>
      <c r="N261" t="str">
        <f t="shared" si="12"/>
        <v>60+</v>
      </c>
      <c r="O261" t="str">
        <f t="shared" si="13"/>
        <v>Obese</v>
      </c>
    </row>
    <row r="262" spans="1:15" x14ac:dyDescent="0.3">
      <c r="A262">
        <v>64908</v>
      </c>
      <c r="B262" t="s">
        <v>2</v>
      </c>
      <c r="C262">
        <v>79</v>
      </c>
      <c r="D262">
        <v>0</v>
      </c>
      <c r="E262">
        <v>1</v>
      </c>
      <c r="F262" t="str">
        <f t="shared" si="14"/>
        <v>High Risk</v>
      </c>
      <c r="G262" t="s">
        <v>3</v>
      </c>
      <c r="H262" t="s">
        <v>4</v>
      </c>
      <c r="I262" t="s">
        <v>5</v>
      </c>
      <c r="J262">
        <v>57.08</v>
      </c>
      <c r="K262">
        <v>22</v>
      </c>
      <c r="L262" t="s">
        <v>6</v>
      </c>
      <c r="M262">
        <v>0</v>
      </c>
      <c r="N262" t="str">
        <f t="shared" si="12"/>
        <v>60+</v>
      </c>
      <c r="O262" t="str">
        <f t="shared" si="13"/>
        <v>Normal</v>
      </c>
    </row>
    <row r="263" spans="1:15" x14ac:dyDescent="0.3">
      <c r="A263">
        <v>63884</v>
      </c>
      <c r="B263" t="s">
        <v>7</v>
      </c>
      <c r="C263">
        <v>37</v>
      </c>
      <c r="D263">
        <v>0</v>
      </c>
      <c r="E263">
        <v>0</v>
      </c>
      <c r="F263" t="str">
        <f t="shared" si="14"/>
        <v>Lower Risk</v>
      </c>
      <c r="G263" t="s">
        <v>3</v>
      </c>
      <c r="H263" t="s">
        <v>4</v>
      </c>
      <c r="I263" t="s">
        <v>9</v>
      </c>
      <c r="J263">
        <v>162.96</v>
      </c>
      <c r="K263">
        <v>39.4</v>
      </c>
      <c r="L263" t="s">
        <v>11</v>
      </c>
      <c r="M263">
        <v>0</v>
      </c>
      <c r="N263" t="str">
        <f t="shared" si="12"/>
        <v>Under 40</v>
      </c>
      <c r="O263" t="str">
        <f t="shared" si="13"/>
        <v>Obese</v>
      </c>
    </row>
    <row r="264" spans="1:15" x14ac:dyDescent="0.3">
      <c r="A264">
        <v>37893</v>
      </c>
      <c r="B264" t="s">
        <v>7</v>
      </c>
      <c r="C264">
        <v>37</v>
      </c>
      <c r="D264">
        <v>0</v>
      </c>
      <c r="E264">
        <v>0</v>
      </c>
      <c r="F264" t="str">
        <f t="shared" si="14"/>
        <v>Lower Risk</v>
      </c>
      <c r="G264" t="s">
        <v>3</v>
      </c>
      <c r="H264" t="s">
        <v>4</v>
      </c>
      <c r="I264" t="s">
        <v>9</v>
      </c>
      <c r="J264">
        <v>73.5</v>
      </c>
      <c r="K264">
        <v>26.1</v>
      </c>
      <c r="L264" t="s">
        <v>6</v>
      </c>
      <c r="M264">
        <v>0</v>
      </c>
      <c r="N264" t="str">
        <f t="shared" si="12"/>
        <v>Under 40</v>
      </c>
      <c r="O264" t="str">
        <f t="shared" si="13"/>
        <v>Overweight</v>
      </c>
    </row>
    <row r="265" spans="1:15" x14ac:dyDescent="0.3">
      <c r="A265">
        <v>67855</v>
      </c>
      <c r="B265" t="s">
        <v>7</v>
      </c>
      <c r="C265">
        <v>40</v>
      </c>
      <c r="D265">
        <v>0</v>
      </c>
      <c r="E265">
        <v>0</v>
      </c>
      <c r="F265" t="str">
        <f t="shared" si="14"/>
        <v>Lower Risk</v>
      </c>
      <c r="G265" t="s">
        <v>3</v>
      </c>
      <c r="H265" t="s">
        <v>4</v>
      </c>
      <c r="I265" t="s">
        <v>9</v>
      </c>
      <c r="J265">
        <v>95.04</v>
      </c>
      <c r="K265">
        <v>42.4</v>
      </c>
      <c r="L265" t="s">
        <v>11</v>
      </c>
      <c r="M265">
        <v>0</v>
      </c>
      <c r="N265" t="str">
        <f t="shared" si="12"/>
        <v>40–59</v>
      </c>
      <c r="O265" t="str">
        <f t="shared" si="13"/>
        <v>Obese</v>
      </c>
    </row>
    <row r="266" spans="1:15" x14ac:dyDescent="0.3">
      <c r="A266">
        <v>25774</v>
      </c>
      <c r="B266" t="s">
        <v>2</v>
      </c>
      <c r="C266">
        <v>35</v>
      </c>
      <c r="D266">
        <v>0</v>
      </c>
      <c r="E266">
        <v>0</v>
      </c>
      <c r="F266" t="str">
        <f t="shared" si="14"/>
        <v>Lower Risk</v>
      </c>
      <c r="G266" t="s">
        <v>13</v>
      </c>
      <c r="H266" t="s">
        <v>4</v>
      </c>
      <c r="I266" t="s">
        <v>9</v>
      </c>
      <c r="J266">
        <v>85.37</v>
      </c>
      <c r="K266">
        <v>33</v>
      </c>
      <c r="L266" t="s">
        <v>11</v>
      </c>
      <c r="M266">
        <v>0</v>
      </c>
      <c r="N266" t="str">
        <f t="shared" si="12"/>
        <v>Under 40</v>
      </c>
      <c r="O266" t="str">
        <f t="shared" si="13"/>
        <v>Obese</v>
      </c>
    </row>
    <row r="267" spans="1:15" x14ac:dyDescent="0.3">
      <c r="A267">
        <v>19584</v>
      </c>
      <c r="B267" t="s">
        <v>7</v>
      </c>
      <c r="C267">
        <v>20</v>
      </c>
      <c r="D267">
        <v>0</v>
      </c>
      <c r="E267">
        <v>0</v>
      </c>
      <c r="F267" t="str">
        <f t="shared" si="14"/>
        <v>Lower Risk</v>
      </c>
      <c r="G267" t="s">
        <v>13</v>
      </c>
      <c r="H267" t="s">
        <v>4</v>
      </c>
      <c r="I267" t="s">
        <v>5</v>
      </c>
      <c r="J267">
        <v>84.62</v>
      </c>
      <c r="K267">
        <v>19.7</v>
      </c>
      <c r="L267" t="s">
        <v>12</v>
      </c>
      <c r="M267">
        <v>0</v>
      </c>
      <c r="N267" t="str">
        <f t="shared" si="12"/>
        <v>Under 40</v>
      </c>
      <c r="O267" t="str">
        <f t="shared" si="13"/>
        <v>Normal</v>
      </c>
    </row>
    <row r="268" spans="1:15" x14ac:dyDescent="0.3">
      <c r="A268">
        <v>24447</v>
      </c>
      <c r="B268" t="s">
        <v>7</v>
      </c>
      <c r="C268">
        <v>42</v>
      </c>
      <c r="D268">
        <v>0</v>
      </c>
      <c r="E268">
        <v>0</v>
      </c>
      <c r="F268" t="str">
        <f t="shared" si="14"/>
        <v>Lower Risk</v>
      </c>
      <c r="G268" t="s">
        <v>3</v>
      </c>
      <c r="H268" t="s">
        <v>4</v>
      </c>
      <c r="I268" t="s">
        <v>9</v>
      </c>
      <c r="J268">
        <v>82.67</v>
      </c>
      <c r="K268">
        <v>22.5</v>
      </c>
      <c r="L268" t="s">
        <v>11</v>
      </c>
      <c r="M268">
        <v>0</v>
      </c>
      <c r="N268" t="str">
        <f t="shared" si="12"/>
        <v>40–59</v>
      </c>
      <c r="O268" t="str">
        <f t="shared" si="13"/>
        <v>Normal</v>
      </c>
    </row>
    <row r="269" spans="1:15" x14ac:dyDescent="0.3">
      <c r="A269">
        <v>49589</v>
      </c>
      <c r="B269" t="s">
        <v>7</v>
      </c>
      <c r="C269">
        <v>44</v>
      </c>
      <c r="D269">
        <v>0</v>
      </c>
      <c r="E269">
        <v>0</v>
      </c>
      <c r="F269" t="str">
        <f t="shared" si="14"/>
        <v>Lower Risk</v>
      </c>
      <c r="G269" t="s">
        <v>3</v>
      </c>
      <c r="H269" t="s">
        <v>15</v>
      </c>
      <c r="I269" t="s">
        <v>5</v>
      </c>
      <c r="J269">
        <v>57.33</v>
      </c>
      <c r="K269">
        <v>24.6</v>
      </c>
      <c r="L269" t="s">
        <v>12</v>
      </c>
      <c r="M269">
        <v>0</v>
      </c>
      <c r="N269" t="str">
        <f t="shared" si="12"/>
        <v>40–59</v>
      </c>
      <c r="O269" t="str">
        <f t="shared" si="13"/>
        <v>Normal</v>
      </c>
    </row>
    <row r="270" spans="1:15" x14ac:dyDescent="0.3">
      <c r="A270">
        <v>17986</v>
      </c>
      <c r="B270" t="s">
        <v>7</v>
      </c>
      <c r="C270">
        <v>79</v>
      </c>
      <c r="D270">
        <v>0</v>
      </c>
      <c r="E270">
        <v>1</v>
      </c>
      <c r="F270" t="str">
        <f t="shared" si="14"/>
        <v>High Risk</v>
      </c>
      <c r="G270" t="s">
        <v>3</v>
      </c>
      <c r="H270" t="s">
        <v>8</v>
      </c>
      <c r="I270" t="s">
        <v>5</v>
      </c>
      <c r="J270">
        <v>67.84</v>
      </c>
      <c r="K270">
        <v>25.2</v>
      </c>
      <c r="L270" t="s">
        <v>12</v>
      </c>
      <c r="M270">
        <v>0</v>
      </c>
      <c r="N270" t="str">
        <f t="shared" si="12"/>
        <v>60+</v>
      </c>
      <c r="O270" t="str">
        <f t="shared" si="13"/>
        <v>Overweight</v>
      </c>
    </row>
    <row r="271" spans="1:15" x14ac:dyDescent="0.3">
      <c r="A271">
        <v>29217</v>
      </c>
      <c r="B271" t="s">
        <v>7</v>
      </c>
      <c r="C271">
        <v>65</v>
      </c>
      <c r="D271">
        <v>1</v>
      </c>
      <c r="E271">
        <v>0</v>
      </c>
      <c r="F271" t="str">
        <f t="shared" si="14"/>
        <v>High Risk</v>
      </c>
      <c r="G271" t="s">
        <v>3</v>
      </c>
      <c r="H271" t="s">
        <v>4</v>
      </c>
      <c r="I271" t="s">
        <v>9</v>
      </c>
      <c r="J271">
        <v>75.7</v>
      </c>
      <c r="K271">
        <v>41.8</v>
      </c>
      <c r="L271" t="s">
        <v>14</v>
      </c>
      <c r="M271">
        <v>0</v>
      </c>
      <c r="N271" t="str">
        <f t="shared" si="12"/>
        <v>60+</v>
      </c>
      <c r="O271" t="str">
        <f t="shared" si="13"/>
        <v>Obese</v>
      </c>
    </row>
    <row r="272" spans="1:15" x14ac:dyDescent="0.3">
      <c r="A272">
        <v>72911</v>
      </c>
      <c r="B272" t="s">
        <v>7</v>
      </c>
      <c r="C272">
        <v>57</v>
      </c>
      <c r="D272">
        <v>1</v>
      </c>
      <c r="E272">
        <v>0</v>
      </c>
      <c r="F272" t="str">
        <f t="shared" si="14"/>
        <v>Lower Risk</v>
      </c>
      <c r="G272" t="s">
        <v>3</v>
      </c>
      <c r="H272" t="s">
        <v>4</v>
      </c>
      <c r="I272" t="s">
        <v>9</v>
      </c>
      <c r="J272">
        <v>129.54</v>
      </c>
      <c r="K272">
        <v>60.9</v>
      </c>
      <c r="L272" t="s">
        <v>12</v>
      </c>
      <c r="M272">
        <v>0</v>
      </c>
      <c r="N272" t="str">
        <f t="shared" si="12"/>
        <v>40–59</v>
      </c>
      <c r="O272" t="str">
        <f t="shared" si="13"/>
        <v>Obese</v>
      </c>
    </row>
    <row r="273" spans="1:15" x14ac:dyDescent="0.3">
      <c r="A273">
        <v>47175</v>
      </c>
      <c r="B273" t="s">
        <v>7</v>
      </c>
      <c r="C273">
        <v>49</v>
      </c>
      <c r="D273">
        <v>0</v>
      </c>
      <c r="E273">
        <v>0</v>
      </c>
      <c r="F273" t="str">
        <f t="shared" si="14"/>
        <v>Lower Risk</v>
      </c>
      <c r="G273" t="s">
        <v>3</v>
      </c>
      <c r="H273" t="s">
        <v>4</v>
      </c>
      <c r="I273" t="s">
        <v>9</v>
      </c>
      <c r="J273">
        <v>60.22</v>
      </c>
      <c r="K273">
        <v>31.5</v>
      </c>
      <c r="L273" t="s">
        <v>12</v>
      </c>
      <c r="M273">
        <v>0</v>
      </c>
      <c r="N273" t="str">
        <f t="shared" si="12"/>
        <v>40–59</v>
      </c>
      <c r="O273" t="str">
        <f t="shared" si="13"/>
        <v>Obese</v>
      </c>
    </row>
    <row r="274" spans="1:15" x14ac:dyDescent="0.3">
      <c r="A274">
        <v>4057</v>
      </c>
      <c r="B274" t="s">
        <v>2</v>
      </c>
      <c r="C274">
        <v>71</v>
      </c>
      <c r="D274">
        <v>0</v>
      </c>
      <c r="E274">
        <v>0</v>
      </c>
      <c r="F274" t="str">
        <f t="shared" si="14"/>
        <v>Moderate Risk</v>
      </c>
      <c r="G274" t="s">
        <v>3</v>
      </c>
      <c r="H274" t="s">
        <v>4</v>
      </c>
      <c r="I274" t="s">
        <v>5</v>
      </c>
      <c r="J274">
        <v>198.21</v>
      </c>
      <c r="K274">
        <v>27.3</v>
      </c>
      <c r="L274" t="s">
        <v>6</v>
      </c>
      <c r="M274">
        <v>0</v>
      </c>
      <c r="N274" t="str">
        <f t="shared" si="12"/>
        <v>60+</v>
      </c>
      <c r="O274" t="str">
        <f t="shared" si="13"/>
        <v>Overweight</v>
      </c>
    </row>
    <row r="275" spans="1:15" x14ac:dyDescent="0.3">
      <c r="A275">
        <v>48588</v>
      </c>
      <c r="B275" t="s">
        <v>7</v>
      </c>
      <c r="C275">
        <v>59</v>
      </c>
      <c r="D275">
        <v>0</v>
      </c>
      <c r="E275">
        <v>0</v>
      </c>
      <c r="F275" t="str">
        <f t="shared" si="14"/>
        <v>Lower Risk</v>
      </c>
      <c r="G275" t="s">
        <v>3</v>
      </c>
      <c r="H275" t="s">
        <v>4</v>
      </c>
      <c r="I275" t="s">
        <v>5</v>
      </c>
      <c r="J275">
        <v>109.82</v>
      </c>
      <c r="K275">
        <v>23.7</v>
      </c>
      <c r="L275" t="s">
        <v>11</v>
      </c>
      <c r="M275">
        <v>0</v>
      </c>
      <c r="N275" t="str">
        <f t="shared" si="12"/>
        <v>40–59</v>
      </c>
      <c r="O275" t="str">
        <f t="shared" si="13"/>
        <v>Normal</v>
      </c>
    </row>
    <row r="276" spans="1:15" x14ac:dyDescent="0.3">
      <c r="A276">
        <v>70336</v>
      </c>
      <c r="B276" t="s">
        <v>7</v>
      </c>
      <c r="C276">
        <v>25</v>
      </c>
      <c r="D276">
        <v>0</v>
      </c>
      <c r="E276">
        <v>0</v>
      </c>
      <c r="F276" t="str">
        <f t="shared" si="14"/>
        <v>Lower Risk</v>
      </c>
      <c r="G276" t="s">
        <v>3</v>
      </c>
      <c r="H276" t="s">
        <v>4</v>
      </c>
      <c r="I276" t="s">
        <v>5</v>
      </c>
      <c r="J276">
        <v>60.84</v>
      </c>
      <c r="K276">
        <v>24.5</v>
      </c>
      <c r="L276" t="s">
        <v>11</v>
      </c>
      <c r="M276">
        <v>0</v>
      </c>
      <c r="N276" t="str">
        <f t="shared" si="12"/>
        <v>Under 40</v>
      </c>
      <c r="O276" t="str">
        <f t="shared" si="13"/>
        <v>Normal</v>
      </c>
    </row>
    <row r="277" spans="1:15" x14ac:dyDescent="0.3">
      <c r="A277">
        <v>66767</v>
      </c>
      <c r="B277" t="s">
        <v>7</v>
      </c>
      <c r="C277">
        <v>67</v>
      </c>
      <c r="D277">
        <v>0</v>
      </c>
      <c r="E277">
        <v>0</v>
      </c>
      <c r="F277" t="str">
        <f t="shared" si="14"/>
        <v>Moderate Risk</v>
      </c>
      <c r="G277" t="s">
        <v>3</v>
      </c>
      <c r="H277" t="s">
        <v>15</v>
      </c>
      <c r="I277" t="s">
        <v>9</v>
      </c>
      <c r="J277">
        <v>94.61</v>
      </c>
      <c r="K277">
        <v>28.4</v>
      </c>
      <c r="L277" t="s">
        <v>12</v>
      </c>
      <c r="M277">
        <v>0</v>
      </c>
      <c r="N277" t="str">
        <f t="shared" si="12"/>
        <v>60+</v>
      </c>
      <c r="O277" t="str">
        <f t="shared" si="13"/>
        <v>Overweight</v>
      </c>
    </row>
    <row r="278" spans="1:15" x14ac:dyDescent="0.3">
      <c r="A278">
        <v>45801</v>
      </c>
      <c r="B278" t="s">
        <v>7</v>
      </c>
      <c r="C278">
        <v>38</v>
      </c>
      <c r="D278">
        <v>0</v>
      </c>
      <c r="E278">
        <v>0</v>
      </c>
      <c r="F278" t="str">
        <f t="shared" si="14"/>
        <v>Lower Risk</v>
      </c>
      <c r="G278" t="s">
        <v>13</v>
      </c>
      <c r="H278" t="s">
        <v>4</v>
      </c>
      <c r="I278" t="s">
        <v>9</v>
      </c>
      <c r="J278">
        <v>97.49</v>
      </c>
      <c r="K278">
        <v>26.9</v>
      </c>
      <c r="L278" t="s">
        <v>11</v>
      </c>
      <c r="M278">
        <v>0</v>
      </c>
      <c r="N278" t="str">
        <f t="shared" si="12"/>
        <v>Under 40</v>
      </c>
      <c r="O278" t="str">
        <f t="shared" si="13"/>
        <v>Overweight</v>
      </c>
    </row>
    <row r="279" spans="1:15" x14ac:dyDescent="0.3">
      <c r="A279">
        <v>36275</v>
      </c>
      <c r="B279" t="s">
        <v>7</v>
      </c>
      <c r="C279">
        <v>54</v>
      </c>
      <c r="D279">
        <v>0</v>
      </c>
      <c r="E279">
        <v>0</v>
      </c>
      <c r="F279" t="str">
        <f t="shared" si="14"/>
        <v>Lower Risk</v>
      </c>
      <c r="G279" t="s">
        <v>3</v>
      </c>
      <c r="H279" t="s">
        <v>4</v>
      </c>
      <c r="I279" t="s">
        <v>9</v>
      </c>
      <c r="J279">
        <v>206.72</v>
      </c>
      <c r="K279">
        <v>26.7</v>
      </c>
      <c r="L279" t="s">
        <v>11</v>
      </c>
      <c r="M279">
        <v>0</v>
      </c>
      <c r="N279" t="str">
        <f t="shared" si="12"/>
        <v>40–59</v>
      </c>
      <c r="O279" t="str">
        <f t="shared" si="13"/>
        <v>Overweight</v>
      </c>
    </row>
    <row r="280" spans="1:15" x14ac:dyDescent="0.3">
      <c r="A280">
        <v>11577</v>
      </c>
      <c r="B280" t="s">
        <v>7</v>
      </c>
      <c r="C280">
        <v>70</v>
      </c>
      <c r="D280">
        <v>0</v>
      </c>
      <c r="E280">
        <v>0</v>
      </c>
      <c r="F280" t="str">
        <f t="shared" si="14"/>
        <v>Moderate Risk</v>
      </c>
      <c r="G280" t="s">
        <v>3</v>
      </c>
      <c r="H280" t="s">
        <v>8</v>
      </c>
      <c r="I280" t="s">
        <v>9</v>
      </c>
      <c r="J280">
        <v>214.45</v>
      </c>
      <c r="K280">
        <v>31.2</v>
      </c>
      <c r="L280" t="s">
        <v>11</v>
      </c>
      <c r="M280">
        <v>0</v>
      </c>
      <c r="N280" t="str">
        <f t="shared" si="12"/>
        <v>60+</v>
      </c>
      <c r="O280" t="str">
        <f t="shared" si="13"/>
        <v>Obese</v>
      </c>
    </row>
    <row r="281" spans="1:15" x14ac:dyDescent="0.3">
      <c r="A281">
        <v>67210</v>
      </c>
      <c r="B281" t="s">
        <v>2</v>
      </c>
      <c r="C281">
        <v>27</v>
      </c>
      <c r="D281">
        <v>0</v>
      </c>
      <c r="E281">
        <v>0</v>
      </c>
      <c r="F281" t="str">
        <f t="shared" si="14"/>
        <v>Lower Risk</v>
      </c>
      <c r="G281" t="s">
        <v>3</v>
      </c>
      <c r="H281" t="s">
        <v>8</v>
      </c>
      <c r="I281" t="s">
        <v>5</v>
      </c>
      <c r="J281">
        <v>82.9</v>
      </c>
      <c r="K281">
        <v>25</v>
      </c>
      <c r="L281" t="s">
        <v>14</v>
      </c>
      <c r="M281">
        <v>0</v>
      </c>
      <c r="N281" t="str">
        <f t="shared" si="12"/>
        <v>Under 40</v>
      </c>
      <c r="O281" t="str">
        <f t="shared" si="13"/>
        <v>Overweight</v>
      </c>
    </row>
    <row r="282" spans="1:15" x14ac:dyDescent="0.3">
      <c r="A282">
        <v>29908</v>
      </c>
      <c r="B282" t="s">
        <v>7</v>
      </c>
      <c r="C282">
        <v>47</v>
      </c>
      <c r="D282">
        <v>0</v>
      </c>
      <c r="E282">
        <v>0</v>
      </c>
      <c r="F282" t="str">
        <f t="shared" si="14"/>
        <v>Lower Risk</v>
      </c>
      <c r="G282" t="s">
        <v>3</v>
      </c>
      <c r="H282" t="s">
        <v>4</v>
      </c>
      <c r="I282" t="s">
        <v>5</v>
      </c>
      <c r="J282">
        <v>103.26</v>
      </c>
      <c r="K282">
        <v>25.4</v>
      </c>
      <c r="L282" t="s">
        <v>14</v>
      </c>
      <c r="M282">
        <v>0</v>
      </c>
      <c r="N282" t="str">
        <f t="shared" si="12"/>
        <v>40–59</v>
      </c>
      <c r="O282" t="str">
        <f t="shared" si="13"/>
        <v>Overweight</v>
      </c>
    </row>
    <row r="283" spans="1:15" x14ac:dyDescent="0.3">
      <c r="A283">
        <v>45222</v>
      </c>
      <c r="B283" t="s">
        <v>2</v>
      </c>
      <c r="C283">
        <v>58</v>
      </c>
      <c r="D283">
        <v>1</v>
      </c>
      <c r="E283">
        <v>0</v>
      </c>
      <c r="F283" t="str">
        <f t="shared" si="14"/>
        <v>Lower Risk</v>
      </c>
      <c r="G283" t="s">
        <v>13</v>
      </c>
      <c r="H283" t="s">
        <v>4</v>
      </c>
      <c r="I283" t="s">
        <v>5</v>
      </c>
      <c r="J283">
        <v>55.78</v>
      </c>
      <c r="K283">
        <v>27.5</v>
      </c>
      <c r="L283" t="s">
        <v>12</v>
      </c>
      <c r="M283">
        <v>0</v>
      </c>
      <c r="N283" t="str">
        <f t="shared" si="12"/>
        <v>40–59</v>
      </c>
      <c r="O283" t="str">
        <f t="shared" si="13"/>
        <v>Overweight</v>
      </c>
    </row>
    <row r="284" spans="1:15" x14ac:dyDescent="0.3">
      <c r="A284">
        <v>33759</v>
      </c>
      <c r="B284" t="s">
        <v>7</v>
      </c>
      <c r="C284">
        <v>3</v>
      </c>
      <c r="D284">
        <v>0</v>
      </c>
      <c r="E284">
        <v>0</v>
      </c>
      <c r="F284" t="str">
        <f t="shared" si="14"/>
        <v>Lower Risk</v>
      </c>
      <c r="G284" t="s">
        <v>13</v>
      </c>
      <c r="H284" t="s">
        <v>16</v>
      </c>
      <c r="I284" t="s">
        <v>5</v>
      </c>
      <c r="J284">
        <v>73.739999999999995</v>
      </c>
      <c r="K284">
        <v>16</v>
      </c>
      <c r="L284" t="s">
        <v>14</v>
      </c>
      <c r="M284">
        <v>0</v>
      </c>
      <c r="N284" t="str">
        <f t="shared" si="12"/>
        <v>Under 40</v>
      </c>
      <c r="O284" t="str">
        <f t="shared" si="13"/>
        <v>Underweight</v>
      </c>
    </row>
    <row r="285" spans="1:15" x14ac:dyDescent="0.3">
      <c r="A285">
        <v>40311</v>
      </c>
      <c r="B285" t="s">
        <v>7</v>
      </c>
      <c r="C285">
        <v>58</v>
      </c>
      <c r="D285">
        <v>0</v>
      </c>
      <c r="E285">
        <v>0</v>
      </c>
      <c r="F285" t="str">
        <f t="shared" si="14"/>
        <v>Lower Risk</v>
      </c>
      <c r="G285" t="s">
        <v>3</v>
      </c>
      <c r="H285" t="s">
        <v>4</v>
      </c>
      <c r="I285" t="s">
        <v>5</v>
      </c>
      <c r="J285">
        <v>149.75</v>
      </c>
      <c r="K285">
        <v>27</v>
      </c>
      <c r="L285" t="s">
        <v>14</v>
      </c>
      <c r="M285">
        <v>0</v>
      </c>
      <c r="N285" t="str">
        <f t="shared" si="12"/>
        <v>40–59</v>
      </c>
      <c r="O285" t="str">
        <f t="shared" si="13"/>
        <v>Overweight</v>
      </c>
    </row>
    <row r="286" spans="1:15" x14ac:dyDescent="0.3">
      <c r="A286">
        <v>26325</v>
      </c>
      <c r="B286" t="s">
        <v>2</v>
      </c>
      <c r="C286">
        <v>14</v>
      </c>
      <c r="D286">
        <v>0</v>
      </c>
      <c r="E286">
        <v>0</v>
      </c>
      <c r="F286" t="str">
        <f t="shared" si="14"/>
        <v>Lower Risk</v>
      </c>
      <c r="G286" t="s">
        <v>13</v>
      </c>
      <c r="H286" t="s">
        <v>15</v>
      </c>
      <c r="I286" t="s">
        <v>5</v>
      </c>
      <c r="J286">
        <v>82.34</v>
      </c>
      <c r="K286">
        <v>31.6</v>
      </c>
      <c r="L286" t="s">
        <v>14</v>
      </c>
      <c r="M286">
        <v>0</v>
      </c>
      <c r="N286" t="str">
        <f t="shared" si="12"/>
        <v>Under 40</v>
      </c>
      <c r="O286" t="str">
        <f t="shared" si="13"/>
        <v>Obese</v>
      </c>
    </row>
    <row r="287" spans="1:15" x14ac:dyDescent="0.3">
      <c r="A287">
        <v>65460</v>
      </c>
      <c r="B287" t="s">
        <v>7</v>
      </c>
      <c r="C287">
        <v>32</v>
      </c>
      <c r="D287">
        <v>0</v>
      </c>
      <c r="E287">
        <v>0</v>
      </c>
      <c r="F287" t="str">
        <f t="shared" si="14"/>
        <v>Lower Risk</v>
      </c>
      <c r="G287" t="s">
        <v>3</v>
      </c>
      <c r="H287" t="s">
        <v>4</v>
      </c>
      <c r="I287" t="s">
        <v>9</v>
      </c>
      <c r="J287">
        <v>62.6</v>
      </c>
      <c r="K287">
        <v>25.1</v>
      </c>
      <c r="L287" t="s">
        <v>6</v>
      </c>
      <c r="M287">
        <v>0</v>
      </c>
      <c r="N287" t="str">
        <f t="shared" si="12"/>
        <v>Under 40</v>
      </c>
      <c r="O287" t="str">
        <f t="shared" si="13"/>
        <v>Overweight</v>
      </c>
    </row>
    <row r="288" spans="1:15" x14ac:dyDescent="0.3">
      <c r="A288">
        <v>36811</v>
      </c>
      <c r="B288" t="s">
        <v>7</v>
      </c>
      <c r="C288">
        <v>23</v>
      </c>
      <c r="D288">
        <v>0</v>
      </c>
      <c r="E288">
        <v>0</v>
      </c>
      <c r="F288" t="str">
        <f t="shared" si="14"/>
        <v>Lower Risk</v>
      </c>
      <c r="G288" t="s">
        <v>13</v>
      </c>
      <c r="H288" t="s">
        <v>4</v>
      </c>
      <c r="I288" t="s">
        <v>5</v>
      </c>
      <c r="J288">
        <v>94.09</v>
      </c>
      <c r="K288">
        <v>30.9</v>
      </c>
      <c r="L288" t="s">
        <v>11</v>
      </c>
      <c r="M288">
        <v>0</v>
      </c>
      <c r="N288" t="str">
        <f t="shared" si="12"/>
        <v>Under 40</v>
      </c>
      <c r="O288" t="str">
        <f t="shared" si="13"/>
        <v>Obese</v>
      </c>
    </row>
    <row r="289" spans="1:15" x14ac:dyDescent="0.3">
      <c r="A289">
        <v>71750</v>
      </c>
      <c r="B289" t="s">
        <v>7</v>
      </c>
      <c r="C289">
        <v>55</v>
      </c>
      <c r="D289">
        <v>0</v>
      </c>
      <c r="E289">
        <v>0</v>
      </c>
      <c r="F289" t="str">
        <f t="shared" si="14"/>
        <v>Lower Risk</v>
      </c>
      <c r="G289" t="s">
        <v>3</v>
      </c>
      <c r="H289" t="s">
        <v>4</v>
      </c>
      <c r="I289" t="s">
        <v>5</v>
      </c>
      <c r="J289">
        <v>55.42</v>
      </c>
      <c r="K289">
        <v>24.8</v>
      </c>
      <c r="L289" t="s">
        <v>14</v>
      </c>
      <c r="M289">
        <v>0</v>
      </c>
      <c r="N289" t="str">
        <f t="shared" si="12"/>
        <v>40–59</v>
      </c>
      <c r="O289" t="str">
        <f t="shared" si="13"/>
        <v>Normal</v>
      </c>
    </row>
    <row r="290" spans="1:15" x14ac:dyDescent="0.3">
      <c r="A290">
        <v>70970</v>
      </c>
      <c r="B290" t="s">
        <v>7</v>
      </c>
      <c r="C290">
        <v>17</v>
      </c>
      <c r="D290">
        <v>0</v>
      </c>
      <c r="E290">
        <v>0</v>
      </c>
      <c r="F290" t="str">
        <f t="shared" si="14"/>
        <v>Lower Risk</v>
      </c>
      <c r="G290" t="s">
        <v>13</v>
      </c>
      <c r="H290" t="s">
        <v>8</v>
      </c>
      <c r="I290" t="s">
        <v>5</v>
      </c>
      <c r="J290">
        <v>82.18</v>
      </c>
      <c r="K290">
        <v>23.4</v>
      </c>
      <c r="L290" t="s">
        <v>14</v>
      </c>
      <c r="M290">
        <v>0</v>
      </c>
      <c r="N290" t="str">
        <f t="shared" si="12"/>
        <v>Under 40</v>
      </c>
      <c r="O290" t="str">
        <f t="shared" si="13"/>
        <v>Normal</v>
      </c>
    </row>
    <row r="291" spans="1:15" x14ac:dyDescent="0.3">
      <c r="A291">
        <v>42203</v>
      </c>
      <c r="B291" t="s">
        <v>2</v>
      </c>
      <c r="C291">
        <v>59</v>
      </c>
      <c r="D291">
        <v>0</v>
      </c>
      <c r="E291">
        <v>0</v>
      </c>
      <c r="F291" t="str">
        <f t="shared" si="14"/>
        <v>Lower Risk</v>
      </c>
      <c r="G291" t="s">
        <v>3</v>
      </c>
      <c r="H291" t="s">
        <v>4</v>
      </c>
      <c r="I291" t="s">
        <v>5</v>
      </c>
      <c r="J291">
        <v>117.92</v>
      </c>
      <c r="K291">
        <v>29.4</v>
      </c>
      <c r="L291" t="s">
        <v>12</v>
      </c>
      <c r="M291">
        <v>0</v>
      </c>
      <c r="N291" t="str">
        <f t="shared" si="12"/>
        <v>40–59</v>
      </c>
      <c r="O291" t="str">
        <f t="shared" si="13"/>
        <v>Overweight</v>
      </c>
    </row>
    <row r="292" spans="1:15" x14ac:dyDescent="0.3">
      <c r="A292">
        <v>55680</v>
      </c>
      <c r="B292" t="s">
        <v>2</v>
      </c>
      <c r="C292">
        <v>13</v>
      </c>
      <c r="D292">
        <v>0</v>
      </c>
      <c r="E292">
        <v>0</v>
      </c>
      <c r="F292" t="str">
        <f t="shared" si="14"/>
        <v>Lower Risk</v>
      </c>
      <c r="G292" t="s">
        <v>13</v>
      </c>
      <c r="H292" t="s">
        <v>16</v>
      </c>
      <c r="I292" t="s">
        <v>5</v>
      </c>
      <c r="J292">
        <v>114.84</v>
      </c>
      <c r="K292">
        <v>18.3</v>
      </c>
      <c r="L292" t="s">
        <v>14</v>
      </c>
      <c r="M292">
        <v>0</v>
      </c>
      <c r="N292" t="str">
        <f t="shared" si="12"/>
        <v>Under 40</v>
      </c>
      <c r="O292" t="str">
        <f t="shared" si="13"/>
        <v>Underweight</v>
      </c>
    </row>
    <row r="293" spans="1:15" x14ac:dyDescent="0.3">
      <c r="A293">
        <v>11014</v>
      </c>
      <c r="B293" t="s">
        <v>2</v>
      </c>
      <c r="C293">
        <v>4</v>
      </c>
      <c r="D293">
        <v>0</v>
      </c>
      <c r="E293">
        <v>0</v>
      </c>
      <c r="F293" t="str">
        <f t="shared" si="14"/>
        <v>Lower Risk</v>
      </c>
      <c r="G293" t="s">
        <v>13</v>
      </c>
      <c r="H293" t="s">
        <v>16</v>
      </c>
      <c r="I293" t="s">
        <v>9</v>
      </c>
      <c r="J293">
        <v>79.17</v>
      </c>
      <c r="K293">
        <v>20</v>
      </c>
      <c r="L293" t="s">
        <v>14</v>
      </c>
      <c r="M293">
        <v>0</v>
      </c>
      <c r="N293" t="str">
        <f t="shared" si="12"/>
        <v>Under 40</v>
      </c>
      <c r="O293" t="str">
        <f t="shared" si="13"/>
        <v>Normal</v>
      </c>
    </row>
    <row r="294" spans="1:15" x14ac:dyDescent="0.3">
      <c r="A294">
        <v>44338</v>
      </c>
      <c r="B294" t="s">
        <v>7</v>
      </c>
      <c r="C294">
        <v>16</v>
      </c>
      <c r="D294">
        <v>0</v>
      </c>
      <c r="E294">
        <v>0</v>
      </c>
      <c r="F294" t="str">
        <f t="shared" si="14"/>
        <v>Lower Risk</v>
      </c>
      <c r="G294" t="s">
        <v>13</v>
      </c>
      <c r="H294" t="s">
        <v>16</v>
      </c>
      <c r="I294" t="s">
        <v>9</v>
      </c>
      <c r="J294">
        <v>110.63</v>
      </c>
      <c r="K294">
        <v>19.5</v>
      </c>
      <c r="L294" t="s">
        <v>14</v>
      </c>
      <c r="M294">
        <v>0</v>
      </c>
      <c r="N294" t="str">
        <f t="shared" si="12"/>
        <v>Under 40</v>
      </c>
      <c r="O294" t="str">
        <f t="shared" si="13"/>
        <v>Normal</v>
      </c>
    </row>
    <row r="295" spans="1:15" x14ac:dyDescent="0.3">
      <c r="A295">
        <v>20980</v>
      </c>
      <c r="B295" t="s">
        <v>2</v>
      </c>
      <c r="C295">
        <v>67</v>
      </c>
      <c r="D295">
        <v>0</v>
      </c>
      <c r="E295">
        <v>0</v>
      </c>
      <c r="F295" t="str">
        <f t="shared" si="14"/>
        <v>Moderate Risk</v>
      </c>
      <c r="G295" t="s">
        <v>3</v>
      </c>
      <c r="H295" t="s">
        <v>4</v>
      </c>
      <c r="I295" t="s">
        <v>5</v>
      </c>
      <c r="J295">
        <v>190.7</v>
      </c>
      <c r="K295">
        <v>36</v>
      </c>
      <c r="L295" t="s">
        <v>6</v>
      </c>
      <c r="M295">
        <v>0</v>
      </c>
      <c r="N295" t="str">
        <f t="shared" si="12"/>
        <v>60+</v>
      </c>
      <c r="O295" t="str">
        <f t="shared" si="13"/>
        <v>Obese</v>
      </c>
    </row>
    <row r="296" spans="1:15" x14ac:dyDescent="0.3">
      <c r="A296">
        <v>34974</v>
      </c>
      <c r="B296" t="s">
        <v>7</v>
      </c>
      <c r="C296">
        <v>22</v>
      </c>
      <c r="D296">
        <v>0</v>
      </c>
      <c r="E296">
        <v>0</v>
      </c>
      <c r="F296" t="str">
        <f t="shared" si="14"/>
        <v>Lower Risk</v>
      </c>
      <c r="G296" t="s">
        <v>13</v>
      </c>
      <c r="H296" t="s">
        <v>4</v>
      </c>
      <c r="I296" t="s">
        <v>9</v>
      </c>
      <c r="J296">
        <v>79.81</v>
      </c>
      <c r="K296">
        <v>27.7</v>
      </c>
      <c r="L296" t="s">
        <v>14</v>
      </c>
      <c r="M296">
        <v>0</v>
      </c>
      <c r="N296" t="str">
        <f t="shared" si="12"/>
        <v>Under 40</v>
      </c>
      <c r="O296" t="str">
        <f t="shared" si="13"/>
        <v>Overweight</v>
      </c>
    </row>
    <row r="297" spans="1:15" x14ac:dyDescent="0.3">
      <c r="A297">
        <v>71379</v>
      </c>
      <c r="B297" t="s">
        <v>7</v>
      </c>
      <c r="C297">
        <v>45</v>
      </c>
      <c r="D297">
        <v>0</v>
      </c>
      <c r="E297">
        <v>0</v>
      </c>
      <c r="F297" t="str">
        <f t="shared" si="14"/>
        <v>Lower Risk</v>
      </c>
      <c r="G297" t="s">
        <v>3</v>
      </c>
      <c r="H297" t="s">
        <v>15</v>
      </c>
      <c r="I297" t="s">
        <v>5</v>
      </c>
      <c r="J297">
        <v>113.63</v>
      </c>
      <c r="K297">
        <v>27.5</v>
      </c>
      <c r="L297" t="s">
        <v>12</v>
      </c>
      <c r="M297">
        <v>0</v>
      </c>
      <c r="N297" t="str">
        <f t="shared" si="12"/>
        <v>40–59</v>
      </c>
      <c r="O297" t="str">
        <f t="shared" si="13"/>
        <v>Overweight</v>
      </c>
    </row>
    <row r="298" spans="1:15" x14ac:dyDescent="0.3">
      <c r="A298">
        <v>58261</v>
      </c>
      <c r="B298" t="s">
        <v>7</v>
      </c>
      <c r="C298">
        <v>66</v>
      </c>
      <c r="D298">
        <v>0</v>
      </c>
      <c r="E298">
        <v>0</v>
      </c>
      <c r="F298" t="str">
        <f t="shared" si="14"/>
        <v>Moderate Risk</v>
      </c>
      <c r="G298" t="s">
        <v>3</v>
      </c>
      <c r="H298" t="s">
        <v>4</v>
      </c>
      <c r="I298" t="s">
        <v>9</v>
      </c>
      <c r="J298">
        <v>141.24</v>
      </c>
      <c r="K298">
        <v>28.5</v>
      </c>
      <c r="L298" t="s">
        <v>11</v>
      </c>
      <c r="M298">
        <v>0</v>
      </c>
      <c r="N298" t="str">
        <f t="shared" si="12"/>
        <v>60+</v>
      </c>
      <c r="O298" t="str">
        <f t="shared" si="13"/>
        <v>Overweight</v>
      </c>
    </row>
    <row r="299" spans="1:15" x14ac:dyDescent="0.3">
      <c r="A299">
        <v>67318</v>
      </c>
      <c r="B299" t="s">
        <v>2</v>
      </c>
      <c r="C299">
        <v>58</v>
      </c>
      <c r="D299">
        <v>1</v>
      </c>
      <c r="E299">
        <v>0</v>
      </c>
      <c r="F299" t="str">
        <f t="shared" si="14"/>
        <v>Lower Risk</v>
      </c>
      <c r="G299" t="s">
        <v>3</v>
      </c>
      <c r="H299" t="s">
        <v>15</v>
      </c>
      <c r="I299" t="s">
        <v>9</v>
      </c>
      <c r="J299">
        <v>56.96</v>
      </c>
      <c r="K299">
        <v>26.8</v>
      </c>
      <c r="L299" t="s">
        <v>12</v>
      </c>
      <c r="M299">
        <v>0</v>
      </c>
      <c r="N299" t="str">
        <f t="shared" si="12"/>
        <v>40–59</v>
      </c>
      <c r="O299" t="str">
        <f t="shared" si="13"/>
        <v>Overweight</v>
      </c>
    </row>
    <row r="300" spans="1:15" x14ac:dyDescent="0.3">
      <c r="A300">
        <v>28526</v>
      </c>
      <c r="B300" t="s">
        <v>2</v>
      </c>
      <c r="C300">
        <v>69</v>
      </c>
      <c r="D300">
        <v>0</v>
      </c>
      <c r="E300">
        <v>0</v>
      </c>
      <c r="F300" t="str">
        <f t="shared" si="14"/>
        <v>Moderate Risk</v>
      </c>
      <c r="G300" t="s">
        <v>3</v>
      </c>
      <c r="H300" t="s">
        <v>8</v>
      </c>
      <c r="I300" t="s">
        <v>9</v>
      </c>
      <c r="J300">
        <v>203.04</v>
      </c>
      <c r="K300">
        <v>33.6</v>
      </c>
      <c r="L300" t="s">
        <v>11</v>
      </c>
      <c r="M300">
        <v>0</v>
      </c>
      <c r="N300" t="str">
        <f t="shared" si="12"/>
        <v>60+</v>
      </c>
      <c r="O300" t="str">
        <f t="shared" si="13"/>
        <v>Obese</v>
      </c>
    </row>
    <row r="301" spans="1:15" x14ac:dyDescent="0.3">
      <c r="A301">
        <v>8831</v>
      </c>
      <c r="B301" t="s">
        <v>7</v>
      </c>
      <c r="C301">
        <v>58</v>
      </c>
      <c r="D301">
        <v>0</v>
      </c>
      <c r="E301">
        <v>0</v>
      </c>
      <c r="F301" t="str">
        <f t="shared" si="14"/>
        <v>Lower Risk</v>
      </c>
      <c r="G301" t="s">
        <v>3</v>
      </c>
      <c r="H301" t="s">
        <v>4</v>
      </c>
      <c r="I301" t="s">
        <v>9</v>
      </c>
      <c r="J301">
        <v>94.3</v>
      </c>
      <c r="K301">
        <v>29.1</v>
      </c>
      <c r="L301" t="s">
        <v>14</v>
      </c>
      <c r="M301">
        <v>0</v>
      </c>
      <c r="N301" t="str">
        <f t="shared" si="12"/>
        <v>40–59</v>
      </c>
      <c r="O301" t="str">
        <f t="shared" si="13"/>
        <v>Overweight</v>
      </c>
    </row>
    <row r="302" spans="1:15" x14ac:dyDescent="0.3">
      <c r="A302">
        <v>65199</v>
      </c>
      <c r="B302" t="s">
        <v>7</v>
      </c>
      <c r="C302">
        <v>53</v>
      </c>
      <c r="D302">
        <v>0</v>
      </c>
      <c r="E302">
        <v>0</v>
      </c>
      <c r="F302" t="str">
        <f t="shared" si="14"/>
        <v>Lower Risk</v>
      </c>
      <c r="G302" t="s">
        <v>3</v>
      </c>
      <c r="H302" t="s">
        <v>8</v>
      </c>
      <c r="I302" t="s">
        <v>5</v>
      </c>
      <c r="J302">
        <v>81.510000000000005</v>
      </c>
      <c r="K302">
        <v>28.5</v>
      </c>
      <c r="L302" t="s">
        <v>14</v>
      </c>
      <c r="M302">
        <v>0</v>
      </c>
      <c r="N302" t="str">
        <f t="shared" si="12"/>
        <v>40–59</v>
      </c>
      <c r="O302" t="str">
        <f t="shared" si="13"/>
        <v>Overweight</v>
      </c>
    </row>
    <row r="303" spans="1:15" x14ac:dyDescent="0.3">
      <c r="A303">
        <v>43454</v>
      </c>
      <c r="B303" t="s">
        <v>7</v>
      </c>
      <c r="C303">
        <v>78</v>
      </c>
      <c r="D303">
        <v>0</v>
      </c>
      <c r="E303">
        <v>0</v>
      </c>
      <c r="F303" t="str">
        <f t="shared" si="14"/>
        <v>Moderate Risk</v>
      </c>
      <c r="G303" t="s">
        <v>13</v>
      </c>
      <c r="H303" t="s">
        <v>8</v>
      </c>
      <c r="I303" t="s">
        <v>5</v>
      </c>
      <c r="J303">
        <v>137.74</v>
      </c>
      <c r="K303">
        <v>34.9</v>
      </c>
      <c r="L303" t="s">
        <v>6</v>
      </c>
      <c r="M303">
        <v>0</v>
      </c>
      <c r="N303" t="str">
        <f t="shared" si="12"/>
        <v>60+</v>
      </c>
      <c r="O303" t="str">
        <f t="shared" si="13"/>
        <v>Obese</v>
      </c>
    </row>
    <row r="304" spans="1:15" x14ac:dyDescent="0.3">
      <c r="A304">
        <v>7282</v>
      </c>
      <c r="B304" t="s">
        <v>2</v>
      </c>
      <c r="C304">
        <v>44</v>
      </c>
      <c r="D304">
        <v>0</v>
      </c>
      <c r="E304">
        <v>0</v>
      </c>
      <c r="F304" t="str">
        <f t="shared" si="14"/>
        <v>Lower Risk</v>
      </c>
      <c r="G304" t="s">
        <v>3</v>
      </c>
      <c r="H304" t="s">
        <v>4</v>
      </c>
      <c r="I304" t="s">
        <v>9</v>
      </c>
      <c r="J304">
        <v>81.84</v>
      </c>
      <c r="K304">
        <v>25.1</v>
      </c>
      <c r="L304" t="s">
        <v>11</v>
      </c>
      <c r="M304">
        <v>0</v>
      </c>
      <c r="N304" t="str">
        <f t="shared" si="12"/>
        <v>40–59</v>
      </c>
      <c r="O304" t="str">
        <f t="shared" si="13"/>
        <v>Overweight</v>
      </c>
    </row>
    <row r="305" spans="1:15" x14ac:dyDescent="0.3">
      <c r="A305">
        <v>18518</v>
      </c>
      <c r="B305" t="s">
        <v>2</v>
      </c>
      <c r="C305">
        <v>66</v>
      </c>
      <c r="D305">
        <v>0</v>
      </c>
      <c r="E305">
        <v>0</v>
      </c>
      <c r="F305" t="str">
        <f t="shared" si="14"/>
        <v>Moderate Risk</v>
      </c>
      <c r="G305" t="s">
        <v>3</v>
      </c>
      <c r="H305" t="s">
        <v>4</v>
      </c>
      <c r="I305" t="s">
        <v>9</v>
      </c>
      <c r="J305">
        <v>242.3</v>
      </c>
      <c r="K305">
        <v>35.299999999999997</v>
      </c>
      <c r="L305" t="s">
        <v>12</v>
      </c>
      <c r="M305">
        <v>0</v>
      </c>
      <c r="N305" t="str">
        <f t="shared" si="12"/>
        <v>60+</v>
      </c>
      <c r="O305" t="str">
        <f t="shared" si="13"/>
        <v>Obese</v>
      </c>
    </row>
    <row r="306" spans="1:15" x14ac:dyDescent="0.3">
      <c r="A306">
        <v>41648</v>
      </c>
      <c r="B306" t="s">
        <v>2</v>
      </c>
      <c r="C306">
        <v>27</v>
      </c>
      <c r="D306">
        <v>0</v>
      </c>
      <c r="E306">
        <v>0</v>
      </c>
      <c r="F306" t="str">
        <f t="shared" si="14"/>
        <v>Lower Risk</v>
      </c>
      <c r="G306" t="s">
        <v>3</v>
      </c>
      <c r="H306" t="s">
        <v>4</v>
      </c>
      <c r="I306" t="s">
        <v>9</v>
      </c>
      <c r="J306">
        <v>102.64</v>
      </c>
      <c r="K306">
        <v>26.4</v>
      </c>
      <c r="L306" t="s">
        <v>12</v>
      </c>
      <c r="M306">
        <v>0</v>
      </c>
      <c r="N306" t="str">
        <f t="shared" si="12"/>
        <v>Under 40</v>
      </c>
      <c r="O306" t="str">
        <f t="shared" si="13"/>
        <v>Overweight</v>
      </c>
    </row>
    <row r="307" spans="1:15" x14ac:dyDescent="0.3">
      <c r="A307">
        <v>49003</v>
      </c>
      <c r="B307" t="s">
        <v>2</v>
      </c>
      <c r="C307">
        <v>43</v>
      </c>
      <c r="D307">
        <v>0</v>
      </c>
      <c r="E307">
        <v>0</v>
      </c>
      <c r="F307" t="str">
        <f t="shared" si="14"/>
        <v>Lower Risk</v>
      </c>
      <c r="G307" t="s">
        <v>3</v>
      </c>
      <c r="H307" t="s">
        <v>4</v>
      </c>
      <c r="I307" t="s">
        <v>5</v>
      </c>
      <c r="J307">
        <v>146.01</v>
      </c>
      <c r="K307">
        <v>31.5</v>
      </c>
      <c r="L307" t="s">
        <v>12</v>
      </c>
      <c r="M307">
        <v>0</v>
      </c>
      <c r="N307" t="str">
        <f t="shared" si="12"/>
        <v>40–59</v>
      </c>
      <c r="O307" t="str">
        <f t="shared" si="13"/>
        <v>Obese</v>
      </c>
    </row>
    <row r="308" spans="1:15" x14ac:dyDescent="0.3">
      <c r="A308">
        <v>16371</v>
      </c>
      <c r="B308" t="s">
        <v>7</v>
      </c>
      <c r="C308">
        <v>13</v>
      </c>
      <c r="D308">
        <v>0</v>
      </c>
      <c r="E308">
        <v>0</v>
      </c>
      <c r="F308" t="str">
        <f t="shared" si="14"/>
        <v>Lower Risk</v>
      </c>
      <c r="G308" t="s">
        <v>13</v>
      </c>
      <c r="H308" t="s">
        <v>16</v>
      </c>
      <c r="I308" t="s">
        <v>5</v>
      </c>
      <c r="J308">
        <v>75.42</v>
      </c>
      <c r="K308">
        <v>40.1</v>
      </c>
      <c r="L308" t="s">
        <v>14</v>
      </c>
      <c r="M308">
        <v>0</v>
      </c>
      <c r="N308" t="str">
        <f t="shared" si="12"/>
        <v>Under 40</v>
      </c>
      <c r="O308" t="str">
        <f t="shared" si="13"/>
        <v>Obese</v>
      </c>
    </row>
    <row r="309" spans="1:15" x14ac:dyDescent="0.3">
      <c r="A309">
        <v>42807</v>
      </c>
      <c r="B309" t="s">
        <v>2</v>
      </c>
      <c r="C309">
        <v>51</v>
      </c>
      <c r="D309">
        <v>0</v>
      </c>
      <c r="E309">
        <v>0</v>
      </c>
      <c r="F309" t="str">
        <f t="shared" si="14"/>
        <v>Lower Risk</v>
      </c>
      <c r="G309" t="s">
        <v>3</v>
      </c>
      <c r="H309" t="s">
        <v>15</v>
      </c>
      <c r="I309" t="s">
        <v>5</v>
      </c>
      <c r="J309">
        <v>220.49</v>
      </c>
      <c r="K309">
        <v>43.1</v>
      </c>
      <c r="L309" t="s">
        <v>14</v>
      </c>
      <c r="M309">
        <v>0</v>
      </c>
      <c r="N309" t="str">
        <f t="shared" si="12"/>
        <v>40–59</v>
      </c>
      <c r="O309" t="str">
        <f t="shared" si="13"/>
        <v>Obese</v>
      </c>
    </row>
    <row r="310" spans="1:15" x14ac:dyDescent="0.3">
      <c r="A310">
        <v>40181</v>
      </c>
      <c r="B310" t="s">
        <v>7</v>
      </c>
      <c r="C310">
        <v>30</v>
      </c>
      <c r="D310">
        <v>0</v>
      </c>
      <c r="E310">
        <v>0</v>
      </c>
      <c r="F310" t="str">
        <f t="shared" si="14"/>
        <v>Lower Risk</v>
      </c>
      <c r="G310" t="s">
        <v>3</v>
      </c>
      <c r="H310" t="s">
        <v>4</v>
      </c>
      <c r="I310" t="s">
        <v>5</v>
      </c>
      <c r="J310">
        <v>61.45</v>
      </c>
      <c r="K310">
        <v>36.700000000000003</v>
      </c>
      <c r="L310" t="s">
        <v>12</v>
      </c>
      <c r="M310">
        <v>0</v>
      </c>
      <c r="N310" t="str">
        <f t="shared" si="12"/>
        <v>Under 40</v>
      </c>
      <c r="O310" t="str">
        <f t="shared" si="13"/>
        <v>Obese</v>
      </c>
    </row>
    <row r="311" spans="1:15" x14ac:dyDescent="0.3">
      <c r="A311">
        <v>66174</v>
      </c>
      <c r="B311" t="s">
        <v>2</v>
      </c>
      <c r="C311">
        <v>46</v>
      </c>
      <c r="D311">
        <v>0</v>
      </c>
      <c r="E311">
        <v>0</v>
      </c>
      <c r="F311" t="str">
        <f t="shared" si="14"/>
        <v>Lower Risk</v>
      </c>
      <c r="G311" t="s">
        <v>3</v>
      </c>
      <c r="H311" t="s">
        <v>8</v>
      </c>
      <c r="I311" t="s">
        <v>9</v>
      </c>
      <c r="J311">
        <v>88.19</v>
      </c>
      <c r="K311">
        <v>29.3</v>
      </c>
      <c r="L311" t="s">
        <v>6</v>
      </c>
      <c r="M311">
        <v>0</v>
      </c>
      <c r="N311" t="str">
        <f t="shared" si="12"/>
        <v>40–59</v>
      </c>
      <c r="O311" t="str">
        <f t="shared" si="13"/>
        <v>Overweight</v>
      </c>
    </row>
    <row r="312" spans="1:15" x14ac:dyDescent="0.3">
      <c r="A312">
        <v>45538</v>
      </c>
      <c r="B312" t="s">
        <v>7</v>
      </c>
      <c r="C312">
        <v>43</v>
      </c>
      <c r="D312">
        <v>0</v>
      </c>
      <c r="E312">
        <v>0</v>
      </c>
      <c r="F312" t="str">
        <f t="shared" si="14"/>
        <v>Lower Risk</v>
      </c>
      <c r="G312" t="s">
        <v>3</v>
      </c>
      <c r="H312" t="s">
        <v>8</v>
      </c>
      <c r="I312" t="s">
        <v>9</v>
      </c>
      <c r="J312">
        <v>115.22</v>
      </c>
      <c r="K312">
        <v>21.2</v>
      </c>
      <c r="L312" t="s">
        <v>14</v>
      </c>
      <c r="M312">
        <v>0</v>
      </c>
      <c r="N312" t="str">
        <f t="shared" si="12"/>
        <v>40–59</v>
      </c>
      <c r="O312" t="str">
        <f t="shared" si="13"/>
        <v>Normal</v>
      </c>
    </row>
    <row r="313" spans="1:15" x14ac:dyDescent="0.3">
      <c r="A313">
        <v>6319</v>
      </c>
      <c r="B313" t="s">
        <v>7</v>
      </c>
      <c r="C313">
        <v>79</v>
      </c>
      <c r="D313">
        <v>0</v>
      </c>
      <c r="E313">
        <v>0</v>
      </c>
      <c r="F313" t="str">
        <f t="shared" si="14"/>
        <v>Moderate Risk</v>
      </c>
      <c r="G313" t="s">
        <v>3</v>
      </c>
      <c r="H313" t="s">
        <v>4</v>
      </c>
      <c r="I313" t="s">
        <v>5</v>
      </c>
      <c r="J313">
        <v>97.93</v>
      </c>
      <c r="K313">
        <v>31.2</v>
      </c>
      <c r="L313" t="s">
        <v>14</v>
      </c>
      <c r="M313">
        <v>0</v>
      </c>
      <c r="N313" t="str">
        <f t="shared" si="12"/>
        <v>60+</v>
      </c>
      <c r="O313" t="str">
        <f t="shared" si="13"/>
        <v>Obese</v>
      </c>
    </row>
    <row r="314" spans="1:15" x14ac:dyDescent="0.3">
      <c r="A314">
        <v>68249</v>
      </c>
      <c r="B314" t="s">
        <v>7</v>
      </c>
      <c r="C314">
        <v>27</v>
      </c>
      <c r="D314">
        <v>0</v>
      </c>
      <c r="E314">
        <v>0</v>
      </c>
      <c r="F314" t="str">
        <f t="shared" si="14"/>
        <v>Lower Risk</v>
      </c>
      <c r="G314" t="s">
        <v>3</v>
      </c>
      <c r="H314" t="s">
        <v>4</v>
      </c>
      <c r="I314" t="s">
        <v>9</v>
      </c>
      <c r="J314">
        <v>85.6</v>
      </c>
      <c r="K314">
        <v>21.4</v>
      </c>
      <c r="L314" t="s">
        <v>14</v>
      </c>
      <c r="M314">
        <v>0</v>
      </c>
      <c r="N314" t="str">
        <f t="shared" si="12"/>
        <v>Under 40</v>
      </c>
      <c r="O314" t="str">
        <f t="shared" si="13"/>
        <v>Normal</v>
      </c>
    </row>
    <row r="315" spans="1:15" x14ac:dyDescent="0.3">
      <c r="A315">
        <v>55232</v>
      </c>
      <c r="B315" t="s">
        <v>7</v>
      </c>
      <c r="C315">
        <v>38</v>
      </c>
      <c r="D315">
        <v>0</v>
      </c>
      <c r="E315">
        <v>0</v>
      </c>
      <c r="F315" t="str">
        <f t="shared" si="14"/>
        <v>Lower Risk</v>
      </c>
      <c r="G315" t="s">
        <v>3</v>
      </c>
      <c r="H315" t="s">
        <v>4</v>
      </c>
      <c r="I315" t="s">
        <v>9</v>
      </c>
      <c r="J315">
        <v>79.83</v>
      </c>
      <c r="K315">
        <v>27.9</v>
      </c>
      <c r="L315" t="s">
        <v>12</v>
      </c>
      <c r="M315">
        <v>0</v>
      </c>
      <c r="N315" t="str">
        <f t="shared" si="12"/>
        <v>Under 40</v>
      </c>
      <c r="O315" t="str">
        <f t="shared" si="13"/>
        <v>Overweight</v>
      </c>
    </row>
    <row r="316" spans="1:15" x14ac:dyDescent="0.3">
      <c r="A316">
        <v>11120</v>
      </c>
      <c r="B316" t="s">
        <v>7</v>
      </c>
      <c r="C316">
        <v>78</v>
      </c>
      <c r="D316">
        <v>1</v>
      </c>
      <c r="E316">
        <v>0</v>
      </c>
      <c r="F316" t="str">
        <f t="shared" si="14"/>
        <v>High Risk</v>
      </c>
      <c r="G316" t="s">
        <v>3</v>
      </c>
      <c r="H316" t="s">
        <v>4</v>
      </c>
      <c r="I316" t="s">
        <v>5</v>
      </c>
      <c r="J316">
        <v>218.46</v>
      </c>
      <c r="K316">
        <v>34.299999999999997</v>
      </c>
      <c r="L316" t="s">
        <v>11</v>
      </c>
      <c r="M316">
        <v>0</v>
      </c>
      <c r="N316" t="str">
        <f t="shared" si="12"/>
        <v>60+</v>
      </c>
      <c r="O316" t="str">
        <f t="shared" si="13"/>
        <v>Obese</v>
      </c>
    </row>
    <row r="317" spans="1:15" x14ac:dyDescent="0.3">
      <c r="A317">
        <v>41940</v>
      </c>
      <c r="B317" t="s">
        <v>2</v>
      </c>
      <c r="C317">
        <v>57</v>
      </c>
      <c r="D317">
        <v>0</v>
      </c>
      <c r="E317">
        <v>1</v>
      </c>
      <c r="F317" t="str">
        <f t="shared" si="14"/>
        <v>Lower Risk</v>
      </c>
      <c r="G317" t="s">
        <v>3</v>
      </c>
      <c r="H317" t="s">
        <v>4</v>
      </c>
      <c r="I317" t="s">
        <v>9</v>
      </c>
      <c r="J317">
        <v>62.2</v>
      </c>
      <c r="K317">
        <v>31</v>
      </c>
      <c r="L317" t="s">
        <v>6</v>
      </c>
      <c r="M317">
        <v>0</v>
      </c>
      <c r="N317" t="str">
        <f t="shared" si="12"/>
        <v>40–59</v>
      </c>
      <c r="O317" t="str">
        <f t="shared" si="13"/>
        <v>Obese</v>
      </c>
    </row>
    <row r="318" spans="1:15" x14ac:dyDescent="0.3">
      <c r="A318">
        <v>72214</v>
      </c>
      <c r="B318" t="s">
        <v>2</v>
      </c>
      <c r="C318">
        <v>61</v>
      </c>
      <c r="D318">
        <v>0</v>
      </c>
      <c r="E318">
        <v>0</v>
      </c>
      <c r="F318" t="str">
        <f t="shared" si="14"/>
        <v>Moderate Risk</v>
      </c>
      <c r="G318" t="s">
        <v>3</v>
      </c>
      <c r="H318" t="s">
        <v>8</v>
      </c>
      <c r="I318" t="s">
        <v>5</v>
      </c>
      <c r="J318">
        <v>69.150000000000006</v>
      </c>
      <c r="K318">
        <v>27.7</v>
      </c>
      <c r="L318" t="s">
        <v>6</v>
      </c>
      <c r="M318">
        <v>0</v>
      </c>
      <c r="N318" t="str">
        <f t="shared" si="12"/>
        <v>60+</v>
      </c>
      <c r="O318" t="str">
        <f t="shared" si="13"/>
        <v>Overweight</v>
      </c>
    </row>
    <row r="319" spans="1:15" x14ac:dyDescent="0.3">
      <c r="A319">
        <v>37089</v>
      </c>
      <c r="B319" t="s">
        <v>7</v>
      </c>
      <c r="C319">
        <v>37</v>
      </c>
      <c r="D319">
        <v>1</v>
      </c>
      <c r="E319">
        <v>0</v>
      </c>
      <c r="F319" t="str">
        <f t="shared" si="14"/>
        <v>Lower Risk</v>
      </c>
      <c r="G319" t="s">
        <v>3</v>
      </c>
      <c r="H319" t="s">
        <v>8</v>
      </c>
      <c r="I319" t="s">
        <v>9</v>
      </c>
      <c r="J319">
        <v>127.71</v>
      </c>
      <c r="K319">
        <v>36</v>
      </c>
      <c r="L319" t="s">
        <v>11</v>
      </c>
      <c r="M319">
        <v>0</v>
      </c>
      <c r="N319" t="str">
        <f t="shared" si="12"/>
        <v>Under 40</v>
      </c>
      <c r="O319" t="str">
        <f t="shared" si="13"/>
        <v>Obese</v>
      </c>
    </row>
    <row r="320" spans="1:15" x14ac:dyDescent="0.3">
      <c r="A320">
        <v>68614</v>
      </c>
      <c r="B320" t="s">
        <v>7</v>
      </c>
      <c r="C320">
        <v>48</v>
      </c>
      <c r="D320">
        <v>0</v>
      </c>
      <c r="E320">
        <v>0</v>
      </c>
      <c r="F320" t="str">
        <f t="shared" si="14"/>
        <v>Lower Risk</v>
      </c>
      <c r="G320" t="s">
        <v>3</v>
      </c>
      <c r="H320" t="s">
        <v>4</v>
      </c>
      <c r="I320" t="s">
        <v>9</v>
      </c>
      <c r="J320">
        <v>216.7</v>
      </c>
      <c r="K320">
        <v>38.700000000000003</v>
      </c>
      <c r="L320" t="s">
        <v>6</v>
      </c>
      <c r="M320">
        <v>0</v>
      </c>
      <c r="N320" t="str">
        <f t="shared" si="12"/>
        <v>40–59</v>
      </c>
      <c r="O320" t="str">
        <f t="shared" si="13"/>
        <v>Obese</v>
      </c>
    </row>
    <row r="321" spans="1:15" x14ac:dyDescent="0.3">
      <c r="A321">
        <v>1686</v>
      </c>
      <c r="B321" t="s">
        <v>7</v>
      </c>
      <c r="C321">
        <v>29</v>
      </c>
      <c r="D321">
        <v>0</v>
      </c>
      <c r="E321">
        <v>0</v>
      </c>
      <c r="F321" t="str">
        <f t="shared" si="14"/>
        <v>Lower Risk</v>
      </c>
      <c r="G321" t="s">
        <v>13</v>
      </c>
      <c r="H321" t="s">
        <v>4</v>
      </c>
      <c r="I321" t="s">
        <v>5</v>
      </c>
      <c r="J321">
        <v>71.89</v>
      </c>
      <c r="K321">
        <v>27.6</v>
      </c>
      <c r="L321" t="s">
        <v>11</v>
      </c>
      <c r="M321">
        <v>0</v>
      </c>
      <c r="N321" t="str">
        <f t="shared" si="12"/>
        <v>Under 40</v>
      </c>
      <c r="O321" t="str">
        <f t="shared" si="13"/>
        <v>Overweight</v>
      </c>
    </row>
    <row r="322" spans="1:15" x14ac:dyDescent="0.3">
      <c r="A322">
        <v>22284</v>
      </c>
      <c r="B322" t="s">
        <v>2</v>
      </c>
      <c r="C322">
        <v>22</v>
      </c>
      <c r="D322">
        <v>0</v>
      </c>
      <c r="E322">
        <v>0</v>
      </c>
      <c r="F322" t="str">
        <f t="shared" si="14"/>
        <v>Lower Risk</v>
      </c>
      <c r="G322" t="s">
        <v>13</v>
      </c>
      <c r="H322" t="s">
        <v>4</v>
      </c>
      <c r="I322" t="s">
        <v>9</v>
      </c>
      <c r="J322">
        <v>103.56</v>
      </c>
      <c r="K322">
        <v>25.1</v>
      </c>
      <c r="L322" t="s">
        <v>14</v>
      </c>
      <c r="M322">
        <v>0</v>
      </c>
      <c r="N322" t="str">
        <f t="shared" ref="N322:N385" si="15">IF(C322&lt;40,"Under 40",IF(C322&lt;60,"40–59","60+"))</f>
        <v>Under 40</v>
      </c>
      <c r="O322" t="str">
        <f t="shared" ref="O322:O385" si="16">IF(K322="N/A","Unknown",
IF(K322="","Unknown",
IF(K322&lt;18.5,"Underweight",
IF(K322&lt;25,"Normal",
IF(K322&lt;30,"Overweight","Obese")))))</f>
        <v>Overweight</v>
      </c>
    </row>
    <row r="323" spans="1:15" x14ac:dyDescent="0.3">
      <c r="A323">
        <v>39038</v>
      </c>
      <c r="B323" t="s">
        <v>2</v>
      </c>
      <c r="C323">
        <v>11</v>
      </c>
      <c r="D323">
        <v>0</v>
      </c>
      <c r="E323">
        <v>0</v>
      </c>
      <c r="F323" t="str">
        <f t="shared" ref="F323:F386" si="17">IF(C323&gt;=60,
IF(OR(D323=1,E323=1),"High Risk","Moderate Risk"),
"Lower Risk")</f>
        <v>Lower Risk</v>
      </c>
      <c r="G323" t="s">
        <v>13</v>
      </c>
      <c r="H323" t="s">
        <v>16</v>
      </c>
      <c r="I323" t="s">
        <v>9</v>
      </c>
      <c r="J323">
        <v>79.03</v>
      </c>
      <c r="K323">
        <v>16.5</v>
      </c>
      <c r="L323" t="s">
        <v>14</v>
      </c>
      <c r="M323">
        <v>0</v>
      </c>
      <c r="N323" t="str">
        <f t="shared" si="15"/>
        <v>Under 40</v>
      </c>
      <c r="O323" t="str">
        <f t="shared" si="16"/>
        <v>Underweight</v>
      </c>
    </row>
    <row r="324" spans="1:15" x14ac:dyDescent="0.3">
      <c r="A324">
        <v>21956</v>
      </c>
      <c r="B324" t="s">
        <v>7</v>
      </c>
      <c r="C324">
        <v>22</v>
      </c>
      <c r="D324">
        <v>0</v>
      </c>
      <c r="E324">
        <v>0</v>
      </c>
      <c r="F324" t="str">
        <f t="shared" si="17"/>
        <v>Lower Risk</v>
      </c>
      <c r="G324" t="s">
        <v>13</v>
      </c>
      <c r="H324" t="s">
        <v>4</v>
      </c>
      <c r="I324" t="s">
        <v>5</v>
      </c>
      <c r="J324">
        <v>69.94</v>
      </c>
      <c r="K324">
        <v>22.8</v>
      </c>
      <c r="L324" t="s">
        <v>14</v>
      </c>
      <c r="M324">
        <v>0</v>
      </c>
      <c r="N324" t="str">
        <f t="shared" si="15"/>
        <v>Under 40</v>
      </c>
      <c r="O324" t="str">
        <f t="shared" si="16"/>
        <v>Normal</v>
      </c>
    </row>
    <row r="325" spans="1:15" x14ac:dyDescent="0.3">
      <c r="A325">
        <v>52134</v>
      </c>
      <c r="B325" t="s">
        <v>2</v>
      </c>
      <c r="C325">
        <v>53</v>
      </c>
      <c r="D325">
        <v>0</v>
      </c>
      <c r="E325">
        <v>0</v>
      </c>
      <c r="F325" t="str">
        <f t="shared" si="17"/>
        <v>Lower Risk</v>
      </c>
      <c r="G325" t="s">
        <v>3</v>
      </c>
      <c r="H325" t="s">
        <v>4</v>
      </c>
      <c r="I325" t="s">
        <v>9</v>
      </c>
      <c r="J325">
        <v>90.12</v>
      </c>
      <c r="K325">
        <v>35.4</v>
      </c>
      <c r="L325" t="s">
        <v>14</v>
      </c>
      <c r="M325">
        <v>0</v>
      </c>
      <c r="N325" t="str">
        <f t="shared" si="15"/>
        <v>40–59</v>
      </c>
      <c r="O325" t="str">
        <f t="shared" si="16"/>
        <v>Obese</v>
      </c>
    </row>
    <row r="326" spans="1:15" x14ac:dyDescent="0.3">
      <c r="A326">
        <v>30171</v>
      </c>
      <c r="B326" t="s">
        <v>2</v>
      </c>
      <c r="C326">
        <v>27</v>
      </c>
      <c r="D326">
        <v>0</v>
      </c>
      <c r="E326">
        <v>0</v>
      </c>
      <c r="F326" t="str">
        <f t="shared" si="17"/>
        <v>Lower Risk</v>
      </c>
      <c r="G326" t="s">
        <v>13</v>
      </c>
      <c r="H326" t="s">
        <v>15</v>
      </c>
      <c r="I326" t="s">
        <v>5</v>
      </c>
      <c r="J326">
        <v>95.1</v>
      </c>
      <c r="K326">
        <v>24.3</v>
      </c>
      <c r="L326" t="s">
        <v>6</v>
      </c>
      <c r="M326">
        <v>0</v>
      </c>
      <c r="N326" t="str">
        <f t="shared" si="15"/>
        <v>Under 40</v>
      </c>
      <c r="O326" t="str">
        <f t="shared" si="16"/>
        <v>Normal</v>
      </c>
    </row>
    <row r="327" spans="1:15" x14ac:dyDescent="0.3">
      <c r="A327">
        <v>4480</v>
      </c>
      <c r="B327" t="s">
        <v>2</v>
      </c>
      <c r="C327">
        <v>76</v>
      </c>
      <c r="D327">
        <v>0</v>
      </c>
      <c r="E327">
        <v>0</v>
      </c>
      <c r="F327" t="str">
        <f t="shared" si="17"/>
        <v>Moderate Risk</v>
      </c>
      <c r="G327" t="s">
        <v>3</v>
      </c>
      <c r="H327" t="s">
        <v>4</v>
      </c>
      <c r="I327" t="s">
        <v>9</v>
      </c>
      <c r="J327">
        <v>234.58</v>
      </c>
      <c r="K327">
        <v>34.299999999999997</v>
      </c>
      <c r="L327" t="s">
        <v>6</v>
      </c>
      <c r="M327">
        <v>0</v>
      </c>
      <c r="N327" t="str">
        <f t="shared" si="15"/>
        <v>60+</v>
      </c>
      <c r="O327" t="str">
        <f t="shared" si="16"/>
        <v>Obese</v>
      </c>
    </row>
    <row r="328" spans="1:15" x14ac:dyDescent="0.3">
      <c r="A328">
        <v>2982</v>
      </c>
      <c r="B328" t="s">
        <v>7</v>
      </c>
      <c r="C328">
        <v>57</v>
      </c>
      <c r="D328">
        <v>1</v>
      </c>
      <c r="E328">
        <v>0</v>
      </c>
      <c r="F328" t="str">
        <f t="shared" si="17"/>
        <v>Lower Risk</v>
      </c>
      <c r="G328" t="s">
        <v>3</v>
      </c>
      <c r="H328" t="s">
        <v>4</v>
      </c>
      <c r="I328" t="s">
        <v>9</v>
      </c>
      <c r="J328">
        <v>235.85</v>
      </c>
      <c r="K328">
        <v>40.1</v>
      </c>
      <c r="L328" t="s">
        <v>11</v>
      </c>
      <c r="M328">
        <v>0</v>
      </c>
      <c r="N328" t="str">
        <f t="shared" si="15"/>
        <v>40–59</v>
      </c>
      <c r="O328" t="str">
        <f t="shared" si="16"/>
        <v>Obese</v>
      </c>
    </row>
    <row r="329" spans="1:15" x14ac:dyDescent="0.3">
      <c r="A329">
        <v>65535</v>
      </c>
      <c r="B329" t="s">
        <v>2</v>
      </c>
      <c r="C329">
        <v>8</v>
      </c>
      <c r="D329">
        <v>0</v>
      </c>
      <c r="E329">
        <v>0</v>
      </c>
      <c r="F329" t="str">
        <f t="shared" si="17"/>
        <v>Lower Risk</v>
      </c>
      <c r="G329" t="s">
        <v>13</v>
      </c>
      <c r="H329" t="s">
        <v>16</v>
      </c>
      <c r="I329" t="s">
        <v>9</v>
      </c>
      <c r="J329">
        <v>78.05</v>
      </c>
      <c r="K329">
        <v>25.7</v>
      </c>
      <c r="L329" t="s">
        <v>14</v>
      </c>
      <c r="M329">
        <v>0</v>
      </c>
      <c r="N329" t="str">
        <f t="shared" si="15"/>
        <v>Under 40</v>
      </c>
      <c r="O329" t="str">
        <f t="shared" si="16"/>
        <v>Overweight</v>
      </c>
    </row>
    <row r="330" spans="1:15" x14ac:dyDescent="0.3">
      <c r="A330">
        <v>29865</v>
      </c>
      <c r="B330" t="s">
        <v>7</v>
      </c>
      <c r="C330">
        <v>21</v>
      </c>
      <c r="D330">
        <v>0</v>
      </c>
      <c r="E330">
        <v>0</v>
      </c>
      <c r="F330" t="str">
        <f t="shared" si="17"/>
        <v>Lower Risk</v>
      </c>
      <c r="G330" t="s">
        <v>13</v>
      </c>
      <c r="H330" t="s">
        <v>4</v>
      </c>
      <c r="I330" t="s">
        <v>9</v>
      </c>
      <c r="J330">
        <v>89.44</v>
      </c>
      <c r="K330">
        <v>21.9</v>
      </c>
      <c r="L330" t="s">
        <v>12</v>
      </c>
      <c r="M330">
        <v>0</v>
      </c>
      <c r="N330" t="str">
        <f t="shared" si="15"/>
        <v>Under 40</v>
      </c>
      <c r="O330" t="str">
        <f t="shared" si="16"/>
        <v>Normal</v>
      </c>
    </row>
    <row r="331" spans="1:15" x14ac:dyDescent="0.3">
      <c r="A331">
        <v>54918</v>
      </c>
      <c r="B331" t="s">
        <v>7</v>
      </c>
      <c r="C331">
        <v>18</v>
      </c>
      <c r="D331">
        <v>0</v>
      </c>
      <c r="E331">
        <v>0</v>
      </c>
      <c r="F331" t="str">
        <f t="shared" si="17"/>
        <v>Lower Risk</v>
      </c>
      <c r="G331" t="s">
        <v>13</v>
      </c>
      <c r="H331" t="s">
        <v>4</v>
      </c>
      <c r="I331" t="s">
        <v>9</v>
      </c>
      <c r="J331">
        <v>111.38</v>
      </c>
      <c r="K331">
        <v>38.4</v>
      </c>
      <c r="L331" t="s">
        <v>12</v>
      </c>
      <c r="M331">
        <v>0</v>
      </c>
      <c r="N331" t="str">
        <f t="shared" si="15"/>
        <v>Under 40</v>
      </c>
      <c r="O331" t="str">
        <f t="shared" si="16"/>
        <v>Obese</v>
      </c>
    </row>
    <row r="332" spans="1:15" x14ac:dyDescent="0.3">
      <c r="A332">
        <v>59368</v>
      </c>
      <c r="B332" t="s">
        <v>7</v>
      </c>
      <c r="C332">
        <v>78</v>
      </c>
      <c r="D332">
        <v>0</v>
      </c>
      <c r="E332">
        <v>0</v>
      </c>
      <c r="F332" t="str">
        <f t="shared" si="17"/>
        <v>Moderate Risk</v>
      </c>
      <c r="G332" t="s">
        <v>3</v>
      </c>
      <c r="H332" t="s">
        <v>4</v>
      </c>
      <c r="I332" t="s">
        <v>5</v>
      </c>
      <c r="J332">
        <v>243.5</v>
      </c>
      <c r="K332">
        <v>26.1</v>
      </c>
      <c r="L332" t="s">
        <v>11</v>
      </c>
      <c r="M332">
        <v>0</v>
      </c>
      <c r="N332" t="str">
        <f t="shared" si="15"/>
        <v>60+</v>
      </c>
      <c r="O332" t="str">
        <f t="shared" si="16"/>
        <v>Overweight</v>
      </c>
    </row>
    <row r="333" spans="1:15" x14ac:dyDescent="0.3">
      <c r="A333">
        <v>65836</v>
      </c>
      <c r="B333" t="s">
        <v>7</v>
      </c>
      <c r="C333">
        <v>78</v>
      </c>
      <c r="D333">
        <v>1</v>
      </c>
      <c r="E333">
        <v>0</v>
      </c>
      <c r="F333" t="str">
        <f t="shared" si="17"/>
        <v>High Risk</v>
      </c>
      <c r="G333" t="s">
        <v>3</v>
      </c>
      <c r="H333" t="s">
        <v>4</v>
      </c>
      <c r="I333" t="s">
        <v>5</v>
      </c>
      <c r="J333">
        <v>182.2</v>
      </c>
      <c r="K333">
        <v>30.5</v>
      </c>
      <c r="L333" t="s">
        <v>6</v>
      </c>
      <c r="M333">
        <v>0</v>
      </c>
      <c r="N333" t="str">
        <f t="shared" si="15"/>
        <v>60+</v>
      </c>
      <c r="O333" t="str">
        <f t="shared" si="16"/>
        <v>Obese</v>
      </c>
    </row>
    <row r="334" spans="1:15" x14ac:dyDescent="0.3">
      <c r="A334">
        <v>21130</v>
      </c>
      <c r="B334" t="s">
        <v>2</v>
      </c>
      <c r="C334">
        <v>33</v>
      </c>
      <c r="D334">
        <v>0</v>
      </c>
      <c r="E334">
        <v>0</v>
      </c>
      <c r="F334" t="str">
        <f t="shared" si="17"/>
        <v>Lower Risk</v>
      </c>
      <c r="G334" t="s">
        <v>3</v>
      </c>
      <c r="H334" t="s">
        <v>8</v>
      </c>
      <c r="I334" t="s">
        <v>5</v>
      </c>
      <c r="J334">
        <v>229.92</v>
      </c>
      <c r="K334">
        <v>25.9</v>
      </c>
      <c r="L334" t="s">
        <v>12</v>
      </c>
      <c r="M334">
        <v>0</v>
      </c>
      <c r="N334" t="str">
        <f t="shared" si="15"/>
        <v>Under 40</v>
      </c>
      <c r="O334" t="str">
        <f t="shared" si="16"/>
        <v>Overweight</v>
      </c>
    </row>
    <row r="335" spans="1:15" x14ac:dyDescent="0.3">
      <c r="A335">
        <v>1703</v>
      </c>
      <c r="B335" t="s">
        <v>7</v>
      </c>
      <c r="C335">
        <v>52</v>
      </c>
      <c r="D335">
        <v>0</v>
      </c>
      <c r="E335">
        <v>0</v>
      </c>
      <c r="F335" t="str">
        <f t="shared" si="17"/>
        <v>Lower Risk</v>
      </c>
      <c r="G335" t="s">
        <v>3</v>
      </c>
      <c r="H335" t="s">
        <v>4</v>
      </c>
      <c r="I335" t="s">
        <v>5</v>
      </c>
      <c r="J335">
        <v>82.24</v>
      </c>
      <c r="K335">
        <v>54.7</v>
      </c>
      <c r="L335" t="s">
        <v>6</v>
      </c>
      <c r="M335">
        <v>0</v>
      </c>
      <c r="N335" t="str">
        <f t="shared" si="15"/>
        <v>40–59</v>
      </c>
      <c r="O335" t="str">
        <f t="shared" si="16"/>
        <v>Obese</v>
      </c>
    </row>
    <row r="336" spans="1:15" x14ac:dyDescent="0.3">
      <c r="A336">
        <v>16934</v>
      </c>
      <c r="B336" t="s">
        <v>7</v>
      </c>
      <c r="C336">
        <v>51</v>
      </c>
      <c r="D336">
        <v>0</v>
      </c>
      <c r="E336">
        <v>0</v>
      </c>
      <c r="F336" t="str">
        <f t="shared" si="17"/>
        <v>Lower Risk</v>
      </c>
      <c r="G336" t="s">
        <v>3</v>
      </c>
      <c r="H336" t="s">
        <v>8</v>
      </c>
      <c r="I336" t="s">
        <v>9</v>
      </c>
      <c r="J336">
        <v>89.84</v>
      </c>
      <c r="K336">
        <v>29.9</v>
      </c>
      <c r="L336" t="s">
        <v>14</v>
      </c>
      <c r="M336">
        <v>0</v>
      </c>
      <c r="N336" t="str">
        <f t="shared" si="15"/>
        <v>40–59</v>
      </c>
      <c r="O336" t="str">
        <f t="shared" si="16"/>
        <v>Overweight</v>
      </c>
    </row>
    <row r="337" spans="1:15" x14ac:dyDescent="0.3">
      <c r="A337">
        <v>28799</v>
      </c>
      <c r="B337" t="s">
        <v>2</v>
      </c>
      <c r="C337">
        <v>11</v>
      </c>
      <c r="D337">
        <v>0</v>
      </c>
      <c r="E337">
        <v>0</v>
      </c>
      <c r="F337" t="str">
        <f t="shared" si="17"/>
        <v>Lower Risk</v>
      </c>
      <c r="G337" t="s">
        <v>13</v>
      </c>
      <c r="H337" t="s">
        <v>16</v>
      </c>
      <c r="I337" t="s">
        <v>9</v>
      </c>
      <c r="J337">
        <v>90.69</v>
      </c>
      <c r="K337">
        <v>18.600000000000001</v>
      </c>
      <c r="L337" t="s">
        <v>14</v>
      </c>
      <c r="M337">
        <v>0</v>
      </c>
      <c r="N337" t="str">
        <f t="shared" si="15"/>
        <v>Under 40</v>
      </c>
      <c r="O337" t="str">
        <f t="shared" si="16"/>
        <v>Normal</v>
      </c>
    </row>
    <row r="338" spans="1:15" x14ac:dyDescent="0.3">
      <c r="A338">
        <v>32689</v>
      </c>
      <c r="B338" t="s">
        <v>7</v>
      </c>
      <c r="C338">
        <v>48</v>
      </c>
      <c r="D338">
        <v>0</v>
      </c>
      <c r="E338">
        <v>0</v>
      </c>
      <c r="F338" t="str">
        <f t="shared" si="17"/>
        <v>Lower Risk</v>
      </c>
      <c r="G338" t="s">
        <v>3</v>
      </c>
      <c r="H338" t="s">
        <v>4</v>
      </c>
      <c r="I338" t="s">
        <v>5</v>
      </c>
      <c r="J338">
        <v>84.38</v>
      </c>
      <c r="K338">
        <v>27.1</v>
      </c>
      <c r="L338" t="s">
        <v>14</v>
      </c>
      <c r="M338">
        <v>0</v>
      </c>
      <c r="N338" t="str">
        <f t="shared" si="15"/>
        <v>40–59</v>
      </c>
      <c r="O338" t="str">
        <f t="shared" si="16"/>
        <v>Overweight</v>
      </c>
    </row>
    <row r="339" spans="1:15" x14ac:dyDescent="0.3">
      <c r="A339">
        <v>56357</v>
      </c>
      <c r="B339" t="s">
        <v>7</v>
      </c>
      <c r="C339">
        <v>82</v>
      </c>
      <c r="D339">
        <v>0</v>
      </c>
      <c r="E339">
        <v>1</v>
      </c>
      <c r="F339" t="str">
        <f t="shared" si="17"/>
        <v>High Risk</v>
      </c>
      <c r="G339" t="s">
        <v>13</v>
      </c>
      <c r="H339" t="s">
        <v>4</v>
      </c>
      <c r="I339" t="s">
        <v>5</v>
      </c>
      <c r="J339">
        <v>215.6</v>
      </c>
      <c r="K339">
        <v>24.9</v>
      </c>
      <c r="L339" t="s">
        <v>11</v>
      </c>
      <c r="M339">
        <v>0</v>
      </c>
      <c r="N339" t="str">
        <f t="shared" si="15"/>
        <v>60+</v>
      </c>
      <c r="O339" t="str">
        <f t="shared" si="16"/>
        <v>Normal</v>
      </c>
    </row>
    <row r="340" spans="1:15" x14ac:dyDescent="0.3">
      <c r="A340">
        <v>18051</v>
      </c>
      <c r="B340" t="s">
        <v>7</v>
      </c>
      <c r="C340">
        <v>54</v>
      </c>
      <c r="D340">
        <v>0</v>
      </c>
      <c r="E340">
        <v>0</v>
      </c>
      <c r="F340" t="str">
        <f t="shared" si="17"/>
        <v>Lower Risk</v>
      </c>
      <c r="G340" t="s">
        <v>3</v>
      </c>
      <c r="H340" t="s">
        <v>15</v>
      </c>
      <c r="I340" t="s">
        <v>9</v>
      </c>
      <c r="J340">
        <v>91.61</v>
      </c>
      <c r="K340">
        <v>25.2</v>
      </c>
      <c r="L340" t="s">
        <v>11</v>
      </c>
      <c r="M340">
        <v>0</v>
      </c>
      <c r="N340" t="str">
        <f t="shared" si="15"/>
        <v>40–59</v>
      </c>
      <c r="O340" t="str">
        <f t="shared" si="16"/>
        <v>Overweight</v>
      </c>
    </row>
    <row r="341" spans="1:15" x14ac:dyDescent="0.3">
      <c r="A341">
        <v>40840</v>
      </c>
      <c r="B341" t="s">
        <v>7</v>
      </c>
      <c r="C341">
        <v>49</v>
      </c>
      <c r="D341">
        <v>0</v>
      </c>
      <c r="E341">
        <v>0</v>
      </c>
      <c r="F341" t="str">
        <f t="shared" si="17"/>
        <v>Lower Risk</v>
      </c>
      <c r="G341" t="s">
        <v>3</v>
      </c>
      <c r="H341" t="s">
        <v>4</v>
      </c>
      <c r="I341" t="s">
        <v>9</v>
      </c>
      <c r="J341">
        <v>138.16</v>
      </c>
      <c r="K341">
        <v>19.399999999999999</v>
      </c>
      <c r="L341" t="s">
        <v>11</v>
      </c>
      <c r="M341">
        <v>0</v>
      </c>
      <c r="N341" t="str">
        <f t="shared" si="15"/>
        <v>40–59</v>
      </c>
      <c r="O341" t="str">
        <f t="shared" si="16"/>
        <v>Normal</v>
      </c>
    </row>
    <row r="342" spans="1:15" x14ac:dyDescent="0.3">
      <c r="A342">
        <v>10449</v>
      </c>
      <c r="B342" t="s">
        <v>7</v>
      </c>
      <c r="C342">
        <v>24</v>
      </c>
      <c r="D342">
        <v>0</v>
      </c>
      <c r="E342">
        <v>0</v>
      </c>
      <c r="F342" t="str">
        <f t="shared" si="17"/>
        <v>Lower Risk</v>
      </c>
      <c r="G342" t="s">
        <v>3</v>
      </c>
      <c r="H342" t="s">
        <v>4</v>
      </c>
      <c r="I342" t="s">
        <v>5</v>
      </c>
      <c r="J342">
        <v>75.23</v>
      </c>
      <c r="K342">
        <v>29</v>
      </c>
      <c r="L342" t="s">
        <v>11</v>
      </c>
      <c r="M342">
        <v>0</v>
      </c>
      <c r="N342" t="str">
        <f t="shared" si="15"/>
        <v>Under 40</v>
      </c>
      <c r="O342" t="str">
        <f t="shared" si="16"/>
        <v>Overweight</v>
      </c>
    </row>
    <row r="343" spans="1:15" x14ac:dyDescent="0.3">
      <c r="A343">
        <v>38805</v>
      </c>
      <c r="B343" t="s">
        <v>7</v>
      </c>
      <c r="C343">
        <v>37</v>
      </c>
      <c r="D343">
        <v>0</v>
      </c>
      <c r="E343">
        <v>0</v>
      </c>
      <c r="F343" t="str">
        <f t="shared" si="17"/>
        <v>Lower Risk</v>
      </c>
      <c r="G343" t="s">
        <v>3</v>
      </c>
      <c r="H343" t="s">
        <v>4</v>
      </c>
      <c r="I343" t="s">
        <v>9</v>
      </c>
      <c r="J343">
        <v>75.180000000000007</v>
      </c>
      <c r="K343">
        <v>48.2</v>
      </c>
      <c r="L343" t="s">
        <v>6</v>
      </c>
      <c r="M343">
        <v>0</v>
      </c>
      <c r="N343" t="str">
        <f t="shared" si="15"/>
        <v>Under 40</v>
      </c>
      <c r="O343" t="str">
        <f t="shared" si="16"/>
        <v>Obese</v>
      </c>
    </row>
    <row r="344" spans="1:15" x14ac:dyDescent="0.3">
      <c r="A344">
        <v>31091</v>
      </c>
      <c r="B344" t="s">
        <v>2</v>
      </c>
      <c r="C344">
        <v>34</v>
      </c>
      <c r="D344">
        <v>0</v>
      </c>
      <c r="E344">
        <v>1</v>
      </c>
      <c r="F344" t="str">
        <f t="shared" si="17"/>
        <v>Lower Risk</v>
      </c>
      <c r="G344" t="s">
        <v>3</v>
      </c>
      <c r="H344" t="s">
        <v>4</v>
      </c>
      <c r="I344" t="s">
        <v>5</v>
      </c>
      <c r="J344">
        <v>106.23</v>
      </c>
      <c r="K344" t="s">
        <v>10</v>
      </c>
      <c r="L344" t="s">
        <v>6</v>
      </c>
      <c r="M344">
        <v>0</v>
      </c>
      <c r="N344" t="str">
        <f t="shared" si="15"/>
        <v>Under 40</v>
      </c>
      <c r="O344" t="str">
        <f t="shared" si="16"/>
        <v>Unknown</v>
      </c>
    </row>
    <row r="345" spans="1:15" x14ac:dyDescent="0.3">
      <c r="A345">
        <v>45053</v>
      </c>
      <c r="B345" t="s">
        <v>2</v>
      </c>
      <c r="C345">
        <v>64</v>
      </c>
      <c r="D345">
        <v>0</v>
      </c>
      <c r="E345">
        <v>0</v>
      </c>
      <c r="F345" t="str">
        <f t="shared" si="17"/>
        <v>Moderate Risk</v>
      </c>
      <c r="G345" t="s">
        <v>3</v>
      </c>
      <c r="H345" t="s">
        <v>15</v>
      </c>
      <c r="I345" t="s">
        <v>5</v>
      </c>
      <c r="J345">
        <v>239.64</v>
      </c>
      <c r="K345">
        <v>34.6</v>
      </c>
      <c r="L345" t="s">
        <v>6</v>
      </c>
      <c r="M345">
        <v>0</v>
      </c>
      <c r="N345" t="str">
        <f t="shared" si="15"/>
        <v>60+</v>
      </c>
      <c r="O345" t="str">
        <f t="shared" si="16"/>
        <v>Obese</v>
      </c>
    </row>
    <row r="346" spans="1:15" x14ac:dyDescent="0.3">
      <c r="A346">
        <v>61837</v>
      </c>
      <c r="B346" t="s">
        <v>7</v>
      </c>
      <c r="C346">
        <v>66</v>
      </c>
      <c r="D346">
        <v>0</v>
      </c>
      <c r="E346">
        <v>0</v>
      </c>
      <c r="F346" t="str">
        <f t="shared" si="17"/>
        <v>Moderate Risk</v>
      </c>
      <c r="G346" t="s">
        <v>3</v>
      </c>
      <c r="H346" t="s">
        <v>8</v>
      </c>
      <c r="I346" t="s">
        <v>5</v>
      </c>
      <c r="J346">
        <v>58.95</v>
      </c>
      <c r="K346">
        <v>24.6</v>
      </c>
      <c r="L346" t="s">
        <v>11</v>
      </c>
      <c r="M346">
        <v>0</v>
      </c>
      <c r="N346" t="str">
        <f t="shared" si="15"/>
        <v>60+</v>
      </c>
      <c r="O346" t="str">
        <f t="shared" si="16"/>
        <v>Normal</v>
      </c>
    </row>
    <row r="347" spans="1:15" x14ac:dyDescent="0.3">
      <c r="A347">
        <v>9487</v>
      </c>
      <c r="B347" t="s">
        <v>7</v>
      </c>
      <c r="C347">
        <v>23</v>
      </c>
      <c r="D347">
        <v>0</v>
      </c>
      <c r="E347">
        <v>0</v>
      </c>
      <c r="F347" t="str">
        <f t="shared" si="17"/>
        <v>Lower Risk</v>
      </c>
      <c r="G347" t="s">
        <v>13</v>
      </c>
      <c r="H347" t="s">
        <v>4</v>
      </c>
      <c r="I347" t="s">
        <v>5</v>
      </c>
      <c r="J347">
        <v>99.92</v>
      </c>
      <c r="K347">
        <v>25.8</v>
      </c>
      <c r="L347" t="s">
        <v>11</v>
      </c>
      <c r="M347">
        <v>0</v>
      </c>
      <c r="N347" t="str">
        <f t="shared" si="15"/>
        <v>Under 40</v>
      </c>
      <c r="O347" t="str">
        <f t="shared" si="16"/>
        <v>Overweight</v>
      </c>
    </row>
    <row r="348" spans="1:15" x14ac:dyDescent="0.3">
      <c r="A348">
        <v>49713</v>
      </c>
      <c r="B348" t="s">
        <v>2</v>
      </c>
      <c r="C348">
        <v>68</v>
      </c>
      <c r="D348">
        <v>0</v>
      </c>
      <c r="E348">
        <v>0</v>
      </c>
      <c r="F348" t="str">
        <f t="shared" si="17"/>
        <v>Moderate Risk</v>
      </c>
      <c r="G348" t="s">
        <v>3</v>
      </c>
      <c r="H348" t="s">
        <v>4</v>
      </c>
      <c r="I348" t="s">
        <v>9</v>
      </c>
      <c r="J348">
        <v>116.23</v>
      </c>
      <c r="K348">
        <v>26.1</v>
      </c>
      <c r="L348" t="s">
        <v>11</v>
      </c>
      <c r="M348">
        <v>0</v>
      </c>
      <c r="N348" t="str">
        <f t="shared" si="15"/>
        <v>60+</v>
      </c>
      <c r="O348" t="str">
        <f t="shared" si="16"/>
        <v>Overweight</v>
      </c>
    </row>
    <row r="349" spans="1:15" x14ac:dyDescent="0.3">
      <c r="A349">
        <v>17608</v>
      </c>
      <c r="B349" t="s">
        <v>7</v>
      </c>
      <c r="C349">
        <v>55</v>
      </c>
      <c r="D349">
        <v>0</v>
      </c>
      <c r="E349">
        <v>0</v>
      </c>
      <c r="F349" t="str">
        <f t="shared" si="17"/>
        <v>Lower Risk</v>
      </c>
      <c r="G349" t="s">
        <v>3</v>
      </c>
      <c r="H349" t="s">
        <v>15</v>
      </c>
      <c r="I349" t="s">
        <v>5</v>
      </c>
      <c r="J349">
        <v>118.82</v>
      </c>
      <c r="K349">
        <v>29</v>
      </c>
      <c r="L349" t="s">
        <v>6</v>
      </c>
      <c r="M349">
        <v>0</v>
      </c>
      <c r="N349" t="str">
        <f t="shared" si="15"/>
        <v>40–59</v>
      </c>
      <c r="O349" t="str">
        <f t="shared" si="16"/>
        <v>Overweight</v>
      </c>
    </row>
    <row r="350" spans="1:15" x14ac:dyDescent="0.3">
      <c r="A350">
        <v>28102</v>
      </c>
      <c r="B350" t="s">
        <v>7</v>
      </c>
      <c r="C350">
        <v>25</v>
      </c>
      <c r="D350">
        <v>0</v>
      </c>
      <c r="E350">
        <v>0</v>
      </c>
      <c r="F350" t="str">
        <f t="shared" si="17"/>
        <v>Lower Risk</v>
      </c>
      <c r="G350" t="s">
        <v>13</v>
      </c>
      <c r="H350" t="s">
        <v>4</v>
      </c>
      <c r="I350" t="s">
        <v>9</v>
      </c>
      <c r="J350">
        <v>66.3</v>
      </c>
      <c r="K350">
        <v>27.2</v>
      </c>
      <c r="L350" t="s">
        <v>11</v>
      </c>
      <c r="M350">
        <v>0</v>
      </c>
      <c r="N350" t="str">
        <f t="shared" si="15"/>
        <v>Under 40</v>
      </c>
      <c r="O350" t="str">
        <f t="shared" si="16"/>
        <v>Overweight</v>
      </c>
    </row>
    <row r="351" spans="1:15" x14ac:dyDescent="0.3">
      <c r="A351">
        <v>1506</v>
      </c>
      <c r="B351" t="s">
        <v>7</v>
      </c>
      <c r="C351">
        <v>48</v>
      </c>
      <c r="D351">
        <v>0</v>
      </c>
      <c r="E351">
        <v>0</v>
      </c>
      <c r="F351" t="str">
        <f t="shared" si="17"/>
        <v>Lower Risk</v>
      </c>
      <c r="G351" t="s">
        <v>13</v>
      </c>
      <c r="H351" t="s">
        <v>15</v>
      </c>
      <c r="I351" t="s">
        <v>5</v>
      </c>
      <c r="J351">
        <v>101.41</v>
      </c>
      <c r="K351">
        <v>20.7</v>
      </c>
      <c r="L351" t="s">
        <v>12</v>
      </c>
      <c r="M351">
        <v>0</v>
      </c>
      <c r="N351" t="str">
        <f t="shared" si="15"/>
        <v>40–59</v>
      </c>
      <c r="O351" t="str">
        <f t="shared" si="16"/>
        <v>Normal</v>
      </c>
    </row>
    <row r="352" spans="1:15" x14ac:dyDescent="0.3">
      <c r="A352">
        <v>28333</v>
      </c>
      <c r="B352" t="s">
        <v>7</v>
      </c>
      <c r="C352">
        <v>79</v>
      </c>
      <c r="D352">
        <v>1</v>
      </c>
      <c r="E352">
        <v>1</v>
      </c>
      <c r="F352" t="str">
        <f t="shared" si="17"/>
        <v>High Risk</v>
      </c>
      <c r="G352" t="s">
        <v>3</v>
      </c>
      <c r="H352" t="s">
        <v>8</v>
      </c>
      <c r="I352" t="s">
        <v>5</v>
      </c>
      <c r="J352">
        <v>200.28</v>
      </c>
      <c r="K352">
        <v>30</v>
      </c>
      <c r="L352" t="s">
        <v>6</v>
      </c>
      <c r="M352">
        <v>0</v>
      </c>
      <c r="N352" t="str">
        <f t="shared" si="15"/>
        <v>60+</v>
      </c>
      <c r="O352" t="str">
        <f t="shared" si="16"/>
        <v>Obese</v>
      </c>
    </row>
    <row r="353" spans="1:15" x14ac:dyDescent="0.3">
      <c r="A353">
        <v>62608</v>
      </c>
      <c r="B353" t="s">
        <v>7</v>
      </c>
      <c r="C353">
        <v>47</v>
      </c>
      <c r="D353">
        <v>0</v>
      </c>
      <c r="E353">
        <v>0</v>
      </c>
      <c r="F353" t="str">
        <f t="shared" si="17"/>
        <v>Lower Risk</v>
      </c>
      <c r="G353" t="s">
        <v>3</v>
      </c>
      <c r="H353" t="s">
        <v>4</v>
      </c>
      <c r="I353" t="s">
        <v>5</v>
      </c>
      <c r="J353">
        <v>136.80000000000001</v>
      </c>
      <c r="K353">
        <v>37.299999999999997</v>
      </c>
      <c r="L353" t="s">
        <v>11</v>
      </c>
      <c r="M353">
        <v>0</v>
      </c>
      <c r="N353" t="str">
        <f t="shared" si="15"/>
        <v>40–59</v>
      </c>
      <c r="O353" t="str">
        <f t="shared" si="16"/>
        <v>Obese</v>
      </c>
    </row>
    <row r="354" spans="1:15" x14ac:dyDescent="0.3">
      <c r="A354">
        <v>40670</v>
      </c>
      <c r="B354" t="s">
        <v>7</v>
      </c>
      <c r="C354">
        <v>20</v>
      </c>
      <c r="D354">
        <v>0</v>
      </c>
      <c r="E354">
        <v>0</v>
      </c>
      <c r="F354" t="str">
        <f t="shared" si="17"/>
        <v>Lower Risk</v>
      </c>
      <c r="G354" t="s">
        <v>13</v>
      </c>
      <c r="H354" t="s">
        <v>4</v>
      </c>
      <c r="I354" t="s">
        <v>9</v>
      </c>
      <c r="J354">
        <v>96.57</v>
      </c>
      <c r="K354">
        <v>34.1</v>
      </c>
      <c r="L354" t="s">
        <v>11</v>
      </c>
      <c r="M354">
        <v>0</v>
      </c>
      <c r="N354" t="str">
        <f t="shared" si="15"/>
        <v>Under 40</v>
      </c>
      <c r="O354" t="str">
        <f t="shared" si="16"/>
        <v>Obese</v>
      </c>
    </row>
    <row r="355" spans="1:15" x14ac:dyDescent="0.3">
      <c r="A355">
        <v>4630</v>
      </c>
      <c r="B355" t="s">
        <v>7</v>
      </c>
      <c r="C355">
        <v>60</v>
      </c>
      <c r="D355">
        <v>0</v>
      </c>
      <c r="E355">
        <v>0</v>
      </c>
      <c r="F355" t="str">
        <f t="shared" si="17"/>
        <v>Moderate Risk</v>
      </c>
      <c r="G355" t="s">
        <v>3</v>
      </c>
      <c r="H355" t="s">
        <v>4</v>
      </c>
      <c r="I355" t="s">
        <v>9</v>
      </c>
      <c r="J355">
        <v>66.42</v>
      </c>
      <c r="K355">
        <v>23.6</v>
      </c>
      <c r="L355" t="s">
        <v>11</v>
      </c>
      <c r="M355">
        <v>0</v>
      </c>
      <c r="N355" t="str">
        <f t="shared" si="15"/>
        <v>60+</v>
      </c>
      <c r="O355" t="str">
        <f t="shared" si="16"/>
        <v>Normal</v>
      </c>
    </row>
    <row r="356" spans="1:15" x14ac:dyDescent="0.3">
      <c r="A356">
        <v>21284</v>
      </c>
      <c r="B356" t="s">
        <v>7</v>
      </c>
      <c r="C356">
        <v>32</v>
      </c>
      <c r="D356">
        <v>0</v>
      </c>
      <c r="E356">
        <v>0</v>
      </c>
      <c r="F356" t="str">
        <f t="shared" si="17"/>
        <v>Lower Risk</v>
      </c>
      <c r="G356" t="s">
        <v>3</v>
      </c>
      <c r="H356" t="s">
        <v>4</v>
      </c>
      <c r="I356" t="s">
        <v>5</v>
      </c>
      <c r="J356">
        <v>98.09</v>
      </c>
      <c r="K356">
        <v>25.2</v>
      </c>
      <c r="L356" t="s">
        <v>12</v>
      </c>
      <c r="M356">
        <v>0</v>
      </c>
      <c r="N356" t="str">
        <f t="shared" si="15"/>
        <v>Under 40</v>
      </c>
      <c r="O356" t="str">
        <f t="shared" si="16"/>
        <v>Overweight</v>
      </c>
    </row>
    <row r="357" spans="1:15" x14ac:dyDescent="0.3">
      <c r="A357">
        <v>49421</v>
      </c>
      <c r="B357" t="s">
        <v>7</v>
      </c>
      <c r="C357">
        <v>66</v>
      </c>
      <c r="D357">
        <v>1</v>
      </c>
      <c r="E357">
        <v>0</v>
      </c>
      <c r="F357" t="str">
        <f t="shared" si="17"/>
        <v>High Risk</v>
      </c>
      <c r="G357" t="s">
        <v>3</v>
      </c>
      <c r="H357" t="s">
        <v>4</v>
      </c>
      <c r="I357" t="s">
        <v>9</v>
      </c>
      <c r="J357">
        <v>205.23</v>
      </c>
      <c r="K357">
        <v>39.5</v>
      </c>
      <c r="L357" t="s">
        <v>11</v>
      </c>
      <c r="M357">
        <v>0</v>
      </c>
      <c r="N357" t="str">
        <f t="shared" si="15"/>
        <v>60+</v>
      </c>
      <c r="O357" t="str">
        <f t="shared" si="16"/>
        <v>Obese</v>
      </c>
    </row>
    <row r="358" spans="1:15" x14ac:dyDescent="0.3">
      <c r="A358">
        <v>5973</v>
      </c>
      <c r="B358" t="s">
        <v>2</v>
      </c>
      <c r="C358">
        <v>43</v>
      </c>
      <c r="D358">
        <v>0</v>
      </c>
      <c r="E358">
        <v>0</v>
      </c>
      <c r="F358" t="str">
        <f t="shared" si="17"/>
        <v>Lower Risk</v>
      </c>
      <c r="G358" t="s">
        <v>3</v>
      </c>
      <c r="H358" t="s">
        <v>4</v>
      </c>
      <c r="I358" t="s">
        <v>5</v>
      </c>
      <c r="J358">
        <v>86.78</v>
      </c>
      <c r="K358">
        <v>23.5</v>
      </c>
      <c r="L358" t="s">
        <v>12</v>
      </c>
      <c r="M358">
        <v>0</v>
      </c>
      <c r="N358" t="str">
        <f t="shared" si="15"/>
        <v>40–59</v>
      </c>
      <c r="O358" t="str">
        <f t="shared" si="16"/>
        <v>Normal</v>
      </c>
    </row>
    <row r="359" spans="1:15" x14ac:dyDescent="0.3">
      <c r="A359">
        <v>42996</v>
      </c>
      <c r="B359" t="s">
        <v>7</v>
      </c>
      <c r="C359">
        <v>36</v>
      </c>
      <c r="D359">
        <v>0</v>
      </c>
      <c r="E359">
        <v>0</v>
      </c>
      <c r="F359" t="str">
        <f t="shared" si="17"/>
        <v>Lower Risk</v>
      </c>
      <c r="G359" t="s">
        <v>13</v>
      </c>
      <c r="H359" t="s">
        <v>15</v>
      </c>
      <c r="I359" t="s">
        <v>9</v>
      </c>
      <c r="J359">
        <v>126.82</v>
      </c>
      <c r="K359">
        <v>23.3</v>
      </c>
      <c r="L359" t="s">
        <v>11</v>
      </c>
      <c r="M359">
        <v>0</v>
      </c>
      <c r="N359" t="str">
        <f t="shared" si="15"/>
        <v>Under 40</v>
      </c>
      <c r="O359" t="str">
        <f t="shared" si="16"/>
        <v>Normal</v>
      </c>
    </row>
    <row r="360" spans="1:15" x14ac:dyDescent="0.3">
      <c r="A360">
        <v>66333</v>
      </c>
      <c r="B360" t="s">
        <v>2</v>
      </c>
      <c r="C360">
        <v>52</v>
      </c>
      <c r="D360">
        <v>0</v>
      </c>
      <c r="E360">
        <v>0</v>
      </c>
      <c r="F360" t="str">
        <f t="shared" si="17"/>
        <v>Lower Risk</v>
      </c>
      <c r="G360" t="s">
        <v>3</v>
      </c>
      <c r="H360" t="s">
        <v>8</v>
      </c>
      <c r="I360" t="s">
        <v>5</v>
      </c>
      <c r="J360">
        <v>78.400000000000006</v>
      </c>
      <c r="K360">
        <v>64.8</v>
      </c>
      <c r="L360" t="s">
        <v>11</v>
      </c>
      <c r="M360">
        <v>0</v>
      </c>
      <c r="N360" t="str">
        <f t="shared" si="15"/>
        <v>40–59</v>
      </c>
      <c r="O360" t="str">
        <f t="shared" si="16"/>
        <v>Obese</v>
      </c>
    </row>
    <row r="361" spans="1:15" x14ac:dyDescent="0.3">
      <c r="A361">
        <v>46785</v>
      </c>
      <c r="B361" t="s">
        <v>7</v>
      </c>
      <c r="C361">
        <v>29</v>
      </c>
      <c r="D361">
        <v>0</v>
      </c>
      <c r="E361">
        <v>0</v>
      </c>
      <c r="F361" t="str">
        <f t="shared" si="17"/>
        <v>Lower Risk</v>
      </c>
      <c r="G361" t="s">
        <v>3</v>
      </c>
      <c r="H361" t="s">
        <v>4</v>
      </c>
      <c r="I361" t="s">
        <v>5</v>
      </c>
      <c r="J361">
        <v>63.69</v>
      </c>
      <c r="K361">
        <v>28.1</v>
      </c>
      <c r="L361" t="s">
        <v>12</v>
      </c>
      <c r="M361">
        <v>0</v>
      </c>
      <c r="N361" t="str">
        <f t="shared" si="15"/>
        <v>Under 40</v>
      </c>
      <c r="O361" t="str">
        <f t="shared" si="16"/>
        <v>Overweight</v>
      </c>
    </row>
    <row r="362" spans="1:15" x14ac:dyDescent="0.3">
      <c r="A362">
        <v>54312</v>
      </c>
      <c r="B362" t="s">
        <v>7</v>
      </c>
      <c r="C362">
        <v>76</v>
      </c>
      <c r="D362">
        <v>1</v>
      </c>
      <c r="E362">
        <v>0</v>
      </c>
      <c r="F362" t="str">
        <f t="shared" si="17"/>
        <v>High Risk</v>
      </c>
      <c r="G362" t="s">
        <v>3</v>
      </c>
      <c r="H362" t="s">
        <v>8</v>
      </c>
      <c r="I362" t="s">
        <v>5</v>
      </c>
      <c r="J362">
        <v>209.58</v>
      </c>
      <c r="K362" t="s">
        <v>10</v>
      </c>
      <c r="L362" t="s">
        <v>11</v>
      </c>
      <c r="M362">
        <v>0</v>
      </c>
      <c r="N362" t="str">
        <f t="shared" si="15"/>
        <v>60+</v>
      </c>
      <c r="O362" t="str">
        <f t="shared" si="16"/>
        <v>Unknown</v>
      </c>
    </row>
    <row r="363" spans="1:15" x14ac:dyDescent="0.3">
      <c r="A363">
        <v>21408</v>
      </c>
      <c r="B363" t="s">
        <v>7</v>
      </c>
      <c r="C363">
        <v>39</v>
      </c>
      <c r="D363">
        <v>0</v>
      </c>
      <c r="E363">
        <v>0</v>
      </c>
      <c r="F363" t="str">
        <f t="shared" si="17"/>
        <v>Lower Risk</v>
      </c>
      <c r="G363" t="s">
        <v>3</v>
      </c>
      <c r="H363" t="s">
        <v>8</v>
      </c>
      <c r="I363" t="s">
        <v>9</v>
      </c>
      <c r="J363">
        <v>89.86</v>
      </c>
      <c r="K363">
        <v>24.4</v>
      </c>
      <c r="L363" t="s">
        <v>11</v>
      </c>
      <c r="M363">
        <v>0</v>
      </c>
      <c r="N363" t="str">
        <f t="shared" si="15"/>
        <v>Under 40</v>
      </c>
      <c r="O363" t="str">
        <f t="shared" si="16"/>
        <v>Normal</v>
      </c>
    </row>
    <row r="364" spans="1:15" x14ac:dyDescent="0.3">
      <c r="A364">
        <v>49916</v>
      </c>
      <c r="B364" t="s">
        <v>2</v>
      </c>
      <c r="C364">
        <v>76</v>
      </c>
      <c r="D364">
        <v>0</v>
      </c>
      <c r="E364">
        <v>0</v>
      </c>
      <c r="F364" t="str">
        <f t="shared" si="17"/>
        <v>Moderate Risk</v>
      </c>
      <c r="G364" t="s">
        <v>3</v>
      </c>
      <c r="H364" t="s">
        <v>4</v>
      </c>
      <c r="I364" t="s">
        <v>9</v>
      </c>
      <c r="J364">
        <v>110.99</v>
      </c>
      <c r="K364">
        <v>29.8</v>
      </c>
      <c r="L364" t="s">
        <v>6</v>
      </c>
      <c r="M364">
        <v>0</v>
      </c>
      <c r="N364" t="str">
        <f t="shared" si="15"/>
        <v>60+</v>
      </c>
      <c r="O364" t="str">
        <f t="shared" si="16"/>
        <v>Overweight</v>
      </c>
    </row>
    <row r="365" spans="1:15" x14ac:dyDescent="0.3">
      <c r="A365">
        <v>7559</v>
      </c>
      <c r="B365" t="s">
        <v>7</v>
      </c>
      <c r="C365">
        <v>0.64</v>
      </c>
      <c r="D365">
        <v>0</v>
      </c>
      <c r="E365">
        <v>0</v>
      </c>
      <c r="F365" t="str">
        <f t="shared" si="17"/>
        <v>Lower Risk</v>
      </c>
      <c r="G365" t="s">
        <v>13</v>
      </c>
      <c r="H365" t="s">
        <v>16</v>
      </c>
      <c r="I365" t="s">
        <v>5</v>
      </c>
      <c r="J365">
        <v>83.82</v>
      </c>
      <c r="K365">
        <v>24.9</v>
      </c>
      <c r="L365" t="s">
        <v>14</v>
      </c>
      <c r="M365">
        <v>0</v>
      </c>
      <c r="N365" t="str">
        <f t="shared" si="15"/>
        <v>Under 40</v>
      </c>
      <c r="O365" t="str">
        <f t="shared" si="16"/>
        <v>Normal</v>
      </c>
    </row>
    <row r="366" spans="1:15" x14ac:dyDescent="0.3">
      <c r="A366">
        <v>71038</v>
      </c>
      <c r="B366" t="s">
        <v>2</v>
      </c>
      <c r="C366">
        <v>34</v>
      </c>
      <c r="D366">
        <v>0</v>
      </c>
      <c r="E366">
        <v>0</v>
      </c>
      <c r="F366" t="str">
        <f t="shared" si="17"/>
        <v>Lower Risk</v>
      </c>
      <c r="G366" t="s">
        <v>3</v>
      </c>
      <c r="H366" t="s">
        <v>4</v>
      </c>
      <c r="I366" t="s">
        <v>5</v>
      </c>
      <c r="J366">
        <v>137.96</v>
      </c>
      <c r="K366">
        <v>35.1</v>
      </c>
      <c r="L366" t="s">
        <v>14</v>
      </c>
      <c r="M366">
        <v>0</v>
      </c>
      <c r="N366" t="str">
        <f t="shared" si="15"/>
        <v>Under 40</v>
      </c>
      <c r="O366" t="str">
        <f t="shared" si="16"/>
        <v>Obese</v>
      </c>
    </row>
    <row r="367" spans="1:15" x14ac:dyDescent="0.3">
      <c r="A367">
        <v>69037</v>
      </c>
      <c r="B367" t="s">
        <v>7</v>
      </c>
      <c r="C367">
        <v>72</v>
      </c>
      <c r="D367">
        <v>0</v>
      </c>
      <c r="E367">
        <v>0</v>
      </c>
      <c r="F367" t="str">
        <f t="shared" si="17"/>
        <v>Moderate Risk</v>
      </c>
      <c r="G367" t="s">
        <v>3</v>
      </c>
      <c r="H367" t="s">
        <v>4</v>
      </c>
      <c r="I367" t="s">
        <v>9</v>
      </c>
      <c r="J367">
        <v>210.78</v>
      </c>
      <c r="K367">
        <v>32.299999999999997</v>
      </c>
      <c r="L367" t="s">
        <v>6</v>
      </c>
      <c r="M367">
        <v>0</v>
      </c>
      <c r="N367" t="str">
        <f t="shared" si="15"/>
        <v>60+</v>
      </c>
      <c r="O367" t="str">
        <f t="shared" si="16"/>
        <v>Obese</v>
      </c>
    </row>
    <row r="368" spans="1:15" x14ac:dyDescent="0.3">
      <c r="A368">
        <v>58617</v>
      </c>
      <c r="B368" t="s">
        <v>7</v>
      </c>
      <c r="C368">
        <v>43</v>
      </c>
      <c r="D368">
        <v>0</v>
      </c>
      <c r="E368">
        <v>0</v>
      </c>
      <c r="F368" t="str">
        <f t="shared" si="17"/>
        <v>Lower Risk</v>
      </c>
      <c r="G368" t="s">
        <v>3</v>
      </c>
      <c r="H368" t="s">
        <v>8</v>
      </c>
      <c r="I368" t="s">
        <v>9</v>
      </c>
      <c r="J368">
        <v>118.89</v>
      </c>
      <c r="K368">
        <v>43.6</v>
      </c>
      <c r="L368" t="s">
        <v>11</v>
      </c>
      <c r="M368">
        <v>0</v>
      </c>
      <c r="N368" t="str">
        <f t="shared" si="15"/>
        <v>40–59</v>
      </c>
      <c r="O368" t="str">
        <f t="shared" si="16"/>
        <v>Obese</v>
      </c>
    </row>
    <row r="369" spans="1:15" x14ac:dyDescent="0.3">
      <c r="A369">
        <v>69064</v>
      </c>
      <c r="B369" t="s">
        <v>7</v>
      </c>
      <c r="C369">
        <v>57</v>
      </c>
      <c r="D369">
        <v>0</v>
      </c>
      <c r="E369">
        <v>0</v>
      </c>
      <c r="F369" t="str">
        <f t="shared" si="17"/>
        <v>Lower Risk</v>
      </c>
      <c r="G369" t="s">
        <v>13</v>
      </c>
      <c r="H369" t="s">
        <v>8</v>
      </c>
      <c r="I369" t="s">
        <v>9</v>
      </c>
      <c r="J369">
        <v>72.55</v>
      </c>
      <c r="K369">
        <v>21</v>
      </c>
      <c r="L369" t="s">
        <v>11</v>
      </c>
      <c r="M369">
        <v>0</v>
      </c>
      <c r="N369" t="str">
        <f t="shared" si="15"/>
        <v>40–59</v>
      </c>
      <c r="O369" t="str">
        <f t="shared" si="16"/>
        <v>Normal</v>
      </c>
    </row>
    <row r="370" spans="1:15" x14ac:dyDescent="0.3">
      <c r="A370">
        <v>9404</v>
      </c>
      <c r="B370" t="s">
        <v>7</v>
      </c>
      <c r="C370">
        <v>44</v>
      </c>
      <c r="D370">
        <v>0</v>
      </c>
      <c r="E370">
        <v>0</v>
      </c>
      <c r="F370" t="str">
        <f t="shared" si="17"/>
        <v>Lower Risk</v>
      </c>
      <c r="G370" t="s">
        <v>3</v>
      </c>
      <c r="H370" t="s">
        <v>4</v>
      </c>
      <c r="I370" t="s">
        <v>9</v>
      </c>
      <c r="J370">
        <v>107.41</v>
      </c>
      <c r="K370">
        <v>47.3</v>
      </c>
      <c r="L370" t="s">
        <v>11</v>
      </c>
      <c r="M370">
        <v>0</v>
      </c>
      <c r="N370" t="str">
        <f t="shared" si="15"/>
        <v>40–59</v>
      </c>
      <c r="O370" t="str">
        <f t="shared" si="16"/>
        <v>Obese</v>
      </c>
    </row>
    <row r="371" spans="1:15" x14ac:dyDescent="0.3">
      <c r="A371">
        <v>8171</v>
      </c>
      <c r="B371" t="s">
        <v>7</v>
      </c>
      <c r="C371">
        <v>4</v>
      </c>
      <c r="D371">
        <v>0</v>
      </c>
      <c r="E371">
        <v>0</v>
      </c>
      <c r="F371" t="str">
        <f t="shared" si="17"/>
        <v>Lower Risk</v>
      </c>
      <c r="G371" t="s">
        <v>13</v>
      </c>
      <c r="H371" t="s">
        <v>16</v>
      </c>
      <c r="I371" t="s">
        <v>9</v>
      </c>
      <c r="J371">
        <v>93.25</v>
      </c>
      <c r="K371">
        <v>16.600000000000001</v>
      </c>
      <c r="L371" t="s">
        <v>14</v>
      </c>
      <c r="M371">
        <v>0</v>
      </c>
      <c r="N371" t="str">
        <f t="shared" si="15"/>
        <v>Under 40</v>
      </c>
      <c r="O371" t="str">
        <f t="shared" si="16"/>
        <v>Underweight</v>
      </c>
    </row>
    <row r="372" spans="1:15" x14ac:dyDescent="0.3">
      <c r="A372">
        <v>28286</v>
      </c>
      <c r="B372" t="s">
        <v>2</v>
      </c>
      <c r="C372">
        <v>44</v>
      </c>
      <c r="D372">
        <v>0</v>
      </c>
      <c r="E372">
        <v>0</v>
      </c>
      <c r="F372" t="str">
        <f t="shared" si="17"/>
        <v>Lower Risk</v>
      </c>
      <c r="G372" t="s">
        <v>3</v>
      </c>
      <c r="H372" t="s">
        <v>4</v>
      </c>
      <c r="I372" t="s">
        <v>9</v>
      </c>
      <c r="J372">
        <v>74.91</v>
      </c>
      <c r="K372">
        <v>37.5</v>
      </c>
      <c r="L372" t="s">
        <v>11</v>
      </c>
      <c r="M372">
        <v>0</v>
      </c>
      <c r="N372" t="str">
        <f t="shared" si="15"/>
        <v>40–59</v>
      </c>
      <c r="O372" t="str">
        <f t="shared" si="16"/>
        <v>Obese</v>
      </c>
    </row>
    <row r="373" spans="1:15" x14ac:dyDescent="0.3">
      <c r="A373">
        <v>43232</v>
      </c>
      <c r="B373" t="s">
        <v>7</v>
      </c>
      <c r="C373">
        <v>18</v>
      </c>
      <c r="D373">
        <v>0</v>
      </c>
      <c r="E373">
        <v>0</v>
      </c>
      <c r="F373" t="str">
        <f t="shared" si="17"/>
        <v>Lower Risk</v>
      </c>
      <c r="G373" t="s">
        <v>13</v>
      </c>
      <c r="H373" t="s">
        <v>4</v>
      </c>
      <c r="I373" t="s">
        <v>5</v>
      </c>
      <c r="J373">
        <v>80.05</v>
      </c>
      <c r="K373">
        <v>24.2</v>
      </c>
      <c r="L373" t="s">
        <v>11</v>
      </c>
      <c r="M373">
        <v>0</v>
      </c>
      <c r="N373" t="str">
        <f t="shared" si="15"/>
        <v>Under 40</v>
      </c>
      <c r="O373" t="str">
        <f t="shared" si="16"/>
        <v>Normal</v>
      </c>
    </row>
    <row r="374" spans="1:15" x14ac:dyDescent="0.3">
      <c r="A374">
        <v>10159</v>
      </c>
      <c r="B374" t="s">
        <v>2</v>
      </c>
      <c r="C374">
        <v>41</v>
      </c>
      <c r="D374">
        <v>0</v>
      </c>
      <c r="E374">
        <v>0</v>
      </c>
      <c r="F374" t="str">
        <f t="shared" si="17"/>
        <v>Lower Risk</v>
      </c>
      <c r="G374" t="s">
        <v>3</v>
      </c>
      <c r="H374" t="s">
        <v>4</v>
      </c>
      <c r="I374" t="s">
        <v>5</v>
      </c>
      <c r="J374">
        <v>99.8</v>
      </c>
      <c r="K374">
        <v>31.6</v>
      </c>
      <c r="L374" t="s">
        <v>11</v>
      </c>
      <c r="M374">
        <v>0</v>
      </c>
      <c r="N374" t="str">
        <f t="shared" si="15"/>
        <v>40–59</v>
      </c>
      <c r="O374" t="str">
        <f t="shared" si="16"/>
        <v>Obese</v>
      </c>
    </row>
    <row r="375" spans="1:15" x14ac:dyDescent="0.3">
      <c r="A375">
        <v>34402</v>
      </c>
      <c r="B375" t="s">
        <v>7</v>
      </c>
      <c r="C375">
        <v>23</v>
      </c>
      <c r="D375">
        <v>0</v>
      </c>
      <c r="E375">
        <v>0</v>
      </c>
      <c r="F375" t="str">
        <f t="shared" si="17"/>
        <v>Lower Risk</v>
      </c>
      <c r="G375" t="s">
        <v>3</v>
      </c>
      <c r="H375" t="s">
        <v>4</v>
      </c>
      <c r="I375" t="s">
        <v>9</v>
      </c>
      <c r="J375">
        <v>91.97</v>
      </c>
      <c r="K375">
        <v>21.6</v>
      </c>
      <c r="L375" t="s">
        <v>6</v>
      </c>
      <c r="M375">
        <v>0</v>
      </c>
      <c r="N375" t="str">
        <f t="shared" si="15"/>
        <v>Under 40</v>
      </c>
      <c r="O375" t="str">
        <f t="shared" si="16"/>
        <v>Normal</v>
      </c>
    </row>
    <row r="376" spans="1:15" x14ac:dyDescent="0.3">
      <c r="A376">
        <v>58282</v>
      </c>
      <c r="B376" t="s">
        <v>7</v>
      </c>
      <c r="C376">
        <v>53</v>
      </c>
      <c r="D376">
        <v>0</v>
      </c>
      <c r="E376">
        <v>0</v>
      </c>
      <c r="F376" t="str">
        <f t="shared" si="17"/>
        <v>Lower Risk</v>
      </c>
      <c r="G376" t="s">
        <v>3</v>
      </c>
      <c r="H376" t="s">
        <v>15</v>
      </c>
      <c r="I376" t="s">
        <v>9</v>
      </c>
      <c r="J376">
        <v>64.400000000000006</v>
      </c>
      <c r="K376">
        <v>31</v>
      </c>
      <c r="L376" t="s">
        <v>12</v>
      </c>
      <c r="M376">
        <v>0</v>
      </c>
      <c r="N376" t="str">
        <f t="shared" si="15"/>
        <v>40–59</v>
      </c>
      <c r="O376" t="str">
        <f t="shared" si="16"/>
        <v>Obese</v>
      </c>
    </row>
    <row r="377" spans="1:15" x14ac:dyDescent="0.3">
      <c r="A377">
        <v>64489</v>
      </c>
      <c r="B377" t="s">
        <v>2</v>
      </c>
      <c r="C377">
        <v>56</v>
      </c>
      <c r="D377">
        <v>0</v>
      </c>
      <c r="E377">
        <v>0</v>
      </c>
      <c r="F377" t="str">
        <f t="shared" si="17"/>
        <v>Lower Risk</v>
      </c>
      <c r="G377" t="s">
        <v>3</v>
      </c>
      <c r="H377" t="s">
        <v>15</v>
      </c>
      <c r="I377" t="s">
        <v>9</v>
      </c>
      <c r="J377">
        <v>73.02</v>
      </c>
      <c r="K377">
        <v>31.1</v>
      </c>
      <c r="L377" t="s">
        <v>11</v>
      </c>
      <c r="M377">
        <v>0</v>
      </c>
      <c r="N377" t="str">
        <f t="shared" si="15"/>
        <v>40–59</v>
      </c>
      <c r="O377" t="str">
        <f t="shared" si="16"/>
        <v>Obese</v>
      </c>
    </row>
    <row r="378" spans="1:15" x14ac:dyDescent="0.3">
      <c r="A378">
        <v>22706</v>
      </c>
      <c r="B378" t="s">
        <v>7</v>
      </c>
      <c r="C378">
        <v>0.88</v>
      </c>
      <c r="D378">
        <v>0</v>
      </c>
      <c r="E378">
        <v>0</v>
      </c>
      <c r="F378" t="str">
        <f t="shared" si="17"/>
        <v>Lower Risk</v>
      </c>
      <c r="G378" t="s">
        <v>13</v>
      </c>
      <c r="H378" t="s">
        <v>16</v>
      </c>
      <c r="I378" t="s">
        <v>9</v>
      </c>
      <c r="J378">
        <v>88.11</v>
      </c>
      <c r="K378">
        <v>15.5</v>
      </c>
      <c r="L378" t="s">
        <v>14</v>
      </c>
      <c r="M378">
        <v>0</v>
      </c>
      <c r="N378" t="str">
        <f t="shared" si="15"/>
        <v>Under 40</v>
      </c>
      <c r="O378" t="str">
        <f t="shared" si="16"/>
        <v>Underweight</v>
      </c>
    </row>
    <row r="379" spans="1:15" x14ac:dyDescent="0.3">
      <c r="A379">
        <v>71539</v>
      </c>
      <c r="B379" t="s">
        <v>2</v>
      </c>
      <c r="C379">
        <v>25</v>
      </c>
      <c r="D379">
        <v>0</v>
      </c>
      <c r="E379">
        <v>0</v>
      </c>
      <c r="F379" t="str">
        <f t="shared" si="17"/>
        <v>Lower Risk</v>
      </c>
      <c r="G379" t="s">
        <v>13</v>
      </c>
      <c r="H379" t="s">
        <v>4</v>
      </c>
      <c r="I379" t="s">
        <v>5</v>
      </c>
      <c r="J379">
        <v>138.29</v>
      </c>
      <c r="K379">
        <v>27.3</v>
      </c>
      <c r="L379" t="s">
        <v>14</v>
      </c>
      <c r="M379">
        <v>0</v>
      </c>
      <c r="N379" t="str">
        <f t="shared" si="15"/>
        <v>Under 40</v>
      </c>
      <c r="O379" t="str">
        <f t="shared" si="16"/>
        <v>Overweight</v>
      </c>
    </row>
    <row r="380" spans="1:15" x14ac:dyDescent="0.3">
      <c r="A380">
        <v>28637</v>
      </c>
      <c r="B380" t="s">
        <v>7</v>
      </c>
      <c r="C380">
        <v>14</v>
      </c>
      <c r="D380">
        <v>0</v>
      </c>
      <c r="E380">
        <v>0</v>
      </c>
      <c r="F380" t="str">
        <f t="shared" si="17"/>
        <v>Lower Risk</v>
      </c>
      <c r="G380" t="s">
        <v>13</v>
      </c>
      <c r="H380" t="s">
        <v>16</v>
      </c>
      <c r="I380" t="s">
        <v>9</v>
      </c>
      <c r="J380">
        <v>72.36</v>
      </c>
      <c r="K380">
        <v>20.5</v>
      </c>
      <c r="L380" t="s">
        <v>14</v>
      </c>
      <c r="M380">
        <v>0</v>
      </c>
      <c r="N380" t="str">
        <f t="shared" si="15"/>
        <v>Under 40</v>
      </c>
      <c r="O380" t="str">
        <f t="shared" si="16"/>
        <v>Normal</v>
      </c>
    </row>
    <row r="381" spans="1:15" x14ac:dyDescent="0.3">
      <c r="A381">
        <v>64553</v>
      </c>
      <c r="B381" t="s">
        <v>7</v>
      </c>
      <c r="C381">
        <v>53</v>
      </c>
      <c r="D381">
        <v>0</v>
      </c>
      <c r="E381">
        <v>0</v>
      </c>
      <c r="F381" t="str">
        <f t="shared" si="17"/>
        <v>Lower Risk</v>
      </c>
      <c r="G381" t="s">
        <v>3</v>
      </c>
      <c r="H381" t="s">
        <v>4</v>
      </c>
      <c r="I381" t="s">
        <v>9</v>
      </c>
      <c r="J381">
        <v>68.760000000000005</v>
      </c>
      <c r="K381">
        <v>35.6</v>
      </c>
      <c r="L381" t="s">
        <v>6</v>
      </c>
      <c r="M381">
        <v>0</v>
      </c>
      <c r="N381" t="str">
        <f t="shared" si="15"/>
        <v>40–59</v>
      </c>
      <c r="O381" t="str">
        <f t="shared" si="16"/>
        <v>Obese</v>
      </c>
    </row>
    <row r="382" spans="1:15" x14ac:dyDescent="0.3">
      <c r="A382">
        <v>31741</v>
      </c>
      <c r="B382" t="s">
        <v>2</v>
      </c>
      <c r="C382">
        <v>4</v>
      </c>
      <c r="D382">
        <v>0</v>
      </c>
      <c r="E382">
        <v>0</v>
      </c>
      <c r="F382" t="str">
        <f t="shared" si="17"/>
        <v>Lower Risk</v>
      </c>
      <c r="G382" t="s">
        <v>13</v>
      </c>
      <c r="H382" t="s">
        <v>16</v>
      </c>
      <c r="I382" t="s">
        <v>9</v>
      </c>
      <c r="J382">
        <v>106.22</v>
      </c>
      <c r="K382">
        <v>16.7</v>
      </c>
      <c r="L382" t="s">
        <v>14</v>
      </c>
      <c r="M382">
        <v>0</v>
      </c>
      <c r="N382" t="str">
        <f t="shared" si="15"/>
        <v>Under 40</v>
      </c>
      <c r="O382" t="str">
        <f t="shared" si="16"/>
        <v>Underweight</v>
      </c>
    </row>
    <row r="383" spans="1:15" x14ac:dyDescent="0.3">
      <c r="A383">
        <v>69936</v>
      </c>
      <c r="B383" t="s">
        <v>7</v>
      </c>
      <c r="C383">
        <v>39</v>
      </c>
      <c r="D383">
        <v>0</v>
      </c>
      <c r="E383">
        <v>0</v>
      </c>
      <c r="F383" t="str">
        <f t="shared" si="17"/>
        <v>Lower Risk</v>
      </c>
      <c r="G383" t="s">
        <v>3</v>
      </c>
      <c r="H383" t="s">
        <v>4</v>
      </c>
      <c r="I383" t="s">
        <v>5</v>
      </c>
      <c r="J383">
        <v>101.52</v>
      </c>
      <c r="K383">
        <v>41.8</v>
      </c>
      <c r="L383" t="s">
        <v>11</v>
      </c>
      <c r="M383">
        <v>0</v>
      </c>
      <c r="N383" t="str">
        <f t="shared" si="15"/>
        <v>Under 40</v>
      </c>
      <c r="O383" t="str">
        <f t="shared" si="16"/>
        <v>Obese</v>
      </c>
    </row>
    <row r="384" spans="1:15" x14ac:dyDescent="0.3">
      <c r="A384">
        <v>46527</v>
      </c>
      <c r="B384" t="s">
        <v>2</v>
      </c>
      <c r="C384">
        <v>53</v>
      </c>
      <c r="D384">
        <v>1</v>
      </c>
      <c r="E384">
        <v>1</v>
      </c>
      <c r="F384" t="str">
        <f t="shared" si="17"/>
        <v>Lower Risk</v>
      </c>
      <c r="G384" t="s">
        <v>3</v>
      </c>
      <c r="H384" t="s">
        <v>15</v>
      </c>
      <c r="I384" t="s">
        <v>9</v>
      </c>
      <c r="J384">
        <v>109.51</v>
      </c>
      <c r="K384">
        <v>41.9</v>
      </c>
      <c r="L384" t="s">
        <v>11</v>
      </c>
      <c r="M384">
        <v>0</v>
      </c>
      <c r="N384" t="str">
        <f t="shared" si="15"/>
        <v>40–59</v>
      </c>
      <c r="O384" t="str">
        <f t="shared" si="16"/>
        <v>Obese</v>
      </c>
    </row>
    <row r="385" spans="1:15" x14ac:dyDescent="0.3">
      <c r="A385">
        <v>22537</v>
      </c>
      <c r="B385" t="s">
        <v>2</v>
      </c>
      <c r="C385">
        <v>5</v>
      </c>
      <c r="D385">
        <v>0</v>
      </c>
      <c r="E385">
        <v>0</v>
      </c>
      <c r="F385" t="str">
        <f t="shared" si="17"/>
        <v>Lower Risk</v>
      </c>
      <c r="G385" t="s">
        <v>13</v>
      </c>
      <c r="H385" t="s">
        <v>16</v>
      </c>
      <c r="I385" t="s">
        <v>9</v>
      </c>
      <c r="J385">
        <v>85.84</v>
      </c>
      <c r="K385">
        <v>16.399999999999999</v>
      </c>
      <c r="L385" t="s">
        <v>14</v>
      </c>
      <c r="M385">
        <v>0</v>
      </c>
      <c r="N385" t="str">
        <f t="shared" si="15"/>
        <v>Under 40</v>
      </c>
      <c r="O385" t="str">
        <f t="shared" si="16"/>
        <v>Underweight</v>
      </c>
    </row>
    <row r="386" spans="1:15" x14ac:dyDescent="0.3">
      <c r="A386">
        <v>50611</v>
      </c>
      <c r="B386" t="s">
        <v>2</v>
      </c>
      <c r="C386">
        <v>4</v>
      </c>
      <c r="D386">
        <v>0</v>
      </c>
      <c r="E386">
        <v>0</v>
      </c>
      <c r="F386" t="str">
        <f t="shared" si="17"/>
        <v>Lower Risk</v>
      </c>
      <c r="G386" t="s">
        <v>13</v>
      </c>
      <c r="H386" t="s">
        <v>16</v>
      </c>
      <c r="I386" t="s">
        <v>9</v>
      </c>
      <c r="J386">
        <v>110.15</v>
      </c>
      <c r="K386">
        <v>17.100000000000001</v>
      </c>
      <c r="L386" t="s">
        <v>14</v>
      </c>
      <c r="M386">
        <v>0</v>
      </c>
      <c r="N386" t="str">
        <f t="shared" ref="N386:N449" si="18">IF(C386&lt;40,"Under 40",IF(C386&lt;60,"40–59","60+"))</f>
        <v>Under 40</v>
      </c>
      <c r="O386" t="str">
        <f t="shared" ref="O386:O449" si="19">IF(K386="N/A","Unknown",
IF(K386="","Unknown",
IF(K386&lt;18.5,"Underweight",
IF(K386&lt;25,"Normal",
IF(K386&lt;30,"Overweight","Obese")))))</f>
        <v>Underweight</v>
      </c>
    </row>
    <row r="387" spans="1:15" x14ac:dyDescent="0.3">
      <c r="A387">
        <v>13547</v>
      </c>
      <c r="B387" t="s">
        <v>7</v>
      </c>
      <c r="C387">
        <v>37</v>
      </c>
      <c r="D387">
        <v>0</v>
      </c>
      <c r="E387">
        <v>0</v>
      </c>
      <c r="F387" t="str">
        <f t="shared" ref="F387:F450" si="20">IF(C387&gt;=60,
IF(OR(D387=1,E387=1),"High Risk","Moderate Risk"),
"Lower Risk")</f>
        <v>Lower Risk</v>
      </c>
      <c r="G387" t="s">
        <v>3</v>
      </c>
      <c r="H387" t="s">
        <v>4</v>
      </c>
      <c r="I387" t="s">
        <v>5</v>
      </c>
      <c r="J387">
        <v>91.72</v>
      </c>
      <c r="K387">
        <v>29.2</v>
      </c>
      <c r="L387" t="s">
        <v>11</v>
      </c>
      <c r="M387">
        <v>0</v>
      </c>
      <c r="N387" t="str">
        <f t="shared" si="18"/>
        <v>Under 40</v>
      </c>
      <c r="O387" t="str">
        <f t="shared" si="19"/>
        <v>Overweight</v>
      </c>
    </row>
    <row r="388" spans="1:15" x14ac:dyDescent="0.3">
      <c r="A388">
        <v>63732</v>
      </c>
      <c r="B388" t="s">
        <v>2</v>
      </c>
      <c r="C388">
        <v>70</v>
      </c>
      <c r="D388">
        <v>1</v>
      </c>
      <c r="E388">
        <v>0</v>
      </c>
      <c r="F388" t="str">
        <f t="shared" si="20"/>
        <v>High Risk</v>
      </c>
      <c r="G388" t="s">
        <v>3</v>
      </c>
      <c r="H388" t="s">
        <v>8</v>
      </c>
      <c r="I388" t="s">
        <v>5</v>
      </c>
      <c r="J388">
        <v>251.6</v>
      </c>
      <c r="K388">
        <v>27.1</v>
      </c>
      <c r="L388" t="s">
        <v>11</v>
      </c>
      <c r="M388">
        <v>0</v>
      </c>
      <c r="N388" t="str">
        <f t="shared" si="18"/>
        <v>60+</v>
      </c>
      <c r="O388" t="str">
        <f t="shared" si="19"/>
        <v>Overweight</v>
      </c>
    </row>
    <row r="389" spans="1:15" x14ac:dyDescent="0.3">
      <c r="A389">
        <v>9608</v>
      </c>
      <c r="B389" t="s">
        <v>2</v>
      </c>
      <c r="C389">
        <v>24</v>
      </c>
      <c r="D389">
        <v>0</v>
      </c>
      <c r="E389">
        <v>0</v>
      </c>
      <c r="F389" t="str">
        <f t="shared" si="20"/>
        <v>Lower Risk</v>
      </c>
      <c r="G389" t="s">
        <v>13</v>
      </c>
      <c r="H389" t="s">
        <v>4</v>
      </c>
      <c r="I389" t="s">
        <v>5</v>
      </c>
      <c r="J389">
        <v>123.1</v>
      </c>
      <c r="K389">
        <v>37.9</v>
      </c>
      <c r="L389" t="s">
        <v>11</v>
      </c>
      <c r="M389">
        <v>0</v>
      </c>
      <c r="N389" t="str">
        <f t="shared" si="18"/>
        <v>Under 40</v>
      </c>
      <c r="O389" t="str">
        <f t="shared" si="19"/>
        <v>Obese</v>
      </c>
    </row>
    <row r="390" spans="1:15" x14ac:dyDescent="0.3">
      <c r="A390">
        <v>10504</v>
      </c>
      <c r="B390" t="s">
        <v>2</v>
      </c>
      <c r="C390">
        <v>55</v>
      </c>
      <c r="D390">
        <v>0</v>
      </c>
      <c r="E390">
        <v>0</v>
      </c>
      <c r="F390" t="str">
        <f t="shared" si="20"/>
        <v>Lower Risk</v>
      </c>
      <c r="G390" t="s">
        <v>3</v>
      </c>
      <c r="H390" t="s">
        <v>15</v>
      </c>
      <c r="I390" t="s">
        <v>9</v>
      </c>
      <c r="J390">
        <v>97.4</v>
      </c>
      <c r="K390">
        <v>44.6</v>
      </c>
      <c r="L390" t="s">
        <v>6</v>
      </c>
      <c r="M390">
        <v>0</v>
      </c>
      <c r="N390" t="str">
        <f t="shared" si="18"/>
        <v>40–59</v>
      </c>
      <c r="O390" t="str">
        <f t="shared" si="19"/>
        <v>Obese</v>
      </c>
    </row>
    <row r="391" spans="1:15" x14ac:dyDescent="0.3">
      <c r="A391">
        <v>37090</v>
      </c>
      <c r="B391" t="s">
        <v>7</v>
      </c>
      <c r="C391">
        <v>70</v>
      </c>
      <c r="D391">
        <v>0</v>
      </c>
      <c r="E391">
        <v>0</v>
      </c>
      <c r="F391" t="str">
        <f t="shared" si="20"/>
        <v>Moderate Risk</v>
      </c>
      <c r="G391" t="s">
        <v>3</v>
      </c>
      <c r="H391" t="s">
        <v>4</v>
      </c>
      <c r="I391" t="s">
        <v>9</v>
      </c>
      <c r="J391">
        <v>68.34</v>
      </c>
      <c r="K391">
        <v>22.8</v>
      </c>
      <c r="L391" t="s">
        <v>6</v>
      </c>
      <c r="M391">
        <v>0</v>
      </c>
      <c r="N391" t="str">
        <f t="shared" si="18"/>
        <v>60+</v>
      </c>
      <c r="O391" t="str">
        <f t="shared" si="19"/>
        <v>Normal</v>
      </c>
    </row>
    <row r="392" spans="1:15" x14ac:dyDescent="0.3">
      <c r="A392">
        <v>60148</v>
      </c>
      <c r="B392" t="s">
        <v>2</v>
      </c>
      <c r="C392">
        <v>34</v>
      </c>
      <c r="D392">
        <v>0</v>
      </c>
      <c r="E392">
        <v>0</v>
      </c>
      <c r="F392" t="str">
        <f t="shared" si="20"/>
        <v>Lower Risk</v>
      </c>
      <c r="G392" t="s">
        <v>3</v>
      </c>
      <c r="H392" t="s">
        <v>4</v>
      </c>
      <c r="I392" t="s">
        <v>5</v>
      </c>
      <c r="J392">
        <v>80.81</v>
      </c>
      <c r="K392">
        <v>33.200000000000003</v>
      </c>
      <c r="L392" t="s">
        <v>11</v>
      </c>
      <c r="M392">
        <v>0</v>
      </c>
      <c r="N392" t="str">
        <f t="shared" si="18"/>
        <v>Under 40</v>
      </c>
      <c r="O392" t="str">
        <f t="shared" si="19"/>
        <v>Obese</v>
      </c>
    </row>
    <row r="393" spans="1:15" x14ac:dyDescent="0.3">
      <c r="A393">
        <v>9637</v>
      </c>
      <c r="B393" t="s">
        <v>2</v>
      </c>
      <c r="C393">
        <v>26</v>
      </c>
      <c r="D393">
        <v>0</v>
      </c>
      <c r="E393">
        <v>0</v>
      </c>
      <c r="F393" t="str">
        <f t="shared" si="20"/>
        <v>Lower Risk</v>
      </c>
      <c r="G393" t="s">
        <v>3</v>
      </c>
      <c r="H393" t="s">
        <v>4</v>
      </c>
      <c r="I393" t="s">
        <v>9</v>
      </c>
      <c r="J393">
        <v>120.31</v>
      </c>
      <c r="K393">
        <v>22.3</v>
      </c>
      <c r="L393" t="s">
        <v>12</v>
      </c>
      <c r="M393">
        <v>0</v>
      </c>
      <c r="N393" t="str">
        <f t="shared" si="18"/>
        <v>Under 40</v>
      </c>
      <c r="O393" t="str">
        <f t="shared" si="19"/>
        <v>Normal</v>
      </c>
    </row>
    <row r="394" spans="1:15" x14ac:dyDescent="0.3">
      <c r="A394">
        <v>44862</v>
      </c>
      <c r="B394" t="s">
        <v>7</v>
      </c>
      <c r="C394">
        <v>39</v>
      </c>
      <c r="D394">
        <v>0</v>
      </c>
      <c r="E394">
        <v>0</v>
      </c>
      <c r="F394" t="str">
        <f t="shared" si="20"/>
        <v>Lower Risk</v>
      </c>
      <c r="G394" t="s">
        <v>3</v>
      </c>
      <c r="H394" t="s">
        <v>4</v>
      </c>
      <c r="I394" t="s">
        <v>9</v>
      </c>
      <c r="J394">
        <v>83.51</v>
      </c>
      <c r="K394">
        <v>26.4</v>
      </c>
      <c r="L394" t="s">
        <v>11</v>
      </c>
      <c r="M394">
        <v>0</v>
      </c>
      <c r="N394" t="str">
        <f t="shared" si="18"/>
        <v>Under 40</v>
      </c>
      <c r="O394" t="str">
        <f t="shared" si="19"/>
        <v>Overweight</v>
      </c>
    </row>
    <row r="395" spans="1:15" x14ac:dyDescent="0.3">
      <c r="A395">
        <v>52173</v>
      </c>
      <c r="B395" t="s">
        <v>2</v>
      </c>
      <c r="C395">
        <v>38</v>
      </c>
      <c r="D395">
        <v>0</v>
      </c>
      <c r="E395">
        <v>0</v>
      </c>
      <c r="F395" t="str">
        <f t="shared" si="20"/>
        <v>Lower Risk</v>
      </c>
      <c r="G395" t="s">
        <v>13</v>
      </c>
      <c r="H395" t="s">
        <v>8</v>
      </c>
      <c r="I395" t="s">
        <v>5</v>
      </c>
      <c r="J395">
        <v>74.09</v>
      </c>
      <c r="K395">
        <v>39.6</v>
      </c>
      <c r="L395" t="s">
        <v>11</v>
      </c>
      <c r="M395">
        <v>0</v>
      </c>
      <c r="N395" t="str">
        <f t="shared" si="18"/>
        <v>Under 40</v>
      </c>
      <c r="O395" t="str">
        <f t="shared" si="19"/>
        <v>Obese</v>
      </c>
    </row>
    <row r="396" spans="1:15" x14ac:dyDescent="0.3">
      <c r="A396">
        <v>5708</v>
      </c>
      <c r="B396" t="s">
        <v>7</v>
      </c>
      <c r="C396">
        <v>20</v>
      </c>
      <c r="D396">
        <v>0</v>
      </c>
      <c r="E396">
        <v>0</v>
      </c>
      <c r="F396" t="str">
        <f t="shared" si="20"/>
        <v>Lower Risk</v>
      </c>
      <c r="G396" t="s">
        <v>13</v>
      </c>
      <c r="H396" t="s">
        <v>4</v>
      </c>
      <c r="I396" t="s">
        <v>5</v>
      </c>
      <c r="J396">
        <v>91.6</v>
      </c>
      <c r="K396">
        <v>28.1</v>
      </c>
      <c r="L396" t="s">
        <v>11</v>
      </c>
      <c r="M396">
        <v>0</v>
      </c>
      <c r="N396" t="str">
        <f t="shared" si="18"/>
        <v>Under 40</v>
      </c>
      <c r="O396" t="str">
        <f t="shared" si="19"/>
        <v>Overweight</v>
      </c>
    </row>
    <row r="397" spans="1:15" x14ac:dyDescent="0.3">
      <c r="A397">
        <v>23462</v>
      </c>
      <c r="B397" t="s">
        <v>7</v>
      </c>
      <c r="C397">
        <v>17</v>
      </c>
      <c r="D397">
        <v>0</v>
      </c>
      <c r="E397">
        <v>0</v>
      </c>
      <c r="F397" t="str">
        <f t="shared" si="20"/>
        <v>Lower Risk</v>
      </c>
      <c r="G397" t="s">
        <v>13</v>
      </c>
      <c r="H397" t="s">
        <v>4</v>
      </c>
      <c r="I397" t="s">
        <v>5</v>
      </c>
      <c r="J397">
        <v>87.52</v>
      </c>
      <c r="K397">
        <v>39.200000000000003</v>
      </c>
      <c r="L397" t="s">
        <v>11</v>
      </c>
      <c r="M397">
        <v>0</v>
      </c>
      <c r="N397" t="str">
        <f t="shared" si="18"/>
        <v>Under 40</v>
      </c>
      <c r="O397" t="str">
        <f t="shared" si="19"/>
        <v>Obese</v>
      </c>
    </row>
    <row r="398" spans="1:15" x14ac:dyDescent="0.3">
      <c r="A398">
        <v>2374</v>
      </c>
      <c r="B398" t="s">
        <v>2</v>
      </c>
      <c r="C398">
        <v>60</v>
      </c>
      <c r="D398">
        <v>1</v>
      </c>
      <c r="E398">
        <v>0</v>
      </c>
      <c r="F398" t="str">
        <f t="shared" si="20"/>
        <v>High Risk</v>
      </c>
      <c r="G398" t="s">
        <v>3</v>
      </c>
      <c r="H398" t="s">
        <v>4</v>
      </c>
      <c r="I398" t="s">
        <v>9</v>
      </c>
      <c r="J398">
        <v>213.37</v>
      </c>
      <c r="K398">
        <v>36</v>
      </c>
      <c r="L398" t="s">
        <v>11</v>
      </c>
      <c r="M398">
        <v>0</v>
      </c>
      <c r="N398" t="str">
        <f t="shared" si="18"/>
        <v>60+</v>
      </c>
      <c r="O398" t="str">
        <f t="shared" si="19"/>
        <v>Obese</v>
      </c>
    </row>
    <row r="399" spans="1:15" x14ac:dyDescent="0.3">
      <c r="A399">
        <v>11091</v>
      </c>
      <c r="B399" t="s">
        <v>7</v>
      </c>
      <c r="C399">
        <v>75</v>
      </c>
      <c r="D399">
        <v>0</v>
      </c>
      <c r="E399">
        <v>0</v>
      </c>
      <c r="F399" t="str">
        <f t="shared" si="20"/>
        <v>Moderate Risk</v>
      </c>
      <c r="G399" t="s">
        <v>3</v>
      </c>
      <c r="H399" t="s">
        <v>8</v>
      </c>
      <c r="I399" t="s">
        <v>9</v>
      </c>
      <c r="J399">
        <v>75.39</v>
      </c>
      <c r="K399">
        <v>37.799999999999997</v>
      </c>
      <c r="L399" t="s">
        <v>11</v>
      </c>
      <c r="M399">
        <v>0</v>
      </c>
      <c r="N399" t="str">
        <f t="shared" si="18"/>
        <v>60+</v>
      </c>
      <c r="O399" t="str">
        <f t="shared" si="19"/>
        <v>Obese</v>
      </c>
    </row>
    <row r="400" spans="1:15" x14ac:dyDescent="0.3">
      <c r="A400">
        <v>70374</v>
      </c>
      <c r="B400" t="s">
        <v>7</v>
      </c>
      <c r="C400">
        <v>31</v>
      </c>
      <c r="D400">
        <v>0</v>
      </c>
      <c r="E400">
        <v>0</v>
      </c>
      <c r="F400" t="str">
        <f t="shared" si="20"/>
        <v>Lower Risk</v>
      </c>
      <c r="G400" t="s">
        <v>3</v>
      </c>
      <c r="H400" t="s">
        <v>4</v>
      </c>
      <c r="I400" t="s">
        <v>9</v>
      </c>
      <c r="J400">
        <v>122.41</v>
      </c>
      <c r="K400">
        <v>40.299999999999997</v>
      </c>
      <c r="L400" t="s">
        <v>12</v>
      </c>
      <c r="M400">
        <v>0</v>
      </c>
      <c r="N400" t="str">
        <f t="shared" si="18"/>
        <v>Under 40</v>
      </c>
      <c r="O400" t="str">
        <f t="shared" si="19"/>
        <v>Obese</v>
      </c>
    </row>
    <row r="401" spans="1:15" x14ac:dyDescent="0.3">
      <c r="A401">
        <v>15528</v>
      </c>
      <c r="B401" t="s">
        <v>2</v>
      </c>
      <c r="C401">
        <v>58</v>
      </c>
      <c r="D401">
        <v>1</v>
      </c>
      <c r="E401">
        <v>0</v>
      </c>
      <c r="F401" t="str">
        <f t="shared" si="20"/>
        <v>Lower Risk</v>
      </c>
      <c r="G401" t="s">
        <v>3</v>
      </c>
      <c r="H401" t="s">
        <v>4</v>
      </c>
      <c r="I401" t="s">
        <v>9</v>
      </c>
      <c r="J401">
        <v>223.36</v>
      </c>
      <c r="K401">
        <v>41.5</v>
      </c>
      <c r="L401" t="s">
        <v>6</v>
      </c>
      <c r="M401">
        <v>0</v>
      </c>
      <c r="N401" t="str">
        <f t="shared" si="18"/>
        <v>40–59</v>
      </c>
      <c r="O401" t="str">
        <f t="shared" si="19"/>
        <v>Obese</v>
      </c>
    </row>
    <row r="402" spans="1:15" x14ac:dyDescent="0.3">
      <c r="A402">
        <v>65357</v>
      </c>
      <c r="B402" t="s">
        <v>7</v>
      </c>
      <c r="C402">
        <v>5</v>
      </c>
      <c r="D402">
        <v>0</v>
      </c>
      <c r="E402">
        <v>0</v>
      </c>
      <c r="F402" t="str">
        <f t="shared" si="20"/>
        <v>Lower Risk</v>
      </c>
      <c r="G402" t="s">
        <v>13</v>
      </c>
      <c r="H402" t="s">
        <v>16</v>
      </c>
      <c r="I402" t="s">
        <v>9</v>
      </c>
      <c r="J402">
        <v>84.59</v>
      </c>
      <c r="K402">
        <v>17.7</v>
      </c>
      <c r="L402" t="s">
        <v>14</v>
      </c>
      <c r="M402">
        <v>0</v>
      </c>
      <c r="N402" t="str">
        <f t="shared" si="18"/>
        <v>Under 40</v>
      </c>
      <c r="O402" t="str">
        <f t="shared" si="19"/>
        <v>Underweight</v>
      </c>
    </row>
    <row r="403" spans="1:15" x14ac:dyDescent="0.3">
      <c r="A403">
        <v>49465</v>
      </c>
      <c r="B403" t="s">
        <v>7</v>
      </c>
      <c r="C403">
        <v>13</v>
      </c>
      <c r="D403">
        <v>0</v>
      </c>
      <c r="E403">
        <v>0</v>
      </c>
      <c r="F403" t="str">
        <f t="shared" si="20"/>
        <v>Lower Risk</v>
      </c>
      <c r="G403" t="s">
        <v>13</v>
      </c>
      <c r="H403" t="s">
        <v>16</v>
      </c>
      <c r="I403" t="s">
        <v>5</v>
      </c>
      <c r="J403">
        <v>70.16</v>
      </c>
      <c r="K403">
        <v>21.2</v>
      </c>
      <c r="L403" t="s">
        <v>11</v>
      </c>
      <c r="M403">
        <v>0</v>
      </c>
      <c r="N403" t="str">
        <f t="shared" si="18"/>
        <v>Under 40</v>
      </c>
      <c r="O403" t="str">
        <f t="shared" si="19"/>
        <v>Normal</v>
      </c>
    </row>
    <row r="404" spans="1:15" x14ac:dyDescent="0.3">
      <c r="A404">
        <v>31143</v>
      </c>
      <c r="B404" t="s">
        <v>7</v>
      </c>
      <c r="C404">
        <v>22</v>
      </c>
      <c r="D404">
        <v>0</v>
      </c>
      <c r="E404">
        <v>0</v>
      </c>
      <c r="F404" t="str">
        <f t="shared" si="20"/>
        <v>Lower Risk</v>
      </c>
      <c r="G404" t="s">
        <v>13</v>
      </c>
      <c r="H404" t="s">
        <v>4</v>
      </c>
      <c r="I404" t="s">
        <v>9</v>
      </c>
      <c r="J404">
        <v>107.52</v>
      </c>
      <c r="K404">
        <v>41.6</v>
      </c>
      <c r="L404" t="s">
        <v>14</v>
      </c>
      <c r="M404">
        <v>0</v>
      </c>
      <c r="N404" t="str">
        <f t="shared" si="18"/>
        <v>Under 40</v>
      </c>
      <c r="O404" t="str">
        <f t="shared" si="19"/>
        <v>Obese</v>
      </c>
    </row>
    <row r="405" spans="1:15" x14ac:dyDescent="0.3">
      <c r="A405">
        <v>66972</v>
      </c>
      <c r="B405" t="s">
        <v>7</v>
      </c>
      <c r="C405">
        <v>52</v>
      </c>
      <c r="D405">
        <v>0</v>
      </c>
      <c r="E405">
        <v>0</v>
      </c>
      <c r="F405" t="str">
        <f t="shared" si="20"/>
        <v>Lower Risk</v>
      </c>
      <c r="G405" t="s">
        <v>3</v>
      </c>
      <c r="H405" t="s">
        <v>15</v>
      </c>
      <c r="I405" t="s">
        <v>5</v>
      </c>
      <c r="J405">
        <v>80.88</v>
      </c>
      <c r="K405">
        <v>23.8</v>
      </c>
      <c r="L405" t="s">
        <v>12</v>
      </c>
      <c r="M405">
        <v>0</v>
      </c>
      <c r="N405" t="str">
        <f t="shared" si="18"/>
        <v>40–59</v>
      </c>
      <c r="O405" t="str">
        <f t="shared" si="19"/>
        <v>Normal</v>
      </c>
    </row>
    <row r="406" spans="1:15" x14ac:dyDescent="0.3">
      <c r="A406">
        <v>55810</v>
      </c>
      <c r="B406" t="s">
        <v>7</v>
      </c>
      <c r="C406">
        <v>61</v>
      </c>
      <c r="D406">
        <v>0</v>
      </c>
      <c r="E406">
        <v>0</v>
      </c>
      <c r="F406" t="str">
        <f t="shared" si="20"/>
        <v>Moderate Risk</v>
      </c>
      <c r="G406" t="s">
        <v>3</v>
      </c>
      <c r="H406" t="s">
        <v>8</v>
      </c>
      <c r="I406" t="s">
        <v>9</v>
      </c>
      <c r="J406">
        <v>93.48</v>
      </c>
      <c r="K406">
        <v>23.7</v>
      </c>
      <c r="L406" t="s">
        <v>14</v>
      </c>
      <c r="M406">
        <v>0</v>
      </c>
      <c r="N406" t="str">
        <f t="shared" si="18"/>
        <v>60+</v>
      </c>
      <c r="O406" t="str">
        <f t="shared" si="19"/>
        <v>Normal</v>
      </c>
    </row>
    <row r="407" spans="1:15" x14ac:dyDescent="0.3">
      <c r="A407">
        <v>37031</v>
      </c>
      <c r="B407" t="s">
        <v>7</v>
      </c>
      <c r="C407">
        <v>78</v>
      </c>
      <c r="D407">
        <v>0</v>
      </c>
      <c r="E407">
        <v>1</v>
      </c>
      <c r="F407" t="str">
        <f t="shared" si="20"/>
        <v>High Risk</v>
      </c>
      <c r="G407" t="s">
        <v>3</v>
      </c>
      <c r="H407" t="s">
        <v>15</v>
      </c>
      <c r="I407" t="s">
        <v>5</v>
      </c>
      <c r="J407">
        <v>70.209999999999994</v>
      </c>
      <c r="K407">
        <v>24.8</v>
      </c>
      <c r="L407" t="s">
        <v>11</v>
      </c>
      <c r="M407">
        <v>0</v>
      </c>
      <c r="N407" t="str">
        <f t="shared" si="18"/>
        <v>60+</v>
      </c>
      <c r="O407" t="str">
        <f t="shared" si="19"/>
        <v>Normal</v>
      </c>
    </row>
    <row r="408" spans="1:15" x14ac:dyDescent="0.3">
      <c r="A408">
        <v>34608</v>
      </c>
      <c r="B408" t="s">
        <v>2</v>
      </c>
      <c r="C408">
        <v>57</v>
      </c>
      <c r="D408">
        <v>0</v>
      </c>
      <c r="E408">
        <v>0</v>
      </c>
      <c r="F408" t="str">
        <f t="shared" si="20"/>
        <v>Lower Risk</v>
      </c>
      <c r="G408" t="s">
        <v>3</v>
      </c>
      <c r="H408" t="s">
        <v>4</v>
      </c>
      <c r="I408" t="s">
        <v>9</v>
      </c>
      <c r="J408">
        <v>86.67</v>
      </c>
      <c r="K408">
        <v>39</v>
      </c>
      <c r="L408" t="s">
        <v>14</v>
      </c>
      <c r="M408">
        <v>0</v>
      </c>
      <c r="N408" t="str">
        <f t="shared" si="18"/>
        <v>40–59</v>
      </c>
      <c r="O408" t="str">
        <f t="shared" si="19"/>
        <v>Obese</v>
      </c>
    </row>
    <row r="409" spans="1:15" x14ac:dyDescent="0.3">
      <c r="A409">
        <v>36007</v>
      </c>
      <c r="B409" t="s">
        <v>7</v>
      </c>
      <c r="C409">
        <v>21</v>
      </c>
      <c r="D409">
        <v>0</v>
      </c>
      <c r="E409">
        <v>0</v>
      </c>
      <c r="F409" t="str">
        <f t="shared" si="20"/>
        <v>Lower Risk</v>
      </c>
      <c r="G409" t="s">
        <v>3</v>
      </c>
      <c r="H409" t="s">
        <v>4</v>
      </c>
      <c r="I409" t="s">
        <v>9</v>
      </c>
      <c r="J409">
        <v>101.37</v>
      </c>
      <c r="K409">
        <v>37.9</v>
      </c>
      <c r="L409" t="s">
        <v>11</v>
      </c>
      <c r="M409">
        <v>0</v>
      </c>
      <c r="N409" t="str">
        <f t="shared" si="18"/>
        <v>Under 40</v>
      </c>
      <c r="O409" t="str">
        <f t="shared" si="19"/>
        <v>Obese</v>
      </c>
    </row>
    <row r="410" spans="1:15" x14ac:dyDescent="0.3">
      <c r="A410">
        <v>14123</v>
      </c>
      <c r="B410" t="s">
        <v>7</v>
      </c>
      <c r="C410">
        <v>22</v>
      </c>
      <c r="D410">
        <v>0</v>
      </c>
      <c r="E410">
        <v>0</v>
      </c>
      <c r="F410" t="str">
        <f t="shared" si="20"/>
        <v>Lower Risk</v>
      </c>
      <c r="G410" t="s">
        <v>3</v>
      </c>
      <c r="H410" t="s">
        <v>4</v>
      </c>
      <c r="I410" t="s">
        <v>9</v>
      </c>
      <c r="J410">
        <v>105.22</v>
      </c>
      <c r="K410">
        <v>31.1</v>
      </c>
      <c r="L410" t="s">
        <v>11</v>
      </c>
      <c r="M410">
        <v>0</v>
      </c>
      <c r="N410" t="str">
        <f t="shared" si="18"/>
        <v>Under 40</v>
      </c>
      <c r="O410" t="str">
        <f t="shared" si="19"/>
        <v>Obese</v>
      </c>
    </row>
    <row r="411" spans="1:15" x14ac:dyDescent="0.3">
      <c r="A411">
        <v>48298</v>
      </c>
      <c r="B411" t="s">
        <v>7</v>
      </c>
      <c r="C411">
        <v>80</v>
      </c>
      <c r="D411">
        <v>0</v>
      </c>
      <c r="E411">
        <v>0</v>
      </c>
      <c r="F411" t="str">
        <f t="shared" si="20"/>
        <v>Moderate Risk</v>
      </c>
      <c r="G411" t="s">
        <v>3</v>
      </c>
      <c r="H411" t="s">
        <v>4</v>
      </c>
      <c r="I411" t="s">
        <v>9</v>
      </c>
      <c r="J411">
        <v>70.31</v>
      </c>
      <c r="K411">
        <v>23.2</v>
      </c>
      <c r="L411" t="s">
        <v>14</v>
      </c>
      <c r="M411">
        <v>0</v>
      </c>
      <c r="N411" t="str">
        <f t="shared" si="18"/>
        <v>60+</v>
      </c>
      <c r="O411" t="str">
        <f t="shared" si="19"/>
        <v>Normal</v>
      </c>
    </row>
    <row r="412" spans="1:15" x14ac:dyDescent="0.3">
      <c r="A412">
        <v>54975</v>
      </c>
      <c r="B412" t="s">
        <v>2</v>
      </c>
      <c r="C412">
        <v>7</v>
      </c>
      <c r="D412">
        <v>0</v>
      </c>
      <c r="E412">
        <v>0</v>
      </c>
      <c r="F412" t="str">
        <f t="shared" si="20"/>
        <v>Lower Risk</v>
      </c>
      <c r="G412" t="s">
        <v>13</v>
      </c>
      <c r="H412" t="s">
        <v>8</v>
      </c>
      <c r="I412" t="s">
        <v>9</v>
      </c>
      <c r="J412">
        <v>64.06</v>
      </c>
      <c r="K412">
        <v>18.899999999999999</v>
      </c>
      <c r="L412" t="s">
        <v>14</v>
      </c>
      <c r="M412">
        <v>0</v>
      </c>
      <c r="N412" t="str">
        <f t="shared" si="18"/>
        <v>Under 40</v>
      </c>
      <c r="O412" t="str">
        <f t="shared" si="19"/>
        <v>Normal</v>
      </c>
    </row>
    <row r="413" spans="1:15" x14ac:dyDescent="0.3">
      <c r="A413">
        <v>27213</v>
      </c>
      <c r="B413" t="s">
        <v>2</v>
      </c>
      <c r="C413">
        <v>64</v>
      </c>
      <c r="D413">
        <v>1</v>
      </c>
      <c r="E413">
        <v>0</v>
      </c>
      <c r="F413" t="str">
        <f t="shared" si="20"/>
        <v>High Risk</v>
      </c>
      <c r="G413" t="s">
        <v>3</v>
      </c>
      <c r="H413" t="s">
        <v>8</v>
      </c>
      <c r="I413" t="s">
        <v>9</v>
      </c>
      <c r="J413">
        <v>178.29</v>
      </c>
      <c r="K413">
        <v>36.1</v>
      </c>
      <c r="L413" t="s">
        <v>11</v>
      </c>
      <c r="M413">
        <v>0</v>
      </c>
      <c r="N413" t="str">
        <f t="shared" si="18"/>
        <v>60+</v>
      </c>
      <c r="O413" t="str">
        <f t="shared" si="19"/>
        <v>Obese</v>
      </c>
    </row>
    <row r="414" spans="1:15" x14ac:dyDescent="0.3">
      <c r="A414">
        <v>44749</v>
      </c>
      <c r="B414" t="s">
        <v>7</v>
      </c>
      <c r="C414">
        <v>64</v>
      </c>
      <c r="D414">
        <v>0</v>
      </c>
      <c r="E414">
        <v>0</v>
      </c>
      <c r="F414" t="str">
        <f t="shared" si="20"/>
        <v>Moderate Risk</v>
      </c>
      <c r="G414" t="s">
        <v>13</v>
      </c>
      <c r="H414" t="s">
        <v>15</v>
      </c>
      <c r="I414" t="s">
        <v>9</v>
      </c>
      <c r="J414">
        <v>81.599999999999994</v>
      </c>
      <c r="K414">
        <v>36.299999999999997</v>
      </c>
      <c r="L414" t="s">
        <v>12</v>
      </c>
      <c r="M414">
        <v>0</v>
      </c>
      <c r="N414" t="str">
        <f t="shared" si="18"/>
        <v>60+</v>
      </c>
      <c r="O414" t="str">
        <f t="shared" si="19"/>
        <v>Obese</v>
      </c>
    </row>
    <row r="415" spans="1:15" x14ac:dyDescent="0.3">
      <c r="A415">
        <v>46468</v>
      </c>
      <c r="B415" t="s">
        <v>7</v>
      </c>
      <c r="C415">
        <v>38</v>
      </c>
      <c r="D415">
        <v>0</v>
      </c>
      <c r="E415">
        <v>0</v>
      </c>
      <c r="F415" t="str">
        <f t="shared" si="20"/>
        <v>Lower Risk</v>
      </c>
      <c r="G415" t="s">
        <v>3</v>
      </c>
      <c r="H415" t="s">
        <v>8</v>
      </c>
      <c r="I415" t="s">
        <v>5</v>
      </c>
      <c r="J415">
        <v>147.47999999999999</v>
      </c>
      <c r="K415">
        <v>40.5</v>
      </c>
      <c r="L415" t="s">
        <v>14</v>
      </c>
      <c r="M415">
        <v>0</v>
      </c>
      <c r="N415" t="str">
        <f t="shared" si="18"/>
        <v>Under 40</v>
      </c>
      <c r="O415" t="str">
        <f t="shared" si="19"/>
        <v>Obese</v>
      </c>
    </row>
    <row r="416" spans="1:15" x14ac:dyDescent="0.3">
      <c r="A416">
        <v>10913</v>
      </c>
      <c r="B416" t="s">
        <v>2</v>
      </c>
      <c r="C416">
        <v>12</v>
      </c>
      <c r="D416">
        <v>0</v>
      </c>
      <c r="E416">
        <v>0</v>
      </c>
      <c r="F416" t="str">
        <f t="shared" si="20"/>
        <v>Lower Risk</v>
      </c>
      <c r="G416" t="s">
        <v>13</v>
      </c>
      <c r="H416" t="s">
        <v>16</v>
      </c>
      <c r="I416" t="s">
        <v>5</v>
      </c>
      <c r="J416">
        <v>86.86</v>
      </c>
      <c r="K416">
        <v>25.4</v>
      </c>
      <c r="L416" t="s">
        <v>11</v>
      </c>
      <c r="M416">
        <v>0</v>
      </c>
      <c r="N416" t="str">
        <f t="shared" si="18"/>
        <v>Under 40</v>
      </c>
      <c r="O416" t="str">
        <f t="shared" si="19"/>
        <v>Overweight</v>
      </c>
    </row>
    <row r="417" spans="1:15" x14ac:dyDescent="0.3">
      <c r="A417">
        <v>51983</v>
      </c>
      <c r="B417" t="s">
        <v>7</v>
      </c>
      <c r="C417">
        <v>33</v>
      </c>
      <c r="D417">
        <v>0</v>
      </c>
      <c r="E417">
        <v>0</v>
      </c>
      <c r="F417" t="str">
        <f t="shared" si="20"/>
        <v>Lower Risk</v>
      </c>
      <c r="G417" t="s">
        <v>3</v>
      </c>
      <c r="H417" t="s">
        <v>4</v>
      </c>
      <c r="I417" t="s">
        <v>9</v>
      </c>
      <c r="J417">
        <v>71.16</v>
      </c>
      <c r="K417">
        <v>46.5</v>
      </c>
      <c r="L417" t="s">
        <v>12</v>
      </c>
      <c r="M417">
        <v>0</v>
      </c>
      <c r="N417" t="str">
        <f t="shared" si="18"/>
        <v>Under 40</v>
      </c>
      <c r="O417" t="str">
        <f t="shared" si="19"/>
        <v>Obese</v>
      </c>
    </row>
    <row r="418" spans="1:15" x14ac:dyDescent="0.3">
      <c r="A418">
        <v>27029</v>
      </c>
      <c r="B418" t="s">
        <v>7</v>
      </c>
      <c r="C418">
        <v>3</v>
      </c>
      <c r="D418">
        <v>0</v>
      </c>
      <c r="E418">
        <v>0</v>
      </c>
      <c r="F418" t="str">
        <f t="shared" si="20"/>
        <v>Lower Risk</v>
      </c>
      <c r="G418" t="s">
        <v>13</v>
      </c>
      <c r="H418" t="s">
        <v>16</v>
      </c>
      <c r="I418" t="s">
        <v>5</v>
      </c>
      <c r="J418">
        <v>73.2</v>
      </c>
      <c r="K418">
        <v>16.8</v>
      </c>
      <c r="L418" t="s">
        <v>14</v>
      </c>
      <c r="M418">
        <v>0</v>
      </c>
      <c r="N418" t="str">
        <f t="shared" si="18"/>
        <v>Under 40</v>
      </c>
      <c r="O418" t="str">
        <f t="shared" si="19"/>
        <v>Underweight</v>
      </c>
    </row>
    <row r="419" spans="1:15" x14ac:dyDescent="0.3">
      <c r="A419">
        <v>22320</v>
      </c>
      <c r="B419" t="s">
        <v>7</v>
      </c>
      <c r="C419">
        <v>37</v>
      </c>
      <c r="D419">
        <v>0</v>
      </c>
      <c r="E419">
        <v>0</v>
      </c>
      <c r="F419" t="str">
        <f t="shared" si="20"/>
        <v>Lower Risk</v>
      </c>
      <c r="G419" t="s">
        <v>3</v>
      </c>
      <c r="H419" t="s">
        <v>4</v>
      </c>
      <c r="I419" t="s">
        <v>5</v>
      </c>
      <c r="J419">
        <v>203.81</v>
      </c>
      <c r="K419">
        <v>46.6</v>
      </c>
      <c r="L419" t="s">
        <v>11</v>
      </c>
      <c r="M419">
        <v>0</v>
      </c>
      <c r="N419" t="str">
        <f t="shared" si="18"/>
        <v>Under 40</v>
      </c>
      <c r="O419" t="str">
        <f t="shared" si="19"/>
        <v>Obese</v>
      </c>
    </row>
    <row r="420" spans="1:15" x14ac:dyDescent="0.3">
      <c r="A420">
        <v>45719</v>
      </c>
      <c r="B420" t="s">
        <v>7</v>
      </c>
      <c r="C420">
        <v>22</v>
      </c>
      <c r="D420">
        <v>0</v>
      </c>
      <c r="E420">
        <v>0</v>
      </c>
      <c r="F420" t="str">
        <f t="shared" si="20"/>
        <v>Lower Risk</v>
      </c>
      <c r="G420" t="s">
        <v>13</v>
      </c>
      <c r="H420" t="s">
        <v>4</v>
      </c>
      <c r="I420" t="s">
        <v>9</v>
      </c>
      <c r="J420">
        <v>82</v>
      </c>
      <c r="K420">
        <v>26.4</v>
      </c>
      <c r="L420" t="s">
        <v>11</v>
      </c>
      <c r="M420">
        <v>0</v>
      </c>
      <c r="N420" t="str">
        <f t="shared" si="18"/>
        <v>Under 40</v>
      </c>
      <c r="O420" t="str">
        <f t="shared" si="19"/>
        <v>Overweight</v>
      </c>
    </row>
    <row r="421" spans="1:15" x14ac:dyDescent="0.3">
      <c r="A421">
        <v>129</v>
      </c>
      <c r="B421" t="s">
        <v>7</v>
      </c>
      <c r="C421">
        <v>24</v>
      </c>
      <c r="D421">
        <v>0</v>
      </c>
      <c r="E421">
        <v>0</v>
      </c>
      <c r="F421" t="str">
        <f t="shared" si="20"/>
        <v>Lower Risk</v>
      </c>
      <c r="G421" t="s">
        <v>13</v>
      </c>
      <c r="H421" t="s">
        <v>4</v>
      </c>
      <c r="I421" t="s">
        <v>5</v>
      </c>
      <c r="J421">
        <v>97.55</v>
      </c>
      <c r="K421">
        <v>26.2</v>
      </c>
      <c r="L421" t="s">
        <v>11</v>
      </c>
      <c r="M421">
        <v>0</v>
      </c>
      <c r="N421" t="str">
        <f t="shared" si="18"/>
        <v>Under 40</v>
      </c>
      <c r="O421" t="str">
        <f t="shared" si="19"/>
        <v>Overweight</v>
      </c>
    </row>
    <row r="422" spans="1:15" x14ac:dyDescent="0.3">
      <c r="A422">
        <v>20351</v>
      </c>
      <c r="B422" t="s">
        <v>2</v>
      </c>
      <c r="C422">
        <v>75</v>
      </c>
      <c r="D422">
        <v>0</v>
      </c>
      <c r="E422">
        <v>0</v>
      </c>
      <c r="F422" t="str">
        <f t="shared" si="20"/>
        <v>Moderate Risk</v>
      </c>
      <c r="G422" t="s">
        <v>3</v>
      </c>
      <c r="H422" t="s">
        <v>15</v>
      </c>
      <c r="I422" t="s">
        <v>5</v>
      </c>
      <c r="J422">
        <v>94.29</v>
      </c>
      <c r="K422">
        <v>35.200000000000003</v>
      </c>
      <c r="L422" t="s">
        <v>14</v>
      </c>
      <c r="M422">
        <v>0</v>
      </c>
      <c r="N422" t="str">
        <f t="shared" si="18"/>
        <v>60+</v>
      </c>
      <c r="O422" t="str">
        <f t="shared" si="19"/>
        <v>Obese</v>
      </c>
    </row>
    <row r="423" spans="1:15" x14ac:dyDescent="0.3">
      <c r="A423">
        <v>530</v>
      </c>
      <c r="B423" t="s">
        <v>7</v>
      </c>
      <c r="C423">
        <v>12</v>
      </c>
      <c r="D423">
        <v>0</v>
      </c>
      <c r="E423">
        <v>0</v>
      </c>
      <c r="F423" t="str">
        <f t="shared" si="20"/>
        <v>Lower Risk</v>
      </c>
      <c r="G423" t="s">
        <v>13</v>
      </c>
      <c r="H423" t="s">
        <v>16</v>
      </c>
      <c r="I423" t="s">
        <v>9</v>
      </c>
      <c r="J423">
        <v>75.22</v>
      </c>
      <c r="K423">
        <v>20.9</v>
      </c>
      <c r="L423" t="s">
        <v>14</v>
      </c>
      <c r="M423">
        <v>0</v>
      </c>
      <c r="N423" t="str">
        <f t="shared" si="18"/>
        <v>Under 40</v>
      </c>
      <c r="O423" t="str">
        <f t="shared" si="19"/>
        <v>Normal</v>
      </c>
    </row>
    <row r="424" spans="1:15" x14ac:dyDescent="0.3">
      <c r="A424">
        <v>55351</v>
      </c>
      <c r="B424" t="s">
        <v>2</v>
      </c>
      <c r="C424">
        <v>63</v>
      </c>
      <c r="D424">
        <v>0</v>
      </c>
      <c r="E424">
        <v>0</v>
      </c>
      <c r="F424" t="str">
        <f t="shared" si="20"/>
        <v>Moderate Risk</v>
      </c>
      <c r="G424" t="s">
        <v>3</v>
      </c>
      <c r="H424" t="s">
        <v>4</v>
      </c>
      <c r="I424" t="s">
        <v>5</v>
      </c>
      <c r="J424">
        <v>90.07</v>
      </c>
      <c r="K424">
        <v>36.799999999999997</v>
      </c>
      <c r="L424" t="s">
        <v>14</v>
      </c>
      <c r="M424">
        <v>0</v>
      </c>
      <c r="N424" t="str">
        <f t="shared" si="18"/>
        <v>60+</v>
      </c>
      <c r="O424" t="str">
        <f t="shared" si="19"/>
        <v>Obese</v>
      </c>
    </row>
    <row r="425" spans="1:15" x14ac:dyDescent="0.3">
      <c r="A425">
        <v>67431</v>
      </c>
      <c r="B425" t="s">
        <v>7</v>
      </c>
      <c r="C425">
        <v>52</v>
      </c>
      <c r="D425">
        <v>0</v>
      </c>
      <c r="E425">
        <v>0</v>
      </c>
      <c r="F425" t="str">
        <f t="shared" si="20"/>
        <v>Lower Risk</v>
      </c>
      <c r="G425" t="s">
        <v>3</v>
      </c>
      <c r="H425" t="s">
        <v>4</v>
      </c>
      <c r="I425" t="s">
        <v>5</v>
      </c>
      <c r="J425">
        <v>73.73</v>
      </c>
      <c r="K425">
        <v>34.4</v>
      </c>
      <c r="L425" t="s">
        <v>6</v>
      </c>
      <c r="M425">
        <v>0</v>
      </c>
      <c r="N425" t="str">
        <f t="shared" si="18"/>
        <v>40–59</v>
      </c>
      <c r="O425" t="str">
        <f t="shared" si="19"/>
        <v>Obese</v>
      </c>
    </row>
    <row r="426" spans="1:15" x14ac:dyDescent="0.3">
      <c r="A426">
        <v>20546</v>
      </c>
      <c r="B426" t="s">
        <v>7</v>
      </c>
      <c r="C426">
        <v>68</v>
      </c>
      <c r="D426">
        <v>0</v>
      </c>
      <c r="E426">
        <v>0</v>
      </c>
      <c r="F426" t="str">
        <f t="shared" si="20"/>
        <v>Moderate Risk</v>
      </c>
      <c r="G426" t="s">
        <v>3</v>
      </c>
      <c r="H426" t="s">
        <v>4</v>
      </c>
      <c r="I426" t="s">
        <v>5</v>
      </c>
      <c r="J426">
        <v>79.58</v>
      </c>
      <c r="K426">
        <v>22.2</v>
      </c>
      <c r="L426" t="s">
        <v>11</v>
      </c>
      <c r="M426">
        <v>0</v>
      </c>
      <c r="N426" t="str">
        <f t="shared" si="18"/>
        <v>60+</v>
      </c>
      <c r="O426" t="str">
        <f t="shared" si="19"/>
        <v>Normal</v>
      </c>
    </row>
    <row r="427" spans="1:15" x14ac:dyDescent="0.3">
      <c r="A427">
        <v>6107</v>
      </c>
      <c r="B427" t="s">
        <v>7</v>
      </c>
      <c r="C427">
        <v>5</v>
      </c>
      <c r="D427">
        <v>0</v>
      </c>
      <c r="E427">
        <v>0</v>
      </c>
      <c r="F427" t="str">
        <f t="shared" si="20"/>
        <v>Lower Risk</v>
      </c>
      <c r="G427" t="s">
        <v>13</v>
      </c>
      <c r="H427" t="s">
        <v>16</v>
      </c>
      <c r="I427" t="s">
        <v>5</v>
      </c>
      <c r="J427">
        <v>77.88</v>
      </c>
      <c r="K427">
        <v>13.8</v>
      </c>
      <c r="L427" t="s">
        <v>14</v>
      </c>
      <c r="M427">
        <v>0</v>
      </c>
      <c r="N427" t="str">
        <f t="shared" si="18"/>
        <v>Under 40</v>
      </c>
      <c r="O427" t="str">
        <f t="shared" si="19"/>
        <v>Underweight</v>
      </c>
    </row>
    <row r="428" spans="1:15" x14ac:dyDescent="0.3">
      <c r="A428">
        <v>50305</v>
      </c>
      <c r="B428" t="s">
        <v>7</v>
      </c>
      <c r="C428">
        <v>56</v>
      </c>
      <c r="D428">
        <v>1</v>
      </c>
      <c r="E428">
        <v>0</v>
      </c>
      <c r="F428" t="str">
        <f t="shared" si="20"/>
        <v>Lower Risk</v>
      </c>
      <c r="G428" t="s">
        <v>3</v>
      </c>
      <c r="H428" t="s">
        <v>4</v>
      </c>
      <c r="I428" t="s">
        <v>9</v>
      </c>
      <c r="J428">
        <v>205.26</v>
      </c>
      <c r="K428">
        <v>40.299999999999997</v>
      </c>
      <c r="L428" t="s">
        <v>11</v>
      </c>
      <c r="M428">
        <v>0</v>
      </c>
      <c r="N428" t="str">
        <f t="shared" si="18"/>
        <v>40–59</v>
      </c>
      <c r="O428" t="str">
        <f t="shared" si="19"/>
        <v>Obese</v>
      </c>
    </row>
    <row r="429" spans="1:15" x14ac:dyDescent="0.3">
      <c r="A429">
        <v>52342</v>
      </c>
      <c r="B429" t="s">
        <v>7</v>
      </c>
      <c r="C429">
        <v>43</v>
      </c>
      <c r="D429">
        <v>0</v>
      </c>
      <c r="E429">
        <v>0</v>
      </c>
      <c r="F429" t="str">
        <f t="shared" si="20"/>
        <v>Lower Risk</v>
      </c>
      <c r="G429" t="s">
        <v>3</v>
      </c>
      <c r="H429" t="s">
        <v>4</v>
      </c>
      <c r="I429" t="s">
        <v>9</v>
      </c>
      <c r="J429">
        <v>58.63</v>
      </c>
      <c r="K429">
        <v>28.4</v>
      </c>
      <c r="L429" t="s">
        <v>12</v>
      </c>
      <c r="M429">
        <v>0</v>
      </c>
      <c r="N429" t="str">
        <f t="shared" si="18"/>
        <v>40–59</v>
      </c>
      <c r="O429" t="str">
        <f t="shared" si="19"/>
        <v>Overweight</v>
      </c>
    </row>
    <row r="430" spans="1:15" x14ac:dyDescent="0.3">
      <c r="A430">
        <v>59906</v>
      </c>
      <c r="B430" t="s">
        <v>7</v>
      </c>
      <c r="C430">
        <v>40</v>
      </c>
      <c r="D430">
        <v>0</v>
      </c>
      <c r="E430">
        <v>0</v>
      </c>
      <c r="F430" t="str">
        <f t="shared" si="20"/>
        <v>Lower Risk</v>
      </c>
      <c r="G430" t="s">
        <v>3</v>
      </c>
      <c r="H430" t="s">
        <v>4</v>
      </c>
      <c r="I430" t="s">
        <v>9</v>
      </c>
      <c r="J430">
        <v>139.9</v>
      </c>
      <c r="K430">
        <v>31.7</v>
      </c>
      <c r="L430" t="s">
        <v>12</v>
      </c>
      <c r="M430">
        <v>0</v>
      </c>
      <c r="N430" t="str">
        <f t="shared" si="18"/>
        <v>40–59</v>
      </c>
      <c r="O430" t="str">
        <f t="shared" si="19"/>
        <v>Obese</v>
      </c>
    </row>
    <row r="431" spans="1:15" x14ac:dyDescent="0.3">
      <c r="A431">
        <v>59729</v>
      </c>
      <c r="B431" t="s">
        <v>2</v>
      </c>
      <c r="C431">
        <v>53</v>
      </c>
      <c r="D431">
        <v>0</v>
      </c>
      <c r="E431">
        <v>0</v>
      </c>
      <c r="F431" t="str">
        <f t="shared" si="20"/>
        <v>Lower Risk</v>
      </c>
      <c r="G431" t="s">
        <v>3</v>
      </c>
      <c r="H431" t="s">
        <v>4</v>
      </c>
      <c r="I431" t="s">
        <v>5</v>
      </c>
      <c r="J431">
        <v>211.03</v>
      </c>
      <c r="K431">
        <v>34.200000000000003</v>
      </c>
      <c r="L431" t="s">
        <v>6</v>
      </c>
      <c r="M431">
        <v>0</v>
      </c>
      <c r="N431" t="str">
        <f t="shared" si="18"/>
        <v>40–59</v>
      </c>
      <c r="O431" t="str">
        <f t="shared" si="19"/>
        <v>Obese</v>
      </c>
    </row>
    <row r="432" spans="1:15" x14ac:dyDescent="0.3">
      <c r="A432">
        <v>53144</v>
      </c>
      <c r="B432" t="s">
        <v>7</v>
      </c>
      <c r="C432">
        <v>52</v>
      </c>
      <c r="D432">
        <v>0</v>
      </c>
      <c r="E432">
        <v>1</v>
      </c>
      <c r="F432" t="str">
        <f t="shared" si="20"/>
        <v>Lower Risk</v>
      </c>
      <c r="G432" t="s">
        <v>3</v>
      </c>
      <c r="H432" t="s">
        <v>4</v>
      </c>
      <c r="I432" t="s">
        <v>5</v>
      </c>
      <c r="J432">
        <v>72.790000000000006</v>
      </c>
      <c r="K432">
        <v>54.7</v>
      </c>
      <c r="L432" t="s">
        <v>11</v>
      </c>
      <c r="M432">
        <v>0</v>
      </c>
      <c r="N432" t="str">
        <f t="shared" si="18"/>
        <v>40–59</v>
      </c>
      <c r="O432" t="str">
        <f t="shared" si="19"/>
        <v>Obese</v>
      </c>
    </row>
    <row r="433" spans="1:15" x14ac:dyDescent="0.3">
      <c r="A433">
        <v>3655</v>
      </c>
      <c r="B433" t="s">
        <v>2</v>
      </c>
      <c r="C433">
        <v>31</v>
      </c>
      <c r="D433">
        <v>0</v>
      </c>
      <c r="E433">
        <v>0</v>
      </c>
      <c r="F433" t="str">
        <f t="shared" si="20"/>
        <v>Lower Risk</v>
      </c>
      <c r="G433" t="s">
        <v>3</v>
      </c>
      <c r="H433" t="s">
        <v>15</v>
      </c>
      <c r="I433" t="s">
        <v>9</v>
      </c>
      <c r="J433">
        <v>91.65</v>
      </c>
      <c r="K433">
        <v>24.6</v>
      </c>
      <c r="L433" t="s">
        <v>6</v>
      </c>
      <c r="M433">
        <v>0</v>
      </c>
      <c r="N433" t="str">
        <f t="shared" si="18"/>
        <v>Under 40</v>
      </c>
      <c r="O433" t="str">
        <f t="shared" si="19"/>
        <v>Normal</v>
      </c>
    </row>
    <row r="434" spans="1:15" x14ac:dyDescent="0.3">
      <c r="A434">
        <v>11999</v>
      </c>
      <c r="B434" t="s">
        <v>7</v>
      </c>
      <c r="C434">
        <v>63</v>
      </c>
      <c r="D434">
        <v>0</v>
      </c>
      <c r="E434">
        <v>0</v>
      </c>
      <c r="F434" t="str">
        <f t="shared" si="20"/>
        <v>Moderate Risk</v>
      </c>
      <c r="G434" t="s">
        <v>3</v>
      </c>
      <c r="H434" t="s">
        <v>15</v>
      </c>
      <c r="I434" t="s">
        <v>9</v>
      </c>
      <c r="J434">
        <v>79.92</v>
      </c>
      <c r="K434" t="s">
        <v>10</v>
      </c>
      <c r="L434" t="s">
        <v>12</v>
      </c>
      <c r="M434">
        <v>0</v>
      </c>
      <c r="N434" t="str">
        <f t="shared" si="18"/>
        <v>60+</v>
      </c>
      <c r="O434" t="str">
        <f t="shared" si="19"/>
        <v>Unknown</v>
      </c>
    </row>
    <row r="435" spans="1:15" x14ac:dyDescent="0.3">
      <c r="A435">
        <v>12985</v>
      </c>
      <c r="B435" t="s">
        <v>7</v>
      </c>
      <c r="C435">
        <v>69</v>
      </c>
      <c r="D435">
        <v>0</v>
      </c>
      <c r="E435">
        <v>0</v>
      </c>
      <c r="F435" t="str">
        <f t="shared" si="20"/>
        <v>Moderate Risk</v>
      </c>
      <c r="G435" t="s">
        <v>3</v>
      </c>
      <c r="H435" t="s">
        <v>8</v>
      </c>
      <c r="I435" t="s">
        <v>9</v>
      </c>
      <c r="J435">
        <v>225.47</v>
      </c>
      <c r="K435">
        <v>36.9</v>
      </c>
      <c r="L435" t="s">
        <v>11</v>
      </c>
      <c r="M435">
        <v>0</v>
      </c>
      <c r="N435" t="str">
        <f t="shared" si="18"/>
        <v>60+</v>
      </c>
      <c r="O435" t="str">
        <f t="shared" si="19"/>
        <v>Obese</v>
      </c>
    </row>
    <row r="436" spans="1:15" x14ac:dyDescent="0.3">
      <c r="A436">
        <v>38119</v>
      </c>
      <c r="B436" t="s">
        <v>2</v>
      </c>
      <c r="C436">
        <v>64</v>
      </c>
      <c r="D436">
        <v>0</v>
      </c>
      <c r="E436">
        <v>0</v>
      </c>
      <c r="F436" t="str">
        <f t="shared" si="20"/>
        <v>Moderate Risk</v>
      </c>
      <c r="G436" t="s">
        <v>3</v>
      </c>
      <c r="H436" t="s">
        <v>15</v>
      </c>
      <c r="I436" t="s">
        <v>5</v>
      </c>
      <c r="J436">
        <v>94.48</v>
      </c>
      <c r="K436">
        <v>31.1</v>
      </c>
      <c r="L436" t="s">
        <v>11</v>
      </c>
      <c r="M436">
        <v>0</v>
      </c>
      <c r="N436" t="str">
        <f t="shared" si="18"/>
        <v>60+</v>
      </c>
      <c r="O436" t="str">
        <f t="shared" si="19"/>
        <v>Obese</v>
      </c>
    </row>
    <row r="437" spans="1:15" x14ac:dyDescent="0.3">
      <c r="A437">
        <v>3355</v>
      </c>
      <c r="B437" t="s">
        <v>7</v>
      </c>
      <c r="C437">
        <v>64</v>
      </c>
      <c r="D437">
        <v>0</v>
      </c>
      <c r="E437">
        <v>0</v>
      </c>
      <c r="F437" t="str">
        <f t="shared" si="20"/>
        <v>Moderate Risk</v>
      </c>
      <c r="G437" t="s">
        <v>3</v>
      </c>
      <c r="H437" t="s">
        <v>4</v>
      </c>
      <c r="I437" t="s">
        <v>5</v>
      </c>
      <c r="J437">
        <v>82.34</v>
      </c>
      <c r="K437">
        <v>31.9</v>
      </c>
      <c r="L437" t="s">
        <v>11</v>
      </c>
      <c r="M437">
        <v>0</v>
      </c>
      <c r="N437" t="str">
        <f t="shared" si="18"/>
        <v>60+</v>
      </c>
      <c r="O437" t="str">
        <f t="shared" si="19"/>
        <v>Obese</v>
      </c>
    </row>
    <row r="438" spans="1:15" x14ac:dyDescent="0.3">
      <c r="A438">
        <v>22091</v>
      </c>
      <c r="B438" t="s">
        <v>7</v>
      </c>
      <c r="C438">
        <v>62</v>
      </c>
      <c r="D438">
        <v>0</v>
      </c>
      <c r="E438">
        <v>0</v>
      </c>
      <c r="F438" t="str">
        <f t="shared" si="20"/>
        <v>Moderate Risk</v>
      </c>
      <c r="G438" t="s">
        <v>3</v>
      </c>
      <c r="H438" t="s">
        <v>8</v>
      </c>
      <c r="I438" t="s">
        <v>5</v>
      </c>
      <c r="J438">
        <v>180.63</v>
      </c>
      <c r="K438">
        <v>31.8</v>
      </c>
      <c r="L438" t="s">
        <v>6</v>
      </c>
      <c r="M438">
        <v>0</v>
      </c>
      <c r="N438" t="str">
        <f t="shared" si="18"/>
        <v>60+</v>
      </c>
      <c r="O438" t="str">
        <f t="shared" si="19"/>
        <v>Obese</v>
      </c>
    </row>
    <row r="439" spans="1:15" x14ac:dyDescent="0.3">
      <c r="A439">
        <v>5010</v>
      </c>
      <c r="B439" t="s">
        <v>7</v>
      </c>
      <c r="C439">
        <v>2</v>
      </c>
      <c r="D439">
        <v>0</v>
      </c>
      <c r="E439">
        <v>0</v>
      </c>
      <c r="F439" t="str">
        <f t="shared" si="20"/>
        <v>Lower Risk</v>
      </c>
      <c r="G439" t="s">
        <v>13</v>
      </c>
      <c r="H439" t="s">
        <v>16</v>
      </c>
      <c r="I439" t="s">
        <v>9</v>
      </c>
      <c r="J439">
        <v>92.48</v>
      </c>
      <c r="K439">
        <v>18</v>
      </c>
      <c r="L439" t="s">
        <v>14</v>
      </c>
      <c r="M439">
        <v>0</v>
      </c>
      <c r="N439" t="str">
        <f t="shared" si="18"/>
        <v>Under 40</v>
      </c>
      <c r="O439" t="str">
        <f t="shared" si="19"/>
        <v>Underweight</v>
      </c>
    </row>
    <row r="440" spans="1:15" x14ac:dyDescent="0.3">
      <c r="A440">
        <v>67177</v>
      </c>
      <c r="B440" t="s">
        <v>2</v>
      </c>
      <c r="C440">
        <v>53</v>
      </c>
      <c r="D440">
        <v>0</v>
      </c>
      <c r="E440">
        <v>0</v>
      </c>
      <c r="F440" t="str">
        <f t="shared" si="20"/>
        <v>Lower Risk</v>
      </c>
      <c r="G440" t="s">
        <v>3</v>
      </c>
      <c r="H440" t="s">
        <v>4</v>
      </c>
      <c r="I440" t="s">
        <v>9</v>
      </c>
      <c r="J440">
        <v>116.66</v>
      </c>
      <c r="K440">
        <v>28.5</v>
      </c>
      <c r="L440" t="s">
        <v>6</v>
      </c>
      <c r="M440">
        <v>0</v>
      </c>
      <c r="N440" t="str">
        <f t="shared" si="18"/>
        <v>40–59</v>
      </c>
      <c r="O440" t="str">
        <f t="shared" si="19"/>
        <v>Overweight</v>
      </c>
    </row>
    <row r="441" spans="1:15" x14ac:dyDescent="0.3">
      <c r="A441">
        <v>58600</v>
      </c>
      <c r="B441" t="s">
        <v>2</v>
      </c>
      <c r="C441">
        <v>65</v>
      </c>
      <c r="D441">
        <v>1</v>
      </c>
      <c r="E441">
        <v>0</v>
      </c>
      <c r="F441" t="str">
        <f t="shared" si="20"/>
        <v>High Risk</v>
      </c>
      <c r="G441" t="s">
        <v>3</v>
      </c>
      <c r="H441" t="s">
        <v>4</v>
      </c>
      <c r="I441" t="s">
        <v>5</v>
      </c>
      <c r="J441">
        <v>112.09</v>
      </c>
      <c r="K441">
        <v>29.5</v>
      </c>
      <c r="L441" t="s">
        <v>11</v>
      </c>
      <c r="M441">
        <v>0</v>
      </c>
      <c r="N441" t="str">
        <f t="shared" si="18"/>
        <v>60+</v>
      </c>
      <c r="O441" t="str">
        <f t="shared" si="19"/>
        <v>Overweight</v>
      </c>
    </row>
    <row r="442" spans="1:15" x14ac:dyDescent="0.3">
      <c r="A442">
        <v>56681</v>
      </c>
      <c r="B442" t="s">
        <v>7</v>
      </c>
      <c r="C442">
        <v>22</v>
      </c>
      <c r="D442">
        <v>0</v>
      </c>
      <c r="E442">
        <v>0</v>
      </c>
      <c r="F442" t="str">
        <f t="shared" si="20"/>
        <v>Lower Risk</v>
      </c>
      <c r="G442" t="s">
        <v>13</v>
      </c>
      <c r="H442" t="s">
        <v>4</v>
      </c>
      <c r="I442" t="s">
        <v>5</v>
      </c>
      <c r="J442">
        <v>130.34</v>
      </c>
      <c r="K442">
        <v>22</v>
      </c>
      <c r="L442" t="s">
        <v>11</v>
      </c>
      <c r="M442">
        <v>0</v>
      </c>
      <c r="N442" t="str">
        <f t="shared" si="18"/>
        <v>Under 40</v>
      </c>
      <c r="O442" t="str">
        <f t="shared" si="19"/>
        <v>Normal</v>
      </c>
    </row>
    <row r="443" spans="1:15" x14ac:dyDescent="0.3">
      <c r="A443">
        <v>56716</v>
      </c>
      <c r="B443" t="s">
        <v>7</v>
      </c>
      <c r="C443">
        <v>26</v>
      </c>
      <c r="D443">
        <v>0</v>
      </c>
      <c r="E443">
        <v>0</v>
      </c>
      <c r="F443" t="str">
        <f t="shared" si="20"/>
        <v>Lower Risk</v>
      </c>
      <c r="G443" t="s">
        <v>13</v>
      </c>
      <c r="H443" t="s">
        <v>4</v>
      </c>
      <c r="I443" t="s">
        <v>5</v>
      </c>
      <c r="J443">
        <v>82.59</v>
      </c>
      <c r="K443">
        <v>29.4</v>
      </c>
      <c r="L443" t="s">
        <v>11</v>
      </c>
      <c r="M443">
        <v>0</v>
      </c>
      <c r="N443" t="str">
        <f t="shared" si="18"/>
        <v>Under 40</v>
      </c>
      <c r="O443" t="str">
        <f t="shared" si="19"/>
        <v>Overweight</v>
      </c>
    </row>
    <row r="444" spans="1:15" x14ac:dyDescent="0.3">
      <c r="A444">
        <v>65946</v>
      </c>
      <c r="B444" t="s">
        <v>2</v>
      </c>
      <c r="C444">
        <v>53</v>
      </c>
      <c r="D444">
        <v>0</v>
      </c>
      <c r="E444">
        <v>0</v>
      </c>
      <c r="F444" t="str">
        <f t="shared" si="20"/>
        <v>Lower Risk</v>
      </c>
      <c r="G444" t="s">
        <v>3</v>
      </c>
      <c r="H444" t="s">
        <v>4</v>
      </c>
      <c r="I444" t="s">
        <v>9</v>
      </c>
      <c r="J444">
        <v>123.87</v>
      </c>
      <c r="K444">
        <v>28.8</v>
      </c>
      <c r="L444" t="s">
        <v>14</v>
      </c>
      <c r="M444">
        <v>0</v>
      </c>
      <c r="N444" t="str">
        <f t="shared" si="18"/>
        <v>40–59</v>
      </c>
      <c r="O444" t="str">
        <f t="shared" si="19"/>
        <v>Overweight</v>
      </c>
    </row>
    <row r="445" spans="1:15" x14ac:dyDescent="0.3">
      <c r="A445">
        <v>61350</v>
      </c>
      <c r="B445" t="s">
        <v>2</v>
      </c>
      <c r="C445">
        <v>20</v>
      </c>
      <c r="D445">
        <v>0</v>
      </c>
      <c r="E445">
        <v>0</v>
      </c>
      <c r="F445" t="str">
        <f t="shared" si="20"/>
        <v>Lower Risk</v>
      </c>
      <c r="G445" t="s">
        <v>13</v>
      </c>
      <c r="H445" t="s">
        <v>15</v>
      </c>
      <c r="I445" t="s">
        <v>9</v>
      </c>
      <c r="J445">
        <v>98.7</v>
      </c>
      <c r="K445">
        <v>26.2</v>
      </c>
      <c r="L445" t="s">
        <v>14</v>
      </c>
      <c r="M445">
        <v>0</v>
      </c>
      <c r="N445" t="str">
        <f t="shared" si="18"/>
        <v>Under 40</v>
      </c>
      <c r="O445" t="str">
        <f t="shared" si="19"/>
        <v>Overweight</v>
      </c>
    </row>
    <row r="446" spans="1:15" x14ac:dyDescent="0.3">
      <c r="A446">
        <v>17291</v>
      </c>
      <c r="B446" t="s">
        <v>7</v>
      </c>
      <c r="C446">
        <v>63</v>
      </c>
      <c r="D446">
        <v>1</v>
      </c>
      <c r="E446">
        <v>0</v>
      </c>
      <c r="F446" t="str">
        <f t="shared" si="20"/>
        <v>High Risk</v>
      </c>
      <c r="G446" t="s">
        <v>3</v>
      </c>
      <c r="H446" t="s">
        <v>8</v>
      </c>
      <c r="I446" t="s">
        <v>9</v>
      </c>
      <c r="J446">
        <v>227.1</v>
      </c>
      <c r="K446">
        <v>26.9</v>
      </c>
      <c r="L446" t="s">
        <v>14</v>
      </c>
      <c r="M446">
        <v>0</v>
      </c>
      <c r="N446" t="str">
        <f t="shared" si="18"/>
        <v>60+</v>
      </c>
      <c r="O446" t="str">
        <f t="shared" si="19"/>
        <v>Overweight</v>
      </c>
    </row>
    <row r="447" spans="1:15" x14ac:dyDescent="0.3">
      <c r="A447">
        <v>61465</v>
      </c>
      <c r="B447" t="s">
        <v>2</v>
      </c>
      <c r="C447">
        <v>13</v>
      </c>
      <c r="D447">
        <v>0</v>
      </c>
      <c r="E447">
        <v>0</v>
      </c>
      <c r="F447" t="str">
        <f t="shared" si="20"/>
        <v>Lower Risk</v>
      </c>
      <c r="G447" t="s">
        <v>13</v>
      </c>
      <c r="H447" t="s">
        <v>16</v>
      </c>
      <c r="I447" t="s">
        <v>9</v>
      </c>
      <c r="J447">
        <v>55.39</v>
      </c>
      <c r="K447">
        <v>23.2</v>
      </c>
      <c r="L447" t="s">
        <v>14</v>
      </c>
      <c r="M447">
        <v>0</v>
      </c>
      <c r="N447" t="str">
        <f t="shared" si="18"/>
        <v>Under 40</v>
      </c>
      <c r="O447" t="str">
        <f t="shared" si="19"/>
        <v>Normal</v>
      </c>
    </row>
    <row r="448" spans="1:15" x14ac:dyDescent="0.3">
      <c r="A448">
        <v>18108</v>
      </c>
      <c r="B448" t="s">
        <v>2</v>
      </c>
      <c r="C448">
        <v>21</v>
      </c>
      <c r="D448">
        <v>0</v>
      </c>
      <c r="E448">
        <v>0</v>
      </c>
      <c r="F448" t="str">
        <f t="shared" si="20"/>
        <v>Lower Risk</v>
      </c>
      <c r="G448" t="s">
        <v>13</v>
      </c>
      <c r="H448" t="s">
        <v>15</v>
      </c>
      <c r="I448" t="s">
        <v>5</v>
      </c>
      <c r="J448">
        <v>66.069999999999993</v>
      </c>
      <c r="K448">
        <v>27.9</v>
      </c>
      <c r="L448" t="s">
        <v>14</v>
      </c>
      <c r="M448">
        <v>0</v>
      </c>
      <c r="N448" t="str">
        <f t="shared" si="18"/>
        <v>Under 40</v>
      </c>
      <c r="O448" t="str">
        <f t="shared" si="19"/>
        <v>Overweight</v>
      </c>
    </row>
    <row r="449" spans="1:15" x14ac:dyDescent="0.3">
      <c r="A449">
        <v>48368</v>
      </c>
      <c r="B449" t="s">
        <v>7</v>
      </c>
      <c r="C449">
        <v>65</v>
      </c>
      <c r="D449">
        <v>0</v>
      </c>
      <c r="E449">
        <v>0</v>
      </c>
      <c r="F449" t="str">
        <f t="shared" si="20"/>
        <v>Moderate Risk</v>
      </c>
      <c r="G449" t="s">
        <v>3</v>
      </c>
      <c r="H449" t="s">
        <v>8</v>
      </c>
      <c r="I449" t="s">
        <v>9</v>
      </c>
      <c r="J449">
        <v>104.21</v>
      </c>
      <c r="K449">
        <v>36.799999999999997</v>
      </c>
      <c r="L449" t="s">
        <v>11</v>
      </c>
      <c r="M449">
        <v>0</v>
      </c>
      <c r="N449" t="str">
        <f t="shared" si="18"/>
        <v>60+</v>
      </c>
      <c r="O449" t="str">
        <f t="shared" si="19"/>
        <v>Obese</v>
      </c>
    </row>
    <row r="450" spans="1:15" x14ac:dyDescent="0.3">
      <c r="A450">
        <v>36471</v>
      </c>
      <c r="B450" t="s">
        <v>2</v>
      </c>
      <c r="C450">
        <v>65</v>
      </c>
      <c r="D450">
        <v>0</v>
      </c>
      <c r="E450">
        <v>0</v>
      </c>
      <c r="F450" t="str">
        <f t="shared" si="20"/>
        <v>Moderate Risk</v>
      </c>
      <c r="G450" t="s">
        <v>3</v>
      </c>
      <c r="H450" t="s">
        <v>4</v>
      </c>
      <c r="I450" t="s">
        <v>5</v>
      </c>
      <c r="J450">
        <v>145.15</v>
      </c>
      <c r="K450">
        <v>28.9</v>
      </c>
      <c r="L450" t="s">
        <v>14</v>
      </c>
      <c r="M450">
        <v>0</v>
      </c>
      <c r="N450" t="str">
        <f t="shared" ref="N450:N513" si="21">IF(C450&lt;40,"Under 40",IF(C450&lt;60,"40–59","60+"))</f>
        <v>60+</v>
      </c>
      <c r="O450" t="str">
        <f t="shared" ref="O450:O513" si="22">IF(K450="N/A","Unknown",
IF(K450="","Unknown",
IF(K450&lt;18.5,"Underweight",
IF(K450&lt;25,"Normal",
IF(K450&lt;30,"Overweight","Obese")))))</f>
        <v>Overweight</v>
      </c>
    </row>
    <row r="451" spans="1:15" x14ac:dyDescent="0.3">
      <c r="A451">
        <v>15689</v>
      </c>
      <c r="B451" t="s">
        <v>2</v>
      </c>
      <c r="C451">
        <v>42</v>
      </c>
      <c r="D451">
        <v>0</v>
      </c>
      <c r="E451">
        <v>0</v>
      </c>
      <c r="F451" t="str">
        <f t="shared" ref="F451:F514" si="23">IF(C451&gt;=60,
IF(OR(D451=1,E451=1),"High Risk","Moderate Risk"),
"Lower Risk")</f>
        <v>Lower Risk</v>
      </c>
      <c r="G451" t="s">
        <v>3</v>
      </c>
      <c r="H451" t="s">
        <v>15</v>
      </c>
      <c r="I451" t="s">
        <v>5</v>
      </c>
      <c r="J451">
        <v>68.19</v>
      </c>
      <c r="K451">
        <v>31</v>
      </c>
      <c r="L451" t="s">
        <v>11</v>
      </c>
      <c r="M451">
        <v>0</v>
      </c>
      <c r="N451" t="str">
        <f t="shared" si="21"/>
        <v>40–59</v>
      </c>
      <c r="O451" t="str">
        <f t="shared" si="22"/>
        <v>Obese</v>
      </c>
    </row>
    <row r="452" spans="1:15" x14ac:dyDescent="0.3">
      <c r="A452">
        <v>8233</v>
      </c>
      <c r="B452" t="s">
        <v>2</v>
      </c>
      <c r="C452">
        <v>72</v>
      </c>
      <c r="D452">
        <v>0</v>
      </c>
      <c r="E452">
        <v>1</v>
      </c>
      <c r="F452" t="str">
        <f t="shared" si="23"/>
        <v>High Risk</v>
      </c>
      <c r="G452" t="s">
        <v>3</v>
      </c>
      <c r="H452" t="s">
        <v>8</v>
      </c>
      <c r="I452" t="s">
        <v>9</v>
      </c>
      <c r="J452">
        <v>97.53</v>
      </c>
      <c r="K452">
        <v>29.4</v>
      </c>
      <c r="L452" t="s">
        <v>12</v>
      </c>
      <c r="M452">
        <v>0</v>
      </c>
      <c r="N452" t="str">
        <f t="shared" si="21"/>
        <v>60+</v>
      </c>
      <c r="O452" t="str">
        <f t="shared" si="22"/>
        <v>Overweight</v>
      </c>
    </row>
    <row r="453" spans="1:15" x14ac:dyDescent="0.3">
      <c r="A453">
        <v>46436</v>
      </c>
      <c r="B453" t="s">
        <v>2</v>
      </c>
      <c r="C453">
        <v>13</v>
      </c>
      <c r="D453">
        <v>0</v>
      </c>
      <c r="E453">
        <v>0</v>
      </c>
      <c r="F453" t="str">
        <f t="shared" si="23"/>
        <v>Lower Risk</v>
      </c>
      <c r="G453" t="s">
        <v>13</v>
      </c>
      <c r="H453" t="s">
        <v>16</v>
      </c>
      <c r="I453" t="s">
        <v>5</v>
      </c>
      <c r="J453">
        <v>122.31</v>
      </c>
      <c r="K453">
        <v>15.3</v>
      </c>
      <c r="L453" t="s">
        <v>11</v>
      </c>
      <c r="M453">
        <v>0</v>
      </c>
      <c r="N453" t="str">
        <f t="shared" si="21"/>
        <v>Under 40</v>
      </c>
      <c r="O453" t="str">
        <f t="shared" si="22"/>
        <v>Underweight</v>
      </c>
    </row>
    <row r="454" spans="1:15" x14ac:dyDescent="0.3">
      <c r="A454">
        <v>23221</v>
      </c>
      <c r="B454" t="s">
        <v>2</v>
      </c>
      <c r="C454">
        <v>29</v>
      </c>
      <c r="D454">
        <v>0</v>
      </c>
      <c r="E454">
        <v>0</v>
      </c>
      <c r="F454" t="str">
        <f t="shared" si="23"/>
        <v>Lower Risk</v>
      </c>
      <c r="G454" t="s">
        <v>13</v>
      </c>
      <c r="H454" t="s">
        <v>4</v>
      </c>
      <c r="I454" t="s">
        <v>5</v>
      </c>
      <c r="J454">
        <v>83.51</v>
      </c>
      <c r="K454">
        <v>37.1</v>
      </c>
      <c r="L454" t="s">
        <v>11</v>
      </c>
      <c r="M454">
        <v>0</v>
      </c>
      <c r="N454" t="str">
        <f t="shared" si="21"/>
        <v>Under 40</v>
      </c>
      <c r="O454" t="str">
        <f t="shared" si="22"/>
        <v>Obese</v>
      </c>
    </row>
    <row r="455" spans="1:15" x14ac:dyDescent="0.3">
      <c r="A455">
        <v>31830</v>
      </c>
      <c r="B455" t="s">
        <v>2</v>
      </c>
      <c r="C455">
        <v>59</v>
      </c>
      <c r="D455">
        <v>0</v>
      </c>
      <c r="E455">
        <v>0</v>
      </c>
      <c r="F455" t="str">
        <f t="shared" si="23"/>
        <v>Lower Risk</v>
      </c>
      <c r="G455" t="s">
        <v>3</v>
      </c>
      <c r="H455" t="s">
        <v>8</v>
      </c>
      <c r="I455" t="s">
        <v>5</v>
      </c>
      <c r="J455">
        <v>86.46</v>
      </c>
      <c r="K455">
        <v>30.5</v>
      </c>
      <c r="L455" t="s">
        <v>14</v>
      </c>
      <c r="M455">
        <v>0</v>
      </c>
      <c r="N455" t="str">
        <f t="shared" si="21"/>
        <v>40–59</v>
      </c>
      <c r="O455" t="str">
        <f t="shared" si="22"/>
        <v>Obese</v>
      </c>
    </row>
    <row r="456" spans="1:15" x14ac:dyDescent="0.3">
      <c r="A456">
        <v>15296</v>
      </c>
      <c r="B456" t="s">
        <v>7</v>
      </c>
      <c r="C456">
        <v>42</v>
      </c>
      <c r="D456">
        <v>0</v>
      </c>
      <c r="E456">
        <v>0</v>
      </c>
      <c r="F456" t="str">
        <f t="shared" si="23"/>
        <v>Lower Risk</v>
      </c>
      <c r="G456" t="s">
        <v>3</v>
      </c>
      <c r="H456" t="s">
        <v>4</v>
      </c>
      <c r="I456" t="s">
        <v>9</v>
      </c>
      <c r="J456">
        <v>112.06</v>
      </c>
      <c r="K456">
        <v>38.200000000000003</v>
      </c>
      <c r="L456" t="s">
        <v>11</v>
      </c>
      <c r="M456">
        <v>0</v>
      </c>
      <c r="N456" t="str">
        <f t="shared" si="21"/>
        <v>40–59</v>
      </c>
      <c r="O456" t="str">
        <f t="shared" si="22"/>
        <v>Obese</v>
      </c>
    </row>
    <row r="457" spans="1:15" x14ac:dyDescent="0.3">
      <c r="A457">
        <v>7351</v>
      </c>
      <c r="B457" t="s">
        <v>2</v>
      </c>
      <c r="C457">
        <v>13</v>
      </c>
      <c r="D457">
        <v>0</v>
      </c>
      <c r="E457">
        <v>0</v>
      </c>
      <c r="F457" t="str">
        <f t="shared" si="23"/>
        <v>Lower Risk</v>
      </c>
      <c r="G457" t="s">
        <v>13</v>
      </c>
      <c r="H457" t="s">
        <v>4</v>
      </c>
      <c r="I457" t="s">
        <v>5</v>
      </c>
      <c r="J457">
        <v>92.14</v>
      </c>
      <c r="K457">
        <v>23.2</v>
      </c>
      <c r="L457" t="s">
        <v>11</v>
      </c>
      <c r="M457">
        <v>0</v>
      </c>
      <c r="N457" t="str">
        <f t="shared" si="21"/>
        <v>Under 40</v>
      </c>
      <c r="O457" t="str">
        <f t="shared" si="22"/>
        <v>Normal</v>
      </c>
    </row>
    <row r="458" spans="1:15" x14ac:dyDescent="0.3">
      <c r="A458">
        <v>66196</v>
      </c>
      <c r="B458" t="s">
        <v>2</v>
      </c>
      <c r="C458">
        <v>75</v>
      </c>
      <c r="D458">
        <v>0</v>
      </c>
      <c r="E458">
        <v>1</v>
      </c>
      <c r="F458" t="str">
        <f t="shared" si="23"/>
        <v>High Risk</v>
      </c>
      <c r="G458" t="s">
        <v>13</v>
      </c>
      <c r="H458" t="s">
        <v>4</v>
      </c>
      <c r="I458" t="s">
        <v>9</v>
      </c>
      <c r="J458">
        <v>201.76</v>
      </c>
      <c r="K458">
        <v>30.2</v>
      </c>
      <c r="L458" t="s">
        <v>6</v>
      </c>
      <c r="M458">
        <v>0</v>
      </c>
      <c r="N458" t="str">
        <f t="shared" si="21"/>
        <v>60+</v>
      </c>
      <c r="O458" t="str">
        <f t="shared" si="22"/>
        <v>Obese</v>
      </c>
    </row>
    <row r="459" spans="1:15" x14ac:dyDescent="0.3">
      <c r="A459">
        <v>17718</v>
      </c>
      <c r="B459" t="s">
        <v>7</v>
      </c>
      <c r="C459">
        <v>33</v>
      </c>
      <c r="D459">
        <v>1</v>
      </c>
      <c r="E459">
        <v>0</v>
      </c>
      <c r="F459" t="str">
        <f t="shared" si="23"/>
        <v>Lower Risk</v>
      </c>
      <c r="G459" t="s">
        <v>3</v>
      </c>
      <c r="H459" t="s">
        <v>4</v>
      </c>
      <c r="I459" t="s">
        <v>5</v>
      </c>
      <c r="J459">
        <v>74.44</v>
      </c>
      <c r="K459">
        <v>45.2</v>
      </c>
      <c r="L459" t="s">
        <v>12</v>
      </c>
      <c r="M459">
        <v>0</v>
      </c>
      <c r="N459" t="str">
        <f t="shared" si="21"/>
        <v>Under 40</v>
      </c>
      <c r="O459" t="str">
        <f t="shared" si="22"/>
        <v>Obese</v>
      </c>
    </row>
    <row r="460" spans="1:15" x14ac:dyDescent="0.3">
      <c r="A460">
        <v>31164</v>
      </c>
      <c r="B460" t="s">
        <v>7</v>
      </c>
      <c r="C460">
        <v>43</v>
      </c>
      <c r="D460">
        <v>0</v>
      </c>
      <c r="E460">
        <v>0</v>
      </c>
      <c r="F460" t="str">
        <f t="shared" si="23"/>
        <v>Lower Risk</v>
      </c>
      <c r="G460" t="s">
        <v>3</v>
      </c>
      <c r="H460" t="s">
        <v>4</v>
      </c>
      <c r="I460" t="s">
        <v>9</v>
      </c>
      <c r="J460">
        <v>95.93</v>
      </c>
      <c r="K460">
        <v>21.8</v>
      </c>
      <c r="L460" t="s">
        <v>14</v>
      </c>
      <c r="M460">
        <v>0</v>
      </c>
      <c r="N460" t="str">
        <f t="shared" si="21"/>
        <v>40–59</v>
      </c>
      <c r="O460" t="str">
        <f t="shared" si="22"/>
        <v>Normal</v>
      </c>
    </row>
    <row r="461" spans="1:15" x14ac:dyDescent="0.3">
      <c r="A461">
        <v>48272</v>
      </c>
      <c r="B461" t="s">
        <v>7</v>
      </c>
      <c r="C461">
        <v>11</v>
      </c>
      <c r="D461">
        <v>0</v>
      </c>
      <c r="E461">
        <v>0</v>
      </c>
      <c r="F461" t="str">
        <f t="shared" si="23"/>
        <v>Lower Risk</v>
      </c>
      <c r="G461" t="s">
        <v>13</v>
      </c>
      <c r="H461" t="s">
        <v>16</v>
      </c>
      <c r="I461" t="s">
        <v>9</v>
      </c>
      <c r="J461">
        <v>87.51</v>
      </c>
      <c r="K461">
        <v>24.4</v>
      </c>
      <c r="L461" t="s">
        <v>14</v>
      </c>
      <c r="M461">
        <v>0</v>
      </c>
      <c r="N461" t="str">
        <f t="shared" si="21"/>
        <v>Under 40</v>
      </c>
      <c r="O461" t="str">
        <f t="shared" si="22"/>
        <v>Normal</v>
      </c>
    </row>
    <row r="462" spans="1:15" x14ac:dyDescent="0.3">
      <c r="A462">
        <v>2893</v>
      </c>
      <c r="B462" t="s">
        <v>7</v>
      </c>
      <c r="C462">
        <v>7</v>
      </c>
      <c r="D462">
        <v>0</v>
      </c>
      <c r="E462">
        <v>0</v>
      </c>
      <c r="F462" t="str">
        <f t="shared" si="23"/>
        <v>Lower Risk</v>
      </c>
      <c r="G462" t="s">
        <v>13</v>
      </c>
      <c r="H462" t="s">
        <v>16</v>
      </c>
      <c r="I462" t="s">
        <v>9</v>
      </c>
      <c r="J462">
        <v>72.349999999999994</v>
      </c>
      <c r="K462">
        <v>17</v>
      </c>
      <c r="L462" t="s">
        <v>14</v>
      </c>
      <c r="M462">
        <v>0</v>
      </c>
      <c r="N462" t="str">
        <f t="shared" si="21"/>
        <v>Under 40</v>
      </c>
      <c r="O462" t="str">
        <f t="shared" si="22"/>
        <v>Underweight</v>
      </c>
    </row>
    <row r="463" spans="1:15" x14ac:dyDescent="0.3">
      <c r="A463">
        <v>34376</v>
      </c>
      <c r="B463" t="s">
        <v>7</v>
      </c>
      <c r="C463">
        <v>16</v>
      </c>
      <c r="D463">
        <v>0</v>
      </c>
      <c r="E463">
        <v>0</v>
      </c>
      <c r="F463" t="str">
        <f t="shared" si="23"/>
        <v>Lower Risk</v>
      </c>
      <c r="G463" t="s">
        <v>13</v>
      </c>
      <c r="H463" t="s">
        <v>16</v>
      </c>
      <c r="I463" t="s">
        <v>9</v>
      </c>
      <c r="J463">
        <v>113.47</v>
      </c>
      <c r="K463">
        <v>19.5</v>
      </c>
      <c r="L463" t="s">
        <v>14</v>
      </c>
      <c r="M463">
        <v>0</v>
      </c>
      <c r="N463" t="str">
        <f t="shared" si="21"/>
        <v>Under 40</v>
      </c>
      <c r="O463" t="str">
        <f t="shared" si="22"/>
        <v>Normal</v>
      </c>
    </row>
    <row r="464" spans="1:15" x14ac:dyDescent="0.3">
      <c r="A464">
        <v>18498</v>
      </c>
      <c r="B464" t="s">
        <v>7</v>
      </c>
      <c r="C464">
        <v>44</v>
      </c>
      <c r="D464">
        <v>0</v>
      </c>
      <c r="E464">
        <v>0</v>
      </c>
      <c r="F464" t="str">
        <f t="shared" si="23"/>
        <v>Lower Risk</v>
      </c>
      <c r="G464" t="s">
        <v>13</v>
      </c>
      <c r="H464" t="s">
        <v>4</v>
      </c>
      <c r="I464" t="s">
        <v>9</v>
      </c>
      <c r="J464">
        <v>103.78</v>
      </c>
      <c r="K464">
        <v>49.8</v>
      </c>
      <c r="L464" t="s">
        <v>6</v>
      </c>
      <c r="M464">
        <v>0</v>
      </c>
      <c r="N464" t="str">
        <f t="shared" si="21"/>
        <v>40–59</v>
      </c>
      <c r="O464" t="str">
        <f t="shared" si="22"/>
        <v>Obese</v>
      </c>
    </row>
    <row r="465" spans="1:15" x14ac:dyDescent="0.3">
      <c r="A465">
        <v>56735</v>
      </c>
      <c r="B465" t="s">
        <v>7</v>
      </c>
      <c r="C465">
        <v>78</v>
      </c>
      <c r="D465">
        <v>0</v>
      </c>
      <c r="E465">
        <v>0</v>
      </c>
      <c r="F465" t="str">
        <f t="shared" si="23"/>
        <v>Moderate Risk</v>
      </c>
      <c r="G465" t="s">
        <v>3</v>
      </c>
      <c r="H465" t="s">
        <v>8</v>
      </c>
      <c r="I465" t="s">
        <v>9</v>
      </c>
      <c r="J465">
        <v>115.43</v>
      </c>
      <c r="K465">
        <v>27.8</v>
      </c>
      <c r="L465" t="s">
        <v>11</v>
      </c>
      <c r="M465">
        <v>0</v>
      </c>
      <c r="N465" t="str">
        <f t="shared" si="21"/>
        <v>60+</v>
      </c>
      <c r="O465" t="str">
        <f t="shared" si="22"/>
        <v>Overweight</v>
      </c>
    </row>
    <row r="466" spans="1:15" x14ac:dyDescent="0.3">
      <c r="A466">
        <v>8595</v>
      </c>
      <c r="B466" t="s">
        <v>2</v>
      </c>
      <c r="C466">
        <v>25</v>
      </c>
      <c r="D466">
        <v>0</v>
      </c>
      <c r="E466">
        <v>0</v>
      </c>
      <c r="F466" t="str">
        <f t="shared" si="23"/>
        <v>Lower Risk</v>
      </c>
      <c r="G466" t="s">
        <v>3</v>
      </c>
      <c r="H466" t="s">
        <v>4</v>
      </c>
      <c r="I466" t="s">
        <v>9</v>
      </c>
      <c r="J466">
        <v>95.59</v>
      </c>
      <c r="K466">
        <v>25.1</v>
      </c>
      <c r="L466" t="s">
        <v>11</v>
      </c>
      <c r="M466">
        <v>0</v>
      </c>
      <c r="N466" t="str">
        <f t="shared" si="21"/>
        <v>Under 40</v>
      </c>
      <c r="O466" t="str">
        <f t="shared" si="22"/>
        <v>Overweight</v>
      </c>
    </row>
    <row r="467" spans="1:15" x14ac:dyDescent="0.3">
      <c r="A467">
        <v>621</v>
      </c>
      <c r="B467" t="s">
        <v>2</v>
      </c>
      <c r="C467">
        <v>69</v>
      </c>
      <c r="D467">
        <v>0</v>
      </c>
      <c r="E467">
        <v>0</v>
      </c>
      <c r="F467" t="str">
        <f t="shared" si="23"/>
        <v>Moderate Risk</v>
      </c>
      <c r="G467" t="s">
        <v>3</v>
      </c>
      <c r="H467" t="s">
        <v>4</v>
      </c>
      <c r="I467" t="s">
        <v>9</v>
      </c>
      <c r="J467">
        <v>101.52</v>
      </c>
      <c r="K467">
        <v>26.8</v>
      </c>
      <c r="L467" t="s">
        <v>12</v>
      </c>
      <c r="M467">
        <v>0</v>
      </c>
      <c r="N467" t="str">
        <f t="shared" si="21"/>
        <v>60+</v>
      </c>
      <c r="O467" t="str">
        <f t="shared" si="22"/>
        <v>Overweight</v>
      </c>
    </row>
    <row r="468" spans="1:15" x14ac:dyDescent="0.3">
      <c r="A468">
        <v>1307</v>
      </c>
      <c r="B468" t="s">
        <v>7</v>
      </c>
      <c r="C468">
        <v>61</v>
      </c>
      <c r="D468">
        <v>1</v>
      </c>
      <c r="E468">
        <v>0</v>
      </c>
      <c r="F468" t="str">
        <f t="shared" si="23"/>
        <v>High Risk</v>
      </c>
      <c r="G468" t="s">
        <v>3</v>
      </c>
      <c r="H468" t="s">
        <v>4</v>
      </c>
      <c r="I468" t="s">
        <v>9</v>
      </c>
      <c r="J468">
        <v>170.05</v>
      </c>
      <c r="K468">
        <v>60.2</v>
      </c>
      <c r="L468" t="s">
        <v>12</v>
      </c>
      <c r="M468">
        <v>0</v>
      </c>
      <c r="N468" t="str">
        <f t="shared" si="21"/>
        <v>60+</v>
      </c>
      <c r="O468" t="str">
        <f t="shared" si="22"/>
        <v>Obese</v>
      </c>
    </row>
    <row r="469" spans="1:15" x14ac:dyDescent="0.3">
      <c r="A469">
        <v>35846</v>
      </c>
      <c r="B469" t="s">
        <v>7</v>
      </c>
      <c r="C469">
        <v>43</v>
      </c>
      <c r="D469">
        <v>1</v>
      </c>
      <c r="E469">
        <v>0</v>
      </c>
      <c r="F469" t="str">
        <f t="shared" si="23"/>
        <v>Lower Risk</v>
      </c>
      <c r="G469" t="s">
        <v>13</v>
      </c>
      <c r="H469" t="s">
        <v>8</v>
      </c>
      <c r="I469" t="s">
        <v>9</v>
      </c>
      <c r="J469">
        <v>217.3</v>
      </c>
      <c r="K469">
        <v>27.5</v>
      </c>
      <c r="L469" t="s">
        <v>11</v>
      </c>
      <c r="M469">
        <v>0</v>
      </c>
      <c r="N469" t="str">
        <f t="shared" si="21"/>
        <v>40–59</v>
      </c>
      <c r="O469" t="str">
        <f t="shared" si="22"/>
        <v>Overweight</v>
      </c>
    </row>
    <row r="470" spans="1:15" x14ac:dyDescent="0.3">
      <c r="A470">
        <v>28645</v>
      </c>
      <c r="B470" t="s">
        <v>7</v>
      </c>
      <c r="C470">
        <v>38</v>
      </c>
      <c r="D470">
        <v>1</v>
      </c>
      <c r="E470">
        <v>0</v>
      </c>
      <c r="F470" t="str">
        <f t="shared" si="23"/>
        <v>Lower Risk</v>
      </c>
      <c r="G470" t="s">
        <v>3</v>
      </c>
      <c r="H470" t="s">
        <v>4</v>
      </c>
      <c r="I470" t="s">
        <v>5</v>
      </c>
      <c r="J470">
        <v>196.01</v>
      </c>
      <c r="K470">
        <v>28.1</v>
      </c>
      <c r="L470" t="s">
        <v>11</v>
      </c>
      <c r="M470">
        <v>0</v>
      </c>
      <c r="N470" t="str">
        <f t="shared" si="21"/>
        <v>Under 40</v>
      </c>
      <c r="O470" t="str">
        <f t="shared" si="22"/>
        <v>Overweight</v>
      </c>
    </row>
    <row r="471" spans="1:15" x14ac:dyDescent="0.3">
      <c r="A471">
        <v>5835</v>
      </c>
      <c r="B471" t="s">
        <v>2</v>
      </c>
      <c r="C471">
        <v>68</v>
      </c>
      <c r="D471">
        <v>0</v>
      </c>
      <c r="E471">
        <v>0</v>
      </c>
      <c r="F471" t="str">
        <f t="shared" si="23"/>
        <v>Moderate Risk</v>
      </c>
      <c r="G471" t="s">
        <v>3</v>
      </c>
      <c r="H471" t="s">
        <v>4</v>
      </c>
      <c r="I471" t="s">
        <v>5</v>
      </c>
      <c r="J471">
        <v>92.21</v>
      </c>
      <c r="K471">
        <v>27.3</v>
      </c>
      <c r="L471" t="s">
        <v>14</v>
      </c>
      <c r="M471">
        <v>0</v>
      </c>
      <c r="N471" t="str">
        <f t="shared" si="21"/>
        <v>60+</v>
      </c>
      <c r="O471" t="str">
        <f t="shared" si="22"/>
        <v>Overweight</v>
      </c>
    </row>
    <row r="472" spans="1:15" x14ac:dyDescent="0.3">
      <c r="A472">
        <v>46474</v>
      </c>
      <c r="B472" t="s">
        <v>2</v>
      </c>
      <c r="C472">
        <v>26</v>
      </c>
      <c r="D472">
        <v>0</v>
      </c>
      <c r="E472">
        <v>0</v>
      </c>
      <c r="F472" t="str">
        <f t="shared" si="23"/>
        <v>Lower Risk</v>
      </c>
      <c r="G472" t="s">
        <v>3</v>
      </c>
      <c r="H472" t="s">
        <v>4</v>
      </c>
      <c r="I472" t="s">
        <v>9</v>
      </c>
      <c r="J472">
        <v>100.09</v>
      </c>
      <c r="K472">
        <v>27.4</v>
      </c>
      <c r="L472" t="s">
        <v>11</v>
      </c>
      <c r="M472">
        <v>0</v>
      </c>
      <c r="N472" t="str">
        <f t="shared" si="21"/>
        <v>Under 40</v>
      </c>
      <c r="O472" t="str">
        <f t="shared" si="22"/>
        <v>Overweight</v>
      </c>
    </row>
    <row r="473" spans="1:15" x14ac:dyDescent="0.3">
      <c r="A473">
        <v>69687</v>
      </c>
      <c r="B473" t="s">
        <v>7</v>
      </c>
      <c r="C473">
        <v>18</v>
      </c>
      <c r="D473">
        <v>0</v>
      </c>
      <c r="E473">
        <v>0</v>
      </c>
      <c r="F473" t="str">
        <f t="shared" si="23"/>
        <v>Lower Risk</v>
      </c>
      <c r="G473" t="s">
        <v>13</v>
      </c>
      <c r="H473" t="s">
        <v>8</v>
      </c>
      <c r="I473" t="s">
        <v>9</v>
      </c>
      <c r="J473">
        <v>93.88</v>
      </c>
      <c r="K473">
        <v>22.2</v>
      </c>
      <c r="L473" t="s">
        <v>11</v>
      </c>
      <c r="M473">
        <v>0</v>
      </c>
      <c r="N473" t="str">
        <f t="shared" si="21"/>
        <v>Under 40</v>
      </c>
      <c r="O473" t="str">
        <f t="shared" si="22"/>
        <v>Normal</v>
      </c>
    </row>
    <row r="474" spans="1:15" x14ac:dyDescent="0.3">
      <c r="A474">
        <v>2953</v>
      </c>
      <c r="B474" t="s">
        <v>7</v>
      </c>
      <c r="C474">
        <v>43</v>
      </c>
      <c r="D474">
        <v>0</v>
      </c>
      <c r="E474">
        <v>0</v>
      </c>
      <c r="F474" t="str">
        <f t="shared" si="23"/>
        <v>Lower Risk</v>
      </c>
      <c r="G474" t="s">
        <v>3</v>
      </c>
      <c r="H474" t="s">
        <v>4</v>
      </c>
      <c r="I474" t="s">
        <v>9</v>
      </c>
      <c r="J474">
        <v>75.05</v>
      </c>
      <c r="K474">
        <v>22.9</v>
      </c>
      <c r="L474" t="s">
        <v>12</v>
      </c>
      <c r="M474">
        <v>0</v>
      </c>
      <c r="N474" t="str">
        <f t="shared" si="21"/>
        <v>40–59</v>
      </c>
      <c r="O474" t="str">
        <f t="shared" si="22"/>
        <v>Normal</v>
      </c>
    </row>
    <row r="475" spans="1:15" x14ac:dyDescent="0.3">
      <c r="A475">
        <v>11838</v>
      </c>
      <c r="B475" t="s">
        <v>7</v>
      </c>
      <c r="C475">
        <v>43</v>
      </c>
      <c r="D475">
        <v>0</v>
      </c>
      <c r="E475">
        <v>0</v>
      </c>
      <c r="F475" t="str">
        <f t="shared" si="23"/>
        <v>Lower Risk</v>
      </c>
      <c r="G475" t="s">
        <v>3</v>
      </c>
      <c r="H475" t="s">
        <v>15</v>
      </c>
      <c r="I475" t="s">
        <v>9</v>
      </c>
      <c r="J475">
        <v>70.08</v>
      </c>
      <c r="K475">
        <v>26.6</v>
      </c>
      <c r="L475" t="s">
        <v>11</v>
      </c>
      <c r="M475">
        <v>0</v>
      </c>
      <c r="N475" t="str">
        <f t="shared" si="21"/>
        <v>40–59</v>
      </c>
      <c r="O475" t="str">
        <f t="shared" si="22"/>
        <v>Overweight</v>
      </c>
    </row>
    <row r="476" spans="1:15" x14ac:dyDescent="0.3">
      <c r="A476">
        <v>9179</v>
      </c>
      <c r="B476" t="s">
        <v>7</v>
      </c>
      <c r="C476">
        <v>32</v>
      </c>
      <c r="D476">
        <v>0</v>
      </c>
      <c r="E476">
        <v>0</v>
      </c>
      <c r="F476" t="str">
        <f t="shared" si="23"/>
        <v>Lower Risk</v>
      </c>
      <c r="G476" t="s">
        <v>13</v>
      </c>
      <c r="H476" t="s">
        <v>4</v>
      </c>
      <c r="I476" t="s">
        <v>5</v>
      </c>
      <c r="J476">
        <v>74.2</v>
      </c>
      <c r="K476">
        <v>23</v>
      </c>
      <c r="L476" t="s">
        <v>12</v>
      </c>
      <c r="M476">
        <v>0</v>
      </c>
      <c r="N476" t="str">
        <f t="shared" si="21"/>
        <v>Under 40</v>
      </c>
      <c r="O476" t="str">
        <f t="shared" si="22"/>
        <v>Normal</v>
      </c>
    </row>
    <row r="477" spans="1:15" x14ac:dyDescent="0.3">
      <c r="A477">
        <v>38165</v>
      </c>
      <c r="B477" t="s">
        <v>7</v>
      </c>
      <c r="C477">
        <v>81</v>
      </c>
      <c r="D477">
        <v>0</v>
      </c>
      <c r="E477">
        <v>0</v>
      </c>
      <c r="F477" t="str">
        <f t="shared" si="23"/>
        <v>Moderate Risk</v>
      </c>
      <c r="G477" t="s">
        <v>13</v>
      </c>
      <c r="H477" t="s">
        <v>4</v>
      </c>
      <c r="I477" t="s">
        <v>9</v>
      </c>
      <c r="J477">
        <v>69.010000000000005</v>
      </c>
      <c r="K477">
        <v>32.6</v>
      </c>
      <c r="L477" t="s">
        <v>11</v>
      </c>
      <c r="M477">
        <v>0</v>
      </c>
      <c r="N477" t="str">
        <f t="shared" si="21"/>
        <v>60+</v>
      </c>
      <c r="O477" t="str">
        <f t="shared" si="22"/>
        <v>Obese</v>
      </c>
    </row>
    <row r="478" spans="1:15" x14ac:dyDescent="0.3">
      <c r="A478">
        <v>63050</v>
      </c>
      <c r="B478" t="s">
        <v>2</v>
      </c>
      <c r="C478">
        <v>25</v>
      </c>
      <c r="D478">
        <v>0</v>
      </c>
      <c r="E478">
        <v>0</v>
      </c>
      <c r="F478" t="str">
        <f t="shared" si="23"/>
        <v>Lower Risk</v>
      </c>
      <c r="G478" t="s">
        <v>13</v>
      </c>
      <c r="H478" t="s">
        <v>4</v>
      </c>
      <c r="I478" t="s">
        <v>9</v>
      </c>
      <c r="J478">
        <v>96.17</v>
      </c>
      <c r="K478">
        <v>22.1</v>
      </c>
      <c r="L478" t="s">
        <v>14</v>
      </c>
      <c r="M478">
        <v>0</v>
      </c>
      <c r="N478" t="str">
        <f t="shared" si="21"/>
        <v>Under 40</v>
      </c>
      <c r="O478" t="str">
        <f t="shared" si="22"/>
        <v>Normal</v>
      </c>
    </row>
    <row r="479" spans="1:15" x14ac:dyDescent="0.3">
      <c r="A479">
        <v>22470</v>
      </c>
      <c r="B479" t="s">
        <v>2</v>
      </c>
      <c r="C479">
        <v>61</v>
      </c>
      <c r="D479">
        <v>0</v>
      </c>
      <c r="E479">
        <v>0</v>
      </c>
      <c r="F479" t="str">
        <f t="shared" si="23"/>
        <v>Moderate Risk</v>
      </c>
      <c r="G479" t="s">
        <v>3</v>
      </c>
      <c r="H479" t="s">
        <v>15</v>
      </c>
      <c r="I479" t="s">
        <v>5</v>
      </c>
      <c r="J479">
        <v>184.15</v>
      </c>
      <c r="K479" t="s">
        <v>10</v>
      </c>
      <c r="L479" t="s">
        <v>14</v>
      </c>
      <c r="M479">
        <v>0</v>
      </c>
      <c r="N479" t="str">
        <f t="shared" si="21"/>
        <v>60+</v>
      </c>
      <c r="O479" t="str">
        <f t="shared" si="22"/>
        <v>Unknown</v>
      </c>
    </row>
    <row r="480" spans="1:15" x14ac:dyDescent="0.3">
      <c r="A480">
        <v>71585</v>
      </c>
      <c r="B480" t="s">
        <v>7</v>
      </c>
      <c r="C480">
        <v>66</v>
      </c>
      <c r="D480">
        <v>0</v>
      </c>
      <c r="E480">
        <v>0</v>
      </c>
      <c r="F480" t="str">
        <f t="shared" si="23"/>
        <v>Moderate Risk</v>
      </c>
      <c r="G480" t="s">
        <v>3</v>
      </c>
      <c r="H480" t="s">
        <v>15</v>
      </c>
      <c r="I480" t="s">
        <v>5</v>
      </c>
      <c r="J480">
        <v>87.24</v>
      </c>
      <c r="K480">
        <v>22.5</v>
      </c>
      <c r="L480" t="s">
        <v>6</v>
      </c>
      <c r="M480">
        <v>0</v>
      </c>
      <c r="N480" t="str">
        <f t="shared" si="21"/>
        <v>60+</v>
      </c>
      <c r="O480" t="str">
        <f t="shared" si="22"/>
        <v>Normal</v>
      </c>
    </row>
    <row r="481" spans="1:15" x14ac:dyDescent="0.3">
      <c r="A481">
        <v>15649</v>
      </c>
      <c r="B481" t="s">
        <v>2</v>
      </c>
      <c r="C481">
        <v>54</v>
      </c>
      <c r="D481">
        <v>1</v>
      </c>
      <c r="E481">
        <v>0</v>
      </c>
      <c r="F481" t="str">
        <f t="shared" si="23"/>
        <v>Lower Risk</v>
      </c>
      <c r="G481" t="s">
        <v>3</v>
      </c>
      <c r="H481" t="s">
        <v>4</v>
      </c>
      <c r="I481" t="s">
        <v>9</v>
      </c>
      <c r="J481">
        <v>198.69</v>
      </c>
      <c r="K481" t="s">
        <v>10</v>
      </c>
      <c r="L481" t="s">
        <v>12</v>
      </c>
      <c r="M481">
        <v>0</v>
      </c>
      <c r="N481" t="str">
        <f t="shared" si="21"/>
        <v>40–59</v>
      </c>
      <c r="O481" t="str">
        <f t="shared" si="22"/>
        <v>Unknown</v>
      </c>
    </row>
    <row r="482" spans="1:15" x14ac:dyDescent="0.3">
      <c r="A482">
        <v>11974</v>
      </c>
      <c r="B482" t="s">
        <v>2</v>
      </c>
      <c r="C482">
        <v>11</v>
      </c>
      <c r="D482">
        <v>0</v>
      </c>
      <c r="E482">
        <v>0</v>
      </c>
      <c r="F482" t="str">
        <f t="shared" si="23"/>
        <v>Lower Risk</v>
      </c>
      <c r="G482" t="s">
        <v>13</v>
      </c>
      <c r="H482" t="s">
        <v>16</v>
      </c>
      <c r="I482" t="s">
        <v>5</v>
      </c>
      <c r="J482">
        <v>82.58</v>
      </c>
      <c r="K482">
        <v>25.5</v>
      </c>
      <c r="L482" t="s">
        <v>14</v>
      </c>
      <c r="M482">
        <v>0</v>
      </c>
      <c r="N482" t="str">
        <f t="shared" si="21"/>
        <v>Under 40</v>
      </c>
      <c r="O482" t="str">
        <f t="shared" si="22"/>
        <v>Overweight</v>
      </c>
    </row>
    <row r="483" spans="1:15" x14ac:dyDescent="0.3">
      <c r="A483">
        <v>3009</v>
      </c>
      <c r="B483" t="s">
        <v>7</v>
      </c>
      <c r="C483">
        <v>53</v>
      </c>
      <c r="D483">
        <v>0</v>
      </c>
      <c r="E483">
        <v>0</v>
      </c>
      <c r="F483" t="str">
        <f t="shared" si="23"/>
        <v>Lower Risk</v>
      </c>
      <c r="G483" t="s">
        <v>3</v>
      </c>
      <c r="H483" t="s">
        <v>8</v>
      </c>
      <c r="I483" t="s">
        <v>9</v>
      </c>
      <c r="J483">
        <v>96.88</v>
      </c>
      <c r="K483">
        <v>31.4</v>
      </c>
      <c r="L483" t="s">
        <v>14</v>
      </c>
      <c r="M483">
        <v>0</v>
      </c>
      <c r="N483" t="str">
        <f t="shared" si="21"/>
        <v>40–59</v>
      </c>
      <c r="O483" t="str">
        <f t="shared" si="22"/>
        <v>Obese</v>
      </c>
    </row>
    <row r="484" spans="1:15" x14ac:dyDescent="0.3">
      <c r="A484">
        <v>32361</v>
      </c>
      <c r="B484" t="s">
        <v>7</v>
      </c>
      <c r="C484">
        <v>78</v>
      </c>
      <c r="D484">
        <v>0</v>
      </c>
      <c r="E484">
        <v>1</v>
      </c>
      <c r="F484" t="str">
        <f t="shared" si="23"/>
        <v>High Risk</v>
      </c>
      <c r="G484" t="s">
        <v>3</v>
      </c>
      <c r="H484" t="s">
        <v>8</v>
      </c>
      <c r="I484" t="s">
        <v>5</v>
      </c>
      <c r="J484">
        <v>73.319999999999993</v>
      </c>
      <c r="K484">
        <v>26</v>
      </c>
      <c r="L484" t="s">
        <v>14</v>
      </c>
      <c r="M484">
        <v>0</v>
      </c>
      <c r="N484" t="str">
        <f t="shared" si="21"/>
        <v>60+</v>
      </c>
      <c r="O484" t="str">
        <f t="shared" si="22"/>
        <v>Overweight</v>
      </c>
    </row>
    <row r="485" spans="1:15" x14ac:dyDescent="0.3">
      <c r="A485">
        <v>41523</v>
      </c>
      <c r="B485" t="s">
        <v>2</v>
      </c>
      <c r="C485">
        <v>9</v>
      </c>
      <c r="D485">
        <v>0</v>
      </c>
      <c r="E485">
        <v>0</v>
      </c>
      <c r="F485" t="str">
        <f t="shared" si="23"/>
        <v>Lower Risk</v>
      </c>
      <c r="G485" t="s">
        <v>13</v>
      </c>
      <c r="H485" t="s">
        <v>16</v>
      </c>
      <c r="I485" t="s">
        <v>9</v>
      </c>
      <c r="J485">
        <v>94.59</v>
      </c>
      <c r="K485">
        <v>20</v>
      </c>
      <c r="L485" t="s">
        <v>14</v>
      </c>
      <c r="M485">
        <v>0</v>
      </c>
      <c r="N485" t="str">
        <f t="shared" si="21"/>
        <v>Under 40</v>
      </c>
      <c r="O485" t="str">
        <f t="shared" si="22"/>
        <v>Normal</v>
      </c>
    </row>
    <row r="486" spans="1:15" x14ac:dyDescent="0.3">
      <c r="A486">
        <v>53910</v>
      </c>
      <c r="B486" t="s">
        <v>7</v>
      </c>
      <c r="C486">
        <v>48</v>
      </c>
      <c r="D486">
        <v>0</v>
      </c>
      <c r="E486">
        <v>0</v>
      </c>
      <c r="F486" t="str">
        <f t="shared" si="23"/>
        <v>Lower Risk</v>
      </c>
      <c r="G486" t="s">
        <v>3</v>
      </c>
      <c r="H486" t="s">
        <v>8</v>
      </c>
      <c r="I486" t="s">
        <v>9</v>
      </c>
      <c r="J486">
        <v>132.08000000000001</v>
      </c>
      <c r="K486">
        <v>31.6</v>
      </c>
      <c r="L486" t="s">
        <v>12</v>
      </c>
      <c r="M486">
        <v>0</v>
      </c>
      <c r="N486" t="str">
        <f t="shared" si="21"/>
        <v>40–59</v>
      </c>
      <c r="O486" t="str">
        <f t="shared" si="22"/>
        <v>Obese</v>
      </c>
    </row>
    <row r="487" spans="1:15" x14ac:dyDescent="0.3">
      <c r="A487">
        <v>67548</v>
      </c>
      <c r="B487" t="s">
        <v>7</v>
      </c>
      <c r="C487">
        <v>31</v>
      </c>
      <c r="D487">
        <v>0</v>
      </c>
      <c r="E487">
        <v>0</v>
      </c>
      <c r="F487" t="str">
        <f t="shared" si="23"/>
        <v>Lower Risk</v>
      </c>
      <c r="G487" t="s">
        <v>3</v>
      </c>
      <c r="H487" t="s">
        <v>4</v>
      </c>
      <c r="I487" t="s">
        <v>5</v>
      </c>
      <c r="J487">
        <v>98.99</v>
      </c>
      <c r="K487">
        <v>31.2</v>
      </c>
      <c r="L487" t="s">
        <v>11</v>
      </c>
      <c r="M487">
        <v>0</v>
      </c>
      <c r="N487" t="str">
        <f t="shared" si="21"/>
        <v>Under 40</v>
      </c>
      <c r="O487" t="str">
        <f t="shared" si="22"/>
        <v>Obese</v>
      </c>
    </row>
    <row r="488" spans="1:15" x14ac:dyDescent="0.3">
      <c r="A488">
        <v>50441</v>
      </c>
      <c r="B488" t="s">
        <v>2</v>
      </c>
      <c r="C488">
        <v>20</v>
      </c>
      <c r="D488">
        <v>0</v>
      </c>
      <c r="E488">
        <v>0</v>
      </c>
      <c r="F488" t="str">
        <f t="shared" si="23"/>
        <v>Lower Risk</v>
      </c>
      <c r="G488" t="s">
        <v>13</v>
      </c>
      <c r="H488" t="s">
        <v>4</v>
      </c>
      <c r="I488" t="s">
        <v>9</v>
      </c>
      <c r="J488">
        <v>104.48</v>
      </c>
      <c r="K488">
        <v>21.7</v>
      </c>
      <c r="L488" t="s">
        <v>11</v>
      </c>
      <c r="M488">
        <v>0</v>
      </c>
      <c r="N488" t="str">
        <f t="shared" si="21"/>
        <v>Under 40</v>
      </c>
      <c r="O488" t="str">
        <f t="shared" si="22"/>
        <v>Normal</v>
      </c>
    </row>
    <row r="489" spans="1:15" x14ac:dyDescent="0.3">
      <c r="A489">
        <v>16927</v>
      </c>
      <c r="B489" t="s">
        <v>2</v>
      </c>
      <c r="C489">
        <v>21</v>
      </c>
      <c r="D489">
        <v>0</v>
      </c>
      <c r="E489">
        <v>0</v>
      </c>
      <c r="F489" t="str">
        <f t="shared" si="23"/>
        <v>Lower Risk</v>
      </c>
      <c r="G489" t="s">
        <v>3</v>
      </c>
      <c r="H489" t="s">
        <v>4</v>
      </c>
      <c r="I489" t="s">
        <v>9</v>
      </c>
      <c r="J489">
        <v>98.01</v>
      </c>
      <c r="K489">
        <v>24.2</v>
      </c>
      <c r="L489" t="s">
        <v>14</v>
      </c>
      <c r="M489">
        <v>0</v>
      </c>
      <c r="N489" t="str">
        <f t="shared" si="21"/>
        <v>Under 40</v>
      </c>
      <c r="O489" t="str">
        <f t="shared" si="22"/>
        <v>Normal</v>
      </c>
    </row>
    <row r="490" spans="1:15" x14ac:dyDescent="0.3">
      <c r="A490">
        <v>28265</v>
      </c>
      <c r="B490" t="s">
        <v>7</v>
      </c>
      <c r="C490">
        <v>42</v>
      </c>
      <c r="D490">
        <v>0</v>
      </c>
      <c r="E490">
        <v>0</v>
      </c>
      <c r="F490" t="str">
        <f t="shared" si="23"/>
        <v>Lower Risk</v>
      </c>
      <c r="G490" t="s">
        <v>3</v>
      </c>
      <c r="H490" t="s">
        <v>8</v>
      </c>
      <c r="I490" t="s">
        <v>9</v>
      </c>
      <c r="J490">
        <v>79.14</v>
      </c>
      <c r="K490">
        <v>25</v>
      </c>
      <c r="L490" t="s">
        <v>6</v>
      </c>
      <c r="M490">
        <v>0</v>
      </c>
      <c r="N490" t="str">
        <f t="shared" si="21"/>
        <v>40–59</v>
      </c>
      <c r="O490" t="str">
        <f t="shared" si="22"/>
        <v>Overweight</v>
      </c>
    </row>
    <row r="491" spans="1:15" x14ac:dyDescent="0.3">
      <c r="A491">
        <v>33404</v>
      </c>
      <c r="B491" t="s">
        <v>2</v>
      </c>
      <c r="C491">
        <v>35</v>
      </c>
      <c r="D491">
        <v>0</v>
      </c>
      <c r="E491">
        <v>0</v>
      </c>
      <c r="F491" t="str">
        <f t="shared" si="23"/>
        <v>Lower Risk</v>
      </c>
      <c r="G491" t="s">
        <v>3</v>
      </c>
      <c r="H491" t="s">
        <v>4</v>
      </c>
      <c r="I491" t="s">
        <v>5</v>
      </c>
      <c r="J491">
        <v>89.32</v>
      </c>
      <c r="K491">
        <v>36.700000000000003</v>
      </c>
      <c r="L491" t="s">
        <v>14</v>
      </c>
      <c r="M491">
        <v>0</v>
      </c>
      <c r="N491" t="str">
        <f t="shared" si="21"/>
        <v>Under 40</v>
      </c>
      <c r="O491" t="str">
        <f t="shared" si="22"/>
        <v>Obese</v>
      </c>
    </row>
    <row r="492" spans="1:15" x14ac:dyDescent="0.3">
      <c r="A492">
        <v>50965</v>
      </c>
      <c r="B492" t="s">
        <v>2</v>
      </c>
      <c r="C492">
        <v>53</v>
      </c>
      <c r="D492">
        <v>0</v>
      </c>
      <c r="E492">
        <v>0</v>
      </c>
      <c r="F492" t="str">
        <f t="shared" si="23"/>
        <v>Lower Risk</v>
      </c>
      <c r="G492" t="s">
        <v>13</v>
      </c>
      <c r="H492" t="s">
        <v>4</v>
      </c>
      <c r="I492" t="s">
        <v>9</v>
      </c>
      <c r="J492">
        <v>65.239999999999995</v>
      </c>
      <c r="K492">
        <v>28.9</v>
      </c>
      <c r="L492" t="s">
        <v>14</v>
      </c>
      <c r="M492">
        <v>0</v>
      </c>
      <c r="N492" t="str">
        <f t="shared" si="21"/>
        <v>40–59</v>
      </c>
      <c r="O492" t="str">
        <f t="shared" si="22"/>
        <v>Overweight</v>
      </c>
    </row>
    <row r="493" spans="1:15" x14ac:dyDescent="0.3">
      <c r="A493">
        <v>21077</v>
      </c>
      <c r="B493" t="s">
        <v>2</v>
      </c>
      <c r="C493">
        <v>60</v>
      </c>
      <c r="D493">
        <v>0</v>
      </c>
      <c r="E493">
        <v>0</v>
      </c>
      <c r="F493" t="str">
        <f t="shared" si="23"/>
        <v>Moderate Risk</v>
      </c>
      <c r="G493" t="s">
        <v>3</v>
      </c>
      <c r="H493" t="s">
        <v>4</v>
      </c>
      <c r="I493" t="s">
        <v>9</v>
      </c>
      <c r="J493">
        <v>80.98</v>
      </c>
      <c r="K493">
        <v>29.7</v>
      </c>
      <c r="L493" t="s">
        <v>6</v>
      </c>
      <c r="M493">
        <v>0</v>
      </c>
      <c r="N493" t="str">
        <f t="shared" si="21"/>
        <v>60+</v>
      </c>
      <c r="O493" t="str">
        <f t="shared" si="22"/>
        <v>Overweight</v>
      </c>
    </row>
    <row r="494" spans="1:15" x14ac:dyDescent="0.3">
      <c r="A494">
        <v>12982</v>
      </c>
      <c r="B494" t="s">
        <v>2</v>
      </c>
      <c r="C494">
        <v>74</v>
      </c>
      <c r="D494">
        <v>0</v>
      </c>
      <c r="E494">
        <v>0</v>
      </c>
      <c r="F494" t="str">
        <f t="shared" si="23"/>
        <v>Moderate Risk</v>
      </c>
      <c r="G494" t="s">
        <v>3</v>
      </c>
      <c r="H494" t="s">
        <v>8</v>
      </c>
      <c r="I494" t="s">
        <v>5</v>
      </c>
      <c r="J494">
        <v>186.17</v>
      </c>
      <c r="K494">
        <v>44.3</v>
      </c>
      <c r="L494" t="s">
        <v>14</v>
      </c>
      <c r="M494">
        <v>0</v>
      </c>
      <c r="N494" t="str">
        <f t="shared" si="21"/>
        <v>60+</v>
      </c>
      <c r="O494" t="str">
        <f t="shared" si="22"/>
        <v>Obese</v>
      </c>
    </row>
    <row r="495" spans="1:15" x14ac:dyDescent="0.3">
      <c r="A495">
        <v>66570</v>
      </c>
      <c r="B495" t="s">
        <v>7</v>
      </c>
      <c r="C495">
        <v>23</v>
      </c>
      <c r="D495">
        <v>0</v>
      </c>
      <c r="E495">
        <v>0</v>
      </c>
      <c r="F495" t="str">
        <f t="shared" si="23"/>
        <v>Lower Risk</v>
      </c>
      <c r="G495" t="s">
        <v>13</v>
      </c>
      <c r="H495" t="s">
        <v>4</v>
      </c>
      <c r="I495" t="s">
        <v>9</v>
      </c>
      <c r="J495">
        <v>69.239999999999995</v>
      </c>
      <c r="K495">
        <v>51</v>
      </c>
      <c r="L495" t="s">
        <v>11</v>
      </c>
      <c r="M495">
        <v>0</v>
      </c>
      <c r="N495" t="str">
        <f t="shared" si="21"/>
        <v>Under 40</v>
      </c>
      <c r="O495" t="str">
        <f t="shared" si="22"/>
        <v>Obese</v>
      </c>
    </row>
    <row r="496" spans="1:15" x14ac:dyDescent="0.3">
      <c r="A496">
        <v>29158</v>
      </c>
      <c r="B496" t="s">
        <v>7</v>
      </c>
      <c r="C496">
        <v>55</v>
      </c>
      <c r="D496">
        <v>0</v>
      </c>
      <c r="E496">
        <v>0</v>
      </c>
      <c r="F496" t="str">
        <f t="shared" si="23"/>
        <v>Lower Risk</v>
      </c>
      <c r="G496" t="s">
        <v>3</v>
      </c>
      <c r="H496" t="s">
        <v>4</v>
      </c>
      <c r="I496" t="s">
        <v>9</v>
      </c>
      <c r="J496">
        <v>111.19</v>
      </c>
      <c r="K496">
        <v>39.700000000000003</v>
      </c>
      <c r="L496" t="s">
        <v>6</v>
      </c>
      <c r="M496">
        <v>0</v>
      </c>
      <c r="N496" t="str">
        <f t="shared" si="21"/>
        <v>40–59</v>
      </c>
      <c r="O496" t="str">
        <f t="shared" si="22"/>
        <v>Obese</v>
      </c>
    </row>
    <row r="497" spans="1:15" x14ac:dyDescent="0.3">
      <c r="A497">
        <v>34299</v>
      </c>
      <c r="B497" t="s">
        <v>7</v>
      </c>
      <c r="C497">
        <v>71</v>
      </c>
      <c r="D497">
        <v>0</v>
      </c>
      <c r="E497">
        <v>0</v>
      </c>
      <c r="F497" t="str">
        <f t="shared" si="23"/>
        <v>Moderate Risk</v>
      </c>
      <c r="G497" t="s">
        <v>3</v>
      </c>
      <c r="H497" t="s">
        <v>4</v>
      </c>
      <c r="I497" t="s">
        <v>5</v>
      </c>
      <c r="J497">
        <v>93.28</v>
      </c>
      <c r="K497">
        <v>34.700000000000003</v>
      </c>
      <c r="L497" t="s">
        <v>11</v>
      </c>
      <c r="M497">
        <v>0</v>
      </c>
      <c r="N497" t="str">
        <f t="shared" si="21"/>
        <v>60+</v>
      </c>
      <c r="O497" t="str">
        <f t="shared" si="22"/>
        <v>Obese</v>
      </c>
    </row>
    <row r="498" spans="1:15" x14ac:dyDescent="0.3">
      <c r="A498">
        <v>54375</v>
      </c>
      <c r="B498" t="s">
        <v>2</v>
      </c>
      <c r="C498">
        <v>5</v>
      </c>
      <c r="D498">
        <v>0</v>
      </c>
      <c r="E498">
        <v>0</v>
      </c>
      <c r="F498" t="str">
        <f t="shared" si="23"/>
        <v>Lower Risk</v>
      </c>
      <c r="G498" t="s">
        <v>13</v>
      </c>
      <c r="H498" t="s">
        <v>16</v>
      </c>
      <c r="I498" t="s">
        <v>9</v>
      </c>
      <c r="J498">
        <v>122.19</v>
      </c>
      <c r="K498">
        <v>35</v>
      </c>
      <c r="L498" t="s">
        <v>14</v>
      </c>
      <c r="M498">
        <v>0</v>
      </c>
      <c r="N498" t="str">
        <f t="shared" si="21"/>
        <v>Under 40</v>
      </c>
      <c r="O498" t="str">
        <f t="shared" si="22"/>
        <v>Obese</v>
      </c>
    </row>
    <row r="499" spans="1:15" x14ac:dyDescent="0.3">
      <c r="A499">
        <v>37832</v>
      </c>
      <c r="B499" t="s">
        <v>7</v>
      </c>
      <c r="C499">
        <v>14</v>
      </c>
      <c r="D499">
        <v>0</v>
      </c>
      <c r="E499">
        <v>0</v>
      </c>
      <c r="F499" t="str">
        <f t="shared" si="23"/>
        <v>Lower Risk</v>
      </c>
      <c r="G499" t="s">
        <v>13</v>
      </c>
      <c r="H499" t="s">
        <v>16</v>
      </c>
      <c r="I499" t="s">
        <v>9</v>
      </c>
      <c r="J499">
        <v>129.53</v>
      </c>
      <c r="K499">
        <v>21.3</v>
      </c>
      <c r="L499" t="s">
        <v>11</v>
      </c>
      <c r="M499">
        <v>0</v>
      </c>
      <c r="N499" t="str">
        <f t="shared" si="21"/>
        <v>Under 40</v>
      </c>
      <c r="O499" t="str">
        <f t="shared" si="22"/>
        <v>Normal</v>
      </c>
    </row>
    <row r="500" spans="1:15" x14ac:dyDescent="0.3">
      <c r="A500">
        <v>21058</v>
      </c>
      <c r="B500" t="s">
        <v>7</v>
      </c>
      <c r="C500">
        <v>15</v>
      </c>
      <c r="D500">
        <v>0</v>
      </c>
      <c r="E500">
        <v>0</v>
      </c>
      <c r="F500" t="str">
        <f t="shared" si="23"/>
        <v>Lower Risk</v>
      </c>
      <c r="G500" t="s">
        <v>13</v>
      </c>
      <c r="H500" t="s">
        <v>16</v>
      </c>
      <c r="I500" t="s">
        <v>9</v>
      </c>
      <c r="J500">
        <v>114.53</v>
      </c>
      <c r="K500">
        <v>29.1</v>
      </c>
      <c r="L500" t="s">
        <v>14</v>
      </c>
      <c r="M500">
        <v>0</v>
      </c>
      <c r="N500" t="str">
        <f t="shared" si="21"/>
        <v>Under 40</v>
      </c>
      <c r="O500" t="str">
        <f t="shared" si="22"/>
        <v>Overweight</v>
      </c>
    </row>
    <row r="501" spans="1:15" x14ac:dyDescent="0.3">
      <c r="A501">
        <v>7696</v>
      </c>
      <c r="B501" t="s">
        <v>7</v>
      </c>
      <c r="C501">
        <v>66</v>
      </c>
      <c r="D501">
        <v>0</v>
      </c>
      <c r="E501">
        <v>0</v>
      </c>
      <c r="F501" t="str">
        <f t="shared" si="23"/>
        <v>Moderate Risk</v>
      </c>
      <c r="G501" t="s">
        <v>13</v>
      </c>
      <c r="H501" t="s">
        <v>4</v>
      </c>
      <c r="I501" t="s">
        <v>5</v>
      </c>
      <c r="J501">
        <v>93.73</v>
      </c>
      <c r="K501">
        <v>23.9</v>
      </c>
      <c r="L501" t="s">
        <v>12</v>
      </c>
      <c r="M501">
        <v>0</v>
      </c>
      <c r="N501" t="str">
        <f t="shared" si="21"/>
        <v>60+</v>
      </c>
      <c r="O501" t="str">
        <f t="shared" si="22"/>
        <v>Normal</v>
      </c>
    </row>
    <row r="502" spans="1:15" x14ac:dyDescent="0.3">
      <c r="A502">
        <v>34668</v>
      </c>
      <c r="B502" t="s">
        <v>7</v>
      </c>
      <c r="C502">
        <v>56</v>
      </c>
      <c r="D502">
        <v>0</v>
      </c>
      <c r="E502">
        <v>0</v>
      </c>
      <c r="F502" t="str">
        <f t="shared" si="23"/>
        <v>Lower Risk</v>
      </c>
      <c r="G502" t="s">
        <v>3</v>
      </c>
      <c r="H502" t="s">
        <v>4</v>
      </c>
      <c r="I502" t="s">
        <v>5</v>
      </c>
      <c r="J502">
        <v>77.489999999999995</v>
      </c>
      <c r="K502">
        <v>36</v>
      </c>
      <c r="L502" t="s">
        <v>6</v>
      </c>
      <c r="M502">
        <v>0</v>
      </c>
      <c r="N502" t="str">
        <f t="shared" si="21"/>
        <v>40–59</v>
      </c>
      <c r="O502" t="str">
        <f t="shared" si="22"/>
        <v>Obese</v>
      </c>
    </row>
    <row r="503" spans="1:15" x14ac:dyDescent="0.3">
      <c r="A503">
        <v>68483</v>
      </c>
      <c r="B503" t="s">
        <v>7</v>
      </c>
      <c r="C503">
        <v>60</v>
      </c>
      <c r="D503">
        <v>0</v>
      </c>
      <c r="E503">
        <v>0</v>
      </c>
      <c r="F503" t="str">
        <f t="shared" si="23"/>
        <v>Moderate Risk</v>
      </c>
      <c r="G503" t="s">
        <v>3</v>
      </c>
      <c r="H503" t="s">
        <v>4</v>
      </c>
      <c r="I503" t="s">
        <v>5</v>
      </c>
      <c r="J503">
        <v>65.38</v>
      </c>
      <c r="K503">
        <v>41.2</v>
      </c>
      <c r="L503" t="s">
        <v>6</v>
      </c>
      <c r="M503">
        <v>0</v>
      </c>
      <c r="N503" t="str">
        <f t="shared" si="21"/>
        <v>60+</v>
      </c>
      <c r="O503" t="str">
        <f t="shared" si="22"/>
        <v>Obese</v>
      </c>
    </row>
    <row r="504" spans="1:15" x14ac:dyDescent="0.3">
      <c r="A504">
        <v>6072</v>
      </c>
      <c r="B504" t="s">
        <v>7</v>
      </c>
      <c r="C504">
        <v>57</v>
      </c>
      <c r="D504">
        <v>0</v>
      </c>
      <c r="E504">
        <v>0</v>
      </c>
      <c r="F504" t="str">
        <f t="shared" si="23"/>
        <v>Lower Risk</v>
      </c>
      <c r="G504" t="s">
        <v>3</v>
      </c>
      <c r="H504" t="s">
        <v>4</v>
      </c>
      <c r="I504" t="s">
        <v>5</v>
      </c>
      <c r="J504">
        <v>94.18</v>
      </c>
      <c r="K504">
        <v>27.1</v>
      </c>
      <c r="L504" t="s">
        <v>11</v>
      </c>
      <c r="M504">
        <v>0</v>
      </c>
      <c r="N504" t="str">
        <f t="shared" si="21"/>
        <v>40–59</v>
      </c>
      <c r="O504" t="str">
        <f t="shared" si="22"/>
        <v>Overweight</v>
      </c>
    </row>
    <row r="505" spans="1:15" x14ac:dyDescent="0.3">
      <c r="A505">
        <v>51112</v>
      </c>
      <c r="B505" t="s">
        <v>2</v>
      </c>
      <c r="C505">
        <v>29</v>
      </c>
      <c r="D505">
        <v>0</v>
      </c>
      <c r="E505">
        <v>0</v>
      </c>
      <c r="F505" t="str">
        <f t="shared" si="23"/>
        <v>Lower Risk</v>
      </c>
      <c r="G505" t="s">
        <v>3</v>
      </c>
      <c r="H505" t="s">
        <v>8</v>
      </c>
      <c r="I505" t="s">
        <v>5</v>
      </c>
      <c r="J505">
        <v>118.7</v>
      </c>
      <c r="K505">
        <v>33.200000000000003</v>
      </c>
      <c r="L505" t="s">
        <v>14</v>
      </c>
      <c r="M505">
        <v>0</v>
      </c>
      <c r="N505" t="str">
        <f t="shared" si="21"/>
        <v>Under 40</v>
      </c>
      <c r="O505" t="str">
        <f t="shared" si="22"/>
        <v>Obese</v>
      </c>
    </row>
    <row r="506" spans="1:15" x14ac:dyDescent="0.3">
      <c r="A506">
        <v>69673</v>
      </c>
      <c r="B506" t="s">
        <v>7</v>
      </c>
      <c r="C506">
        <v>76</v>
      </c>
      <c r="D506">
        <v>0</v>
      </c>
      <c r="E506">
        <v>0</v>
      </c>
      <c r="F506" t="str">
        <f t="shared" si="23"/>
        <v>Moderate Risk</v>
      </c>
      <c r="G506" t="s">
        <v>3</v>
      </c>
      <c r="H506" t="s">
        <v>15</v>
      </c>
      <c r="I506" t="s">
        <v>5</v>
      </c>
      <c r="J506">
        <v>96.29</v>
      </c>
      <c r="K506">
        <v>25.4</v>
      </c>
      <c r="L506" t="s">
        <v>12</v>
      </c>
      <c r="M506">
        <v>0</v>
      </c>
      <c r="N506" t="str">
        <f t="shared" si="21"/>
        <v>60+</v>
      </c>
      <c r="O506" t="str">
        <f t="shared" si="22"/>
        <v>Overweight</v>
      </c>
    </row>
    <row r="507" spans="1:15" x14ac:dyDescent="0.3">
      <c r="A507">
        <v>71238</v>
      </c>
      <c r="B507" t="s">
        <v>2</v>
      </c>
      <c r="C507">
        <v>52</v>
      </c>
      <c r="D507">
        <v>1</v>
      </c>
      <c r="E507">
        <v>0</v>
      </c>
      <c r="F507" t="str">
        <f t="shared" si="23"/>
        <v>Lower Risk</v>
      </c>
      <c r="G507" t="s">
        <v>3</v>
      </c>
      <c r="H507" t="s">
        <v>4</v>
      </c>
      <c r="I507" t="s">
        <v>9</v>
      </c>
      <c r="J507">
        <v>74.64</v>
      </c>
      <c r="K507">
        <v>30.7</v>
      </c>
      <c r="L507" t="s">
        <v>12</v>
      </c>
      <c r="M507">
        <v>0</v>
      </c>
      <c r="N507" t="str">
        <f t="shared" si="21"/>
        <v>40–59</v>
      </c>
      <c r="O507" t="str">
        <f t="shared" si="22"/>
        <v>Obese</v>
      </c>
    </row>
    <row r="508" spans="1:15" x14ac:dyDescent="0.3">
      <c r="A508">
        <v>63958</v>
      </c>
      <c r="B508" t="s">
        <v>7</v>
      </c>
      <c r="C508">
        <v>42</v>
      </c>
      <c r="D508">
        <v>0</v>
      </c>
      <c r="E508">
        <v>0</v>
      </c>
      <c r="F508" t="str">
        <f t="shared" si="23"/>
        <v>Lower Risk</v>
      </c>
      <c r="G508" t="s">
        <v>3</v>
      </c>
      <c r="H508" t="s">
        <v>4</v>
      </c>
      <c r="I508" t="s">
        <v>5</v>
      </c>
      <c r="J508">
        <v>96.99</v>
      </c>
      <c r="K508">
        <v>34.799999999999997</v>
      </c>
      <c r="L508" t="s">
        <v>6</v>
      </c>
      <c r="M508">
        <v>0</v>
      </c>
      <c r="N508" t="str">
        <f t="shared" si="21"/>
        <v>40–59</v>
      </c>
      <c r="O508" t="str">
        <f t="shared" si="22"/>
        <v>Obese</v>
      </c>
    </row>
    <row r="509" spans="1:15" x14ac:dyDescent="0.3">
      <c r="A509">
        <v>34511</v>
      </c>
      <c r="B509" t="s">
        <v>7</v>
      </c>
      <c r="C509">
        <v>71</v>
      </c>
      <c r="D509">
        <v>0</v>
      </c>
      <c r="E509">
        <v>0</v>
      </c>
      <c r="F509" t="str">
        <f t="shared" si="23"/>
        <v>Moderate Risk</v>
      </c>
      <c r="G509" t="s">
        <v>3</v>
      </c>
      <c r="H509" t="s">
        <v>4</v>
      </c>
      <c r="I509" t="s">
        <v>9</v>
      </c>
      <c r="J509">
        <v>100.61</v>
      </c>
      <c r="K509">
        <v>19.2</v>
      </c>
      <c r="L509" t="s">
        <v>14</v>
      </c>
      <c r="M509">
        <v>0</v>
      </c>
      <c r="N509" t="str">
        <f t="shared" si="21"/>
        <v>60+</v>
      </c>
      <c r="O509" t="str">
        <f t="shared" si="22"/>
        <v>Normal</v>
      </c>
    </row>
    <row r="510" spans="1:15" x14ac:dyDescent="0.3">
      <c r="A510">
        <v>24892</v>
      </c>
      <c r="B510" t="s">
        <v>2</v>
      </c>
      <c r="C510">
        <v>64</v>
      </c>
      <c r="D510">
        <v>0</v>
      </c>
      <c r="E510">
        <v>0</v>
      </c>
      <c r="F510" t="str">
        <f t="shared" si="23"/>
        <v>Moderate Risk</v>
      </c>
      <c r="G510" t="s">
        <v>3</v>
      </c>
      <c r="H510" t="s">
        <v>4</v>
      </c>
      <c r="I510" t="s">
        <v>9</v>
      </c>
      <c r="J510">
        <v>97.08</v>
      </c>
      <c r="K510">
        <v>31.7</v>
      </c>
      <c r="L510" t="s">
        <v>14</v>
      </c>
      <c r="M510">
        <v>0</v>
      </c>
      <c r="N510" t="str">
        <f t="shared" si="21"/>
        <v>60+</v>
      </c>
      <c r="O510" t="str">
        <f t="shared" si="22"/>
        <v>Obese</v>
      </c>
    </row>
    <row r="511" spans="1:15" x14ac:dyDescent="0.3">
      <c r="A511">
        <v>29496</v>
      </c>
      <c r="B511" t="s">
        <v>7</v>
      </c>
      <c r="C511">
        <v>39</v>
      </c>
      <c r="D511">
        <v>0</v>
      </c>
      <c r="E511">
        <v>0</v>
      </c>
      <c r="F511" t="str">
        <f t="shared" si="23"/>
        <v>Lower Risk</v>
      </c>
      <c r="G511" t="s">
        <v>3</v>
      </c>
      <c r="H511" t="s">
        <v>4</v>
      </c>
      <c r="I511" t="s">
        <v>9</v>
      </c>
      <c r="J511">
        <v>84.79</v>
      </c>
      <c r="K511">
        <v>35.700000000000003</v>
      </c>
      <c r="L511" t="s">
        <v>11</v>
      </c>
      <c r="M511">
        <v>0</v>
      </c>
      <c r="N511" t="str">
        <f t="shared" si="21"/>
        <v>Under 40</v>
      </c>
      <c r="O511" t="str">
        <f t="shared" si="22"/>
        <v>Obese</v>
      </c>
    </row>
    <row r="512" spans="1:15" x14ac:dyDescent="0.3">
      <c r="A512">
        <v>19939</v>
      </c>
      <c r="B512" t="s">
        <v>7</v>
      </c>
      <c r="C512">
        <v>46</v>
      </c>
      <c r="D512">
        <v>0</v>
      </c>
      <c r="E512">
        <v>0</v>
      </c>
      <c r="F512" t="str">
        <f t="shared" si="23"/>
        <v>Lower Risk</v>
      </c>
      <c r="G512" t="s">
        <v>3</v>
      </c>
      <c r="H512" t="s">
        <v>4</v>
      </c>
      <c r="I512" t="s">
        <v>9</v>
      </c>
      <c r="J512">
        <v>78.75</v>
      </c>
      <c r="K512">
        <v>37.799999999999997</v>
      </c>
      <c r="L512" t="s">
        <v>6</v>
      </c>
      <c r="M512">
        <v>0</v>
      </c>
      <c r="N512" t="str">
        <f t="shared" si="21"/>
        <v>40–59</v>
      </c>
      <c r="O512" t="str">
        <f t="shared" si="22"/>
        <v>Obese</v>
      </c>
    </row>
    <row r="513" spans="1:15" x14ac:dyDescent="0.3">
      <c r="A513">
        <v>27832</v>
      </c>
      <c r="B513" t="s">
        <v>7</v>
      </c>
      <c r="C513">
        <v>51</v>
      </c>
      <c r="D513">
        <v>0</v>
      </c>
      <c r="E513">
        <v>0</v>
      </c>
      <c r="F513" t="str">
        <f t="shared" si="23"/>
        <v>Lower Risk</v>
      </c>
      <c r="G513" t="s">
        <v>3</v>
      </c>
      <c r="H513" t="s">
        <v>4</v>
      </c>
      <c r="I513" t="s">
        <v>9</v>
      </c>
      <c r="J513">
        <v>82.93</v>
      </c>
      <c r="K513">
        <v>29.7</v>
      </c>
      <c r="L513" t="s">
        <v>12</v>
      </c>
      <c r="M513">
        <v>0</v>
      </c>
      <c r="N513" t="str">
        <f t="shared" si="21"/>
        <v>40–59</v>
      </c>
      <c r="O513" t="str">
        <f t="shared" si="22"/>
        <v>Overweight</v>
      </c>
    </row>
    <row r="514" spans="1:15" x14ac:dyDescent="0.3">
      <c r="A514">
        <v>27757</v>
      </c>
      <c r="B514" t="s">
        <v>2</v>
      </c>
      <c r="C514">
        <v>31</v>
      </c>
      <c r="D514">
        <v>0</v>
      </c>
      <c r="E514">
        <v>0</v>
      </c>
      <c r="F514" t="str">
        <f t="shared" si="23"/>
        <v>Lower Risk</v>
      </c>
      <c r="G514" t="s">
        <v>3</v>
      </c>
      <c r="H514" t="s">
        <v>4</v>
      </c>
      <c r="I514" t="s">
        <v>5</v>
      </c>
      <c r="J514">
        <v>88.78</v>
      </c>
      <c r="K514">
        <v>35.799999999999997</v>
      </c>
      <c r="L514" t="s">
        <v>12</v>
      </c>
      <c r="M514">
        <v>0</v>
      </c>
      <c r="N514" t="str">
        <f t="shared" ref="N514:N577" si="24">IF(C514&lt;40,"Under 40",IF(C514&lt;60,"40–59","60+"))</f>
        <v>Under 40</v>
      </c>
      <c r="O514" t="str">
        <f t="shared" ref="O514:O577" si="25">IF(K514="N/A","Unknown",
IF(K514="","Unknown",
IF(K514&lt;18.5,"Underweight",
IF(K514&lt;25,"Normal",
IF(K514&lt;30,"Overweight","Obese")))))</f>
        <v>Obese</v>
      </c>
    </row>
    <row r="515" spans="1:15" x14ac:dyDescent="0.3">
      <c r="A515">
        <v>31279</v>
      </c>
      <c r="B515" t="s">
        <v>2</v>
      </c>
      <c r="C515">
        <v>22</v>
      </c>
      <c r="D515">
        <v>0</v>
      </c>
      <c r="E515">
        <v>0</v>
      </c>
      <c r="F515" t="str">
        <f t="shared" ref="F515:F578" si="26">IF(C515&gt;=60,
IF(OR(D515=1,E515=1),"High Risk","Moderate Risk"),
"Lower Risk")</f>
        <v>Lower Risk</v>
      </c>
      <c r="G515" t="s">
        <v>13</v>
      </c>
      <c r="H515" t="s">
        <v>4</v>
      </c>
      <c r="I515" t="s">
        <v>5</v>
      </c>
      <c r="J515">
        <v>122.1</v>
      </c>
      <c r="K515">
        <v>23.6</v>
      </c>
      <c r="L515" t="s">
        <v>12</v>
      </c>
      <c r="M515">
        <v>0</v>
      </c>
      <c r="N515" t="str">
        <f t="shared" si="24"/>
        <v>Under 40</v>
      </c>
      <c r="O515" t="str">
        <f t="shared" si="25"/>
        <v>Normal</v>
      </c>
    </row>
    <row r="516" spans="1:15" x14ac:dyDescent="0.3">
      <c r="A516">
        <v>25099</v>
      </c>
      <c r="B516" t="s">
        <v>2</v>
      </c>
      <c r="C516">
        <v>41</v>
      </c>
      <c r="D516">
        <v>0</v>
      </c>
      <c r="E516">
        <v>0</v>
      </c>
      <c r="F516" t="str">
        <f t="shared" si="26"/>
        <v>Lower Risk</v>
      </c>
      <c r="G516" t="s">
        <v>13</v>
      </c>
      <c r="H516" t="s">
        <v>15</v>
      </c>
      <c r="I516" t="s">
        <v>9</v>
      </c>
      <c r="J516">
        <v>74.81</v>
      </c>
      <c r="K516">
        <v>39.700000000000003</v>
      </c>
      <c r="L516" t="s">
        <v>12</v>
      </c>
      <c r="M516">
        <v>0</v>
      </c>
      <c r="N516" t="str">
        <f t="shared" si="24"/>
        <v>40–59</v>
      </c>
      <c r="O516" t="str">
        <f t="shared" si="25"/>
        <v>Obese</v>
      </c>
    </row>
    <row r="517" spans="1:15" x14ac:dyDescent="0.3">
      <c r="A517">
        <v>67733</v>
      </c>
      <c r="B517" t="s">
        <v>7</v>
      </c>
      <c r="C517">
        <v>28</v>
      </c>
      <c r="D517">
        <v>0</v>
      </c>
      <c r="E517">
        <v>0</v>
      </c>
      <c r="F517" t="str">
        <f t="shared" si="26"/>
        <v>Lower Risk</v>
      </c>
      <c r="G517" t="s">
        <v>3</v>
      </c>
      <c r="H517" t="s">
        <v>4</v>
      </c>
      <c r="I517" t="s">
        <v>5</v>
      </c>
      <c r="J517">
        <v>183.45</v>
      </c>
      <c r="K517">
        <v>40.5</v>
      </c>
      <c r="L517" t="s">
        <v>12</v>
      </c>
      <c r="M517">
        <v>0</v>
      </c>
      <c r="N517" t="str">
        <f t="shared" si="24"/>
        <v>Under 40</v>
      </c>
      <c r="O517" t="str">
        <f t="shared" si="25"/>
        <v>Obese</v>
      </c>
    </row>
    <row r="518" spans="1:15" x14ac:dyDescent="0.3">
      <c r="A518">
        <v>9201</v>
      </c>
      <c r="B518" t="s">
        <v>7</v>
      </c>
      <c r="C518">
        <v>44</v>
      </c>
      <c r="D518">
        <v>0</v>
      </c>
      <c r="E518">
        <v>0</v>
      </c>
      <c r="F518" t="str">
        <f t="shared" si="26"/>
        <v>Lower Risk</v>
      </c>
      <c r="G518" t="s">
        <v>3</v>
      </c>
      <c r="H518" t="s">
        <v>8</v>
      </c>
      <c r="I518" t="s">
        <v>5</v>
      </c>
      <c r="J518">
        <v>114.94</v>
      </c>
      <c r="K518">
        <v>21.4</v>
      </c>
      <c r="L518" t="s">
        <v>11</v>
      </c>
      <c r="M518">
        <v>0</v>
      </c>
      <c r="N518" t="str">
        <f t="shared" si="24"/>
        <v>40–59</v>
      </c>
      <c r="O518" t="str">
        <f t="shared" si="25"/>
        <v>Normal</v>
      </c>
    </row>
    <row r="519" spans="1:15" x14ac:dyDescent="0.3">
      <c r="A519">
        <v>33123</v>
      </c>
      <c r="B519" t="s">
        <v>7</v>
      </c>
      <c r="C519">
        <v>68</v>
      </c>
      <c r="D519">
        <v>0</v>
      </c>
      <c r="E519">
        <v>0</v>
      </c>
      <c r="F519" t="str">
        <f t="shared" si="26"/>
        <v>Moderate Risk</v>
      </c>
      <c r="G519" t="s">
        <v>3</v>
      </c>
      <c r="H519" t="s">
        <v>8</v>
      </c>
      <c r="I519" t="s">
        <v>9</v>
      </c>
      <c r="J519">
        <v>104.38</v>
      </c>
      <c r="K519">
        <v>40.799999999999997</v>
      </c>
      <c r="L519" t="s">
        <v>6</v>
      </c>
      <c r="M519">
        <v>0</v>
      </c>
      <c r="N519" t="str">
        <f t="shared" si="24"/>
        <v>60+</v>
      </c>
      <c r="O519" t="str">
        <f t="shared" si="25"/>
        <v>Obese</v>
      </c>
    </row>
    <row r="520" spans="1:15" x14ac:dyDescent="0.3">
      <c r="A520">
        <v>21713</v>
      </c>
      <c r="B520" t="s">
        <v>2</v>
      </c>
      <c r="C520">
        <v>49</v>
      </c>
      <c r="D520">
        <v>0</v>
      </c>
      <c r="E520">
        <v>0</v>
      </c>
      <c r="F520" t="str">
        <f t="shared" si="26"/>
        <v>Lower Risk</v>
      </c>
      <c r="G520" t="s">
        <v>3</v>
      </c>
      <c r="H520" t="s">
        <v>4</v>
      </c>
      <c r="I520" t="s">
        <v>5</v>
      </c>
      <c r="J520">
        <v>102.91</v>
      </c>
      <c r="K520">
        <v>24.7</v>
      </c>
      <c r="L520" t="s">
        <v>14</v>
      </c>
      <c r="M520">
        <v>0</v>
      </c>
      <c r="N520" t="str">
        <f t="shared" si="24"/>
        <v>40–59</v>
      </c>
      <c r="O520" t="str">
        <f t="shared" si="25"/>
        <v>Normal</v>
      </c>
    </row>
    <row r="521" spans="1:15" x14ac:dyDescent="0.3">
      <c r="A521">
        <v>22622</v>
      </c>
      <c r="B521" t="s">
        <v>2</v>
      </c>
      <c r="C521">
        <v>10</v>
      </c>
      <c r="D521">
        <v>0</v>
      </c>
      <c r="E521">
        <v>0</v>
      </c>
      <c r="F521" t="str">
        <f t="shared" si="26"/>
        <v>Lower Risk</v>
      </c>
      <c r="G521" t="s">
        <v>13</v>
      </c>
      <c r="H521" t="s">
        <v>16</v>
      </c>
      <c r="I521" t="s">
        <v>9</v>
      </c>
      <c r="J521">
        <v>108.79</v>
      </c>
      <c r="K521">
        <v>21</v>
      </c>
      <c r="L521" t="s">
        <v>14</v>
      </c>
      <c r="M521">
        <v>0</v>
      </c>
      <c r="N521" t="str">
        <f t="shared" si="24"/>
        <v>Under 40</v>
      </c>
      <c r="O521" t="str">
        <f t="shared" si="25"/>
        <v>Normal</v>
      </c>
    </row>
    <row r="522" spans="1:15" x14ac:dyDescent="0.3">
      <c r="A522">
        <v>6726</v>
      </c>
      <c r="B522" t="s">
        <v>7</v>
      </c>
      <c r="C522">
        <v>31</v>
      </c>
      <c r="D522">
        <v>0</v>
      </c>
      <c r="E522">
        <v>0</v>
      </c>
      <c r="F522" t="str">
        <f t="shared" si="26"/>
        <v>Lower Risk</v>
      </c>
      <c r="G522" t="s">
        <v>3</v>
      </c>
      <c r="H522" t="s">
        <v>4</v>
      </c>
      <c r="I522" t="s">
        <v>5</v>
      </c>
      <c r="J522">
        <v>73.31</v>
      </c>
      <c r="K522">
        <v>45</v>
      </c>
      <c r="L522" t="s">
        <v>11</v>
      </c>
      <c r="M522">
        <v>0</v>
      </c>
      <c r="N522" t="str">
        <f t="shared" si="24"/>
        <v>Under 40</v>
      </c>
      <c r="O522" t="str">
        <f t="shared" si="25"/>
        <v>Obese</v>
      </c>
    </row>
    <row r="523" spans="1:15" x14ac:dyDescent="0.3">
      <c r="A523">
        <v>17242</v>
      </c>
      <c r="B523" t="s">
        <v>2</v>
      </c>
      <c r="C523">
        <v>67</v>
      </c>
      <c r="D523">
        <v>0</v>
      </c>
      <c r="E523">
        <v>0</v>
      </c>
      <c r="F523" t="str">
        <f t="shared" si="26"/>
        <v>Moderate Risk</v>
      </c>
      <c r="G523" t="s">
        <v>3</v>
      </c>
      <c r="H523" t="s">
        <v>8</v>
      </c>
      <c r="I523" t="s">
        <v>5</v>
      </c>
      <c r="J523">
        <v>68.52</v>
      </c>
      <c r="K523">
        <v>26.2</v>
      </c>
      <c r="L523" t="s">
        <v>11</v>
      </c>
      <c r="M523">
        <v>0</v>
      </c>
      <c r="N523" t="str">
        <f t="shared" si="24"/>
        <v>60+</v>
      </c>
      <c r="O523" t="str">
        <f t="shared" si="25"/>
        <v>Overweight</v>
      </c>
    </row>
    <row r="524" spans="1:15" x14ac:dyDescent="0.3">
      <c r="A524">
        <v>16380</v>
      </c>
      <c r="B524" t="s">
        <v>2</v>
      </c>
      <c r="C524">
        <v>40</v>
      </c>
      <c r="D524">
        <v>0</v>
      </c>
      <c r="E524">
        <v>0</v>
      </c>
      <c r="F524" t="str">
        <f t="shared" si="26"/>
        <v>Lower Risk</v>
      </c>
      <c r="G524" t="s">
        <v>3</v>
      </c>
      <c r="H524" t="s">
        <v>4</v>
      </c>
      <c r="I524" t="s">
        <v>9</v>
      </c>
      <c r="J524">
        <v>89.77</v>
      </c>
      <c r="K524" t="s">
        <v>10</v>
      </c>
      <c r="L524" t="s">
        <v>12</v>
      </c>
      <c r="M524">
        <v>0</v>
      </c>
      <c r="N524" t="str">
        <f t="shared" si="24"/>
        <v>40–59</v>
      </c>
      <c r="O524" t="str">
        <f t="shared" si="25"/>
        <v>Unknown</v>
      </c>
    </row>
    <row r="525" spans="1:15" x14ac:dyDescent="0.3">
      <c r="A525">
        <v>9729</v>
      </c>
      <c r="B525" t="s">
        <v>2</v>
      </c>
      <c r="C525">
        <v>70</v>
      </c>
      <c r="D525">
        <v>0</v>
      </c>
      <c r="E525">
        <v>0</v>
      </c>
      <c r="F525" t="str">
        <f t="shared" si="26"/>
        <v>Moderate Risk</v>
      </c>
      <c r="G525" t="s">
        <v>3</v>
      </c>
      <c r="H525" t="s">
        <v>4</v>
      </c>
      <c r="I525" t="s">
        <v>5</v>
      </c>
      <c r="J525">
        <v>102.64</v>
      </c>
      <c r="K525">
        <v>28.3</v>
      </c>
      <c r="L525" t="s">
        <v>11</v>
      </c>
      <c r="M525">
        <v>0</v>
      </c>
      <c r="N525" t="str">
        <f t="shared" si="24"/>
        <v>60+</v>
      </c>
      <c r="O525" t="str">
        <f t="shared" si="25"/>
        <v>Overweight</v>
      </c>
    </row>
    <row r="526" spans="1:15" x14ac:dyDescent="0.3">
      <c r="A526">
        <v>56974</v>
      </c>
      <c r="B526" t="s">
        <v>7</v>
      </c>
      <c r="C526">
        <v>38</v>
      </c>
      <c r="D526">
        <v>0</v>
      </c>
      <c r="E526">
        <v>0</v>
      </c>
      <c r="F526" t="str">
        <f t="shared" si="26"/>
        <v>Lower Risk</v>
      </c>
      <c r="G526" t="s">
        <v>3</v>
      </c>
      <c r="H526" t="s">
        <v>15</v>
      </c>
      <c r="I526" t="s">
        <v>5</v>
      </c>
      <c r="J526">
        <v>70.92</v>
      </c>
      <c r="K526">
        <v>41.6</v>
      </c>
      <c r="L526" t="s">
        <v>11</v>
      </c>
      <c r="M526">
        <v>0</v>
      </c>
      <c r="N526" t="str">
        <f t="shared" si="24"/>
        <v>Under 40</v>
      </c>
      <c r="O526" t="str">
        <f t="shared" si="25"/>
        <v>Obese</v>
      </c>
    </row>
    <row r="527" spans="1:15" x14ac:dyDescent="0.3">
      <c r="A527">
        <v>29933</v>
      </c>
      <c r="B527" t="s">
        <v>7</v>
      </c>
      <c r="C527">
        <v>5</v>
      </c>
      <c r="D527">
        <v>0</v>
      </c>
      <c r="E527">
        <v>0</v>
      </c>
      <c r="F527" t="str">
        <f t="shared" si="26"/>
        <v>Lower Risk</v>
      </c>
      <c r="G527" t="s">
        <v>13</v>
      </c>
      <c r="H527" t="s">
        <v>16</v>
      </c>
      <c r="I527" t="s">
        <v>9</v>
      </c>
      <c r="J527">
        <v>86.11</v>
      </c>
      <c r="K527">
        <v>19</v>
      </c>
      <c r="L527" t="s">
        <v>14</v>
      </c>
      <c r="M527">
        <v>0</v>
      </c>
      <c r="N527" t="str">
        <f t="shared" si="24"/>
        <v>Under 40</v>
      </c>
      <c r="O527" t="str">
        <f t="shared" si="25"/>
        <v>Normal</v>
      </c>
    </row>
    <row r="528" spans="1:15" x14ac:dyDescent="0.3">
      <c r="A528">
        <v>65574</v>
      </c>
      <c r="B528" t="s">
        <v>7</v>
      </c>
      <c r="C528">
        <v>54</v>
      </c>
      <c r="D528">
        <v>0</v>
      </c>
      <c r="E528">
        <v>0</v>
      </c>
      <c r="F528" t="str">
        <f t="shared" si="26"/>
        <v>Lower Risk</v>
      </c>
      <c r="G528" t="s">
        <v>3</v>
      </c>
      <c r="H528" t="s">
        <v>4</v>
      </c>
      <c r="I528" t="s">
        <v>5</v>
      </c>
      <c r="J528">
        <v>129.16</v>
      </c>
      <c r="K528">
        <v>32.4</v>
      </c>
      <c r="L528" t="s">
        <v>11</v>
      </c>
      <c r="M528">
        <v>0</v>
      </c>
      <c r="N528" t="str">
        <f t="shared" si="24"/>
        <v>40–59</v>
      </c>
      <c r="O528" t="str">
        <f t="shared" si="25"/>
        <v>Obese</v>
      </c>
    </row>
    <row r="529" spans="1:15" x14ac:dyDescent="0.3">
      <c r="A529">
        <v>17019</v>
      </c>
      <c r="B529" t="s">
        <v>7</v>
      </c>
      <c r="C529">
        <v>30</v>
      </c>
      <c r="D529">
        <v>0</v>
      </c>
      <c r="E529">
        <v>0</v>
      </c>
      <c r="F529" t="str">
        <f t="shared" si="26"/>
        <v>Lower Risk</v>
      </c>
      <c r="G529" t="s">
        <v>3</v>
      </c>
      <c r="H529" t="s">
        <v>15</v>
      </c>
      <c r="I529" t="s">
        <v>5</v>
      </c>
      <c r="J529">
        <v>113.85</v>
      </c>
      <c r="K529">
        <v>34</v>
      </c>
      <c r="L529" t="s">
        <v>11</v>
      </c>
      <c r="M529">
        <v>0</v>
      </c>
      <c r="N529" t="str">
        <f t="shared" si="24"/>
        <v>Under 40</v>
      </c>
      <c r="O529" t="str">
        <f t="shared" si="25"/>
        <v>Obese</v>
      </c>
    </row>
    <row r="530" spans="1:15" x14ac:dyDescent="0.3">
      <c r="A530">
        <v>41800</v>
      </c>
      <c r="B530" t="s">
        <v>7</v>
      </c>
      <c r="C530">
        <v>23</v>
      </c>
      <c r="D530">
        <v>0</v>
      </c>
      <c r="E530">
        <v>0</v>
      </c>
      <c r="F530" t="str">
        <f t="shared" si="26"/>
        <v>Lower Risk</v>
      </c>
      <c r="G530" t="s">
        <v>3</v>
      </c>
      <c r="H530" t="s">
        <v>4</v>
      </c>
      <c r="I530" t="s">
        <v>9</v>
      </c>
      <c r="J530">
        <v>79.349999999999994</v>
      </c>
      <c r="K530">
        <v>39.4</v>
      </c>
      <c r="L530" t="s">
        <v>6</v>
      </c>
      <c r="M530">
        <v>0</v>
      </c>
      <c r="N530" t="str">
        <f t="shared" si="24"/>
        <v>Under 40</v>
      </c>
      <c r="O530" t="str">
        <f t="shared" si="25"/>
        <v>Obese</v>
      </c>
    </row>
    <row r="531" spans="1:15" x14ac:dyDescent="0.3">
      <c r="A531">
        <v>7621</v>
      </c>
      <c r="B531" t="s">
        <v>7</v>
      </c>
      <c r="C531">
        <v>31</v>
      </c>
      <c r="D531">
        <v>0</v>
      </c>
      <c r="E531">
        <v>0</v>
      </c>
      <c r="F531" t="str">
        <f t="shared" si="26"/>
        <v>Lower Risk</v>
      </c>
      <c r="G531" t="s">
        <v>3</v>
      </c>
      <c r="H531" t="s">
        <v>4</v>
      </c>
      <c r="I531" t="s">
        <v>9</v>
      </c>
      <c r="J531">
        <v>80.790000000000006</v>
      </c>
      <c r="K531">
        <v>28.7</v>
      </c>
      <c r="L531" t="s">
        <v>14</v>
      </c>
      <c r="M531">
        <v>0</v>
      </c>
      <c r="N531" t="str">
        <f t="shared" si="24"/>
        <v>Under 40</v>
      </c>
      <c r="O531" t="str">
        <f t="shared" si="25"/>
        <v>Overweight</v>
      </c>
    </row>
    <row r="532" spans="1:15" x14ac:dyDescent="0.3">
      <c r="A532">
        <v>6855</v>
      </c>
      <c r="B532" t="s">
        <v>2</v>
      </c>
      <c r="C532">
        <v>72</v>
      </c>
      <c r="D532">
        <v>1</v>
      </c>
      <c r="E532">
        <v>0</v>
      </c>
      <c r="F532" t="str">
        <f t="shared" si="26"/>
        <v>High Risk</v>
      </c>
      <c r="G532" t="s">
        <v>3</v>
      </c>
      <c r="H532" t="s">
        <v>8</v>
      </c>
      <c r="I532" t="s">
        <v>5</v>
      </c>
      <c r="J532">
        <v>114.01</v>
      </c>
      <c r="K532">
        <v>31.8</v>
      </c>
      <c r="L532" t="s">
        <v>6</v>
      </c>
      <c r="M532">
        <v>0</v>
      </c>
      <c r="N532" t="str">
        <f t="shared" si="24"/>
        <v>60+</v>
      </c>
      <c r="O532" t="str">
        <f t="shared" si="25"/>
        <v>Obese</v>
      </c>
    </row>
    <row r="533" spans="1:15" x14ac:dyDescent="0.3">
      <c r="A533">
        <v>5374</v>
      </c>
      <c r="B533" t="s">
        <v>2</v>
      </c>
      <c r="C533">
        <v>23</v>
      </c>
      <c r="D533">
        <v>0</v>
      </c>
      <c r="E533">
        <v>0</v>
      </c>
      <c r="F533" t="str">
        <f t="shared" si="26"/>
        <v>Lower Risk</v>
      </c>
      <c r="G533" t="s">
        <v>13</v>
      </c>
      <c r="H533" t="s">
        <v>4</v>
      </c>
      <c r="I533" t="s">
        <v>9</v>
      </c>
      <c r="J533">
        <v>93.74</v>
      </c>
      <c r="K533">
        <v>31.2</v>
      </c>
      <c r="L533" t="s">
        <v>11</v>
      </c>
      <c r="M533">
        <v>0</v>
      </c>
      <c r="N533" t="str">
        <f t="shared" si="24"/>
        <v>Under 40</v>
      </c>
      <c r="O533" t="str">
        <f t="shared" si="25"/>
        <v>Obese</v>
      </c>
    </row>
    <row r="534" spans="1:15" x14ac:dyDescent="0.3">
      <c r="A534">
        <v>31564</v>
      </c>
      <c r="B534" t="s">
        <v>7</v>
      </c>
      <c r="C534">
        <v>25</v>
      </c>
      <c r="D534">
        <v>0</v>
      </c>
      <c r="E534">
        <v>0</v>
      </c>
      <c r="F534" t="str">
        <f t="shared" si="26"/>
        <v>Lower Risk</v>
      </c>
      <c r="G534" t="s">
        <v>3</v>
      </c>
      <c r="H534" t="s">
        <v>4</v>
      </c>
      <c r="I534" t="s">
        <v>9</v>
      </c>
      <c r="J534">
        <v>90.65</v>
      </c>
      <c r="K534">
        <v>20.9</v>
      </c>
      <c r="L534" t="s">
        <v>14</v>
      </c>
      <c r="M534">
        <v>0</v>
      </c>
      <c r="N534" t="str">
        <f t="shared" si="24"/>
        <v>Under 40</v>
      </c>
      <c r="O534" t="str">
        <f t="shared" si="25"/>
        <v>Normal</v>
      </c>
    </row>
    <row r="535" spans="1:15" x14ac:dyDescent="0.3">
      <c r="A535">
        <v>26028</v>
      </c>
      <c r="B535" t="s">
        <v>2</v>
      </c>
      <c r="C535">
        <v>51</v>
      </c>
      <c r="D535">
        <v>0</v>
      </c>
      <c r="E535">
        <v>0</v>
      </c>
      <c r="F535" t="str">
        <f t="shared" si="26"/>
        <v>Lower Risk</v>
      </c>
      <c r="G535" t="s">
        <v>3</v>
      </c>
      <c r="H535" t="s">
        <v>4</v>
      </c>
      <c r="I535" t="s">
        <v>5</v>
      </c>
      <c r="J535">
        <v>98.41</v>
      </c>
      <c r="K535">
        <v>32.1</v>
      </c>
      <c r="L535" t="s">
        <v>11</v>
      </c>
      <c r="M535">
        <v>0</v>
      </c>
      <c r="N535" t="str">
        <f t="shared" si="24"/>
        <v>40–59</v>
      </c>
      <c r="O535" t="str">
        <f t="shared" si="25"/>
        <v>Obese</v>
      </c>
    </row>
    <row r="536" spans="1:15" x14ac:dyDescent="0.3">
      <c r="A536">
        <v>71808</v>
      </c>
      <c r="B536" t="s">
        <v>7</v>
      </c>
      <c r="C536">
        <v>20</v>
      </c>
      <c r="D536">
        <v>0</v>
      </c>
      <c r="E536">
        <v>0</v>
      </c>
      <c r="F536" t="str">
        <f t="shared" si="26"/>
        <v>Lower Risk</v>
      </c>
      <c r="G536" t="s">
        <v>13</v>
      </c>
      <c r="H536" t="s">
        <v>4</v>
      </c>
      <c r="I536" t="s">
        <v>5</v>
      </c>
      <c r="J536">
        <v>127.18</v>
      </c>
      <c r="K536">
        <v>31</v>
      </c>
      <c r="L536" t="s">
        <v>14</v>
      </c>
      <c r="M536">
        <v>0</v>
      </c>
      <c r="N536" t="str">
        <f t="shared" si="24"/>
        <v>Under 40</v>
      </c>
      <c r="O536" t="str">
        <f t="shared" si="25"/>
        <v>Obese</v>
      </c>
    </row>
    <row r="537" spans="1:15" x14ac:dyDescent="0.3">
      <c r="A537">
        <v>56998</v>
      </c>
      <c r="B537" t="s">
        <v>7</v>
      </c>
      <c r="C537">
        <v>12</v>
      </c>
      <c r="D537">
        <v>0</v>
      </c>
      <c r="E537">
        <v>0</v>
      </c>
      <c r="F537" t="str">
        <f t="shared" si="26"/>
        <v>Lower Risk</v>
      </c>
      <c r="G537" t="s">
        <v>13</v>
      </c>
      <c r="H537" t="s">
        <v>16</v>
      </c>
      <c r="I537" t="s">
        <v>5</v>
      </c>
      <c r="J537">
        <v>138.06</v>
      </c>
      <c r="K537">
        <v>23.1</v>
      </c>
      <c r="L537" t="s">
        <v>14</v>
      </c>
      <c r="M537">
        <v>0</v>
      </c>
      <c r="N537" t="str">
        <f t="shared" si="24"/>
        <v>Under 40</v>
      </c>
      <c r="O537" t="str">
        <f t="shared" si="25"/>
        <v>Normal</v>
      </c>
    </row>
    <row r="538" spans="1:15" x14ac:dyDescent="0.3">
      <c r="A538">
        <v>14712</v>
      </c>
      <c r="B538" t="s">
        <v>2</v>
      </c>
      <c r="C538">
        <v>57</v>
      </c>
      <c r="D538">
        <v>0</v>
      </c>
      <c r="E538">
        <v>0</v>
      </c>
      <c r="F538" t="str">
        <f t="shared" si="26"/>
        <v>Lower Risk</v>
      </c>
      <c r="G538" t="s">
        <v>3</v>
      </c>
      <c r="H538" t="s">
        <v>4</v>
      </c>
      <c r="I538" t="s">
        <v>5</v>
      </c>
      <c r="J538">
        <v>89.44</v>
      </c>
      <c r="K538">
        <v>26.7</v>
      </c>
      <c r="L538" t="s">
        <v>11</v>
      </c>
      <c r="M538">
        <v>0</v>
      </c>
      <c r="N538" t="str">
        <f t="shared" si="24"/>
        <v>40–59</v>
      </c>
      <c r="O538" t="str">
        <f t="shared" si="25"/>
        <v>Overweight</v>
      </c>
    </row>
    <row r="539" spans="1:15" x14ac:dyDescent="0.3">
      <c r="A539">
        <v>23094</v>
      </c>
      <c r="B539" t="s">
        <v>2</v>
      </c>
      <c r="C539">
        <v>65</v>
      </c>
      <c r="D539">
        <v>0</v>
      </c>
      <c r="E539">
        <v>0</v>
      </c>
      <c r="F539" t="str">
        <f t="shared" si="26"/>
        <v>Moderate Risk</v>
      </c>
      <c r="G539" t="s">
        <v>3</v>
      </c>
      <c r="H539" t="s">
        <v>8</v>
      </c>
      <c r="I539" t="s">
        <v>5</v>
      </c>
      <c r="J539">
        <v>105.61</v>
      </c>
      <c r="K539">
        <v>27.9</v>
      </c>
      <c r="L539" t="s">
        <v>14</v>
      </c>
      <c r="M539">
        <v>0</v>
      </c>
      <c r="N539" t="str">
        <f t="shared" si="24"/>
        <v>60+</v>
      </c>
      <c r="O539" t="str">
        <f t="shared" si="25"/>
        <v>Overweight</v>
      </c>
    </row>
    <row r="540" spans="1:15" x14ac:dyDescent="0.3">
      <c r="A540">
        <v>43134</v>
      </c>
      <c r="B540" t="s">
        <v>7</v>
      </c>
      <c r="C540">
        <v>16</v>
      </c>
      <c r="D540">
        <v>0</v>
      </c>
      <c r="E540">
        <v>0</v>
      </c>
      <c r="F540" t="str">
        <f t="shared" si="26"/>
        <v>Lower Risk</v>
      </c>
      <c r="G540" t="s">
        <v>13</v>
      </c>
      <c r="H540" t="s">
        <v>4</v>
      </c>
      <c r="I540" t="s">
        <v>9</v>
      </c>
      <c r="J540">
        <v>155.43</v>
      </c>
      <c r="K540">
        <v>27.3</v>
      </c>
      <c r="L540" t="s">
        <v>11</v>
      </c>
      <c r="M540">
        <v>0</v>
      </c>
      <c r="N540" t="str">
        <f t="shared" si="24"/>
        <v>Under 40</v>
      </c>
      <c r="O540" t="str">
        <f t="shared" si="25"/>
        <v>Overweight</v>
      </c>
    </row>
    <row r="541" spans="1:15" x14ac:dyDescent="0.3">
      <c r="A541">
        <v>40622</v>
      </c>
      <c r="B541" t="s">
        <v>7</v>
      </c>
      <c r="C541">
        <v>43</v>
      </c>
      <c r="D541">
        <v>0</v>
      </c>
      <c r="E541">
        <v>0</v>
      </c>
      <c r="F541" t="str">
        <f t="shared" si="26"/>
        <v>Lower Risk</v>
      </c>
      <c r="G541" t="s">
        <v>3</v>
      </c>
      <c r="H541" t="s">
        <v>4</v>
      </c>
      <c r="I541" t="s">
        <v>9</v>
      </c>
      <c r="J541">
        <v>80.83</v>
      </c>
      <c r="K541">
        <v>51.5</v>
      </c>
      <c r="L541" t="s">
        <v>14</v>
      </c>
      <c r="M541">
        <v>0</v>
      </c>
      <c r="N541" t="str">
        <f t="shared" si="24"/>
        <v>40–59</v>
      </c>
      <c r="O541" t="str">
        <f t="shared" si="25"/>
        <v>Obese</v>
      </c>
    </row>
    <row r="542" spans="1:15" x14ac:dyDescent="0.3">
      <c r="A542">
        <v>39383</v>
      </c>
      <c r="B542" t="s">
        <v>7</v>
      </c>
      <c r="C542">
        <v>30</v>
      </c>
      <c r="D542">
        <v>0</v>
      </c>
      <c r="E542">
        <v>0</v>
      </c>
      <c r="F542" t="str">
        <f t="shared" si="26"/>
        <v>Lower Risk</v>
      </c>
      <c r="G542" t="s">
        <v>3</v>
      </c>
      <c r="H542" t="s">
        <v>4</v>
      </c>
      <c r="I542" t="s">
        <v>5</v>
      </c>
      <c r="J542">
        <v>80.19</v>
      </c>
      <c r="K542">
        <v>20.399999999999999</v>
      </c>
      <c r="L542" t="s">
        <v>11</v>
      </c>
      <c r="M542">
        <v>0</v>
      </c>
      <c r="N542" t="str">
        <f t="shared" si="24"/>
        <v>Under 40</v>
      </c>
      <c r="O542" t="str">
        <f t="shared" si="25"/>
        <v>Normal</v>
      </c>
    </row>
    <row r="543" spans="1:15" x14ac:dyDescent="0.3">
      <c r="A543">
        <v>63606</v>
      </c>
      <c r="B543" t="s">
        <v>2</v>
      </c>
      <c r="C543">
        <v>29</v>
      </c>
      <c r="D543">
        <v>0</v>
      </c>
      <c r="E543">
        <v>0</v>
      </c>
      <c r="F543" t="str">
        <f t="shared" si="26"/>
        <v>Lower Risk</v>
      </c>
      <c r="G543" t="s">
        <v>3</v>
      </c>
      <c r="H543" t="s">
        <v>15</v>
      </c>
      <c r="I543" t="s">
        <v>5</v>
      </c>
      <c r="J543">
        <v>60.34</v>
      </c>
      <c r="K543">
        <v>29.6</v>
      </c>
      <c r="L543" t="s">
        <v>6</v>
      </c>
      <c r="M543">
        <v>0</v>
      </c>
      <c r="N543" t="str">
        <f t="shared" si="24"/>
        <v>Under 40</v>
      </c>
      <c r="O543" t="str">
        <f t="shared" si="25"/>
        <v>Overweight</v>
      </c>
    </row>
    <row r="544" spans="1:15" x14ac:dyDescent="0.3">
      <c r="A544">
        <v>46438</v>
      </c>
      <c r="B544" t="s">
        <v>7</v>
      </c>
      <c r="C544">
        <v>54</v>
      </c>
      <c r="D544">
        <v>0</v>
      </c>
      <c r="E544">
        <v>0</v>
      </c>
      <c r="F544" t="str">
        <f t="shared" si="26"/>
        <v>Lower Risk</v>
      </c>
      <c r="G544" t="s">
        <v>3</v>
      </c>
      <c r="H544" t="s">
        <v>8</v>
      </c>
      <c r="I544" t="s">
        <v>5</v>
      </c>
      <c r="J544">
        <v>79.3</v>
      </c>
      <c r="K544">
        <v>30.6</v>
      </c>
      <c r="L544" t="s">
        <v>6</v>
      </c>
      <c r="M544">
        <v>0</v>
      </c>
      <c r="N544" t="str">
        <f t="shared" si="24"/>
        <v>40–59</v>
      </c>
      <c r="O544" t="str">
        <f t="shared" si="25"/>
        <v>Obese</v>
      </c>
    </row>
    <row r="545" spans="1:15" x14ac:dyDescent="0.3">
      <c r="A545">
        <v>65144</v>
      </c>
      <c r="B545" t="s">
        <v>7</v>
      </c>
      <c r="C545">
        <v>57</v>
      </c>
      <c r="D545">
        <v>0</v>
      </c>
      <c r="E545">
        <v>0</v>
      </c>
      <c r="F545" t="str">
        <f t="shared" si="26"/>
        <v>Lower Risk</v>
      </c>
      <c r="G545" t="s">
        <v>3</v>
      </c>
      <c r="H545" t="s">
        <v>8</v>
      </c>
      <c r="I545" t="s">
        <v>5</v>
      </c>
      <c r="J545">
        <v>98.44</v>
      </c>
      <c r="K545">
        <v>33.6</v>
      </c>
      <c r="L545" t="s">
        <v>14</v>
      </c>
      <c r="M545">
        <v>0</v>
      </c>
      <c r="N545" t="str">
        <f t="shared" si="24"/>
        <v>40–59</v>
      </c>
      <c r="O545" t="str">
        <f t="shared" si="25"/>
        <v>Obese</v>
      </c>
    </row>
    <row r="546" spans="1:15" x14ac:dyDescent="0.3">
      <c r="A546">
        <v>545</v>
      </c>
      <c r="B546" t="s">
        <v>2</v>
      </c>
      <c r="C546">
        <v>42</v>
      </c>
      <c r="D546">
        <v>0</v>
      </c>
      <c r="E546">
        <v>0</v>
      </c>
      <c r="F546" t="str">
        <f t="shared" si="26"/>
        <v>Lower Risk</v>
      </c>
      <c r="G546" t="s">
        <v>3</v>
      </c>
      <c r="H546" t="s">
        <v>4</v>
      </c>
      <c r="I546" t="s">
        <v>9</v>
      </c>
      <c r="J546">
        <v>210.48</v>
      </c>
      <c r="K546">
        <v>71.900000000000006</v>
      </c>
      <c r="L546" t="s">
        <v>11</v>
      </c>
      <c r="M546">
        <v>0</v>
      </c>
      <c r="N546" t="str">
        <f t="shared" si="24"/>
        <v>40–59</v>
      </c>
      <c r="O546" t="str">
        <f t="shared" si="25"/>
        <v>Obese</v>
      </c>
    </row>
    <row r="547" spans="1:15" x14ac:dyDescent="0.3">
      <c r="A547">
        <v>36331</v>
      </c>
      <c r="B547" t="s">
        <v>2</v>
      </c>
      <c r="C547">
        <v>18</v>
      </c>
      <c r="D547">
        <v>0</v>
      </c>
      <c r="E547">
        <v>0</v>
      </c>
      <c r="F547" t="str">
        <f t="shared" si="26"/>
        <v>Lower Risk</v>
      </c>
      <c r="G547" t="s">
        <v>13</v>
      </c>
      <c r="H547" t="s">
        <v>4</v>
      </c>
      <c r="I547" t="s">
        <v>9</v>
      </c>
      <c r="J547">
        <v>70.34</v>
      </c>
      <c r="K547">
        <v>24.2</v>
      </c>
      <c r="L547" t="s">
        <v>14</v>
      </c>
      <c r="M547">
        <v>0</v>
      </c>
      <c r="N547" t="str">
        <f t="shared" si="24"/>
        <v>Under 40</v>
      </c>
      <c r="O547" t="str">
        <f t="shared" si="25"/>
        <v>Normal</v>
      </c>
    </row>
    <row r="548" spans="1:15" x14ac:dyDescent="0.3">
      <c r="A548">
        <v>42359</v>
      </c>
      <c r="B548" t="s">
        <v>2</v>
      </c>
      <c r="C548">
        <v>9</v>
      </c>
      <c r="D548">
        <v>0</v>
      </c>
      <c r="E548">
        <v>0</v>
      </c>
      <c r="F548" t="str">
        <f t="shared" si="26"/>
        <v>Lower Risk</v>
      </c>
      <c r="G548" t="s">
        <v>13</v>
      </c>
      <c r="H548" t="s">
        <v>16</v>
      </c>
      <c r="I548" t="s">
        <v>5</v>
      </c>
      <c r="J548">
        <v>122.22</v>
      </c>
      <c r="K548">
        <v>17.7</v>
      </c>
      <c r="L548" t="s">
        <v>14</v>
      </c>
      <c r="M548">
        <v>0</v>
      </c>
      <c r="N548" t="str">
        <f t="shared" si="24"/>
        <v>Under 40</v>
      </c>
      <c r="O548" t="str">
        <f t="shared" si="25"/>
        <v>Underweight</v>
      </c>
    </row>
    <row r="549" spans="1:15" x14ac:dyDescent="0.3">
      <c r="A549">
        <v>20751</v>
      </c>
      <c r="B549" t="s">
        <v>7</v>
      </c>
      <c r="C549">
        <v>26</v>
      </c>
      <c r="D549">
        <v>0</v>
      </c>
      <c r="E549">
        <v>0</v>
      </c>
      <c r="F549" t="str">
        <f t="shared" si="26"/>
        <v>Lower Risk</v>
      </c>
      <c r="G549" t="s">
        <v>3</v>
      </c>
      <c r="H549" t="s">
        <v>4</v>
      </c>
      <c r="I549" t="s">
        <v>9</v>
      </c>
      <c r="J549">
        <v>75.290000000000006</v>
      </c>
      <c r="K549">
        <v>22.6</v>
      </c>
      <c r="L549" t="s">
        <v>12</v>
      </c>
      <c r="M549">
        <v>0</v>
      </c>
      <c r="N549" t="str">
        <f t="shared" si="24"/>
        <v>Under 40</v>
      </c>
      <c r="O549" t="str">
        <f t="shared" si="25"/>
        <v>Normal</v>
      </c>
    </row>
    <row r="550" spans="1:15" x14ac:dyDescent="0.3">
      <c r="A550">
        <v>34641</v>
      </c>
      <c r="B550" t="s">
        <v>2</v>
      </c>
      <c r="C550">
        <v>40</v>
      </c>
      <c r="D550">
        <v>0</v>
      </c>
      <c r="E550">
        <v>0</v>
      </c>
      <c r="F550" t="str">
        <f t="shared" si="26"/>
        <v>Lower Risk</v>
      </c>
      <c r="G550" t="s">
        <v>13</v>
      </c>
      <c r="H550" t="s">
        <v>4</v>
      </c>
      <c r="I550" t="s">
        <v>9</v>
      </c>
      <c r="J550">
        <v>100.35</v>
      </c>
      <c r="K550">
        <v>28.1</v>
      </c>
      <c r="L550" t="s">
        <v>11</v>
      </c>
      <c r="M550">
        <v>0</v>
      </c>
      <c r="N550" t="str">
        <f t="shared" si="24"/>
        <v>40–59</v>
      </c>
      <c r="O550" t="str">
        <f t="shared" si="25"/>
        <v>Overweight</v>
      </c>
    </row>
    <row r="551" spans="1:15" x14ac:dyDescent="0.3">
      <c r="A551">
        <v>15791</v>
      </c>
      <c r="B551" t="s">
        <v>2</v>
      </c>
      <c r="C551">
        <v>77</v>
      </c>
      <c r="D551">
        <v>0</v>
      </c>
      <c r="E551">
        <v>0</v>
      </c>
      <c r="F551" t="str">
        <f t="shared" si="26"/>
        <v>Moderate Risk</v>
      </c>
      <c r="G551" t="s">
        <v>3</v>
      </c>
      <c r="H551" t="s">
        <v>4</v>
      </c>
      <c r="I551" t="s">
        <v>5</v>
      </c>
      <c r="J551">
        <v>193.83</v>
      </c>
      <c r="K551">
        <v>26.5</v>
      </c>
      <c r="L551" t="s">
        <v>11</v>
      </c>
      <c r="M551">
        <v>0</v>
      </c>
      <c r="N551" t="str">
        <f t="shared" si="24"/>
        <v>60+</v>
      </c>
      <c r="O551" t="str">
        <f t="shared" si="25"/>
        <v>Overweight</v>
      </c>
    </row>
    <row r="552" spans="1:15" x14ac:dyDescent="0.3">
      <c r="A552">
        <v>68241</v>
      </c>
      <c r="B552" t="s">
        <v>7</v>
      </c>
      <c r="C552">
        <v>15</v>
      </c>
      <c r="D552">
        <v>0</v>
      </c>
      <c r="E552">
        <v>0</v>
      </c>
      <c r="F552" t="str">
        <f t="shared" si="26"/>
        <v>Lower Risk</v>
      </c>
      <c r="G552" t="s">
        <v>13</v>
      </c>
      <c r="H552" t="s">
        <v>16</v>
      </c>
      <c r="I552" t="s">
        <v>5</v>
      </c>
      <c r="J552">
        <v>126.96</v>
      </c>
      <c r="K552">
        <v>28.7</v>
      </c>
      <c r="L552" t="s">
        <v>14</v>
      </c>
      <c r="M552">
        <v>0</v>
      </c>
      <c r="N552" t="str">
        <f t="shared" si="24"/>
        <v>Under 40</v>
      </c>
      <c r="O552" t="str">
        <f t="shared" si="25"/>
        <v>Overweight</v>
      </c>
    </row>
    <row r="553" spans="1:15" x14ac:dyDescent="0.3">
      <c r="A553">
        <v>67780</v>
      </c>
      <c r="B553" t="s">
        <v>7</v>
      </c>
      <c r="C553">
        <v>76</v>
      </c>
      <c r="D553">
        <v>0</v>
      </c>
      <c r="E553">
        <v>0</v>
      </c>
      <c r="F553" t="str">
        <f t="shared" si="26"/>
        <v>Moderate Risk</v>
      </c>
      <c r="G553" t="s">
        <v>3</v>
      </c>
      <c r="H553" t="s">
        <v>4</v>
      </c>
      <c r="I553" t="s">
        <v>5</v>
      </c>
      <c r="J553">
        <v>183.34</v>
      </c>
      <c r="K553">
        <v>39.5</v>
      </c>
      <c r="L553" t="s">
        <v>6</v>
      </c>
      <c r="M553">
        <v>0</v>
      </c>
      <c r="N553" t="str">
        <f t="shared" si="24"/>
        <v>60+</v>
      </c>
      <c r="O553" t="str">
        <f t="shared" si="25"/>
        <v>Obese</v>
      </c>
    </row>
    <row r="554" spans="1:15" x14ac:dyDescent="0.3">
      <c r="A554">
        <v>68275</v>
      </c>
      <c r="B554" t="s">
        <v>2</v>
      </c>
      <c r="C554">
        <v>52</v>
      </c>
      <c r="D554">
        <v>0</v>
      </c>
      <c r="E554">
        <v>0</v>
      </c>
      <c r="F554" t="str">
        <f t="shared" si="26"/>
        <v>Lower Risk</v>
      </c>
      <c r="G554" t="s">
        <v>3</v>
      </c>
      <c r="H554" t="s">
        <v>4</v>
      </c>
      <c r="I554" t="s">
        <v>5</v>
      </c>
      <c r="J554">
        <v>247.69</v>
      </c>
      <c r="K554">
        <v>35.1</v>
      </c>
      <c r="L554" t="s">
        <v>14</v>
      </c>
      <c r="M554">
        <v>0</v>
      </c>
      <c r="N554" t="str">
        <f t="shared" si="24"/>
        <v>40–59</v>
      </c>
      <c r="O554" t="str">
        <f t="shared" si="25"/>
        <v>Obese</v>
      </c>
    </row>
    <row r="555" spans="1:15" x14ac:dyDescent="0.3">
      <c r="A555">
        <v>13129</v>
      </c>
      <c r="B555" t="s">
        <v>7</v>
      </c>
      <c r="C555">
        <v>55</v>
      </c>
      <c r="D555">
        <v>0</v>
      </c>
      <c r="E555">
        <v>0</v>
      </c>
      <c r="F555" t="str">
        <f t="shared" si="26"/>
        <v>Lower Risk</v>
      </c>
      <c r="G555" t="s">
        <v>3</v>
      </c>
      <c r="H555" t="s">
        <v>8</v>
      </c>
      <c r="I555" t="s">
        <v>9</v>
      </c>
      <c r="J555">
        <v>76.2</v>
      </c>
      <c r="K555">
        <v>27.9</v>
      </c>
      <c r="L555" t="s">
        <v>11</v>
      </c>
      <c r="M555">
        <v>0</v>
      </c>
      <c r="N555" t="str">
        <f t="shared" si="24"/>
        <v>40–59</v>
      </c>
      <c r="O555" t="str">
        <f t="shared" si="25"/>
        <v>Overweight</v>
      </c>
    </row>
    <row r="556" spans="1:15" x14ac:dyDescent="0.3">
      <c r="A556">
        <v>60902</v>
      </c>
      <c r="B556" t="s">
        <v>2</v>
      </c>
      <c r="C556">
        <v>5</v>
      </c>
      <c r="D556">
        <v>0</v>
      </c>
      <c r="E556">
        <v>0</v>
      </c>
      <c r="F556" t="str">
        <f t="shared" si="26"/>
        <v>Lower Risk</v>
      </c>
      <c r="G556" t="s">
        <v>13</v>
      </c>
      <c r="H556" t="s">
        <v>16</v>
      </c>
      <c r="I556" t="s">
        <v>9</v>
      </c>
      <c r="J556">
        <v>71.430000000000007</v>
      </c>
      <c r="K556">
        <v>19.3</v>
      </c>
      <c r="L556" t="s">
        <v>14</v>
      </c>
      <c r="M556">
        <v>0</v>
      </c>
      <c r="N556" t="str">
        <f t="shared" si="24"/>
        <v>Under 40</v>
      </c>
      <c r="O556" t="str">
        <f t="shared" si="25"/>
        <v>Normal</v>
      </c>
    </row>
    <row r="557" spans="1:15" x14ac:dyDescent="0.3">
      <c r="A557">
        <v>37629</v>
      </c>
      <c r="B557" t="s">
        <v>7</v>
      </c>
      <c r="C557">
        <v>55</v>
      </c>
      <c r="D557">
        <v>0</v>
      </c>
      <c r="E557">
        <v>0</v>
      </c>
      <c r="F557" t="str">
        <f t="shared" si="26"/>
        <v>Lower Risk</v>
      </c>
      <c r="G557" t="s">
        <v>13</v>
      </c>
      <c r="H557" t="s">
        <v>4</v>
      </c>
      <c r="I557" t="s">
        <v>9</v>
      </c>
      <c r="J557">
        <v>93.36</v>
      </c>
      <c r="K557">
        <v>28.4</v>
      </c>
      <c r="L557" t="s">
        <v>11</v>
      </c>
      <c r="M557">
        <v>0</v>
      </c>
      <c r="N557" t="str">
        <f t="shared" si="24"/>
        <v>40–59</v>
      </c>
      <c r="O557" t="str">
        <f t="shared" si="25"/>
        <v>Overweight</v>
      </c>
    </row>
    <row r="558" spans="1:15" x14ac:dyDescent="0.3">
      <c r="A558">
        <v>58439</v>
      </c>
      <c r="B558" t="s">
        <v>2</v>
      </c>
      <c r="C558">
        <v>36</v>
      </c>
      <c r="D558">
        <v>0</v>
      </c>
      <c r="E558">
        <v>0</v>
      </c>
      <c r="F558" t="str">
        <f t="shared" si="26"/>
        <v>Lower Risk</v>
      </c>
      <c r="G558" t="s">
        <v>13</v>
      </c>
      <c r="H558" t="s">
        <v>4</v>
      </c>
      <c r="I558" t="s">
        <v>5</v>
      </c>
      <c r="J558">
        <v>61.29</v>
      </c>
      <c r="K558">
        <v>26.7</v>
      </c>
      <c r="L558" t="s">
        <v>11</v>
      </c>
      <c r="M558">
        <v>0</v>
      </c>
      <c r="N558" t="str">
        <f t="shared" si="24"/>
        <v>Under 40</v>
      </c>
      <c r="O558" t="str">
        <f t="shared" si="25"/>
        <v>Overweight</v>
      </c>
    </row>
    <row r="559" spans="1:15" x14ac:dyDescent="0.3">
      <c r="A559">
        <v>62936</v>
      </c>
      <c r="B559" t="s">
        <v>2</v>
      </c>
      <c r="C559">
        <v>46</v>
      </c>
      <c r="D559">
        <v>0</v>
      </c>
      <c r="E559">
        <v>0</v>
      </c>
      <c r="F559" t="str">
        <f t="shared" si="26"/>
        <v>Lower Risk</v>
      </c>
      <c r="G559" t="s">
        <v>3</v>
      </c>
      <c r="H559" t="s">
        <v>4</v>
      </c>
      <c r="I559" t="s">
        <v>5</v>
      </c>
      <c r="J559">
        <v>103.62</v>
      </c>
      <c r="K559">
        <v>40.9</v>
      </c>
      <c r="L559" t="s">
        <v>14</v>
      </c>
      <c r="M559">
        <v>0</v>
      </c>
      <c r="N559" t="str">
        <f t="shared" si="24"/>
        <v>40–59</v>
      </c>
      <c r="O559" t="str">
        <f t="shared" si="25"/>
        <v>Obese</v>
      </c>
    </row>
    <row r="560" spans="1:15" x14ac:dyDescent="0.3">
      <c r="A560">
        <v>29010</v>
      </c>
      <c r="B560" t="s">
        <v>2</v>
      </c>
      <c r="C560">
        <v>5</v>
      </c>
      <c r="D560">
        <v>0</v>
      </c>
      <c r="E560">
        <v>0</v>
      </c>
      <c r="F560" t="str">
        <f t="shared" si="26"/>
        <v>Lower Risk</v>
      </c>
      <c r="G560" t="s">
        <v>13</v>
      </c>
      <c r="H560" t="s">
        <v>16</v>
      </c>
      <c r="I560" t="s">
        <v>9</v>
      </c>
      <c r="J560">
        <v>100.52</v>
      </c>
      <c r="K560">
        <v>17.2</v>
      </c>
      <c r="L560" t="s">
        <v>14</v>
      </c>
      <c r="M560">
        <v>0</v>
      </c>
      <c r="N560" t="str">
        <f t="shared" si="24"/>
        <v>Under 40</v>
      </c>
      <c r="O560" t="str">
        <f t="shared" si="25"/>
        <v>Underweight</v>
      </c>
    </row>
    <row r="561" spans="1:15" x14ac:dyDescent="0.3">
      <c r="A561">
        <v>36561</v>
      </c>
      <c r="B561" t="s">
        <v>7</v>
      </c>
      <c r="C561">
        <v>39</v>
      </c>
      <c r="D561">
        <v>0</v>
      </c>
      <c r="E561">
        <v>0</v>
      </c>
      <c r="F561" t="str">
        <f t="shared" si="26"/>
        <v>Lower Risk</v>
      </c>
      <c r="G561" t="s">
        <v>3</v>
      </c>
      <c r="H561" t="s">
        <v>15</v>
      </c>
      <c r="I561" t="s">
        <v>9</v>
      </c>
      <c r="J561">
        <v>191.47</v>
      </c>
      <c r="K561">
        <v>28.3</v>
      </c>
      <c r="L561" t="s">
        <v>11</v>
      </c>
      <c r="M561">
        <v>0</v>
      </c>
      <c r="N561" t="str">
        <f t="shared" si="24"/>
        <v>Under 40</v>
      </c>
      <c r="O561" t="str">
        <f t="shared" si="25"/>
        <v>Overweight</v>
      </c>
    </row>
    <row r="562" spans="1:15" x14ac:dyDescent="0.3">
      <c r="A562">
        <v>44912</v>
      </c>
      <c r="B562" t="s">
        <v>2</v>
      </c>
      <c r="C562">
        <v>12</v>
      </c>
      <c r="D562">
        <v>0</v>
      </c>
      <c r="E562">
        <v>0</v>
      </c>
      <c r="F562" t="str">
        <f t="shared" si="26"/>
        <v>Lower Risk</v>
      </c>
      <c r="G562" t="s">
        <v>13</v>
      </c>
      <c r="H562" t="s">
        <v>16</v>
      </c>
      <c r="I562" t="s">
        <v>5</v>
      </c>
      <c r="J562">
        <v>67.06</v>
      </c>
      <c r="K562">
        <v>16.100000000000001</v>
      </c>
      <c r="L562" t="s">
        <v>14</v>
      </c>
      <c r="M562">
        <v>0</v>
      </c>
      <c r="N562" t="str">
        <f t="shared" si="24"/>
        <v>Under 40</v>
      </c>
      <c r="O562" t="str">
        <f t="shared" si="25"/>
        <v>Underweight</v>
      </c>
    </row>
    <row r="563" spans="1:15" x14ac:dyDescent="0.3">
      <c r="A563">
        <v>59829</v>
      </c>
      <c r="B563" t="s">
        <v>2</v>
      </c>
      <c r="C563">
        <v>67</v>
      </c>
      <c r="D563">
        <v>0</v>
      </c>
      <c r="E563">
        <v>1</v>
      </c>
      <c r="F563" t="str">
        <f t="shared" si="26"/>
        <v>High Risk</v>
      </c>
      <c r="G563" t="s">
        <v>3</v>
      </c>
      <c r="H563" t="s">
        <v>4</v>
      </c>
      <c r="I563" t="s">
        <v>5</v>
      </c>
      <c r="J563">
        <v>144.1</v>
      </c>
      <c r="K563">
        <v>27.6</v>
      </c>
      <c r="L563" t="s">
        <v>11</v>
      </c>
      <c r="M563">
        <v>0</v>
      </c>
      <c r="N563" t="str">
        <f t="shared" si="24"/>
        <v>60+</v>
      </c>
      <c r="O563" t="str">
        <f t="shared" si="25"/>
        <v>Overweight</v>
      </c>
    </row>
    <row r="564" spans="1:15" x14ac:dyDescent="0.3">
      <c r="A564">
        <v>45238</v>
      </c>
      <c r="B564" t="s">
        <v>7</v>
      </c>
      <c r="C564">
        <v>1.8</v>
      </c>
      <c r="D564">
        <v>0</v>
      </c>
      <c r="E564">
        <v>0</v>
      </c>
      <c r="F564" t="str">
        <f t="shared" si="26"/>
        <v>Lower Risk</v>
      </c>
      <c r="G564" t="s">
        <v>13</v>
      </c>
      <c r="H564" t="s">
        <v>16</v>
      </c>
      <c r="I564" t="s">
        <v>5</v>
      </c>
      <c r="J564">
        <v>58.26</v>
      </c>
      <c r="K564">
        <v>16.5</v>
      </c>
      <c r="L564" t="s">
        <v>14</v>
      </c>
      <c r="M564">
        <v>0</v>
      </c>
      <c r="N564" t="str">
        <f t="shared" si="24"/>
        <v>Under 40</v>
      </c>
      <c r="O564" t="str">
        <f t="shared" si="25"/>
        <v>Underweight</v>
      </c>
    </row>
    <row r="565" spans="1:15" x14ac:dyDescent="0.3">
      <c r="A565">
        <v>47811</v>
      </c>
      <c r="B565" t="s">
        <v>7</v>
      </c>
      <c r="C565">
        <v>72</v>
      </c>
      <c r="D565">
        <v>0</v>
      </c>
      <c r="E565">
        <v>0</v>
      </c>
      <c r="F565" t="str">
        <f t="shared" si="26"/>
        <v>Moderate Risk</v>
      </c>
      <c r="G565" t="s">
        <v>3</v>
      </c>
      <c r="H565" t="s">
        <v>8</v>
      </c>
      <c r="I565" t="s">
        <v>5</v>
      </c>
      <c r="J565">
        <v>239.82</v>
      </c>
      <c r="K565">
        <v>35.799999999999997</v>
      </c>
      <c r="L565" t="s">
        <v>11</v>
      </c>
      <c r="M565">
        <v>0</v>
      </c>
      <c r="N565" t="str">
        <f t="shared" si="24"/>
        <v>60+</v>
      </c>
      <c r="O565" t="str">
        <f t="shared" si="25"/>
        <v>Obese</v>
      </c>
    </row>
    <row r="566" spans="1:15" x14ac:dyDescent="0.3">
      <c r="A566">
        <v>61511</v>
      </c>
      <c r="B566" t="s">
        <v>7</v>
      </c>
      <c r="C566">
        <v>0.32</v>
      </c>
      <c r="D566">
        <v>0</v>
      </c>
      <c r="E566">
        <v>0</v>
      </c>
      <c r="F566" t="str">
        <f t="shared" si="26"/>
        <v>Lower Risk</v>
      </c>
      <c r="G566" t="s">
        <v>13</v>
      </c>
      <c r="H566" t="s">
        <v>16</v>
      </c>
      <c r="I566" t="s">
        <v>9</v>
      </c>
      <c r="J566">
        <v>73.709999999999994</v>
      </c>
      <c r="K566">
        <v>16.2</v>
      </c>
      <c r="L566" t="s">
        <v>14</v>
      </c>
      <c r="M566">
        <v>0</v>
      </c>
      <c r="N566" t="str">
        <f t="shared" si="24"/>
        <v>Under 40</v>
      </c>
      <c r="O566" t="str">
        <f t="shared" si="25"/>
        <v>Underweight</v>
      </c>
    </row>
    <row r="567" spans="1:15" x14ac:dyDescent="0.3">
      <c r="A567">
        <v>55424</v>
      </c>
      <c r="B567" t="s">
        <v>7</v>
      </c>
      <c r="C567">
        <v>64</v>
      </c>
      <c r="D567">
        <v>1</v>
      </c>
      <c r="E567">
        <v>0</v>
      </c>
      <c r="F567" t="str">
        <f t="shared" si="26"/>
        <v>High Risk</v>
      </c>
      <c r="G567" t="s">
        <v>3</v>
      </c>
      <c r="H567" t="s">
        <v>4</v>
      </c>
      <c r="I567" t="s">
        <v>9</v>
      </c>
      <c r="J567">
        <v>88.53</v>
      </c>
      <c r="K567">
        <v>24.6</v>
      </c>
      <c r="L567" t="s">
        <v>11</v>
      </c>
      <c r="M567">
        <v>0</v>
      </c>
      <c r="N567" t="str">
        <f t="shared" si="24"/>
        <v>60+</v>
      </c>
      <c r="O567" t="str">
        <f t="shared" si="25"/>
        <v>Normal</v>
      </c>
    </row>
    <row r="568" spans="1:15" x14ac:dyDescent="0.3">
      <c r="A568">
        <v>36942</v>
      </c>
      <c r="B568" t="s">
        <v>2</v>
      </c>
      <c r="C568">
        <v>27</v>
      </c>
      <c r="D568">
        <v>0</v>
      </c>
      <c r="E568">
        <v>0</v>
      </c>
      <c r="F568" t="str">
        <f t="shared" si="26"/>
        <v>Lower Risk</v>
      </c>
      <c r="G568" t="s">
        <v>13</v>
      </c>
      <c r="H568" t="s">
        <v>4</v>
      </c>
      <c r="I568" t="s">
        <v>5</v>
      </c>
      <c r="J568">
        <v>114.79</v>
      </c>
      <c r="K568">
        <v>32</v>
      </c>
      <c r="L568" t="s">
        <v>14</v>
      </c>
      <c r="M568">
        <v>0</v>
      </c>
      <c r="N568" t="str">
        <f t="shared" si="24"/>
        <v>Under 40</v>
      </c>
      <c r="O568" t="str">
        <f t="shared" si="25"/>
        <v>Obese</v>
      </c>
    </row>
    <row r="569" spans="1:15" x14ac:dyDescent="0.3">
      <c r="A569">
        <v>61697</v>
      </c>
      <c r="B569" t="s">
        <v>2</v>
      </c>
      <c r="C569">
        <v>25</v>
      </c>
      <c r="D569">
        <v>0</v>
      </c>
      <c r="E569">
        <v>0</v>
      </c>
      <c r="F569" t="str">
        <f t="shared" si="26"/>
        <v>Lower Risk</v>
      </c>
      <c r="G569" t="s">
        <v>13</v>
      </c>
      <c r="H569" t="s">
        <v>4</v>
      </c>
      <c r="I569" t="s">
        <v>9</v>
      </c>
      <c r="J569">
        <v>113.8</v>
      </c>
      <c r="K569">
        <v>35.299999999999997</v>
      </c>
      <c r="L569" t="s">
        <v>6</v>
      </c>
      <c r="M569">
        <v>0</v>
      </c>
      <c r="N569" t="str">
        <f t="shared" si="24"/>
        <v>Under 40</v>
      </c>
      <c r="O569" t="str">
        <f t="shared" si="25"/>
        <v>Obese</v>
      </c>
    </row>
    <row r="570" spans="1:15" x14ac:dyDescent="0.3">
      <c r="A570">
        <v>55138</v>
      </c>
      <c r="B570" t="s">
        <v>7</v>
      </c>
      <c r="C570">
        <v>81</v>
      </c>
      <c r="D570">
        <v>0</v>
      </c>
      <c r="E570">
        <v>0</v>
      </c>
      <c r="F570" t="str">
        <f t="shared" si="26"/>
        <v>Moderate Risk</v>
      </c>
      <c r="G570" t="s">
        <v>13</v>
      </c>
      <c r="H570" t="s">
        <v>8</v>
      </c>
      <c r="I570" t="s">
        <v>5</v>
      </c>
      <c r="J570">
        <v>71.91</v>
      </c>
      <c r="K570">
        <v>19.2</v>
      </c>
      <c r="L570" t="s">
        <v>14</v>
      </c>
      <c r="M570">
        <v>0</v>
      </c>
      <c r="N570" t="str">
        <f t="shared" si="24"/>
        <v>60+</v>
      </c>
      <c r="O570" t="str">
        <f t="shared" si="25"/>
        <v>Normal</v>
      </c>
    </row>
    <row r="571" spans="1:15" x14ac:dyDescent="0.3">
      <c r="A571">
        <v>39399</v>
      </c>
      <c r="B571" t="s">
        <v>7</v>
      </c>
      <c r="C571">
        <v>32</v>
      </c>
      <c r="D571">
        <v>0</v>
      </c>
      <c r="E571">
        <v>0</v>
      </c>
      <c r="F571" t="str">
        <f t="shared" si="26"/>
        <v>Lower Risk</v>
      </c>
      <c r="G571" t="s">
        <v>13</v>
      </c>
      <c r="H571" t="s">
        <v>8</v>
      </c>
      <c r="I571" t="s">
        <v>5</v>
      </c>
      <c r="J571">
        <v>65.3</v>
      </c>
      <c r="K571">
        <v>40.4</v>
      </c>
      <c r="L571" t="s">
        <v>11</v>
      </c>
      <c r="M571">
        <v>0</v>
      </c>
      <c r="N571" t="str">
        <f t="shared" si="24"/>
        <v>Under 40</v>
      </c>
      <c r="O571" t="str">
        <f t="shared" si="25"/>
        <v>Obese</v>
      </c>
    </row>
    <row r="572" spans="1:15" x14ac:dyDescent="0.3">
      <c r="A572">
        <v>17148</v>
      </c>
      <c r="B572" t="s">
        <v>2</v>
      </c>
      <c r="C572">
        <v>57</v>
      </c>
      <c r="D572">
        <v>0</v>
      </c>
      <c r="E572">
        <v>0</v>
      </c>
      <c r="F572" t="str">
        <f t="shared" si="26"/>
        <v>Lower Risk</v>
      </c>
      <c r="G572" t="s">
        <v>3</v>
      </c>
      <c r="H572" t="s">
        <v>4</v>
      </c>
      <c r="I572" t="s">
        <v>5</v>
      </c>
      <c r="J572">
        <v>189.57</v>
      </c>
      <c r="K572">
        <v>30.7</v>
      </c>
      <c r="L572" t="s">
        <v>11</v>
      </c>
      <c r="M572">
        <v>0</v>
      </c>
      <c r="N572" t="str">
        <f t="shared" si="24"/>
        <v>40–59</v>
      </c>
      <c r="O572" t="str">
        <f t="shared" si="25"/>
        <v>Obese</v>
      </c>
    </row>
    <row r="573" spans="1:15" x14ac:dyDescent="0.3">
      <c r="A573">
        <v>721</v>
      </c>
      <c r="B573" t="s">
        <v>7</v>
      </c>
      <c r="C573">
        <v>52</v>
      </c>
      <c r="D573">
        <v>1</v>
      </c>
      <c r="E573">
        <v>0</v>
      </c>
      <c r="F573" t="str">
        <f t="shared" si="26"/>
        <v>Lower Risk</v>
      </c>
      <c r="G573" t="s">
        <v>3</v>
      </c>
      <c r="H573" t="s">
        <v>8</v>
      </c>
      <c r="I573" t="s">
        <v>5</v>
      </c>
      <c r="J573">
        <v>114.25</v>
      </c>
      <c r="K573">
        <v>24.3</v>
      </c>
      <c r="L573" t="s">
        <v>6</v>
      </c>
      <c r="M573">
        <v>0</v>
      </c>
      <c r="N573" t="str">
        <f t="shared" si="24"/>
        <v>40–59</v>
      </c>
      <c r="O573" t="str">
        <f t="shared" si="25"/>
        <v>Normal</v>
      </c>
    </row>
    <row r="574" spans="1:15" x14ac:dyDescent="0.3">
      <c r="A574">
        <v>40448</v>
      </c>
      <c r="B574" t="s">
        <v>2</v>
      </c>
      <c r="C574">
        <v>54</v>
      </c>
      <c r="D574">
        <v>0</v>
      </c>
      <c r="E574">
        <v>0</v>
      </c>
      <c r="F574" t="str">
        <f t="shared" si="26"/>
        <v>Lower Risk</v>
      </c>
      <c r="G574" t="s">
        <v>3</v>
      </c>
      <c r="H574" t="s">
        <v>4</v>
      </c>
      <c r="I574" t="s">
        <v>5</v>
      </c>
      <c r="J574">
        <v>81.260000000000005</v>
      </c>
      <c r="K574">
        <v>26.4</v>
      </c>
      <c r="L574" t="s">
        <v>6</v>
      </c>
      <c r="M574">
        <v>0</v>
      </c>
      <c r="N574" t="str">
        <f t="shared" si="24"/>
        <v>40–59</v>
      </c>
      <c r="O574" t="str">
        <f t="shared" si="25"/>
        <v>Overweight</v>
      </c>
    </row>
    <row r="575" spans="1:15" x14ac:dyDescent="0.3">
      <c r="A575">
        <v>58007</v>
      </c>
      <c r="B575" t="s">
        <v>7</v>
      </c>
      <c r="C575">
        <v>36</v>
      </c>
      <c r="D575">
        <v>0</v>
      </c>
      <c r="E575">
        <v>0</v>
      </c>
      <c r="F575" t="str">
        <f t="shared" si="26"/>
        <v>Lower Risk</v>
      </c>
      <c r="G575" t="s">
        <v>3</v>
      </c>
      <c r="H575" t="s">
        <v>4</v>
      </c>
      <c r="I575" t="s">
        <v>5</v>
      </c>
      <c r="J575">
        <v>87.88</v>
      </c>
      <c r="K575">
        <v>34.700000000000003</v>
      </c>
      <c r="L575" t="s">
        <v>12</v>
      </c>
      <c r="M575">
        <v>0</v>
      </c>
      <c r="N575" t="str">
        <f t="shared" si="24"/>
        <v>Under 40</v>
      </c>
      <c r="O575" t="str">
        <f t="shared" si="25"/>
        <v>Obese</v>
      </c>
    </row>
    <row r="576" spans="1:15" x14ac:dyDescent="0.3">
      <c r="A576">
        <v>15095</v>
      </c>
      <c r="B576" t="s">
        <v>2</v>
      </c>
      <c r="C576">
        <v>18</v>
      </c>
      <c r="D576">
        <v>0</v>
      </c>
      <c r="E576">
        <v>0</v>
      </c>
      <c r="F576" t="str">
        <f t="shared" si="26"/>
        <v>Lower Risk</v>
      </c>
      <c r="G576" t="s">
        <v>13</v>
      </c>
      <c r="H576" t="s">
        <v>4</v>
      </c>
      <c r="I576" t="s">
        <v>5</v>
      </c>
      <c r="J576">
        <v>112.17</v>
      </c>
      <c r="K576">
        <v>31.7</v>
      </c>
      <c r="L576" t="s">
        <v>14</v>
      </c>
      <c r="M576">
        <v>0</v>
      </c>
      <c r="N576" t="str">
        <f t="shared" si="24"/>
        <v>Under 40</v>
      </c>
      <c r="O576" t="str">
        <f t="shared" si="25"/>
        <v>Obese</v>
      </c>
    </row>
    <row r="577" spans="1:15" x14ac:dyDescent="0.3">
      <c r="A577">
        <v>11960</v>
      </c>
      <c r="B577" t="s">
        <v>2</v>
      </c>
      <c r="C577">
        <v>45</v>
      </c>
      <c r="D577">
        <v>0</v>
      </c>
      <c r="E577">
        <v>0</v>
      </c>
      <c r="F577" t="str">
        <f t="shared" si="26"/>
        <v>Lower Risk</v>
      </c>
      <c r="G577" t="s">
        <v>3</v>
      </c>
      <c r="H577" t="s">
        <v>4</v>
      </c>
      <c r="I577" t="s">
        <v>9</v>
      </c>
      <c r="J577">
        <v>99.97</v>
      </c>
      <c r="K577">
        <v>35.6</v>
      </c>
      <c r="L577" t="s">
        <v>11</v>
      </c>
      <c r="M577">
        <v>0</v>
      </c>
      <c r="N577" t="str">
        <f t="shared" si="24"/>
        <v>40–59</v>
      </c>
      <c r="O577" t="str">
        <f t="shared" si="25"/>
        <v>Obese</v>
      </c>
    </row>
    <row r="578" spans="1:15" x14ac:dyDescent="0.3">
      <c r="A578">
        <v>56179</v>
      </c>
      <c r="B578" t="s">
        <v>2</v>
      </c>
      <c r="C578">
        <v>29</v>
      </c>
      <c r="D578">
        <v>0</v>
      </c>
      <c r="E578">
        <v>0</v>
      </c>
      <c r="F578" t="str">
        <f t="shared" si="26"/>
        <v>Lower Risk</v>
      </c>
      <c r="G578" t="s">
        <v>13</v>
      </c>
      <c r="H578" t="s">
        <v>4</v>
      </c>
      <c r="I578" t="s">
        <v>5</v>
      </c>
      <c r="J578">
        <v>207.58</v>
      </c>
      <c r="K578">
        <v>22.8</v>
      </c>
      <c r="L578" t="s">
        <v>12</v>
      </c>
      <c r="M578">
        <v>0</v>
      </c>
      <c r="N578" t="str">
        <f t="shared" ref="N578:N641" si="27">IF(C578&lt;40,"Under 40",IF(C578&lt;60,"40–59","60+"))</f>
        <v>Under 40</v>
      </c>
      <c r="O578" t="str">
        <f t="shared" ref="O578:O641" si="28">IF(K578="N/A","Unknown",
IF(K578="","Unknown",
IF(K578&lt;18.5,"Underweight",
IF(K578&lt;25,"Normal",
IF(K578&lt;30,"Overweight","Obese")))))</f>
        <v>Normal</v>
      </c>
    </row>
    <row r="579" spans="1:15" x14ac:dyDescent="0.3">
      <c r="A579">
        <v>24592</v>
      </c>
      <c r="B579" t="s">
        <v>7</v>
      </c>
      <c r="C579">
        <v>51</v>
      </c>
      <c r="D579">
        <v>1</v>
      </c>
      <c r="E579">
        <v>0</v>
      </c>
      <c r="F579" t="str">
        <f t="shared" ref="F579:F642" si="29">IF(C579&gt;=60,
IF(OR(D579=1,E579=1),"High Risk","Moderate Risk"),
"Lower Risk")</f>
        <v>Lower Risk</v>
      </c>
      <c r="G579" t="s">
        <v>3</v>
      </c>
      <c r="H579" t="s">
        <v>4</v>
      </c>
      <c r="I579" t="s">
        <v>5</v>
      </c>
      <c r="J579">
        <v>109.16</v>
      </c>
      <c r="K579">
        <v>28</v>
      </c>
      <c r="L579" t="s">
        <v>12</v>
      </c>
      <c r="M579">
        <v>0</v>
      </c>
      <c r="N579" t="str">
        <f t="shared" si="27"/>
        <v>40–59</v>
      </c>
      <c r="O579" t="str">
        <f t="shared" si="28"/>
        <v>Overweight</v>
      </c>
    </row>
    <row r="580" spans="1:15" x14ac:dyDescent="0.3">
      <c r="A580">
        <v>67744</v>
      </c>
      <c r="B580" t="s">
        <v>7</v>
      </c>
      <c r="C580">
        <v>23</v>
      </c>
      <c r="D580">
        <v>0</v>
      </c>
      <c r="E580">
        <v>0</v>
      </c>
      <c r="F580" t="str">
        <f t="shared" si="29"/>
        <v>Lower Risk</v>
      </c>
      <c r="G580" t="s">
        <v>13</v>
      </c>
      <c r="H580" t="s">
        <v>4</v>
      </c>
      <c r="I580" t="s">
        <v>5</v>
      </c>
      <c r="J580">
        <v>74.459999999999994</v>
      </c>
      <c r="K580">
        <v>35.6</v>
      </c>
      <c r="L580" t="s">
        <v>6</v>
      </c>
      <c r="M580">
        <v>0</v>
      </c>
      <c r="N580" t="str">
        <f t="shared" si="27"/>
        <v>Under 40</v>
      </c>
      <c r="O580" t="str">
        <f t="shared" si="28"/>
        <v>Obese</v>
      </c>
    </row>
    <row r="581" spans="1:15" x14ac:dyDescent="0.3">
      <c r="A581">
        <v>8328</v>
      </c>
      <c r="B581" t="s">
        <v>7</v>
      </c>
      <c r="C581">
        <v>54</v>
      </c>
      <c r="D581">
        <v>0</v>
      </c>
      <c r="E581">
        <v>0</v>
      </c>
      <c r="F581" t="str">
        <f t="shared" si="29"/>
        <v>Lower Risk</v>
      </c>
      <c r="G581" t="s">
        <v>3</v>
      </c>
      <c r="H581" t="s">
        <v>4</v>
      </c>
      <c r="I581" t="s">
        <v>9</v>
      </c>
      <c r="J581">
        <v>118.51</v>
      </c>
      <c r="K581">
        <v>40.6</v>
      </c>
      <c r="L581" t="s">
        <v>11</v>
      </c>
      <c r="M581">
        <v>0</v>
      </c>
      <c r="N581" t="str">
        <f t="shared" si="27"/>
        <v>40–59</v>
      </c>
      <c r="O581" t="str">
        <f t="shared" si="28"/>
        <v>Obese</v>
      </c>
    </row>
    <row r="582" spans="1:15" x14ac:dyDescent="0.3">
      <c r="A582">
        <v>32437</v>
      </c>
      <c r="B582" t="s">
        <v>7</v>
      </c>
      <c r="C582">
        <v>54</v>
      </c>
      <c r="D582">
        <v>0</v>
      </c>
      <c r="E582">
        <v>0</v>
      </c>
      <c r="F582" t="str">
        <f t="shared" si="29"/>
        <v>Lower Risk</v>
      </c>
      <c r="G582" t="s">
        <v>3</v>
      </c>
      <c r="H582" t="s">
        <v>8</v>
      </c>
      <c r="I582" t="s">
        <v>5</v>
      </c>
      <c r="J582">
        <v>107.47</v>
      </c>
      <c r="K582">
        <v>29.3</v>
      </c>
      <c r="L582" t="s">
        <v>6</v>
      </c>
      <c r="M582">
        <v>0</v>
      </c>
      <c r="N582" t="str">
        <f t="shared" si="27"/>
        <v>40–59</v>
      </c>
      <c r="O582" t="str">
        <f t="shared" si="28"/>
        <v>Overweight</v>
      </c>
    </row>
    <row r="583" spans="1:15" x14ac:dyDescent="0.3">
      <c r="A583">
        <v>44315</v>
      </c>
      <c r="B583" t="s">
        <v>2</v>
      </c>
      <c r="C583">
        <v>18</v>
      </c>
      <c r="D583">
        <v>0</v>
      </c>
      <c r="E583">
        <v>0</v>
      </c>
      <c r="F583" t="str">
        <f t="shared" si="29"/>
        <v>Lower Risk</v>
      </c>
      <c r="G583" t="s">
        <v>13</v>
      </c>
      <c r="H583" t="s">
        <v>8</v>
      </c>
      <c r="I583" t="s">
        <v>9</v>
      </c>
      <c r="J583">
        <v>182.86</v>
      </c>
      <c r="K583">
        <v>21</v>
      </c>
      <c r="L583" t="s">
        <v>14</v>
      </c>
      <c r="M583">
        <v>0</v>
      </c>
      <c r="N583" t="str">
        <f t="shared" si="27"/>
        <v>Under 40</v>
      </c>
      <c r="O583" t="str">
        <f t="shared" si="28"/>
        <v>Normal</v>
      </c>
    </row>
    <row r="584" spans="1:15" x14ac:dyDescent="0.3">
      <c r="A584">
        <v>68245</v>
      </c>
      <c r="B584" t="s">
        <v>7</v>
      </c>
      <c r="C584">
        <v>26</v>
      </c>
      <c r="D584">
        <v>0</v>
      </c>
      <c r="E584">
        <v>0</v>
      </c>
      <c r="F584" t="str">
        <f t="shared" si="29"/>
        <v>Lower Risk</v>
      </c>
      <c r="G584" t="s">
        <v>3</v>
      </c>
      <c r="H584" t="s">
        <v>4</v>
      </c>
      <c r="I584" t="s">
        <v>9</v>
      </c>
      <c r="J584">
        <v>59.17</v>
      </c>
      <c r="K584">
        <v>20</v>
      </c>
      <c r="L584" t="s">
        <v>14</v>
      </c>
      <c r="M584">
        <v>0</v>
      </c>
      <c r="N584" t="str">
        <f t="shared" si="27"/>
        <v>Under 40</v>
      </c>
      <c r="O584" t="str">
        <f t="shared" si="28"/>
        <v>Normal</v>
      </c>
    </row>
    <row r="585" spans="1:15" x14ac:dyDescent="0.3">
      <c r="A585">
        <v>25483</v>
      </c>
      <c r="B585" t="s">
        <v>2</v>
      </c>
      <c r="C585">
        <v>72</v>
      </c>
      <c r="D585">
        <v>0</v>
      </c>
      <c r="E585">
        <v>0</v>
      </c>
      <c r="F585" t="str">
        <f t="shared" si="29"/>
        <v>Moderate Risk</v>
      </c>
      <c r="G585" t="s">
        <v>3</v>
      </c>
      <c r="H585" t="s">
        <v>4</v>
      </c>
      <c r="I585" t="s">
        <v>9</v>
      </c>
      <c r="J585">
        <v>215.64</v>
      </c>
      <c r="K585">
        <v>26.7</v>
      </c>
      <c r="L585" t="s">
        <v>6</v>
      </c>
      <c r="M585">
        <v>0</v>
      </c>
      <c r="N585" t="str">
        <f t="shared" si="27"/>
        <v>60+</v>
      </c>
      <c r="O585" t="str">
        <f t="shared" si="28"/>
        <v>Overweight</v>
      </c>
    </row>
    <row r="586" spans="1:15" x14ac:dyDescent="0.3">
      <c r="A586">
        <v>47732</v>
      </c>
      <c r="B586" t="s">
        <v>2</v>
      </c>
      <c r="C586">
        <v>5</v>
      </c>
      <c r="D586">
        <v>0</v>
      </c>
      <c r="E586">
        <v>0</v>
      </c>
      <c r="F586" t="str">
        <f t="shared" si="29"/>
        <v>Lower Risk</v>
      </c>
      <c r="G586" t="s">
        <v>13</v>
      </c>
      <c r="H586" t="s">
        <v>16</v>
      </c>
      <c r="I586" t="s">
        <v>9</v>
      </c>
      <c r="J586">
        <v>163.69999999999999</v>
      </c>
      <c r="K586">
        <v>18.399999999999999</v>
      </c>
      <c r="L586" t="s">
        <v>14</v>
      </c>
      <c r="M586">
        <v>0</v>
      </c>
      <c r="N586" t="str">
        <f t="shared" si="27"/>
        <v>Under 40</v>
      </c>
      <c r="O586" t="str">
        <f t="shared" si="28"/>
        <v>Underweight</v>
      </c>
    </row>
    <row r="587" spans="1:15" x14ac:dyDescent="0.3">
      <c r="A587">
        <v>50118</v>
      </c>
      <c r="B587" t="s">
        <v>7</v>
      </c>
      <c r="C587">
        <v>65</v>
      </c>
      <c r="D587">
        <v>0</v>
      </c>
      <c r="E587">
        <v>1</v>
      </c>
      <c r="F587" t="str">
        <f t="shared" si="29"/>
        <v>High Risk</v>
      </c>
      <c r="G587" t="s">
        <v>3</v>
      </c>
      <c r="H587" t="s">
        <v>4</v>
      </c>
      <c r="I587" t="s">
        <v>9</v>
      </c>
      <c r="J587">
        <v>196.36</v>
      </c>
      <c r="K587">
        <v>34.5</v>
      </c>
      <c r="L587" t="s">
        <v>6</v>
      </c>
      <c r="M587">
        <v>0</v>
      </c>
      <c r="N587" t="str">
        <f t="shared" si="27"/>
        <v>60+</v>
      </c>
      <c r="O587" t="str">
        <f t="shared" si="28"/>
        <v>Obese</v>
      </c>
    </row>
    <row r="588" spans="1:15" x14ac:dyDescent="0.3">
      <c r="A588">
        <v>55420</v>
      </c>
      <c r="B588" t="s">
        <v>7</v>
      </c>
      <c r="C588">
        <v>42</v>
      </c>
      <c r="D588">
        <v>0</v>
      </c>
      <c r="E588">
        <v>0</v>
      </c>
      <c r="F588" t="str">
        <f t="shared" si="29"/>
        <v>Lower Risk</v>
      </c>
      <c r="G588" t="s">
        <v>13</v>
      </c>
      <c r="H588" t="s">
        <v>4</v>
      </c>
      <c r="I588" t="s">
        <v>9</v>
      </c>
      <c r="J588">
        <v>139.77000000000001</v>
      </c>
      <c r="K588">
        <v>27.7</v>
      </c>
      <c r="L588" t="s">
        <v>14</v>
      </c>
      <c r="M588">
        <v>0</v>
      </c>
      <c r="N588" t="str">
        <f t="shared" si="27"/>
        <v>40–59</v>
      </c>
      <c r="O588" t="str">
        <f t="shared" si="28"/>
        <v>Overweight</v>
      </c>
    </row>
    <row r="589" spans="1:15" x14ac:dyDescent="0.3">
      <c r="A589">
        <v>55709</v>
      </c>
      <c r="B589" t="s">
        <v>7</v>
      </c>
      <c r="C589">
        <v>47</v>
      </c>
      <c r="D589">
        <v>0</v>
      </c>
      <c r="E589">
        <v>0</v>
      </c>
      <c r="F589" t="str">
        <f t="shared" si="29"/>
        <v>Lower Risk</v>
      </c>
      <c r="G589" t="s">
        <v>3</v>
      </c>
      <c r="H589" t="s">
        <v>8</v>
      </c>
      <c r="I589" t="s">
        <v>5</v>
      </c>
      <c r="J589">
        <v>141.22999999999999</v>
      </c>
      <c r="K589">
        <v>21.1</v>
      </c>
      <c r="L589" t="s">
        <v>11</v>
      </c>
      <c r="M589">
        <v>0</v>
      </c>
      <c r="N589" t="str">
        <f t="shared" si="27"/>
        <v>40–59</v>
      </c>
      <c r="O589" t="str">
        <f t="shared" si="28"/>
        <v>Normal</v>
      </c>
    </row>
    <row r="590" spans="1:15" x14ac:dyDescent="0.3">
      <c r="A590">
        <v>15311</v>
      </c>
      <c r="B590" t="s">
        <v>7</v>
      </c>
      <c r="C590">
        <v>24</v>
      </c>
      <c r="D590">
        <v>0</v>
      </c>
      <c r="E590">
        <v>0</v>
      </c>
      <c r="F590" t="str">
        <f t="shared" si="29"/>
        <v>Lower Risk</v>
      </c>
      <c r="G590" t="s">
        <v>3</v>
      </c>
      <c r="H590" t="s">
        <v>4</v>
      </c>
      <c r="I590" t="s">
        <v>5</v>
      </c>
      <c r="J590">
        <v>89.99</v>
      </c>
      <c r="K590">
        <v>24.4</v>
      </c>
      <c r="L590" t="s">
        <v>6</v>
      </c>
      <c r="M590">
        <v>0</v>
      </c>
      <c r="N590" t="str">
        <f t="shared" si="27"/>
        <v>Under 40</v>
      </c>
      <c r="O590" t="str">
        <f t="shared" si="28"/>
        <v>Normal</v>
      </c>
    </row>
    <row r="591" spans="1:15" x14ac:dyDescent="0.3">
      <c r="A591">
        <v>53660</v>
      </c>
      <c r="B591" t="s">
        <v>2</v>
      </c>
      <c r="C591">
        <v>57</v>
      </c>
      <c r="D591">
        <v>0</v>
      </c>
      <c r="E591">
        <v>0</v>
      </c>
      <c r="F591" t="str">
        <f t="shared" si="29"/>
        <v>Lower Risk</v>
      </c>
      <c r="G591" t="s">
        <v>3</v>
      </c>
      <c r="H591" t="s">
        <v>4</v>
      </c>
      <c r="I591" t="s">
        <v>5</v>
      </c>
      <c r="J591">
        <v>108.53</v>
      </c>
      <c r="K591">
        <v>19.399999999999999</v>
      </c>
      <c r="L591" t="s">
        <v>12</v>
      </c>
      <c r="M591">
        <v>0</v>
      </c>
      <c r="N591" t="str">
        <f t="shared" si="27"/>
        <v>40–59</v>
      </c>
      <c r="O591" t="str">
        <f t="shared" si="28"/>
        <v>Normal</v>
      </c>
    </row>
    <row r="592" spans="1:15" x14ac:dyDescent="0.3">
      <c r="A592">
        <v>56553</v>
      </c>
      <c r="B592" t="s">
        <v>2</v>
      </c>
      <c r="C592">
        <v>51</v>
      </c>
      <c r="D592">
        <v>0</v>
      </c>
      <c r="E592">
        <v>0</v>
      </c>
      <c r="F592" t="str">
        <f t="shared" si="29"/>
        <v>Lower Risk</v>
      </c>
      <c r="G592" t="s">
        <v>3</v>
      </c>
      <c r="H592" t="s">
        <v>4</v>
      </c>
      <c r="I592" t="s">
        <v>5</v>
      </c>
      <c r="J592">
        <v>63.61</v>
      </c>
      <c r="K592">
        <v>42.3</v>
      </c>
      <c r="L592" t="s">
        <v>14</v>
      </c>
      <c r="M592">
        <v>0</v>
      </c>
      <c r="N592" t="str">
        <f t="shared" si="27"/>
        <v>40–59</v>
      </c>
      <c r="O592" t="str">
        <f t="shared" si="28"/>
        <v>Obese</v>
      </c>
    </row>
    <row r="593" spans="1:15" x14ac:dyDescent="0.3">
      <c r="A593">
        <v>30480</v>
      </c>
      <c r="B593" t="s">
        <v>2</v>
      </c>
      <c r="C593">
        <v>48</v>
      </c>
      <c r="D593">
        <v>0</v>
      </c>
      <c r="E593">
        <v>0</v>
      </c>
      <c r="F593" t="str">
        <f t="shared" si="29"/>
        <v>Lower Risk</v>
      </c>
      <c r="G593" t="s">
        <v>3</v>
      </c>
      <c r="H593" t="s">
        <v>4</v>
      </c>
      <c r="I593" t="s">
        <v>5</v>
      </c>
      <c r="J593">
        <v>85.54</v>
      </c>
      <c r="K593">
        <v>32.200000000000003</v>
      </c>
      <c r="L593" t="s">
        <v>12</v>
      </c>
      <c r="M593">
        <v>0</v>
      </c>
      <c r="N593" t="str">
        <f t="shared" si="27"/>
        <v>40–59</v>
      </c>
      <c r="O593" t="str">
        <f t="shared" si="28"/>
        <v>Obese</v>
      </c>
    </row>
    <row r="594" spans="1:15" x14ac:dyDescent="0.3">
      <c r="A594">
        <v>31988</v>
      </c>
      <c r="B594" t="s">
        <v>7</v>
      </c>
      <c r="C594">
        <v>56</v>
      </c>
      <c r="D594">
        <v>0</v>
      </c>
      <c r="E594">
        <v>0</v>
      </c>
      <c r="F594" t="str">
        <f t="shared" si="29"/>
        <v>Lower Risk</v>
      </c>
      <c r="G594" t="s">
        <v>3</v>
      </c>
      <c r="H594" t="s">
        <v>4</v>
      </c>
      <c r="I594" t="s">
        <v>5</v>
      </c>
      <c r="J594">
        <v>100.83</v>
      </c>
      <c r="K594">
        <v>26.8</v>
      </c>
      <c r="L594" t="s">
        <v>11</v>
      </c>
      <c r="M594">
        <v>0</v>
      </c>
      <c r="N594" t="str">
        <f t="shared" si="27"/>
        <v>40–59</v>
      </c>
      <c r="O594" t="str">
        <f t="shared" si="28"/>
        <v>Overweight</v>
      </c>
    </row>
    <row r="595" spans="1:15" x14ac:dyDescent="0.3">
      <c r="A595">
        <v>59807</v>
      </c>
      <c r="B595" t="s">
        <v>7</v>
      </c>
      <c r="C595">
        <v>30</v>
      </c>
      <c r="D595">
        <v>0</v>
      </c>
      <c r="E595">
        <v>0</v>
      </c>
      <c r="F595" t="str">
        <f t="shared" si="29"/>
        <v>Lower Risk</v>
      </c>
      <c r="G595" t="s">
        <v>3</v>
      </c>
      <c r="H595" t="s">
        <v>4</v>
      </c>
      <c r="I595" t="s">
        <v>5</v>
      </c>
      <c r="J595">
        <v>59.82</v>
      </c>
      <c r="K595">
        <v>25.4</v>
      </c>
      <c r="L595" t="s">
        <v>11</v>
      </c>
      <c r="M595">
        <v>0</v>
      </c>
      <c r="N595" t="str">
        <f t="shared" si="27"/>
        <v>Under 40</v>
      </c>
      <c r="O595" t="str">
        <f t="shared" si="28"/>
        <v>Overweight</v>
      </c>
    </row>
    <row r="596" spans="1:15" x14ac:dyDescent="0.3">
      <c r="A596">
        <v>45585</v>
      </c>
      <c r="B596" t="s">
        <v>7</v>
      </c>
      <c r="C596">
        <v>63</v>
      </c>
      <c r="D596">
        <v>1</v>
      </c>
      <c r="E596">
        <v>0</v>
      </c>
      <c r="F596" t="str">
        <f t="shared" si="29"/>
        <v>High Risk</v>
      </c>
      <c r="G596" t="s">
        <v>3</v>
      </c>
      <c r="H596" t="s">
        <v>4</v>
      </c>
      <c r="I596" t="s">
        <v>5</v>
      </c>
      <c r="J596">
        <v>105.95</v>
      </c>
      <c r="K596">
        <v>23.5</v>
      </c>
      <c r="L596" t="s">
        <v>12</v>
      </c>
      <c r="M596">
        <v>0</v>
      </c>
      <c r="N596" t="str">
        <f t="shared" si="27"/>
        <v>60+</v>
      </c>
      <c r="O596" t="str">
        <f t="shared" si="28"/>
        <v>Normal</v>
      </c>
    </row>
    <row r="597" spans="1:15" x14ac:dyDescent="0.3">
      <c r="A597">
        <v>39639</v>
      </c>
      <c r="B597" t="s">
        <v>7</v>
      </c>
      <c r="C597">
        <v>46</v>
      </c>
      <c r="D597">
        <v>0</v>
      </c>
      <c r="E597">
        <v>0</v>
      </c>
      <c r="F597" t="str">
        <f t="shared" si="29"/>
        <v>Lower Risk</v>
      </c>
      <c r="G597" t="s">
        <v>3</v>
      </c>
      <c r="H597" t="s">
        <v>4</v>
      </c>
      <c r="I597" t="s">
        <v>9</v>
      </c>
      <c r="J597">
        <v>188.11</v>
      </c>
      <c r="K597">
        <v>50.2</v>
      </c>
      <c r="L597" t="s">
        <v>12</v>
      </c>
      <c r="M597">
        <v>0</v>
      </c>
      <c r="N597" t="str">
        <f t="shared" si="27"/>
        <v>40–59</v>
      </c>
      <c r="O597" t="str">
        <f t="shared" si="28"/>
        <v>Obese</v>
      </c>
    </row>
    <row r="598" spans="1:15" x14ac:dyDescent="0.3">
      <c r="A598">
        <v>52063</v>
      </c>
      <c r="B598" t="s">
        <v>7</v>
      </c>
      <c r="C598">
        <v>53</v>
      </c>
      <c r="D598">
        <v>0</v>
      </c>
      <c r="E598">
        <v>0</v>
      </c>
      <c r="F598" t="str">
        <f t="shared" si="29"/>
        <v>Lower Risk</v>
      </c>
      <c r="G598" t="s">
        <v>3</v>
      </c>
      <c r="H598" t="s">
        <v>8</v>
      </c>
      <c r="I598" t="s">
        <v>5</v>
      </c>
      <c r="J598">
        <v>71.150000000000006</v>
      </c>
      <c r="K598">
        <v>26.1</v>
      </c>
      <c r="L598" t="s">
        <v>6</v>
      </c>
      <c r="M598">
        <v>0</v>
      </c>
      <c r="N598" t="str">
        <f t="shared" si="27"/>
        <v>40–59</v>
      </c>
      <c r="O598" t="str">
        <f t="shared" si="28"/>
        <v>Overweight</v>
      </c>
    </row>
    <row r="599" spans="1:15" x14ac:dyDescent="0.3">
      <c r="A599">
        <v>40639</v>
      </c>
      <c r="B599" t="s">
        <v>7</v>
      </c>
      <c r="C599">
        <v>1.08</v>
      </c>
      <c r="D599">
        <v>0</v>
      </c>
      <c r="E599">
        <v>0</v>
      </c>
      <c r="F599" t="str">
        <f t="shared" si="29"/>
        <v>Lower Risk</v>
      </c>
      <c r="G599" t="s">
        <v>13</v>
      </c>
      <c r="H599" t="s">
        <v>16</v>
      </c>
      <c r="I599" t="s">
        <v>9</v>
      </c>
      <c r="J599">
        <v>60.53</v>
      </c>
      <c r="K599">
        <v>17.5</v>
      </c>
      <c r="L599" t="s">
        <v>14</v>
      </c>
      <c r="M599">
        <v>0</v>
      </c>
      <c r="N599" t="str">
        <f t="shared" si="27"/>
        <v>Under 40</v>
      </c>
      <c r="O599" t="str">
        <f t="shared" si="28"/>
        <v>Underweight</v>
      </c>
    </row>
    <row r="600" spans="1:15" x14ac:dyDescent="0.3">
      <c r="A600">
        <v>31090</v>
      </c>
      <c r="B600" t="s">
        <v>2</v>
      </c>
      <c r="C600">
        <v>15</v>
      </c>
      <c r="D600">
        <v>0</v>
      </c>
      <c r="E600">
        <v>0</v>
      </c>
      <c r="F600" t="str">
        <f t="shared" si="29"/>
        <v>Lower Risk</v>
      </c>
      <c r="G600" t="s">
        <v>13</v>
      </c>
      <c r="H600" t="s">
        <v>16</v>
      </c>
      <c r="I600" t="s">
        <v>9</v>
      </c>
      <c r="J600">
        <v>205.5</v>
      </c>
      <c r="K600">
        <v>24.2</v>
      </c>
      <c r="L600" t="s">
        <v>11</v>
      </c>
      <c r="M600">
        <v>0</v>
      </c>
      <c r="N600" t="str">
        <f t="shared" si="27"/>
        <v>Under 40</v>
      </c>
      <c r="O600" t="str">
        <f t="shared" si="28"/>
        <v>Normal</v>
      </c>
    </row>
    <row r="601" spans="1:15" x14ac:dyDescent="0.3">
      <c r="A601">
        <v>64174</v>
      </c>
      <c r="B601" t="s">
        <v>7</v>
      </c>
      <c r="C601">
        <v>59</v>
      </c>
      <c r="D601">
        <v>1</v>
      </c>
      <c r="E601">
        <v>0</v>
      </c>
      <c r="F601" t="str">
        <f t="shared" si="29"/>
        <v>Lower Risk</v>
      </c>
      <c r="G601" t="s">
        <v>3</v>
      </c>
      <c r="H601" t="s">
        <v>4</v>
      </c>
      <c r="I601" t="s">
        <v>5</v>
      </c>
      <c r="J601">
        <v>204.86</v>
      </c>
      <c r="K601">
        <v>30.8</v>
      </c>
      <c r="L601" t="s">
        <v>11</v>
      </c>
      <c r="M601">
        <v>0</v>
      </c>
      <c r="N601" t="str">
        <f t="shared" si="27"/>
        <v>40–59</v>
      </c>
      <c r="O601" t="str">
        <f t="shared" si="28"/>
        <v>Obese</v>
      </c>
    </row>
    <row r="602" spans="1:15" x14ac:dyDescent="0.3">
      <c r="A602">
        <v>8544</v>
      </c>
      <c r="B602" t="s">
        <v>7</v>
      </c>
      <c r="C602">
        <v>24</v>
      </c>
      <c r="D602">
        <v>0</v>
      </c>
      <c r="E602">
        <v>0</v>
      </c>
      <c r="F602" t="str">
        <f t="shared" si="29"/>
        <v>Lower Risk</v>
      </c>
      <c r="G602" t="s">
        <v>13</v>
      </c>
      <c r="H602" t="s">
        <v>8</v>
      </c>
      <c r="I602" t="s">
        <v>9</v>
      </c>
      <c r="J602">
        <v>115.03</v>
      </c>
      <c r="K602">
        <v>23.4</v>
      </c>
      <c r="L602" t="s">
        <v>11</v>
      </c>
      <c r="M602">
        <v>0</v>
      </c>
      <c r="N602" t="str">
        <f t="shared" si="27"/>
        <v>Under 40</v>
      </c>
      <c r="O602" t="str">
        <f t="shared" si="28"/>
        <v>Normal</v>
      </c>
    </row>
    <row r="603" spans="1:15" x14ac:dyDescent="0.3">
      <c r="A603">
        <v>27377</v>
      </c>
      <c r="B603" t="s">
        <v>2</v>
      </c>
      <c r="C603">
        <v>53</v>
      </c>
      <c r="D603">
        <v>0</v>
      </c>
      <c r="E603">
        <v>0</v>
      </c>
      <c r="F603" t="str">
        <f t="shared" si="29"/>
        <v>Lower Risk</v>
      </c>
      <c r="G603" t="s">
        <v>3</v>
      </c>
      <c r="H603" t="s">
        <v>4</v>
      </c>
      <c r="I603" t="s">
        <v>9</v>
      </c>
      <c r="J603">
        <v>79.87</v>
      </c>
      <c r="K603">
        <v>30.9</v>
      </c>
      <c r="L603" t="s">
        <v>11</v>
      </c>
      <c r="M603">
        <v>0</v>
      </c>
      <c r="N603" t="str">
        <f t="shared" si="27"/>
        <v>40–59</v>
      </c>
      <c r="O603" t="str">
        <f t="shared" si="28"/>
        <v>Obese</v>
      </c>
    </row>
    <row r="604" spans="1:15" x14ac:dyDescent="0.3">
      <c r="A604">
        <v>3361</v>
      </c>
      <c r="B604" t="s">
        <v>7</v>
      </c>
      <c r="C604">
        <v>39</v>
      </c>
      <c r="D604">
        <v>0</v>
      </c>
      <c r="E604">
        <v>0</v>
      </c>
      <c r="F604" t="str">
        <f t="shared" si="29"/>
        <v>Lower Risk</v>
      </c>
      <c r="G604" t="s">
        <v>3</v>
      </c>
      <c r="H604" t="s">
        <v>15</v>
      </c>
      <c r="I604" t="s">
        <v>9</v>
      </c>
      <c r="J604">
        <v>97.89</v>
      </c>
      <c r="K604">
        <v>23.6</v>
      </c>
      <c r="L604" t="s">
        <v>11</v>
      </c>
      <c r="M604">
        <v>0</v>
      </c>
      <c r="N604" t="str">
        <f t="shared" si="27"/>
        <v>Under 40</v>
      </c>
      <c r="O604" t="str">
        <f t="shared" si="28"/>
        <v>Normal</v>
      </c>
    </row>
    <row r="605" spans="1:15" x14ac:dyDescent="0.3">
      <c r="A605">
        <v>61408</v>
      </c>
      <c r="B605" t="s">
        <v>2</v>
      </c>
      <c r="C605">
        <v>23</v>
      </c>
      <c r="D605">
        <v>0</v>
      </c>
      <c r="E605">
        <v>0</v>
      </c>
      <c r="F605" t="str">
        <f t="shared" si="29"/>
        <v>Lower Risk</v>
      </c>
      <c r="G605" t="s">
        <v>13</v>
      </c>
      <c r="H605" t="s">
        <v>17</v>
      </c>
      <c r="I605" t="s">
        <v>5</v>
      </c>
      <c r="J605">
        <v>125.26</v>
      </c>
      <c r="K605">
        <v>18.7</v>
      </c>
      <c r="L605" t="s">
        <v>11</v>
      </c>
      <c r="M605">
        <v>0</v>
      </c>
      <c r="N605" t="str">
        <f t="shared" si="27"/>
        <v>Under 40</v>
      </c>
      <c r="O605" t="str">
        <f t="shared" si="28"/>
        <v>Normal</v>
      </c>
    </row>
    <row r="606" spans="1:15" x14ac:dyDescent="0.3">
      <c r="A606">
        <v>33552</v>
      </c>
      <c r="B606" t="s">
        <v>2</v>
      </c>
      <c r="C606">
        <v>31</v>
      </c>
      <c r="D606">
        <v>0</v>
      </c>
      <c r="E606">
        <v>0</v>
      </c>
      <c r="F606" t="str">
        <f t="shared" si="29"/>
        <v>Lower Risk</v>
      </c>
      <c r="G606" t="s">
        <v>3</v>
      </c>
      <c r="H606" t="s">
        <v>4</v>
      </c>
      <c r="I606" t="s">
        <v>9</v>
      </c>
      <c r="J606">
        <v>114.32</v>
      </c>
      <c r="K606">
        <v>27.7</v>
      </c>
      <c r="L606" t="s">
        <v>12</v>
      </c>
      <c r="M606">
        <v>0</v>
      </c>
      <c r="N606" t="str">
        <f t="shared" si="27"/>
        <v>Under 40</v>
      </c>
      <c r="O606" t="str">
        <f t="shared" si="28"/>
        <v>Overweight</v>
      </c>
    </row>
    <row r="607" spans="1:15" x14ac:dyDescent="0.3">
      <c r="A607">
        <v>31364</v>
      </c>
      <c r="B607" t="s">
        <v>2</v>
      </c>
      <c r="C607">
        <v>5</v>
      </c>
      <c r="D607">
        <v>0</v>
      </c>
      <c r="E607">
        <v>0</v>
      </c>
      <c r="F607" t="str">
        <f t="shared" si="29"/>
        <v>Lower Risk</v>
      </c>
      <c r="G607" t="s">
        <v>13</v>
      </c>
      <c r="H607" t="s">
        <v>16</v>
      </c>
      <c r="I607" t="s">
        <v>5</v>
      </c>
      <c r="J607">
        <v>92.23</v>
      </c>
      <c r="K607">
        <v>16.7</v>
      </c>
      <c r="L607" t="s">
        <v>14</v>
      </c>
      <c r="M607">
        <v>0</v>
      </c>
      <c r="N607" t="str">
        <f t="shared" si="27"/>
        <v>Under 40</v>
      </c>
      <c r="O607" t="str">
        <f t="shared" si="28"/>
        <v>Underweight</v>
      </c>
    </row>
    <row r="608" spans="1:15" x14ac:dyDescent="0.3">
      <c r="A608">
        <v>7446</v>
      </c>
      <c r="B608" t="s">
        <v>2</v>
      </c>
      <c r="C608">
        <v>44</v>
      </c>
      <c r="D608">
        <v>0</v>
      </c>
      <c r="E608">
        <v>0</v>
      </c>
      <c r="F608" t="str">
        <f t="shared" si="29"/>
        <v>Lower Risk</v>
      </c>
      <c r="G608" t="s">
        <v>3</v>
      </c>
      <c r="H608" t="s">
        <v>4</v>
      </c>
      <c r="I608" t="s">
        <v>5</v>
      </c>
      <c r="J608">
        <v>83.51</v>
      </c>
      <c r="K608">
        <v>31.2</v>
      </c>
      <c r="L608" t="s">
        <v>11</v>
      </c>
      <c r="M608">
        <v>0</v>
      </c>
      <c r="N608" t="str">
        <f t="shared" si="27"/>
        <v>40–59</v>
      </c>
      <c r="O608" t="str">
        <f t="shared" si="28"/>
        <v>Obese</v>
      </c>
    </row>
    <row r="609" spans="1:15" x14ac:dyDescent="0.3">
      <c r="A609">
        <v>9906</v>
      </c>
      <c r="B609" t="s">
        <v>7</v>
      </c>
      <c r="C609">
        <v>1.8</v>
      </c>
      <c r="D609">
        <v>0</v>
      </c>
      <c r="E609">
        <v>0</v>
      </c>
      <c r="F609" t="str">
        <f t="shared" si="29"/>
        <v>Lower Risk</v>
      </c>
      <c r="G609" t="s">
        <v>13</v>
      </c>
      <c r="H609" t="s">
        <v>16</v>
      </c>
      <c r="I609" t="s">
        <v>5</v>
      </c>
      <c r="J609">
        <v>102.34</v>
      </c>
      <c r="K609">
        <v>17</v>
      </c>
      <c r="L609" t="s">
        <v>14</v>
      </c>
      <c r="M609">
        <v>0</v>
      </c>
      <c r="N609" t="str">
        <f t="shared" si="27"/>
        <v>Under 40</v>
      </c>
      <c r="O609" t="str">
        <f t="shared" si="28"/>
        <v>Underweight</v>
      </c>
    </row>
    <row r="610" spans="1:15" x14ac:dyDescent="0.3">
      <c r="A610">
        <v>65130</v>
      </c>
      <c r="B610" t="s">
        <v>2</v>
      </c>
      <c r="C610">
        <v>40</v>
      </c>
      <c r="D610">
        <v>0</v>
      </c>
      <c r="E610">
        <v>0</v>
      </c>
      <c r="F610" t="str">
        <f t="shared" si="29"/>
        <v>Lower Risk</v>
      </c>
      <c r="G610" t="s">
        <v>3</v>
      </c>
      <c r="H610" t="s">
        <v>4</v>
      </c>
      <c r="I610" t="s">
        <v>9</v>
      </c>
      <c r="J610">
        <v>144.47999999999999</v>
      </c>
      <c r="K610">
        <v>29.8</v>
      </c>
      <c r="L610" t="s">
        <v>12</v>
      </c>
      <c r="M610">
        <v>0</v>
      </c>
      <c r="N610" t="str">
        <f t="shared" si="27"/>
        <v>40–59</v>
      </c>
      <c r="O610" t="str">
        <f t="shared" si="28"/>
        <v>Overweight</v>
      </c>
    </row>
    <row r="611" spans="1:15" x14ac:dyDescent="0.3">
      <c r="A611">
        <v>27794</v>
      </c>
      <c r="B611" t="s">
        <v>2</v>
      </c>
      <c r="C611">
        <v>7</v>
      </c>
      <c r="D611">
        <v>0</v>
      </c>
      <c r="E611">
        <v>0</v>
      </c>
      <c r="F611" t="str">
        <f t="shared" si="29"/>
        <v>Lower Risk</v>
      </c>
      <c r="G611" t="s">
        <v>13</v>
      </c>
      <c r="H611" t="s">
        <v>16</v>
      </c>
      <c r="I611" t="s">
        <v>9</v>
      </c>
      <c r="J611">
        <v>88.39</v>
      </c>
      <c r="K611">
        <v>19.7</v>
      </c>
      <c r="L611" t="s">
        <v>14</v>
      </c>
      <c r="M611">
        <v>0</v>
      </c>
      <c r="N611" t="str">
        <f t="shared" si="27"/>
        <v>Under 40</v>
      </c>
      <c r="O611" t="str">
        <f t="shared" si="28"/>
        <v>Normal</v>
      </c>
    </row>
    <row r="612" spans="1:15" x14ac:dyDescent="0.3">
      <c r="A612">
        <v>48993</v>
      </c>
      <c r="B612" t="s">
        <v>7</v>
      </c>
      <c r="C612">
        <v>56</v>
      </c>
      <c r="D612">
        <v>0</v>
      </c>
      <c r="E612">
        <v>0</v>
      </c>
      <c r="F612" t="str">
        <f t="shared" si="29"/>
        <v>Lower Risk</v>
      </c>
      <c r="G612" t="s">
        <v>3</v>
      </c>
      <c r="H612" t="s">
        <v>4</v>
      </c>
      <c r="I612" t="s">
        <v>9</v>
      </c>
      <c r="J612">
        <v>228.08</v>
      </c>
      <c r="K612">
        <v>29.1</v>
      </c>
      <c r="L612" t="s">
        <v>14</v>
      </c>
      <c r="M612">
        <v>0</v>
      </c>
      <c r="N612" t="str">
        <f t="shared" si="27"/>
        <v>40–59</v>
      </c>
      <c r="O612" t="str">
        <f t="shared" si="28"/>
        <v>Overweight</v>
      </c>
    </row>
    <row r="613" spans="1:15" x14ac:dyDescent="0.3">
      <c r="A613">
        <v>30753</v>
      </c>
      <c r="B613" t="s">
        <v>2</v>
      </c>
      <c r="C613">
        <v>42</v>
      </c>
      <c r="D613">
        <v>0</v>
      </c>
      <c r="E613">
        <v>0</v>
      </c>
      <c r="F613" t="str">
        <f t="shared" si="29"/>
        <v>Lower Risk</v>
      </c>
      <c r="G613" t="s">
        <v>3</v>
      </c>
      <c r="H613" t="s">
        <v>15</v>
      </c>
      <c r="I613" t="s">
        <v>5</v>
      </c>
      <c r="J613">
        <v>93.79</v>
      </c>
      <c r="K613">
        <v>27.2</v>
      </c>
      <c r="L613" t="s">
        <v>11</v>
      </c>
      <c r="M613">
        <v>0</v>
      </c>
      <c r="N613" t="str">
        <f t="shared" si="27"/>
        <v>40–59</v>
      </c>
      <c r="O613" t="str">
        <f t="shared" si="28"/>
        <v>Overweight</v>
      </c>
    </row>
    <row r="614" spans="1:15" x14ac:dyDescent="0.3">
      <c r="A614">
        <v>46809</v>
      </c>
      <c r="B614" t="s">
        <v>2</v>
      </c>
      <c r="C614">
        <v>48</v>
      </c>
      <c r="D614">
        <v>0</v>
      </c>
      <c r="E614">
        <v>0</v>
      </c>
      <c r="F614" t="str">
        <f t="shared" si="29"/>
        <v>Lower Risk</v>
      </c>
      <c r="G614" t="s">
        <v>3</v>
      </c>
      <c r="H614" t="s">
        <v>4</v>
      </c>
      <c r="I614" t="s">
        <v>9</v>
      </c>
      <c r="J614">
        <v>147.13999999999999</v>
      </c>
      <c r="K614">
        <v>22.3</v>
      </c>
      <c r="L614" t="s">
        <v>14</v>
      </c>
      <c r="M614">
        <v>0</v>
      </c>
      <c r="N614" t="str">
        <f t="shared" si="27"/>
        <v>40–59</v>
      </c>
      <c r="O614" t="str">
        <f t="shared" si="28"/>
        <v>Normal</v>
      </c>
    </row>
    <row r="615" spans="1:15" x14ac:dyDescent="0.3">
      <c r="A615">
        <v>22853</v>
      </c>
      <c r="B615" t="s">
        <v>2</v>
      </c>
      <c r="C615">
        <v>82</v>
      </c>
      <c r="D615">
        <v>0</v>
      </c>
      <c r="E615">
        <v>0</v>
      </c>
      <c r="F615" t="str">
        <f t="shared" si="29"/>
        <v>Moderate Risk</v>
      </c>
      <c r="G615" t="s">
        <v>13</v>
      </c>
      <c r="H615" t="s">
        <v>8</v>
      </c>
      <c r="I615" t="s">
        <v>9</v>
      </c>
      <c r="J615">
        <v>106.43</v>
      </c>
      <c r="K615">
        <v>27</v>
      </c>
      <c r="L615" t="s">
        <v>12</v>
      </c>
      <c r="M615">
        <v>0</v>
      </c>
      <c r="N615" t="str">
        <f t="shared" si="27"/>
        <v>60+</v>
      </c>
      <c r="O615" t="str">
        <f t="shared" si="28"/>
        <v>Overweight</v>
      </c>
    </row>
    <row r="616" spans="1:15" x14ac:dyDescent="0.3">
      <c r="A616">
        <v>12465</v>
      </c>
      <c r="B616" t="s">
        <v>7</v>
      </c>
      <c r="C616">
        <v>52</v>
      </c>
      <c r="D616">
        <v>0</v>
      </c>
      <c r="E616">
        <v>0</v>
      </c>
      <c r="F616" t="str">
        <f t="shared" si="29"/>
        <v>Lower Risk</v>
      </c>
      <c r="G616" t="s">
        <v>13</v>
      </c>
      <c r="H616" t="s">
        <v>4</v>
      </c>
      <c r="I616" t="s">
        <v>9</v>
      </c>
      <c r="J616">
        <v>88.04</v>
      </c>
      <c r="K616">
        <v>42.1</v>
      </c>
      <c r="L616" t="s">
        <v>11</v>
      </c>
      <c r="M616">
        <v>0</v>
      </c>
      <c r="N616" t="str">
        <f t="shared" si="27"/>
        <v>40–59</v>
      </c>
      <c r="O616" t="str">
        <f t="shared" si="28"/>
        <v>Obese</v>
      </c>
    </row>
    <row r="617" spans="1:15" x14ac:dyDescent="0.3">
      <c r="A617">
        <v>64849</v>
      </c>
      <c r="B617" t="s">
        <v>7</v>
      </c>
      <c r="C617">
        <v>42</v>
      </c>
      <c r="D617">
        <v>0</v>
      </c>
      <c r="E617">
        <v>0</v>
      </c>
      <c r="F617" t="str">
        <f t="shared" si="29"/>
        <v>Lower Risk</v>
      </c>
      <c r="G617" t="s">
        <v>3</v>
      </c>
      <c r="H617" t="s">
        <v>4</v>
      </c>
      <c r="I617" t="s">
        <v>5</v>
      </c>
      <c r="J617">
        <v>92.2</v>
      </c>
      <c r="K617">
        <v>34.200000000000003</v>
      </c>
      <c r="L617" t="s">
        <v>14</v>
      </c>
      <c r="M617">
        <v>0</v>
      </c>
      <c r="N617" t="str">
        <f t="shared" si="27"/>
        <v>40–59</v>
      </c>
      <c r="O617" t="str">
        <f t="shared" si="28"/>
        <v>Obese</v>
      </c>
    </row>
    <row r="618" spans="1:15" x14ac:dyDescent="0.3">
      <c r="A618">
        <v>39659</v>
      </c>
      <c r="B618" t="s">
        <v>7</v>
      </c>
      <c r="C618">
        <v>73</v>
      </c>
      <c r="D618">
        <v>0</v>
      </c>
      <c r="E618">
        <v>0</v>
      </c>
      <c r="F618" t="str">
        <f t="shared" si="29"/>
        <v>Moderate Risk</v>
      </c>
      <c r="G618" t="s">
        <v>3</v>
      </c>
      <c r="H618" t="s">
        <v>15</v>
      </c>
      <c r="I618" t="s">
        <v>5</v>
      </c>
      <c r="J618">
        <v>219.53</v>
      </c>
      <c r="K618">
        <v>40.9</v>
      </c>
      <c r="L618" t="s">
        <v>11</v>
      </c>
      <c r="M618">
        <v>0</v>
      </c>
      <c r="N618" t="str">
        <f t="shared" si="27"/>
        <v>60+</v>
      </c>
      <c r="O618" t="str">
        <f t="shared" si="28"/>
        <v>Obese</v>
      </c>
    </row>
    <row r="619" spans="1:15" x14ac:dyDescent="0.3">
      <c r="A619">
        <v>24183</v>
      </c>
      <c r="B619" t="s">
        <v>7</v>
      </c>
      <c r="C619">
        <v>55</v>
      </c>
      <c r="D619">
        <v>0</v>
      </c>
      <c r="E619">
        <v>0</v>
      </c>
      <c r="F619" t="str">
        <f t="shared" si="29"/>
        <v>Lower Risk</v>
      </c>
      <c r="G619" t="s">
        <v>3</v>
      </c>
      <c r="H619" t="s">
        <v>15</v>
      </c>
      <c r="I619" t="s">
        <v>9</v>
      </c>
      <c r="J619">
        <v>75.56</v>
      </c>
      <c r="K619">
        <v>29.4</v>
      </c>
      <c r="L619" t="s">
        <v>12</v>
      </c>
      <c r="M619">
        <v>0</v>
      </c>
      <c r="N619" t="str">
        <f t="shared" si="27"/>
        <v>40–59</v>
      </c>
      <c r="O619" t="str">
        <f t="shared" si="28"/>
        <v>Overweight</v>
      </c>
    </row>
    <row r="620" spans="1:15" x14ac:dyDescent="0.3">
      <c r="A620">
        <v>71533</v>
      </c>
      <c r="B620" t="s">
        <v>2</v>
      </c>
      <c r="C620">
        <v>50</v>
      </c>
      <c r="D620">
        <v>0</v>
      </c>
      <c r="E620">
        <v>0</v>
      </c>
      <c r="F620" t="str">
        <f t="shared" si="29"/>
        <v>Lower Risk</v>
      </c>
      <c r="G620" t="s">
        <v>3</v>
      </c>
      <c r="H620" t="s">
        <v>4</v>
      </c>
      <c r="I620" t="s">
        <v>5</v>
      </c>
      <c r="J620">
        <v>158.31</v>
      </c>
      <c r="K620">
        <v>32.799999999999997</v>
      </c>
      <c r="L620" t="s">
        <v>6</v>
      </c>
      <c r="M620">
        <v>0</v>
      </c>
      <c r="N620" t="str">
        <f t="shared" si="27"/>
        <v>40–59</v>
      </c>
      <c r="O620" t="str">
        <f t="shared" si="28"/>
        <v>Obese</v>
      </c>
    </row>
    <row r="621" spans="1:15" x14ac:dyDescent="0.3">
      <c r="A621">
        <v>35565</v>
      </c>
      <c r="B621" t="s">
        <v>2</v>
      </c>
      <c r="C621">
        <v>43</v>
      </c>
      <c r="D621">
        <v>0</v>
      </c>
      <c r="E621">
        <v>0</v>
      </c>
      <c r="F621" t="str">
        <f t="shared" si="29"/>
        <v>Lower Risk</v>
      </c>
      <c r="G621" t="s">
        <v>3</v>
      </c>
      <c r="H621" t="s">
        <v>4</v>
      </c>
      <c r="I621" t="s">
        <v>5</v>
      </c>
      <c r="J621">
        <v>111.43</v>
      </c>
      <c r="K621">
        <v>21.9</v>
      </c>
      <c r="L621" t="s">
        <v>12</v>
      </c>
      <c r="M621">
        <v>0</v>
      </c>
      <c r="N621" t="str">
        <f t="shared" si="27"/>
        <v>40–59</v>
      </c>
      <c r="O621" t="str">
        <f t="shared" si="28"/>
        <v>Normal</v>
      </c>
    </row>
    <row r="622" spans="1:15" x14ac:dyDescent="0.3">
      <c r="A622">
        <v>34558</v>
      </c>
      <c r="B622" t="s">
        <v>2</v>
      </c>
      <c r="C622">
        <v>33</v>
      </c>
      <c r="D622">
        <v>0</v>
      </c>
      <c r="E622">
        <v>0</v>
      </c>
      <c r="F622" t="str">
        <f t="shared" si="29"/>
        <v>Lower Risk</v>
      </c>
      <c r="G622" t="s">
        <v>3</v>
      </c>
      <c r="H622" t="s">
        <v>4</v>
      </c>
      <c r="I622" t="s">
        <v>9</v>
      </c>
      <c r="J622">
        <v>219.97</v>
      </c>
      <c r="K622">
        <v>39.6</v>
      </c>
      <c r="L622" t="s">
        <v>11</v>
      </c>
      <c r="M622">
        <v>0</v>
      </c>
      <c r="N622" t="str">
        <f t="shared" si="27"/>
        <v>Under 40</v>
      </c>
      <c r="O622" t="str">
        <f t="shared" si="28"/>
        <v>Obese</v>
      </c>
    </row>
    <row r="623" spans="1:15" x14ac:dyDescent="0.3">
      <c r="A623">
        <v>42553</v>
      </c>
      <c r="B623" t="s">
        <v>7</v>
      </c>
      <c r="C623">
        <v>80</v>
      </c>
      <c r="D623">
        <v>0</v>
      </c>
      <c r="E623">
        <v>0</v>
      </c>
      <c r="F623" t="str">
        <f t="shared" si="29"/>
        <v>Moderate Risk</v>
      </c>
      <c r="G623" t="s">
        <v>3</v>
      </c>
      <c r="H623" t="s">
        <v>4</v>
      </c>
      <c r="I623" t="s">
        <v>9</v>
      </c>
      <c r="J623">
        <v>148.91</v>
      </c>
      <c r="K623">
        <v>28.3</v>
      </c>
      <c r="L623" t="s">
        <v>11</v>
      </c>
      <c r="M623">
        <v>0</v>
      </c>
      <c r="N623" t="str">
        <f t="shared" si="27"/>
        <v>60+</v>
      </c>
      <c r="O623" t="str">
        <f t="shared" si="28"/>
        <v>Overweight</v>
      </c>
    </row>
    <row r="624" spans="1:15" x14ac:dyDescent="0.3">
      <c r="A624">
        <v>39601</v>
      </c>
      <c r="B624" t="s">
        <v>7</v>
      </c>
      <c r="C624">
        <v>33</v>
      </c>
      <c r="D624">
        <v>0</v>
      </c>
      <c r="E624">
        <v>0</v>
      </c>
      <c r="F624" t="str">
        <f t="shared" si="29"/>
        <v>Lower Risk</v>
      </c>
      <c r="G624" t="s">
        <v>3</v>
      </c>
      <c r="H624" t="s">
        <v>4</v>
      </c>
      <c r="I624" t="s">
        <v>5</v>
      </c>
      <c r="J624">
        <v>69.400000000000006</v>
      </c>
      <c r="K624">
        <v>47.8</v>
      </c>
      <c r="L624" t="s">
        <v>11</v>
      </c>
      <c r="M624">
        <v>0</v>
      </c>
      <c r="N624" t="str">
        <f t="shared" si="27"/>
        <v>Under 40</v>
      </c>
      <c r="O624" t="str">
        <f t="shared" si="28"/>
        <v>Obese</v>
      </c>
    </row>
    <row r="625" spans="1:15" x14ac:dyDescent="0.3">
      <c r="A625">
        <v>46891</v>
      </c>
      <c r="B625" t="s">
        <v>7</v>
      </c>
      <c r="C625">
        <v>74</v>
      </c>
      <c r="D625">
        <v>0</v>
      </c>
      <c r="E625">
        <v>0</v>
      </c>
      <c r="F625" t="str">
        <f t="shared" si="29"/>
        <v>Moderate Risk</v>
      </c>
      <c r="G625" t="s">
        <v>3</v>
      </c>
      <c r="H625" t="s">
        <v>4</v>
      </c>
      <c r="I625" t="s">
        <v>9</v>
      </c>
      <c r="J625">
        <v>68.34</v>
      </c>
      <c r="K625">
        <v>39.299999999999997</v>
      </c>
      <c r="L625" t="s">
        <v>14</v>
      </c>
      <c r="M625">
        <v>0</v>
      </c>
      <c r="N625" t="str">
        <f t="shared" si="27"/>
        <v>60+</v>
      </c>
      <c r="O625" t="str">
        <f t="shared" si="28"/>
        <v>Obese</v>
      </c>
    </row>
    <row r="626" spans="1:15" x14ac:dyDescent="0.3">
      <c r="A626">
        <v>38987</v>
      </c>
      <c r="B626" t="s">
        <v>2</v>
      </c>
      <c r="C626">
        <v>65</v>
      </c>
      <c r="D626">
        <v>0</v>
      </c>
      <c r="E626">
        <v>1</v>
      </c>
      <c r="F626" t="str">
        <f t="shared" si="29"/>
        <v>High Risk</v>
      </c>
      <c r="G626" t="s">
        <v>3</v>
      </c>
      <c r="H626" t="s">
        <v>8</v>
      </c>
      <c r="I626" t="s">
        <v>5</v>
      </c>
      <c r="J626">
        <v>58.37</v>
      </c>
      <c r="K626">
        <v>28</v>
      </c>
      <c r="L626" t="s">
        <v>12</v>
      </c>
      <c r="M626">
        <v>0</v>
      </c>
      <c r="N626" t="str">
        <f t="shared" si="27"/>
        <v>60+</v>
      </c>
      <c r="O626" t="str">
        <f t="shared" si="28"/>
        <v>Overweight</v>
      </c>
    </row>
    <row r="627" spans="1:15" x14ac:dyDescent="0.3">
      <c r="A627">
        <v>21886</v>
      </c>
      <c r="B627" t="s">
        <v>7</v>
      </c>
      <c r="C627">
        <v>40</v>
      </c>
      <c r="D627">
        <v>0</v>
      </c>
      <c r="E627">
        <v>0</v>
      </c>
      <c r="F627" t="str">
        <f t="shared" si="29"/>
        <v>Lower Risk</v>
      </c>
      <c r="G627" t="s">
        <v>3</v>
      </c>
      <c r="H627" t="s">
        <v>4</v>
      </c>
      <c r="I627" t="s">
        <v>5</v>
      </c>
      <c r="J627">
        <v>71.2</v>
      </c>
      <c r="K627">
        <v>27.1</v>
      </c>
      <c r="L627" t="s">
        <v>11</v>
      </c>
      <c r="M627">
        <v>0</v>
      </c>
      <c r="N627" t="str">
        <f t="shared" si="27"/>
        <v>40–59</v>
      </c>
      <c r="O627" t="str">
        <f t="shared" si="28"/>
        <v>Overweight</v>
      </c>
    </row>
    <row r="628" spans="1:15" x14ac:dyDescent="0.3">
      <c r="A628">
        <v>5353</v>
      </c>
      <c r="B628" t="s">
        <v>2</v>
      </c>
      <c r="C628">
        <v>52</v>
      </c>
      <c r="D628">
        <v>0</v>
      </c>
      <c r="E628">
        <v>1</v>
      </c>
      <c r="F628" t="str">
        <f t="shared" si="29"/>
        <v>Lower Risk</v>
      </c>
      <c r="G628" t="s">
        <v>13</v>
      </c>
      <c r="H628" t="s">
        <v>4</v>
      </c>
      <c r="I628" t="s">
        <v>9</v>
      </c>
      <c r="J628">
        <v>101.5</v>
      </c>
      <c r="K628">
        <v>31.2</v>
      </c>
      <c r="L628" t="s">
        <v>12</v>
      </c>
      <c r="M628">
        <v>0</v>
      </c>
      <c r="N628" t="str">
        <f t="shared" si="27"/>
        <v>40–59</v>
      </c>
      <c r="O628" t="str">
        <f t="shared" si="28"/>
        <v>Obese</v>
      </c>
    </row>
    <row r="629" spans="1:15" x14ac:dyDescent="0.3">
      <c r="A629">
        <v>44300</v>
      </c>
      <c r="B629" t="s">
        <v>7</v>
      </c>
      <c r="C629">
        <v>66</v>
      </c>
      <c r="D629">
        <v>0</v>
      </c>
      <c r="E629">
        <v>0</v>
      </c>
      <c r="F629" t="str">
        <f t="shared" si="29"/>
        <v>Moderate Risk</v>
      </c>
      <c r="G629" t="s">
        <v>3</v>
      </c>
      <c r="H629" t="s">
        <v>15</v>
      </c>
      <c r="I629" t="s">
        <v>5</v>
      </c>
      <c r="J629">
        <v>92.04</v>
      </c>
      <c r="K629">
        <v>23.1</v>
      </c>
      <c r="L629" t="s">
        <v>11</v>
      </c>
      <c r="M629">
        <v>0</v>
      </c>
      <c r="N629" t="str">
        <f t="shared" si="27"/>
        <v>60+</v>
      </c>
      <c r="O629" t="str">
        <f t="shared" si="28"/>
        <v>Normal</v>
      </c>
    </row>
    <row r="630" spans="1:15" x14ac:dyDescent="0.3">
      <c r="A630">
        <v>48144</v>
      </c>
      <c r="B630" t="s">
        <v>7</v>
      </c>
      <c r="C630">
        <v>20</v>
      </c>
      <c r="D630">
        <v>0</v>
      </c>
      <c r="E630">
        <v>0</v>
      </c>
      <c r="F630" t="str">
        <f t="shared" si="29"/>
        <v>Lower Risk</v>
      </c>
      <c r="G630" t="s">
        <v>13</v>
      </c>
      <c r="H630" t="s">
        <v>15</v>
      </c>
      <c r="I630" t="s">
        <v>9</v>
      </c>
      <c r="J630">
        <v>73</v>
      </c>
      <c r="K630">
        <v>20.8</v>
      </c>
      <c r="L630" t="s">
        <v>11</v>
      </c>
      <c r="M630">
        <v>0</v>
      </c>
      <c r="N630" t="str">
        <f t="shared" si="27"/>
        <v>Under 40</v>
      </c>
      <c r="O630" t="str">
        <f t="shared" si="28"/>
        <v>Normal</v>
      </c>
    </row>
    <row r="631" spans="1:15" x14ac:dyDescent="0.3">
      <c r="A631">
        <v>46218</v>
      </c>
      <c r="B631" t="s">
        <v>7</v>
      </c>
      <c r="C631">
        <v>51</v>
      </c>
      <c r="D631">
        <v>0</v>
      </c>
      <c r="E631">
        <v>0</v>
      </c>
      <c r="F631" t="str">
        <f t="shared" si="29"/>
        <v>Lower Risk</v>
      </c>
      <c r="G631" t="s">
        <v>3</v>
      </c>
      <c r="H631" t="s">
        <v>8</v>
      </c>
      <c r="I631" t="s">
        <v>5</v>
      </c>
      <c r="J631">
        <v>111.15</v>
      </c>
      <c r="K631">
        <v>34.1</v>
      </c>
      <c r="L631" t="s">
        <v>12</v>
      </c>
      <c r="M631">
        <v>0</v>
      </c>
      <c r="N631" t="str">
        <f t="shared" si="27"/>
        <v>40–59</v>
      </c>
      <c r="O631" t="str">
        <f t="shared" si="28"/>
        <v>Obese</v>
      </c>
    </row>
    <row r="632" spans="1:15" x14ac:dyDescent="0.3">
      <c r="A632">
        <v>39745</v>
      </c>
      <c r="B632" t="s">
        <v>7</v>
      </c>
      <c r="C632">
        <v>60</v>
      </c>
      <c r="D632">
        <v>0</v>
      </c>
      <c r="E632">
        <v>0</v>
      </c>
      <c r="F632" t="str">
        <f t="shared" si="29"/>
        <v>Moderate Risk</v>
      </c>
      <c r="G632" t="s">
        <v>3</v>
      </c>
      <c r="H632" t="s">
        <v>8</v>
      </c>
      <c r="I632" t="s">
        <v>9</v>
      </c>
      <c r="J632">
        <v>58.65</v>
      </c>
      <c r="K632">
        <v>30.1</v>
      </c>
      <c r="L632" t="s">
        <v>11</v>
      </c>
      <c r="M632">
        <v>0</v>
      </c>
      <c r="N632" t="str">
        <f t="shared" si="27"/>
        <v>60+</v>
      </c>
      <c r="O632" t="str">
        <f t="shared" si="28"/>
        <v>Obese</v>
      </c>
    </row>
    <row r="633" spans="1:15" x14ac:dyDescent="0.3">
      <c r="A633">
        <v>13517</v>
      </c>
      <c r="B633" t="s">
        <v>2</v>
      </c>
      <c r="C633">
        <v>59</v>
      </c>
      <c r="D633">
        <v>0</v>
      </c>
      <c r="E633">
        <v>0</v>
      </c>
      <c r="F633" t="str">
        <f t="shared" si="29"/>
        <v>Lower Risk</v>
      </c>
      <c r="G633" t="s">
        <v>3</v>
      </c>
      <c r="H633" t="s">
        <v>4</v>
      </c>
      <c r="I633" t="s">
        <v>5</v>
      </c>
      <c r="J633">
        <v>100.54</v>
      </c>
      <c r="K633">
        <v>35.799999999999997</v>
      </c>
      <c r="L633" t="s">
        <v>11</v>
      </c>
      <c r="M633">
        <v>0</v>
      </c>
      <c r="N633" t="str">
        <f t="shared" si="27"/>
        <v>40–59</v>
      </c>
      <c r="O633" t="str">
        <f t="shared" si="28"/>
        <v>Obese</v>
      </c>
    </row>
    <row r="634" spans="1:15" x14ac:dyDescent="0.3">
      <c r="A634">
        <v>36355</v>
      </c>
      <c r="B634" t="s">
        <v>2</v>
      </c>
      <c r="C634">
        <v>58</v>
      </c>
      <c r="D634">
        <v>0</v>
      </c>
      <c r="E634">
        <v>0</v>
      </c>
      <c r="F634" t="str">
        <f t="shared" si="29"/>
        <v>Lower Risk</v>
      </c>
      <c r="G634" t="s">
        <v>3</v>
      </c>
      <c r="H634" t="s">
        <v>15</v>
      </c>
      <c r="I634" t="s">
        <v>9</v>
      </c>
      <c r="J634">
        <v>111.73</v>
      </c>
      <c r="K634">
        <v>34.6</v>
      </c>
      <c r="L634" t="s">
        <v>11</v>
      </c>
      <c r="M634">
        <v>0</v>
      </c>
      <c r="N634" t="str">
        <f t="shared" si="27"/>
        <v>40–59</v>
      </c>
      <c r="O634" t="str">
        <f t="shared" si="28"/>
        <v>Obese</v>
      </c>
    </row>
    <row r="635" spans="1:15" x14ac:dyDescent="0.3">
      <c r="A635">
        <v>22678</v>
      </c>
      <c r="B635" t="s">
        <v>7</v>
      </c>
      <c r="C635">
        <v>42</v>
      </c>
      <c r="D635">
        <v>0</v>
      </c>
      <c r="E635">
        <v>0</v>
      </c>
      <c r="F635" t="str">
        <f t="shared" si="29"/>
        <v>Lower Risk</v>
      </c>
      <c r="G635" t="s">
        <v>3</v>
      </c>
      <c r="H635" t="s">
        <v>15</v>
      </c>
      <c r="I635" t="s">
        <v>5</v>
      </c>
      <c r="J635">
        <v>97.78</v>
      </c>
      <c r="K635">
        <v>29.8</v>
      </c>
      <c r="L635" t="s">
        <v>14</v>
      </c>
      <c r="M635">
        <v>0</v>
      </c>
      <c r="N635" t="str">
        <f t="shared" si="27"/>
        <v>40–59</v>
      </c>
      <c r="O635" t="str">
        <f t="shared" si="28"/>
        <v>Overweight</v>
      </c>
    </row>
    <row r="636" spans="1:15" x14ac:dyDescent="0.3">
      <c r="A636">
        <v>2532</v>
      </c>
      <c r="B636" t="s">
        <v>2</v>
      </c>
      <c r="C636">
        <v>28</v>
      </c>
      <c r="D636">
        <v>0</v>
      </c>
      <c r="E636">
        <v>0</v>
      </c>
      <c r="F636" t="str">
        <f t="shared" si="29"/>
        <v>Lower Risk</v>
      </c>
      <c r="G636" t="s">
        <v>13</v>
      </c>
      <c r="H636" t="s">
        <v>4</v>
      </c>
      <c r="I636" t="s">
        <v>9</v>
      </c>
      <c r="J636">
        <v>85.79</v>
      </c>
      <c r="K636">
        <v>26.7</v>
      </c>
      <c r="L636" t="s">
        <v>14</v>
      </c>
      <c r="M636">
        <v>0</v>
      </c>
      <c r="N636" t="str">
        <f t="shared" si="27"/>
        <v>Under 40</v>
      </c>
      <c r="O636" t="str">
        <f t="shared" si="28"/>
        <v>Overweight</v>
      </c>
    </row>
    <row r="637" spans="1:15" x14ac:dyDescent="0.3">
      <c r="A637">
        <v>52512</v>
      </c>
      <c r="B637" t="s">
        <v>2</v>
      </c>
      <c r="C637">
        <v>57</v>
      </c>
      <c r="D637">
        <v>0</v>
      </c>
      <c r="E637">
        <v>0</v>
      </c>
      <c r="F637" t="str">
        <f t="shared" si="29"/>
        <v>Lower Risk</v>
      </c>
      <c r="G637" t="s">
        <v>3</v>
      </c>
      <c r="H637" t="s">
        <v>4</v>
      </c>
      <c r="I637" t="s">
        <v>9</v>
      </c>
      <c r="J637">
        <v>98.54</v>
      </c>
      <c r="K637">
        <v>30.2</v>
      </c>
      <c r="L637" t="s">
        <v>11</v>
      </c>
      <c r="M637">
        <v>0</v>
      </c>
      <c r="N637" t="str">
        <f t="shared" si="27"/>
        <v>40–59</v>
      </c>
      <c r="O637" t="str">
        <f t="shared" si="28"/>
        <v>Obese</v>
      </c>
    </row>
    <row r="638" spans="1:15" x14ac:dyDescent="0.3">
      <c r="A638">
        <v>3579</v>
      </c>
      <c r="B638" t="s">
        <v>7</v>
      </c>
      <c r="C638">
        <v>66</v>
      </c>
      <c r="D638">
        <v>0</v>
      </c>
      <c r="E638">
        <v>1</v>
      </c>
      <c r="F638" t="str">
        <f t="shared" si="29"/>
        <v>High Risk</v>
      </c>
      <c r="G638" t="s">
        <v>3</v>
      </c>
      <c r="H638" t="s">
        <v>4</v>
      </c>
      <c r="I638" t="s">
        <v>5</v>
      </c>
      <c r="J638">
        <v>94.62</v>
      </c>
      <c r="K638">
        <v>29.7</v>
      </c>
      <c r="L638" t="s">
        <v>6</v>
      </c>
      <c r="M638">
        <v>0</v>
      </c>
      <c r="N638" t="str">
        <f t="shared" si="27"/>
        <v>60+</v>
      </c>
      <c r="O638" t="str">
        <f t="shared" si="28"/>
        <v>Overweight</v>
      </c>
    </row>
    <row r="639" spans="1:15" x14ac:dyDescent="0.3">
      <c r="A639">
        <v>3130</v>
      </c>
      <c r="B639" t="s">
        <v>7</v>
      </c>
      <c r="C639">
        <v>56</v>
      </c>
      <c r="D639">
        <v>0</v>
      </c>
      <c r="E639">
        <v>0</v>
      </c>
      <c r="F639" t="str">
        <f t="shared" si="29"/>
        <v>Lower Risk</v>
      </c>
      <c r="G639" t="s">
        <v>3</v>
      </c>
      <c r="H639" t="s">
        <v>4</v>
      </c>
      <c r="I639" t="s">
        <v>9</v>
      </c>
      <c r="J639">
        <v>112.43</v>
      </c>
      <c r="K639">
        <v>54.6</v>
      </c>
      <c r="L639" t="s">
        <v>11</v>
      </c>
      <c r="M639">
        <v>0</v>
      </c>
      <c r="N639" t="str">
        <f t="shared" si="27"/>
        <v>40–59</v>
      </c>
      <c r="O639" t="str">
        <f t="shared" si="28"/>
        <v>Obese</v>
      </c>
    </row>
    <row r="640" spans="1:15" x14ac:dyDescent="0.3">
      <c r="A640">
        <v>5545</v>
      </c>
      <c r="B640" t="s">
        <v>2</v>
      </c>
      <c r="C640">
        <v>48</v>
      </c>
      <c r="D640">
        <v>0</v>
      </c>
      <c r="E640">
        <v>0</v>
      </c>
      <c r="F640" t="str">
        <f t="shared" si="29"/>
        <v>Lower Risk</v>
      </c>
      <c r="G640" t="s">
        <v>3</v>
      </c>
      <c r="H640" t="s">
        <v>8</v>
      </c>
      <c r="I640" t="s">
        <v>5</v>
      </c>
      <c r="J640">
        <v>99.67</v>
      </c>
      <c r="K640">
        <v>23.3</v>
      </c>
      <c r="L640" t="s">
        <v>6</v>
      </c>
      <c r="M640">
        <v>0</v>
      </c>
      <c r="N640" t="str">
        <f t="shared" si="27"/>
        <v>40–59</v>
      </c>
      <c r="O640" t="str">
        <f t="shared" si="28"/>
        <v>Normal</v>
      </c>
    </row>
    <row r="641" spans="1:15" x14ac:dyDescent="0.3">
      <c r="A641">
        <v>63693</v>
      </c>
      <c r="B641" t="s">
        <v>2</v>
      </c>
      <c r="C641">
        <v>37</v>
      </c>
      <c r="D641">
        <v>0</v>
      </c>
      <c r="E641">
        <v>0</v>
      </c>
      <c r="F641" t="str">
        <f t="shared" si="29"/>
        <v>Lower Risk</v>
      </c>
      <c r="G641" t="s">
        <v>13</v>
      </c>
      <c r="H641" t="s">
        <v>4</v>
      </c>
      <c r="I641" t="s">
        <v>5</v>
      </c>
      <c r="J641">
        <v>67.39</v>
      </c>
      <c r="K641">
        <v>35.6</v>
      </c>
      <c r="L641" t="s">
        <v>14</v>
      </c>
      <c r="M641">
        <v>0</v>
      </c>
      <c r="N641" t="str">
        <f t="shared" si="27"/>
        <v>Under 40</v>
      </c>
      <c r="O641" t="str">
        <f t="shared" si="28"/>
        <v>Obese</v>
      </c>
    </row>
    <row r="642" spans="1:15" x14ac:dyDescent="0.3">
      <c r="A642">
        <v>34363</v>
      </c>
      <c r="B642" t="s">
        <v>7</v>
      </c>
      <c r="C642">
        <v>27</v>
      </c>
      <c r="D642">
        <v>0</v>
      </c>
      <c r="E642">
        <v>0</v>
      </c>
      <c r="F642" t="str">
        <f t="shared" si="29"/>
        <v>Lower Risk</v>
      </c>
      <c r="G642" t="s">
        <v>3</v>
      </c>
      <c r="H642" t="s">
        <v>4</v>
      </c>
      <c r="I642" t="s">
        <v>5</v>
      </c>
      <c r="J642">
        <v>95.12</v>
      </c>
      <c r="K642">
        <v>27</v>
      </c>
      <c r="L642" t="s">
        <v>11</v>
      </c>
      <c r="M642">
        <v>0</v>
      </c>
      <c r="N642" t="str">
        <f t="shared" ref="N642:N705" si="30">IF(C642&lt;40,"Under 40",IF(C642&lt;60,"40–59","60+"))</f>
        <v>Under 40</v>
      </c>
      <c r="O642" t="str">
        <f t="shared" ref="O642:O705" si="31">IF(K642="N/A","Unknown",
IF(K642="","Unknown",
IF(K642&lt;18.5,"Underweight",
IF(K642&lt;25,"Normal",
IF(K642&lt;30,"Overweight","Obese")))))</f>
        <v>Overweight</v>
      </c>
    </row>
    <row r="643" spans="1:15" x14ac:dyDescent="0.3">
      <c r="A643">
        <v>23650</v>
      </c>
      <c r="B643" t="s">
        <v>2</v>
      </c>
      <c r="C643">
        <v>15</v>
      </c>
      <c r="D643">
        <v>0</v>
      </c>
      <c r="E643">
        <v>0</v>
      </c>
      <c r="F643" t="str">
        <f t="shared" ref="F643:F706" si="32">IF(C643&gt;=60,
IF(OR(D643=1,E643=1),"High Risk","Moderate Risk"),
"Lower Risk")</f>
        <v>Lower Risk</v>
      </c>
      <c r="G643" t="s">
        <v>13</v>
      </c>
      <c r="H643" t="s">
        <v>16</v>
      </c>
      <c r="I643" t="s">
        <v>9</v>
      </c>
      <c r="J643">
        <v>85.06</v>
      </c>
      <c r="K643">
        <v>21.6</v>
      </c>
      <c r="L643" t="s">
        <v>11</v>
      </c>
      <c r="M643">
        <v>0</v>
      </c>
      <c r="N643" t="str">
        <f t="shared" si="30"/>
        <v>Under 40</v>
      </c>
      <c r="O643" t="str">
        <f t="shared" si="31"/>
        <v>Normal</v>
      </c>
    </row>
    <row r="644" spans="1:15" x14ac:dyDescent="0.3">
      <c r="A644">
        <v>53515</v>
      </c>
      <c r="B644" t="s">
        <v>2</v>
      </c>
      <c r="C644">
        <v>61</v>
      </c>
      <c r="D644">
        <v>0</v>
      </c>
      <c r="E644">
        <v>0</v>
      </c>
      <c r="F644" t="str">
        <f t="shared" si="32"/>
        <v>Moderate Risk</v>
      </c>
      <c r="G644" t="s">
        <v>3</v>
      </c>
      <c r="H644" t="s">
        <v>4</v>
      </c>
      <c r="I644" t="s">
        <v>9</v>
      </c>
      <c r="J644">
        <v>214.05</v>
      </c>
      <c r="K644">
        <v>29.4</v>
      </c>
      <c r="L644" t="s">
        <v>6</v>
      </c>
      <c r="M644">
        <v>0</v>
      </c>
      <c r="N644" t="str">
        <f t="shared" si="30"/>
        <v>60+</v>
      </c>
      <c r="O644" t="str">
        <f t="shared" si="31"/>
        <v>Overweight</v>
      </c>
    </row>
    <row r="645" spans="1:15" x14ac:dyDescent="0.3">
      <c r="A645">
        <v>33528</v>
      </c>
      <c r="B645" t="s">
        <v>7</v>
      </c>
      <c r="C645">
        <v>80</v>
      </c>
      <c r="D645">
        <v>0</v>
      </c>
      <c r="E645">
        <v>1</v>
      </c>
      <c r="F645" t="str">
        <f t="shared" si="32"/>
        <v>High Risk</v>
      </c>
      <c r="G645" t="s">
        <v>3</v>
      </c>
      <c r="H645" t="s">
        <v>8</v>
      </c>
      <c r="I645" t="s">
        <v>5</v>
      </c>
      <c r="J645">
        <v>79.09</v>
      </c>
      <c r="K645">
        <v>22.8</v>
      </c>
      <c r="L645" t="s">
        <v>11</v>
      </c>
      <c r="M645">
        <v>0</v>
      </c>
      <c r="N645" t="str">
        <f t="shared" si="30"/>
        <v>60+</v>
      </c>
      <c r="O645" t="str">
        <f t="shared" si="31"/>
        <v>Normal</v>
      </c>
    </row>
    <row r="646" spans="1:15" x14ac:dyDescent="0.3">
      <c r="A646">
        <v>23046</v>
      </c>
      <c r="B646" t="s">
        <v>7</v>
      </c>
      <c r="C646">
        <v>43</v>
      </c>
      <c r="D646">
        <v>0</v>
      </c>
      <c r="E646">
        <v>0</v>
      </c>
      <c r="F646" t="str">
        <f t="shared" si="32"/>
        <v>Lower Risk</v>
      </c>
      <c r="G646" t="s">
        <v>3</v>
      </c>
      <c r="H646" t="s">
        <v>8</v>
      </c>
      <c r="I646" t="s">
        <v>5</v>
      </c>
      <c r="J646">
        <v>98.09</v>
      </c>
      <c r="K646">
        <v>17.3</v>
      </c>
      <c r="L646" t="s">
        <v>11</v>
      </c>
      <c r="M646">
        <v>0</v>
      </c>
      <c r="N646" t="str">
        <f t="shared" si="30"/>
        <v>40–59</v>
      </c>
      <c r="O646" t="str">
        <f t="shared" si="31"/>
        <v>Underweight</v>
      </c>
    </row>
    <row r="647" spans="1:15" x14ac:dyDescent="0.3">
      <c r="A647">
        <v>11068</v>
      </c>
      <c r="B647" t="s">
        <v>2</v>
      </c>
      <c r="C647">
        <v>53</v>
      </c>
      <c r="D647">
        <v>0</v>
      </c>
      <c r="E647">
        <v>0</v>
      </c>
      <c r="F647" t="str">
        <f t="shared" si="32"/>
        <v>Lower Risk</v>
      </c>
      <c r="G647" t="s">
        <v>3</v>
      </c>
      <c r="H647" t="s">
        <v>8</v>
      </c>
      <c r="I647" t="s">
        <v>5</v>
      </c>
      <c r="J647">
        <v>76.36</v>
      </c>
      <c r="K647">
        <v>29.8</v>
      </c>
      <c r="L647" t="s">
        <v>14</v>
      </c>
      <c r="M647">
        <v>0</v>
      </c>
      <c r="N647" t="str">
        <f t="shared" si="30"/>
        <v>40–59</v>
      </c>
      <c r="O647" t="str">
        <f t="shared" si="31"/>
        <v>Overweight</v>
      </c>
    </row>
    <row r="648" spans="1:15" x14ac:dyDescent="0.3">
      <c r="A648">
        <v>62233</v>
      </c>
      <c r="B648" t="s">
        <v>7</v>
      </c>
      <c r="C648">
        <v>70</v>
      </c>
      <c r="D648">
        <v>0</v>
      </c>
      <c r="E648">
        <v>0</v>
      </c>
      <c r="F648" t="str">
        <f t="shared" si="32"/>
        <v>Moderate Risk</v>
      </c>
      <c r="G648" t="s">
        <v>13</v>
      </c>
      <c r="H648" t="s">
        <v>8</v>
      </c>
      <c r="I648" t="s">
        <v>5</v>
      </c>
      <c r="J648">
        <v>98.42</v>
      </c>
      <c r="K648">
        <v>36.4</v>
      </c>
      <c r="L648" t="s">
        <v>6</v>
      </c>
      <c r="M648">
        <v>0</v>
      </c>
      <c r="N648" t="str">
        <f t="shared" si="30"/>
        <v>60+</v>
      </c>
      <c r="O648" t="str">
        <f t="shared" si="31"/>
        <v>Obese</v>
      </c>
    </row>
    <row r="649" spans="1:15" x14ac:dyDescent="0.3">
      <c r="A649">
        <v>7291</v>
      </c>
      <c r="B649" t="s">
        <v>7</v>
      </c>
      <c r="C649">
        <v>58</v>
      </c>
      <c r="D649">
        <v>0</v>
      </c>
      <c r="E649">
        <v>0</v>
      </c>
      <c r="F649" t="str">
        <f t="shared" si="32"/>
        <v>Lower Risk</v>
      </c>
      <c r="G649" t="s">
        <v>13</v>
      </c>
      <c r="H649" t="s">
        <v>4</v>
      </c>
      <c r="I649" t="s">
        <v>5</v>
      </c>
      <c r="J649">
        <v>82.01</v>
      </c>
      <c r="K649">
        <v>34.700000000000003</v>
      </c>
      <c r="L649" t="s">
        <v>6</v>
      </c>
      <c r="M649">
        <v>0</v>
      </c>
      <c r="N649" t="str">
        <f t="shared" si="30"/>
        <v>40–59</v>
      </c>
      <c r="O649" t="str">
        <f t="shared" si="31"/>
        <v>Obese</v>
      </c>
    </row>
    <row r="650" spans="1:15" x14ac:dyDescent="0.3">
      <c r="A650">
        <v>36814</v>
      </c>
      <c r="B650" t="s">
        <v>7</v>
      </c>
      <c r="C650">
        <v>49</v>
      </c>
      <c r="D650">
        <v>0</v>
      </c>
      <c r="E650">
        <v>0</v>
      </c>
      <c r="F650" t="str">
        <f t="shared" si="32"/>
        <v>Lower Risk</v>
      </c>
      <c r="G650" t="s">
        <v>3</v>
      </c>
      <c r="H650" t="s">
        <v>4</v>
      </c>
      <c r="I650" t="s">
        <v>9</v>
      </c>
      <c r="J650">
        <v>56.11</v>
      </c>
      <c r="K650">
        <v>28.7</v>
      </c>
      <c r="L650" t="s">
        <v>12</v>
      </c>
      <c r="M650">
        <v>0</v>
      </c>
      <c r="N650" t="str">
        <f t="shared" si="30"/>
        <v>40–59</v>
      </c>
      <c r="O650" t="str">
        <f t="shared" si="31"/>
        <v>Overweight</v>
      </c>
    </row>
    <row r="651" spans="1:15" x14ac:dyDescent="0.3">
      <c r="A651">
        <v>48265</v>
      </c>
      <c r="B651" t="s">
        <v>2</v>
      </c>
      <c r="C651">
        <v>65</v>
      </c>
      <c r="D651">
        <v>0</v>
      </c>
      <c r="E651">
        <v>0</v>
      </c>
      <c r="F651" t="str">
        <f t="shared" si="32"/>
        <v>Moderate Risk</v>
      </c>
      <c r="G651" t="s">
        <v>3</v>
      </c>
      <c r="H651" t="s">
        <v>15</v>
      </c>
      <c r="I651" t="s">
        <v>9</v>
      </c>
      <c r="J651">
        <v>111.85</v>
      </c>
      <c r="K651">
        <v>26.7</v>
      </c>
      <c r="L651" t="s">
        <v>11</v>
      </c>
      <c r="M651">
        <v>0</v>
      </c>
      <c r="N651" t="str">
        <f t="shared" si="30"/>
        <v>60+</v>
      </c>
      <c r="O651" t="str">
        <f t="shared" si="31"/>
        <v>Overweight</v>
      </c>
    </row>
    <row r="652" spans="1:15" x14ac:dyDescent="0.3">
      <c r="A652">
        <v>10139</v>
      </c>
      <c r="B652" t="s">
        <v>7</v>
      </c>
      <c r="C652">
        <v>54</v>
      </c>
      <c r="D652">
        <v>0</v>
      </c>
      <c r="E652">
        <v>0</v>
      </c>
      <c r="F652" t="str">
        <f t="shared" si="32"/>
        <v>Lower Risk</v>
      </c>
      <c r="G652" t="s">
        <v>3</v>
      </c>
      <c r="H652" t="s">
        <v>8</v>
      </c>
      <c r="I652" t="s">
        <v>5</v>
      </c>
      <c r="J652">
        <v>92.39</v>
      </c>
      <c r="K652">
        <v>22.1</v>
      </c>
      <c r="L652" t="s">
        <v>11</v>
      </c>
      <c r="M652">
        <v>0</v>
      </c>
      <c r="N652" t="str">
        <f t="shared" si="30"/>
        <v>40–59</v>
      </c>
      <c r="O652" t="str">
        <f t="shared" si="31"/>
        <v>Normal</v>
      </c>
    </row>
    <row r="653" spans="1:15" x14ac:dyDescent="0.3">
      <c r="A653">
        <v>12662</v>
      </c>
      <c r="B653" t="s">
        <v>2</v>
      </c>
      <c r="C653">
        <v>74</v>
      </c>
      <c r="D653">
        <v>1</v>
      </c>
      <c r="E653">
        <v>0</v>
      </c>
      <c r="F653" t="str">
        <f t="shared" si="32"/>
        <v>High Risk</v>
      </c>
      <c r="G653" t="s">
        <v>3</v>
      </c>
      <c r="H653" t="s">
        <v>8</v>
      </c>
      <c r="I653" t="s">
        <v>5</v>
      </c>
      <c r="J653">
        <v>112.54</v>
      </c>
      <c r="K653">
        <v>27.7</v>
      </c>
      <c r="L653" t="s">
        <v>6</v>
      </c>
      <c r="M653">
        <v>0</v>
      </c>
      <c r="N653" t="str">
        <f t="shared" si="30"/>
        <v>60+</v>
      </c>
      <c r="O653" t="str">
        <f t="shared" si="31"/>
        <v>Overweight</v>
      </c>
    </row>
    <row r="654" spans="1:15" x14ac:dyDescent="0.3">
      <c r="A654">
        <v>43174</v>
      </c>
      <c r="B654" t="s">
        <v>7</v>
      </c>
      <c r="C654">
        <v>56</v>
      </c>
      <c r="D654">
        <v>0</v>
      </c>
      <c r="E654">
        <v>0</v>
      </c>
      <c r="F654" t="str">
        <f t="shared" si="32"/>
        <v>Lower Risk</v>
      </c>
      <c r="G654" t="s">
        <v>3</v>
      </c>
      <c r="H654" t="s">
        <v>4</v>
      </c>
      <c r="I654" t="s">
        <v>5</v>
      </c>
      <c r="J654">
        <v>63.71</v>
      </c>
      <c r="K654">
        <v>40.5</v>
      </c>
      <c r="L654" t="s">
        <v>6</v>
      </c>
      <c r="M654">
        <v>0</v>
      </c>
      <c r="N654" t="str">
        <f t="shared" si="30"/>
        <v>40–59</v>
      </c>
      <c r="O654" t="str">
        <f t="shared" si="31"/>
        <v>Obese</v>
      </c>
    </row>
    <row r="655" spans="1:15" x14ac:dyDescent="0.3">
      <c r="A655">
        <v>72823</v>
      </c>
      <c r="B655" t="s">
        <v>7</v>
      </c>
      <c r="C655">
        <v>79</v>
      </c>
      <c r="D655">
        <v>0</v>
      </c>
      <c r="E655">
        <v>0</v>
      </c>
      <c r="F655" t="str">
        <f t="shared" si="32"/>
        <v>Moderate Risk</v>
      </c>
      <c r="G655" t="s">
        <v>3</v>
      </c>
      <c r="H655" t="s">
        <v>4</v>
      </c>
      <c r="I655" t="s">
        <v>5</v>
      </c>
      <c r="J655">
        <v>70.349999999999994</v>
      </c>
      <c r="K655">
        <v>23</v>
      </c>
      <c r="L655" t="s">
        <v>6</v>
      </c>
      <c r="M655">
        <v>0</v>
      </c>
      <c r="N655" t="str">
        <f t="shared" si="30"/>
        <v>60+</v>
      </c>
      <c r="O655" t="str">
        <f t="shared" si="31"/>
        <v>Normal</v>
      </c>
    </row>
    <row r="656" spans="1:15" x14ac:dyDescent="0.3">
      <c r="A656">
        <v>30567</v>
      </c>
      <c r="B656" t="s">
        <v>2</v>
      </c>
      <c r="C656">
        <v>71</v>
      </c>
      <c r="D656">
        <v>1</v>
      </c>
      <c r="E656">
        <v>0</v>
      </c>
      <c r="F656" t="str">
        <f t="shared" si="32"/>
        <v>High Risk</v>
      </c>
      <c r="G656" t="s">
        <v>3</v>
      </c>
      <c r="H656" t="s">
        <v>4</v>
      </c>
      <c r="I656" t="s">
        <v>5</v>
      </c>
      <c r="J656">
        <v>94.65</v>
      </c>
      <c r="K656">
        <v>25.3</v>
      </c>
      <c r="L656" t="s">
        <v>6</v>
      </c>
      <c r="M656">
        <v>0</v>
      </c>
      <c r="N656" t="str">
        <f t="shared" si="30"/>
        <v>60+</v>
      </c>
      <c r="O656" t="str">
        <f t="shared" si="31"/>
        <v>Overweight</v>
      </c>
    </row>
    <row r="657" spans="1:15" x14ac:dyDescent="0.3">
      <c r="A657">
        <v>41927</v>
      </c>
      <c r="B657" t="s">
        <v>7</v>
      </c>
      <c r="C657">
        <v>28</v>
      </c>
      <c r="D657">
        <v>0</v>
      </c>
      <c r="E657">
        <v>0</v>
      </c>
      <c r="F657" t="str">
        <f t="shared" si="32"/>
        <v>Lower Risk</v>
      </c>
      <c r="G657" t="s">
        <v>3</v>
      </c>
      <c r="H657" t="s">
        <v>4</v>
      </c>
      <c r="I657" t="s">
        <v>9</v>
      </c>
      <c r="J657">
        <v>64.64</v>
      </c>
      <c r="K657">
        <v>22.1</v>
      </c>
      <c r="L657" t="s">
        <v>11</v>
      </c>
      <c r="M657">
        <v>0</v>
      </c>
      <c r="N657" t="str">
        <f t="shared" si="30"/>
        <v>Under 40</v>
      </c>
      <c r="O657" t="str">
        <f t="shared" si="31"/>
        <v>Normal</v>
      </c>
    </row>
    <row r="658" spans="1:15" x14ac:dyDescent="0.3">
      <c r="A658">
        <v>54866</v>
      </c>
      <c r="B658" t="s">
        <v>7</v>
      </c>
      <c r="C658">
        <v>9</v>
      </c>
      <c r="D658">
        <v>0</v>
      </c>
      <c r="E658">
        <v>0</v>
      </c>
      <c r="F658" t="str">
        <f t="shared" si="32"/>
        <v>Lower Risk</v>
      </c>
      <c r="G658" t="s">
        <v>13</v>
      </c>
      <c r="H658" t="s">
        <v>16</v>
      </c>
      <c r="I658" t="s">
        <v>9</v>
      </c>
      <c r="J658">
        <v>57.27</v>
      </c>
      <c r="K658">
        <v>28</v>
      </c>
      <c r="L658" t="s">
        <v>14</v>
      </c>
      <c r="M658">
        <v>0</v>
      </c>
      <c r="N658" t="str">
        <f t="shared" si="30"/>
        <v>Under 40</v>
      </c>
      <c r="O658" t="str">
        <f t="shared" si="31"/>
        <v>Overweight</v>
      </c>
    </row>
    <row r="659" spans="1:15" x14ac:dyDescent="0.3">
      <c r="A659">
        <v>20364</v>
      </c>
      <c r="B659" t="s">
        <v>7</v>
      </c>
      <c r="C659">
        <v>4</v>
      </c>
      <c r="D659">
        <v>0</v>
      </c>
      <c r="E659">
        <v>0</v>
      </c>
      <c r="F659" t="str">
        <f t="shared" si="32"/>
        <v>Lower Risk</v>
      </c>
      <c r="G659" t="s">
        <v>13</v>
      </c>
      <c r="H659" t="s">
        <v>16</v>
      </c>
      <c r="I659" t="s">
        <v>5</v>
      </c>
      <c r="J659">
        <v>107.25</v>
      </c>
      <c r="K659">
        <v>12</v>
      </c>
      <c r="L659" t="s">
        <v>14</v>
      </c>
      <c r="M659">
        <v>0</v>
      </c>
      <c r="N659" t="str">
        <f t="shared" si="30"/>
        <v>Under 40</v>
      </c>
      <c r="O659" t="str">
        <f t="shared" si="31"/>
        <v>Underweight</v>
      </c>
    </row>
    <row r="660" spans="1:15" x14ac:dyDescent="0.3">
      <c r="A660">
        <v>21117</v>
      </c>
      <c r="B660" t="s">
        <v>7</v>
      </c>
      <c r="C660">
        <v>36</v>
      </c>
      <c r="D660">
        <v>0</v>
      </c>
      <c r="E660">
        <v>0</v>
      </c>
      <c r="F660" t="str">
        <f t="shared" si="32"/>
        <v>Lower Risk</v>
      </c>
      <c r="G660" t="s">
        <v>13</v>
      </c>
      <c r="H660" t="s">
        <v>8</v>
      </c>
      <c r="I660" t="s">
        <v>9</v>
      </c>
      <c r="J660">
        <v>77.12</v>
      </c>
      <c r="K660">
        <v>28.4</v>
      </c>
      <c r="L660" t="s">
        <v>11</v>
      </c>
      <c r="M660">
        <v>0</v>
      </c>
      <c r="N660" t="str">
        <f t="shared" si="30"/>
        <v>Under 40</v>
      </c>
      <c r="O660" t="str">
        <f t="shared" si="31"/>
        <v>Overweight</v>
      </c>
    </row>
    <row r="661" spans="1:15" x14ac:dyDescent="0.3">
      <c r="A661">
        <v>50491</v>
      </c>
      <c r="B661" t="s">
        <v>2</v>
      </c>
      <c r="C661">
        <v>78</v>
      </c>
      <c r="D661">
        <v>0</v>
      </c>
      <c r="E661">
        <v>0</v>
      </c>
      <c r="F661" t="str">
        <f t="shared" si="32"/>
        <v>Moderate Risk</v>
      </c>
      <c r="G661" t="s">
        <v>3</v>
      </c>
      <c r="H661" t="s">
        <v>8</v>
      </c>
      <c r="I661" t="s">
        <v>5</v>
      </c>
      <c r="J661">
        <v>55.32</v>
      </c>
      <c r="K661">
        <v>29.6</v>
      </c>
      <c r="L661" t="s">
        <v>12</v>
      </c>
      <c r="M661">
        <v>0</v>
      </c>
      <c r="N661" t="str">
        <f t="shared" si="30"/>
        <v>60+</v>
      </c>
      <c r="O661" t="str">
        <f t="shared" si="31"/>
        <v>Overweight</v>
      </c>
    </row>
    <row r="662" spans="1:15" x14ac:dyDescent="0.3">
      <c r="A662">
        <v>61013</v>
      </c>
      <c r="B662" t="s">
        <v>2</v>
      </c>
      <c r="C662">
        <v>52</v>
      </c>
      <c r="D662">
        <v>0</v>
      </c>
      <c r="E662">
        <v>0</v>
      </c>
      <c r="F662" t="str">
        <f t="shared" si="32"/>
        <v>Lower Risk</v>
      </c>
      <c r="G662" t="s">
        <v>13</v>
      </c>
      <c r="H662" t="s">
        <v>4</v>
      </c>
      <c r="I662" t="s">
        <v>9</v>
      </c>
      <c r="J662">
        <v>69.37</v>
      </c>
      <c r="K662">
        <v>36.200000000000003</v>
      </c>
      <c r="L662" t="s">
        <v>14</v>
      </c>
      <c r="M662">
        <v>0</v>
      </c>
      <c r="N662" t="str">
        <f t="shared" si="30"/>
        <v>40–59</v>
      </c>
      <c r="O662" t="str">
        <f t="shared" si="31"/>
        <v>Obese</v>
      </c>
    </row>
    <row r="663" spans="1:15" x14ac:dyDescent="0.3">
      <c r="A663">
        <v>71010</v>
      </c>
      <c r="B663" t="s">
        <v>7</v>
      </c>
      <c r="C663">
        <v>80</v>
      </c>
      <c r="D663">
        <v>0</v>
      </c>
      <c r="E663">
        <v>0</v>
      </c>
      <c r="F663" t="str">
        <f t="shared" si="32"/>
        <v>Moderate Risk</v>
      </c>
      <c r="G663" t="s">
        <v>13</v>
      </c>
      <c r="H663" t="s">
        <v>8</v>
      </c>
      <c r="I663" t="s">
        <v>5</v>
      </c>
      <c r="J663">
        <v>57.57</v>
      </c>
      <c r="K663">
        <v>22.8</v>
      </c>
      <c r="L663" t="s">
        <v>11</v>
      </c>
      <c r="M663">
        <v>0</v>
      </c>
      <c r="N663" t="str">
        <f t="shared" si="30"/>
        <v>60+</v>
      </c>
      <c r="O663" t="str">
        <f t="shared" si="31"/>
        <v>Normal</v>
      </c>
    </row>
    <row r="664" spans="1:15" x14ac:dyDescent="0.3">
      <c r="A664">
        <v>23551</v>
      </c>
      <c r="B664" t="s">
        <v>2</v>
      </c>
      <c r="C664">
        <v>28</v>
      </c>
      <c r="D664">
        <v>0</v>
      </c>
      <c r="E664">
        <v>0</v>
      </c>
      <c r="F664" t="str">
        <f t="shared" si="32"/>
        <v>Lower Risk</v>
      </c>
      <c r="G664" t="s">
        <v>3</v>
      </c>
      <c r="H664" t="s">
        <v>4</v>
      </c>
      <c r="I664" t="s">
        <v>5</v>
      </c>
      <c r="J664">
        <v>87.43</v>
      </c>
      <c r="K664">
        <v>55.7</v>
      </c>
      <c r="L664" t="s">
        <v>14</v>
      </c>
      <c r="M664">
        <v>0</v>
      </c>
      <c r="N664" t="str">
        <f t="shared" si="30"/>
        <v>Under 40</v>
      </c>
      <c r="O664" t="str">
        <f t="shared" si="31"/>
        <v>Obese</v>
      </c>
    </row>
    <row r="665" spans="1:15" x14ac:dyDescent="0.3">
      <c r="A665">
        <v>10997</v>
      </c>
      <c r="B665" t="s">
        <v>7</v>
      </c>
      <c r="C665">
        <v>38</v>
      </c>
      <c r="D665">
        <v>0</v>
      </c>
      <c r="E665">
        <v>0</v>
      </c>
      <c r="F665" t="str">
        <f t="shared" si="32"/>
        <v>Lower Risk</v>
      </c>
      <c r="G665" t="s">
        <v>3</v>
      </c>
      <c r="H665" t="s">
        <v>4</v>
      </c>
      <c r="I665" t="s">
        <v>9</v>
      </c>
      <c r="J665">
        <v>98.73</v>
      </c>
      <c r="K665">
        <v>24.3</v>
      </c>
      <c r="L665" t="s">
        <v>11</v>
      </c>
      <c r="M665">
        <v>0</v>
      </c>
      <c r="N665" t="str">
        <f t="shared" si="30"/>
        <v>Under 40</v>
      </c>
      <c r="O665" t="str">
        <f t="shared" si="31"/>
        <v>Normal</v>
      </c>
    </row>
    <row r="666" spans="1:15" x14ac:dyDescent="0.3">
      <c r="A666">
        <v>12738</v>
      </c>
      <c r="B666" t="s">
        <v>2</v>
      </c>
      <c r="C666">
        <v>56</v>
      </c>
      <c r="D666">
        <v>0</v>
      </c>
      <c r="E666">
        <v>0</v>
      </c>
      <c r="F666" t="str">
        <f t="shared" si="32"/>
        <v>Lower Risk</v>
      </c>
      <c r="G666" t="s">
        <v>3</v>
      </c>
      <c r="H666" t="s">
        <v>4</v>
      </c>
      <c r="I666" t="s">
        <v>9</v>
      </c>
      <c r="J666">
        <v>81.180000000000007</v>
      </c>
      <c r="K666">
        <v>26.9</v>
      </c>
      <c r="L666" t="s">
        <v>11</v>
      </c>
      <c r="M666">
        <v>0</v>
      </c>
      <c r="N666" t="str">
        <f t="shared" si="30"/>
        <v>40–59</v>
      </c>
      <c r="O666" t="str">
        <f t="shared" si="31"/>
        <v>Overweight</v>
      </c>
    </row>
    <row r="667" spans="1:15" x14ac:dyDescent="0.3">
      <c r="A667">
        <v>57772</v>
      </c>
      <c r="B667" t="s">
        <v>7</v>
      </c>
      <c r="C667">
        <v>75</v>
      </c>
      <c r="D667">
        <v>0</v>
      </c>
      <c r="E667">
        <v>0</v>
      </c>
      <c r="F667" t="str">
        <f t="shared" si="32"/>
        <v>Moderate Risk</v>
      </c>
      <c r="G667" t="s">
        <v>3</v>
      </c>
      <c r="H667" t="s">
        <v>15</v>
      </c>
      <c r="I667" t="s">
        <v>9</v>
      </c>
      <c r="J667">
        <v>56.23</v>
      </c>
      <c r="K667">
        <v>25.3</v>
      </c>
      <c r="L667" t="s">
        <v>11</v>
      </c>
      <c r="M667">
        <v>0</v>
      </c>
      <c r="N667" t="str">
        <f t="shared" si="30"/>
        <v>60+</v>
      </c>
      <c r="O667" t="str">
        <f t="shared" si="31"/>
        <v>Overweight</v>
      </c>
    </row>
    <row r="668" spans="1:15" x14ac:dyDescent="0.3">
      <c r="A668">
        <v>16615</v>
      </c>
      <c r="B668" t="s">
        <v>2</v>
      </c>
      <c r="C668">
        <v>76</v>
      </c>
      <c r="D668">
        <v>1</v>
      </c>
      <c r="E668">
        <v>0</v>
      </c>
      <c r="F668" t="str">
        <f t="shared" si="32"/>
        <v>High Risk</v>
      </c>
      <c r="G668" t="s">
        <v>3</v>
      </c>
      <c r="H668" t="s">
        <v>8</v>
      </c>
      <c r="I668" t="s">
        <v>9</v>
      </c>
      <c r="J668">
        <v>69.61</v>
      </c>
      <c r="K668">
        <v>35.299999999999997</v>
      </c>
      <c r="L668" t="s">
        <v>11</v>
      </c>
      <c r="M668">
        <v>0</v>
      </c>
      <c r="N668" t="str">
        <f t="shared" si="30"/>
        <v>60+</v>
      </c>
      <c r="O668" t="str">
        <f t="shared" si="31"/>
        <v>Obese</v>
      </c>
    </row>
    <row r="669" spans="1:15" x14ac:dyDescent="0.3">
      <c r="A669">
        <v>62999</v>
      </c>
      <c r="B669" t="s">
        <v>2</v>
      </c>
      <c r="C669">
        <v>10</v>
      </c>
      <c r="D669">
        <v>0</v>
      </c>
      <c r="E669">
        <v>0</v>
      </c>
      <c r="F669" t="str">
        <f t="shared" si="32"/>
        <v>Lower Risk</v>
      </c>
      <c r="G669" t="s">
        <v>13</v>
      </c>
      <c r="H669" t="s">
        <v>16</v>
      </c>
      <c r="I669" t="s">
        <v>9</v>
      </c>
      <c r="J669">
        <v>59.49</v>
      </c>
      <c r="K669">
        <v>18.3</v>
      </c>
      <c r="L669" t="s">
        <v>14</v>
      </c>
      <c r="M669">
        <v>0</v>
      </c>
      <c r="N669" t="str">
        <f t="shared" si="30"/>
        <v>Under 40</v>
      </c>
      <c r="O669" t="str">
        <f t="shared" si="31"/>
        <v>Underweight</v>
      </c>
    </row>
    <row r="670" spans="1:15" x14ac:dyDescent="0.3">
      <c r="A670">
        <v>68995</v>
      </c>
      <c r="B670" t="s">
        <v>7</v>
      </c>
      <c r="C670">
        <v>48</v>
      </c>
      <c r="D670">
        <v>1</v>
      </c>
      <c r="E670">
        <v>0</v>
      </c>
      <c r="F670" t="str">
        <f t="shared" si="32"/>
        <v>Lower Risk</v>
      </c>
      <c r="G670" t="s">
        <v>13</v>
      </c>
      <c r="H670" t="s">
        <v>4</v>
      </c>
      <c r="I670" t="s">
        <v>9</v>
      </c>
      <c r="J670">
        <v>118.14</v>
      </c>
      <c r="K670" t="s">
        <v>10</v>
      </c>
      <c r="L670" t="s">
        <v>6</v>
      </c>
      <c r="M670">
        <v>0</v>
      </c>
      <c r="N670" t="str">
        <f t="shared" si="30"/>
        <v>40–59</v>
      </c>
      <c r="O670" t="str">
        <f t="shared" si="31"/>
        <v>Unknown</v>
      </c>
    </row>
    <row r="671" spans="1:15" x14ac:dyDescent="0.3">
      <c r="A671">
        <v>66184</v>
      </c>
      <c r="B671" t="s">
        <v>2</v>
      </c>
      <c r="C671">
        <v>40</v>
      </c>
      <c r="D671">
        <v>0</v>
      </c>
      <c r="E671">
        <v>0</v>
      </c>
      <c r="F671" t="str">
        <f t="shared" si="32"/>
        <v>Lower Risk</v>
      </c>
      <c r="G671" t="s">
        <v>3</v>
      </c>
      <c r="H671" t="s">
        <v>15</v>
      </c>
      <c r="I671" t="s">
        <v>9</v>
      </c>
      <c r="J671">
        <v>100.26</v>
      </c>
      <c r="K671">
        <v>26</v>
      </c>
      <c r="L671" t="s">
        <v>14</v>
      </c>
      <c r="M671">
        <v>0</v>
      </c>
      <c r="N671" t="str">
        <f t="shared" si="30"/>
        <v>40–59</v>
      </c>
      <c r="O671" t="str">
        <f t="shared" si="31"/>
        <v>Overweight</v>
      </c>
    </row>
    <row r="672" spans="1:15" x14ac:dyDescent="0.3">
      <c r="A672">
        <v>53010</v>
      </c>
      <c r="B672" t="s">
        <v>2</v>
      </c>
      <c r="C672">
        <v>82</v>
      </c>
      <c r="D672">
        <v>0</v>
      </c>
      <c r="E672">
        <v>0</v>
      </c>
      <c r="F672" t="str">
        <f t="shared" si="32"/>
        <v>Moderate Risk</v>
      </c>
      <c r="G672" t="s">
        <v>3</v>
      </c>
      <c r="H672" t="s">
        <v>8</v>
      </c>
      <c r="I672" t="s">
        <v>9</v>
      </c>
      <c r="J672">
        <v>56.75</v>
      </c>
      <c r="K672">
        <v>21</v>
      </c>
      <c r="L672" t="s">
        <v>11</v>
      </c>
      <c r="M672">
        <v>0</v>
      </c>
      <c r="N672" t="str">
        <f t="shared" si="30"/>
        <v>60+</v>
      </c>
      <c r="O672" t="str">
        <f t="shared" si="31"/>
        <v>Normal</v>
      </c>
    </row>
    <row r="673" spans="1:15" x14ac:dyDescent="0.3">
      <c r="A673">
        <v>967</v>
      </c>
      <c r="B673" t="s">
        <v>2</v>
      </c>
      <c r="C673">
        <v>61</v>
      </c>
      <c r="D673">
        <v>0</v>
      </c>
      <c r="E673">
        <v>1</v>
      </c>
      <c r="F673" t="str">
        <f t="shared" si="32"/>
        <v>High Risk</v>
      </c>
      <c r="G673" t="s">
        <v>3</v>
      </c>
      <c r="H673" t="s">
        <v>4</v>
      </c>
      <c r="I673" t="s">
        <v>5</v>
      </c>
      <c r="J673">
        <v>88.27</v>
      </c>
      <c r="K673" t="s">
        <v>10</v>
      </c>
      <c r="L673" t="s">
        <v>11</v>
      </c>
      <c r="M673">
        <v>0</v>
      </c>
      <c r="N673" t="str">
        <f t="shared" si="30"/>
        <v>60+</v>
      </c>
      <c r="O673" t="str">
        <f t="shared" si="31"/>
        <v>Unknown</v>
      </c>
    </row>
    <row r="674" spans="1:15" x14ac:dyDescent="0.3">
      <c r="A674">
        <v>31145</v>
      </c>
      <c r="B674" t="s">
        <v>7</v>
      </c>
      <c r="C674">
        <v>17</v>
      </c>
      <c r="D674">
        <v>0</v>
      </c>
      <c r="E674">
        <v>0</v>
      </c>
      <c r="F674" t="str">
        <f t="shared" si="32"/>
        <v>Lower Risk</v>
      </c>
      <c r="G674" t="s">
        <v>13</v>
      </c>
      <c r="H674" t="s">
        <v>4</v>
      </c>
      <c r="I674" t="s">
        <v>5</v>
      </c>
      <c r="J674">
        <v>67.81</v>
      </c>
      <c r="K674">
        <v>55.7</v>
      </c>
      <c r="L674" t="s">
        <v>11</v>
      </c>
      <c r="M674">
        <v>0</v>
      </c>
      <c r="N674" t="str">
        <f t="shared" si="30"/>
        <v>Under 40</v>
      </c>
      <c r="O674" t="str">
        <f t="shared" si="31"/>
        <v>Obese</v>
      </c>
    </row>
    <row r="675" spans="1:15" x14ac:dyDescent="0.3">
      <c r="A675">
        <v>54338</v>
      </c>
      <c r="B675" t="s">
        <v>7</v>
      </c>
      <c r="C675">
        <v>58</v>
      </c>
      <c r="D675">
        <v>0</v>
      </c>
      <c r="E675">
        <v>0</v>
      </c>
      <c r="F675" t="str">
        <f t="shared" si="32"/>
        <v>Lower Risk</v>
      </c>
      <c r="G675" t="s">
        <v>3</v>
      </c>
      <c r="H675" t="s">
        <v>15</v>
      </c>
      <c r="I675" t="s">
        <v>9</v>
      </c>
      <c r="J675">
        <v>77.459999999999994</v>
      </c>
      <c r="K675">
        <v>27.6</v>
      </c>
      <c r="L675" t="s">
        <v>11</v>
      </c>
      <c r="M675">
        <v>0</v>
      </c>
      <c r="N675" t="str">
        <f t="shared" si="30"/>
        <v>40–59</v>
      </c>
      <c r="O675" t="str">
        <f t="shared" si="31"/>
        <v>Overweight</v>
      </c>
    </row>
    <row r="676" spans="1:15" x14ac:dyDescent="0.3">
      <c r="A676">
        <v>22870</v>
      </c>
      <c r="B676" t="s">
        <v>2</v>
      </c>
      <c r="C676">
        <v>12</v>
      </c>
      <c r="D676">
        <v>0</v>
      </c>
      <c r="E676">
        <v>0</v>
      </c>
      <c r="F676" t="str">
        <f t="shared" si="32"/>
        <v>Lower Risk</v>
      </c>
      <c r="G676" t="s">
        <v>13</v>
      </c>
      <c r="H676" t="s">
        <v>16</v>
      </c>
      <c r="I676" t="s">
        <v>5</v>
      </c>
      <c r="J676">
        <v>76.260000000000005</v>
      </c>
      <c r="K676">
        <v>20.5</v>
      </c>
      <c r="L676" t="s">
        <v>11</v>
      </c>
      <c r="M676">
        <v>0</v>
      </c>
      <c r="N676" t="str">
        <f t="shared" si="30"/>
        <v>Under 40</v>
      </c>
      <c r="O676" t="str">
        <f t="shared" si="31"/>
        <v>Normal</v>
      </c>
    </row>
    <row r="677" spans="1:15" x14ac:dyDescent="0.3">
      <c r="A677">
        <v>13223</v>
      </c>
      <c r="B677" t="s">
        <v>7</v>
      </c>
      <c r="C677">
        <v>53</v>
      </c>
      <c r="D677">
        <v>0</v>
      </c>
      <c r="E677">
        <v>0</v>
      </c>
      <c r="F677" t="str">
        <f t="shared" si="32"/>
        <v>Lower Risk</v>
      </c>
      <c r="G677" t="s">
        <v>3</v>
      </c>
      <c r="H677" t="s">
        <v>15</v>
      </c>
      <c r="I677" t="s">
        <v>9</v>
      </c>
      <c r="J677">
        <v>86.39</v>
      </c>
      <c r="K677">
        <v>30.2</v>
      </c>
      <c r="L677" t="s">
        <v>11</v>
      </c>
      <c r="M677">
        <v>0</v>
      </c>
      <c r="N677" t="str">
        <f t="shared" si="30"/>
        <v>40–59</v>
      </c>
      <c r="O677" t="str">
        <f t="shared" si="31"/>
        <v>Obese</v>
      </c>
    </row>
    <row r="678" spans="1:15" x14ac:dyDescent="0.3">
      <c r="A678">
        <v>57523</v>
      </c>
      <c r="B678" t="s">
        <v>7</v>
      </c>
      <c r="C678">
        <v>26</v>
      </c>
      <c r="D678">
        <v>0</v>
      </c>
      <c r="E678">
        <v>0</v>
      </c>
      <c r="F678" t="str">
        <f t="shared" si="32"/>
        <v>Lower Risk</v>
      </c>
      <c r="G678" t="s">
        <v>3</v>
      </c>
      <c r="H678" t="s">
        <v>4</v>
      </c>
      <c r="I678" t="s">
        <v>5</v>
      </c>
      <c r="J678">
        <v>116.38</v>
      </c>
      <c r="K678">
        <v>21.9</v>
      </c>
      <c r="L678" t="s">
        <v>6</v>
      </c>
      <c r="M678">
        <v>0</v>
      </c>
      <c r="N678" t="str">
        <f t="shared" si="30"/>
        <v>Under 40</v>
      </c>
      <c r="O678" t="str">
        <f t="shared" si="31"/>
        <v>Normal</v>
      </c>
    </row>
    <row r="679" spans="1:15" x14ac:dyDescent="0.3">
      <c r="A679">
        <v>67932</v>
      </c>
      <c r="B679" t="s">
        <v>7</v>
      </c>
      <c r="C679">
        <v>48</v>
      </c>
      <c r="D679">
        <v>0</v>
      </c>
      <c r="E679">
        <v>0</v>
      </c>
      <c r="F679" t="str">
        <f t="shared" si="32"/>
        <v>Lower Risk</v>
      </c>
      <c r="G679" t="s">
        <v>3</v>
      </c>
      <c r="H679" t="s">
        <v>4</v>
      </c>
      <c r="I679" t="s">
        <v>9</v>
      </c>
      <c r="J679">
        <v>75.739999999999995</v>
      </c>
      <c r="K679">
        <v>28.8</v>
      </c>
      <c r="L679" t="s">
        <v>12</v>
      </c>
      <c r="M679">
        <v>0</v>
      </c>
      <c r="N679" t="str">
        <f t="shared" si="30"/>
        <v>40–59</v>
      </c>
      <c r="O679" t="str">
        <f t="shared" si="31"/>
        <v>Overweight</v>
      </c>
    </row>
    <row r="680" spans="1:15" x14ac:dyDescent="0.3">
      <c r="A680">
        <v>10255</v>
      </c>
      <c r="B680" t="s">
        <v>2</v>
      </c>
      <c r="C680">
        <v>25</v>
      </c>
      <c r="D680">
        <v>0</v>
      </c>
      <c r="E680">
        <v>0</v>
      </c>
      <c r="F680" t="str">
        <f t="shared" si="32"/>
        <v>Lower Risk</v>
      </c>
      <c r="G680" t="s">
        <v>3</v>
      </c>
      <c r="H680" t="s">
        <v>4</v>
      </c>
      <c r="I680" t="s">
        <v>9</v>
      </c>
      <c r="J680">
        <v>92.14</v>
      </c>
      <c r="K680">
        <v>36.200000000000003</v>
      </c>
      <c r="L680" t="s">
        <v>14</v>
      </c>
      <c r="M680">
        <v>0</v>
      </c>
      <c r="N680" t="str">
        <f t="shared" si="30"/>
        <v>Under 40</v>
      </c>
      <c r="O680" t="str">
        <f t="shared" si="31"/>
        <v>Obese</v>
      </c>
    </row>
    <row r="681" spans="1:15" x14ac:dyDescent="0.3">
      <c r="A681">
        <v>68131</v>
      </c>
      <c r="B681" t="s">
        <v>7</v>
      </c>
      <c r="C681">
        <v>27</v>
      </c>
      <c r="D681">
        <v>0</v>
      </c>
      <c r="E681">
        <v>0</v>
      </c>
      <c r="F681" t="str">
        <f t="shared" si="32"/>
        <v>Lower Risk</v>
      </c>
      <c r="G681" t="s">
        <v>13</v>
      </c>
      <c r="H681" t="s">
        <v>4</v>
      </c>
      <c r="I681" t="s">
        <v>9</v>
      </c>
      <c r="J681">
        <v>149.94999999999999</v>
      </c>
      <c r="K681">
        <v>25.9</v>
      </c>
      <c r="L681" t="s">
        <v>11</v>
      </c>
      <c r="M681">
        <v>0</v>
      </c>
      <c r="N681" t="str">
        <f t="shared" si="30"/>
        <v>Under 40</v>
      </c>
      <c r="O681" t="str">
        <f t="shared" si="31"/>
        <v>Overweight</v>
      </c>
    </row>
    <row r="682" spans="1:15" x14ac:dyDescent="0.3">
      <c r="A682">
        <v>29873</v>
      </c>
      <c r="B682" t="s">
        <v>2</v>
      </c>
      <c r="C682">
        <v>31</v>
      </c>
      <c r="D682">
        <v>1</v>
      </c>
      <c r="E682">
        <v>0</v>
      </c>
      <c r="F682" t="str">
        <f t="shared" si="32"/>
        <v>Lower Risk</v>
      </c>
      <c r="G682" t="s">
        <v>3</v>
      </c>
      <c r="H682" t="s">
        <v>15</v>
      </c>
      <c r="I682" t="s">
        <v>5</v>
      </c>
      <c r="J682">
        <v>92.11</v>
      </c>
      <c r="K682" t="s">
        <v>10</v>
      </c>
      <c r="L682" t="s">
        <v>11</v>
      </c>
      <c r="M682">
        <v>0</v>
      </c>
      <c r="N682" t="str">
        <f t="shared" si="30"/>
        <v>Under 40</v>
      </c>
      <c r="O682" t="str">
        <f t="shared" si="31"/>
        <v>Unknown</v>
      </c>
    </row>
    <row r="683" spans="1:15" x14ac:dyDescent="0.3">
      <c r="A683">
        <v>54182</v>
      </c>
      <c r="B683" t="s">
        <v>7</v>
      </c>
      <c r="C683">
        <v>16</v>
      </c>
      <c r="D683">
        <v>0</v>
      </c>
      <c r="E683">
        <v>0</v>
      </c>
      <c r="F683" t="str">
        <f t="shared" si="32"/>
        <v>Lower Risk</v>
      </c>
      <c r="G683" t="s">
        <v>13</v>
      </c>
      <c r="H683" t="s">
        <v>4</v>
      </c>
      <c r="I683" t="s">
        <v>9</v>
      </c>
      <c r="J683">
        <v>74.98</v>
      </c>
      <c r="K683">
        <v>21.4</v>
      </c>
      <c r="L683" t="s">
        <v>11</v>
      </c>
      <c r="M683">
        <v>0</v>
      </c>
      <c r="N683" t="str">
        <f t="shared" si="30"/>
        <v>Under 40</v>
      </c>
      <c r="O683" t="str">
        <f t="shared" si="31"/>
        <v>Normal</v>
      </c>
    </row>
    <row r="684" spans="1:15" x14ac:dyDescent="0.3">
      <c r="A684">
        <v>61300</v>
      </c>
      <c r="B684" t="s">
        <v>2</v>
      </c>
      <c r="C684">
        <v>20</v>
      </c>
      <c r="D684">
        <v>0</v>
      </c>
      <c r="E684">
        <v>0</v>
      </c>
      <c r="F684" t="str">
        <f t="shared" si="32"/>
        <v>Lower Risk</v>
      </c>
      <c r="G684" t="s">
        <v>13</v>
      </c>
      <c r="H684" t="s">
        <v>4</v>
      </c>
      <c r="I684" t="s">
        <v>5</v>
      </c>
      <c r="J684">
        <v>55.25</v>
      </c>
      <c r="K684">
        <v>20.399999999999999</v>
      </c>
      <c r="L684" t="s">
        <v>11</v>
      </c>
      <c r="M684">
        <v>0</v>
      </c>
      <c r="N684" t="str">
        <f t="shared" si="30"/>
        <v>Under 40</v>
      </c>
      <c r="O684" t="str">
        <f t="shared" si="31"/>
        <v>Normal</v>
      </c>
    </row>
    <row r="685" spans="1:15" x14ac:dyDescent="0.3">
      <c r="A685">
        <v>15274</v>
      </c>
      <c r="B685" t="s">
        <v>7</v>
      </c>
      <c r="C685">
        <v>2</v>
      </c>
      <c r="D685">
        <v>0</v>
      </c>
      <c r="E685">
        <v>0</v>
      </c>
      <c r="F685" t="str">
        <f t="shared" si="32"/>
        <v>Lower Risk</v>
      </c>
      <c r="G685" t="s">
        <v>13</v>
      </c>
      <c r="H685" t="s">
        <v>16</v>
      </c>
      <c r="I685" t="s">
        <v>9</v>
      </c>
      <c r="J685">
        <v>79.89</v>
      </c>
      <c r="K685">
        <v>31.6</v>
      </c>
      <c r="L685" t="s">
        <v>14</v>
      </c>
      <c r="M685">
        <v>0</v>
      </c>
      <c r="N685" t="str">
        <f t="shared" si="30"/>
        <v>Under 40</v>
      </c>
      <c r="O685" t="str">
        <f t="shared" si="31"/>
        <v>Obese</v>
      </c>
    </row>
    <row r="686" spans="1:15" x14ac:dyDescent="0.3">
      <c r="A686">
        <v>53016</v>
      </c>
      <c r="B686" t="s">
        <v>7</v>
      </c>
      <c r="C686">
        <v>1.8</v>
      </c>
      <c r="D686">
        <v>0</v>
      </c>
      <c r="E686">
        <v>0</v>
      </c>
      <c r="F686" t="str">
        <f t="shared" si="32"/>
        <v>Lower Risk</v>
      </c>
      <c r="G686" t="s">
        <v>13</v>
      </c>
      <c r="H686" t="s">
        <v>16</v>
      </c>
      <c r="I686" t="s">
        <v>5</v>
      </c>
      <c r="J686">
        <v>130.61000000000001</v>
      </c>
      <c r="K686">
        <v>14.4</v>
      </c>
      <c r="L686" t="s">
        <v>14</v>
      </c>
      <c r="M686">
        <v>0</v>
      </c>
      <c r="N686" t="str">
        <f t="shared" si="30"/>
        <v>Under 40</v>
      </c>
      <c r="O686" t="str">
        <f t="shared" si="31"/>
        <v>Underweight</v>
      </c>
    </row>
    <row r="687" spans="1:15" x14ac:dyDescent="0.3">
      <c r="A687">
        <v>28848</v>
      </c>
      <c r="B687" t="s">
        <v>2</v>
      </c>
      <c r="C687">
        <v>28</v>
      </c>
      <c r="D687">
        <v>0</v>
      </c>
      <c r="E687">
        <v>0</v>
      </c>
      <c r="F687" t="str">
        <f t="shared" si="32"/>
        <v>Lower Risk</v>
      </c>
      <c r="G687" t="s">
        <v>13</v>
      </c>
      <c r="H687" t="s">
        <v>4</v>
      </c>
      <c r="I687" t="s">
        <v>5</v>
      </c>
      <c r="J687">
        <v>94.26</v>
      </c>
      <c r="K687">
        <v>23.7</v>
      </c>
      <c r="L687" t="s">
        <v>14</v>
      </c>
      <c r="M687">
        <v>0</v>
      </c>
      <c r="N687" t="str">
        <f t="shared" si="30"/>
        <v>Under 40</v>
      </c>
      <c r="O687" t="str">
        <f t="shared" si="31"/>
        <v>Normal</v>
      </c>
    </row>
    <row r="688" spans="1:15" x14ac:dyDescent="0.3">
      <c r="A688">
        <v>27012</v>
      </c>
      <c r="B688" t="s">
        <v>2</v>
      </c>
      <c r="C688">
        <v>32</v>
      </c>
      <c r="D688">
        <v>0</v>
      </c>
      <c r="E688">
        <v>0</v>
      </c>
      <c r="F688" t="str">
        <f t="shared" si="32"/>
        <v>Lower Risk</v>
      </c>
      <c r="G688" t="s">
        <v>13</v>
      </c>
      <c r="H688" t="s">
        <v>4</v>
      </c>
      <c r="I688" t="s">
        <v>5</v>
      </c>
      <c r="J688">
        <v>94.34</v>
      </c>
      <c r="K688">
        <v>30.2</v>
      </c>
      <c r="L688" t="s">
        <v>6</v>
      </c>
      <c r="M688">
        <v>0</v>
      </c>
      <c r="N688" t="str">
        <f t="shared" si="30"/>
        <v>Under 40</v>
      </c>
      <c r="O688" t="str">
        <f t="shared" si="31"/>
        <v>Obese</v>
      </c>
    </row>
    <row r="689" spans="1:15" x14ac:dyDescent="0.3">
      <c r="A689">
        <v>7745</v>
      </c>
      <c r="B689" t="s">
        <v>7</v>
      </c>
      <c r="C689">
        <v>35</v>
      </c>
      <c r="D689">
        <v>0</v>
      </c>
      <c r="E689">
        <v>0</v>
      </c>
      <c r="F689" t="str">
        <f t="shared" si="32"/>
        <v>Lower Risk</v>
      </c>
      <c r="G689" t="s">
        <v>3</v>
      </c>
      <c r="H689" t="s">
        <v>4</v>
      </c>
      <c r="I689" t="s">
        <v>5</v>
      </c>
      <c r="J689">
        <v>109.03</v>
      </c>
      <c r="K689">
        <v>19.5</v>
      </c>
      <c r="L689" t="s">
        <v>6</v>
      </c>
      <c r="M689">
        <v>0</v>
      </c>
      <c r="N689" t="str">
        <f t="shared" si="30"/>
        <v>Under 40</v>
      </c>
      <c r="O689" t="str">
        <f t="shared" si="31"/>
        <v>Normal</v>
      </c>
    </row>
    <row r="690" spans="1:15" x14ac:dyDescent="0.3">
      <c r="A690">
        <v>20541</v>
      </c>
      <c r="B690" t="s">
        <v>7</v>
      </c>
      <c r="C690">
        <v>52</v>
      </c>
      <c r="D690">
        <v>1</v>
      </c>
      <c r="E690">
        <v>0</v>
      </c>
      <c r="F690" t="str">
        <f t="shared" si="32"/>
        <v>Lower Risk</v>
      </c>
      <c r="G690" t="s">
        <v>3</v>
      </c>
      <c r="H690" t="s">
        <v>4</v>
      </c>
      <c r="I690" t="s">
        <v>9</v>
      </c>
      <c r="J690">
        <v>81.03</v>
      </c>
      <c r="K690">
        <v>32.6</v>
      </c>
      <c r="L690" t="s">
        <v>11</v>
      </c>
      <c r="M690">
        <v>0</v>
      </c>
      <c r="N690" t="str">
        <f t="shared" si="30"/>
        <v>40–59</v>
      </c>
      <c r="O690" t="str">
        <f t="shared" si="31"/>
        <v>Obese</v>
      </c>
    </row>
    <row r="691" spans="1:15" x14ac:dyDescent="0.3">
      <c r="A691">
        <v>5892</v>
      </c>
      <c r="B691" t="s">
        <v>7</v>
      </c>
      <c r="C691">
        <v>55</v>
      </c>
      <c r="D691">
        <v>1</v>
      </c>
      <c r="E691">
        <v>0</v>
      </c>
      <c r="F691" t="str">
        <f t="shared" si="32"/>
        <v>Lower Risk</v>
      </c>
      <c r="G691" t="s">
        <v>3</v>
      </c>
      <c r="H691" t="s">
        <v>4</v>
      </c>
      <c r="I691" t="s">
        <v>9</v>
      </c>
      <c r="J691">
        <v>99.82</v>
      </c>
      <c r="K691">
        <v>34.200000000000003</v>
      </c>
      <c r="L691" t="s">
        <v>11</v>
      </c>
      <c r="M691">
        <v>0</v>
      </c>
      <c r="N691" t="str">
        <f t="shared" si="30"/>
        <v>40–59</v>
      </c>
      <c r="O691" t="str">
        <f t="shared" si="31"/>
        <v>Obese</v>
      </c>
    </row>
    <row r="692" spans="1:15" x14ac:dyDescent="0.3">
      <c r="A692">
        <v>66883</v>
      </c>
      <c r="B692" t="s">
        <v>7</v>
      </c>
      <c r="C692">
        <v>42</v>
      </c>
      <c r="D692">
        <v>0</v>
      </c>
      <c r="E692">
        <v>0</v>
      </c>
      <c r="F692" t="str">
        <f t="shared" si="32"/>
        <v>Lower Risk</v>
      </c>
      <c r="G692" t="s">
        <v>3</v>
      </c>
      <c r="H692" t="s">
        <v>8</v>
      </c>
      <c r="I692" t="s">
        <v>5</v>
      </c>
      <c r="J692">
        <v>140.08000000000001</v>
      </c>
      <c r="K692">
        <v>43</v>
      </c>
      <c r="L692" t="s">
        <v>11</v>
      </c>
      <c r="M692">
        <v>0</v>
      </c>
      <c r="N692" t="str">
        <f t="shared" si="30"/>
        <v>40–59</v>
      </c>
      <c r="O692" t="str">
        <f t="shared" si="31"/>
        <v>Obese</v>
      </c>
    </row>
    <row r="693" spans="1:15" x14ac:dyDescent="0.3">
      <c r="A693">
        <v>43196</v>
      </c>
      <c r="B693" t="s">
        <v>7</v>
      </c>
      <c r="C693">
        <v>52</v>
      </c>
      <c r="D693">
        <v>0</v>
      </c>
      <c r="E693">
        <v>0</v>
      </c>
      <c r="F693" t="str">
        <f t="shared" si="32"/>
        <v>Lower Risk</v>
      </c>
      <c r="G693" t="s">
        <v>3</v>
      </c>
      <c r="H693" t="s">
        <v>8</v>
      </c>
      <c r="I693" t="s">
        <v>5</v>
      </c>
      <c r="J693">
        <v>59.54</v>
      </c>
      <c r="K693">
        <v>42.2</v>
      </c>
      <c r="L693" t="s">
        <v>14</v>
      </c>
      <c r="M693">
        <v>0</v>
      </c>
      <c r="N693" t="str">
        <f t="shared" si="30"/>
        <v>40–59</v>
      </c>
      <c r="O693" t="str">
        <f t="shared" si="31"/>
        <v>Obese</v>
      </c>
    </row>
    <row r="694" spans="1:15" x14ac:dyDescent="0.3">
      <c r="A694">
        <v>12593</v>
      </c>
      <c r="B694" t="s">
        <v>7</v>
      </c>
      <c r="C694">
        <v>18</v>
      </c>
      <c r="D694">
        <v>0</v>
      </c>
      <c r="E694">
        <v>0</v>
      </c>
      <c r="F694" t="str">
        <f t="shared" si="32"/>
        <v>Lower Risk</v>
      </c>
      <c r="G694" t="s">
        <v>13</v>
      </c>
      <c r="H694" t="s">
        <v>4</v>
      </c>
      <c r="I694" t="s">
        <v>5</v>
      </c>
      <c r="J694">
        <v>80.33</v>
      </c>
      <c r="K694">
        <v>19.7</v>
      </c>
      <c r="L694" t="s">
        <v>11</v>
      </c>
      <c r="M694">
        <v>0</v>
      </c>
      <c r="N694" t="str">
        <f t="shared" si="30"/>
        <v>Under 40</v>
      </c>
      <c r="O694" t="str">
        <f t="shared" si="31"/>
        <v>Normal</v>
      </c>
    </row>
    <row r="695" spans="1:15" x14ac:dyDescent="0.3">
      <c r="A695">
        <v>51514</v>
      </c>
      <c r="B695" t="s">
        <v>7</v>
      </c>
      <c r="C695">
        <v>13</v>
      </c>
      <c r="D695">
        <v>0</v>
      </c>
      <c r="E695">
        <v>0</v>
      </c>
      <c r="F695" t="str">
        <f t="shared" si="32"/>
        <v>Lower Risk</v>
      </c>
      <c r="G695" t="s">
        <v>13</v>
      </c>
      <c r="H695" t="s">
        <v>16</v>
      </c>
      <c r="I695" t="s">
        <v>5</v>
      </c>
      <c r="J695">
        <v>131.51</v>
      </c>
      <c r="K695">
        <v>41.7</v>
      </c>
      <c r="L695" t="s">
        <v>11</v>
      </c>
      <c r="M695">
        <v>0</v>
      </c>
      <c r="N695" t="str">
        <f t="shared" si="30"/>
        <v>Under 40</v>
      </c>
      <c r="O695" t="str">
        <f t="shared" si="31"/>
        <v>Obese</v>
      </c>
    </row>
    <row r="696" spans="1:15" x14ac:dyDescent="0.3">
      <c r="A696">
        <v>15553</v>
      </c>
      <c r="B696" t="s">
        <v>7</v>
      </c>
      <c r="C696">
        <v>45</v>
      </c>
      <c r="D696">
        <v>0</v>
      </c>
      <c r="E696">
        <v>0</v>
      </c>
      <c r="F696" t="str">
        <f t="shared" si="32"/>
        <v>Lower Risk</v>
      </c>
      <c r="G696" t="s">
        <v>3</v>
      </c>
      <c r="H696" t="s">
        <v>4</v>
      </c>
      <c r="I696" t="s">
        <v>9</v>
      </c>
      <c r="J696">
        <v>89.21</v>
      </c>
      <c r="K696">
        <v>21.6</v>
      </c>
      <c r="L696" t="s">
        <v>6</v>
      </c>
      <c r="M696">
        <v>0</v>
      </c>
      <c r="N696" t="str">
        <f t="shared" si="30"/>
        <v>40–59</v>
      </c>
      <c r="O696" t="str">
        <f t="shared" si="31"/>
        <v>Normal</v>
      </c>
    </row>
    <row r="697" spans="1:15" x14ac:dyDescent="0.3">
      <c r="A697">
        <v>45796</v>
      </c>
      <c r="B697" t="s">
        <v>7</v>
      </c>
      <c r="C697">
        <v>29</v>
      </c>
      <c r="D697">
        <v>0</v>
      </c>
      <c r="E697">
        <v>0</v>
      </c>
      <c r="F697" t="str">
        <f t="shared" si="32"/>
        <v>Lower Risk</v>
      </c>
      <c r="G697" t="s">
        <v>3</v>
      </c>
      <c r="H697" t="s">
        <v>4</v>
      </c>
      <c r="I697" t="s">
        <v>9</v>
      </c>
      <c r="J697">
        <v>91.45</v>
      </c>
      <c r="K697">
        <v>24.2</v>
      </c>
      <c r="L697" t="s">
        <v>11</v>
      </c>
      <c r="M697">
        <v>0</v>
      </c>
      <c r="N697" t="str">
        <f t="shared" si="30"/>
        <v>Under 40</v>
      </c>
      <c r="O697" t="str">
        <f t="shared" si="31"/>
        <v>Normal</v>
      </c>
    </row>
    <row r="698" spans="1:15" x14ac:dyDescent="0.3">
      <c r="A698">
        <v>31840</v>
      </c>
      <c r="B698" t="s">
        <v>7</v>
      </c>
      <c r="C698">
        <v>12</v>
      </c>
      <c r="D698">
        <v>0</v>
      </c>
      <c r="E698">
        <v>0</v>
      </c>
      <c r="F698" t="str">
        <f t="shared" si="32"/>
        <v>Lower Risk</v>
      </c>
      <c r="G698" t="s">
        <v>13</v>
      </c>
      <c r="H698" t="s">
        <v>16</v>
      </c>
      <c r="I698" t="s">
        <v>9</v>
      </c>
      <c r="J698">
        <v>90.58</v>
      </c>
      <c r="K698">
        <v>19.2</v>
      </c>
      <c r="L698" t="s">
        <v>14</v>
      </c>
      <c r="M698">
        <v>0</v>
      </c>
      <c r="N698" t="str">
        <f t="shared" si="30"/>
        <v>Under 40</v>
      </c>
      <c r="O698" t="str">
        <f t="shared" si="31"/>
        <v>Normal</v>
      </c>
    </row>
    <row r="699" spans="1:15" x14ac:dyDescent="0.3">
      <c r="A699">
        <v>58767</v>
      </c>
      <c r="B699" t="s">
        <v>7</v>
      </c>
      <c r="C699">
        <v>37</v>
      </c>
      <c r="D699">
        <v>0</v>
      </c>
      <c r="E699">
        <v>0</v>
      </c>
      <c r="F699" t="str">
        <f t="shared" si="32"/>
        <v>Lower Risk</v>
      </c>
      <c r="G699" t="s">
        <v>3</v>
      </c>
      <c r="H699" t="s">
        <v>4</v>
      </c>
      <c r="I699" t="s">
        <v>5</v>
      </c>
      <c r="J699">
        <v>91.45</v>
      </c>
      <c r="K699">
        <v>25.8</v>
      </c>
      <c r="L699" t="s">
        <v>14</v>
      </c>
      <c r="M699">
        <v>0</v>
      </c>
      <c r="N699" t="str">
        <f t="shared" si="30"/>
        <v>Under 40</v>
      </c>
      <c r="O699" t="str">
        <f t="shared" si="31"/>
        <v>Overweight</v>
      </c>
    </row>
    <row r="700" spans="1:15" x14ac:dyDescent="0.3">
      <c r="A700">
        <v>14391</v>
      </c>
      <c r="B700" t="s">
        <v>7</v>
      </c>
      <c r="C700">
        <v>30</v>
      </c>
      <c r="D700">
        <v>0</v>
      </c>
      <c r="E700">
        <v>0</v>
      </c>
      <c r="F700" t="str">
        <f t="shared" si="32"/>
        <v>Lower Risk</v>
      </c>
      <c r="G700" t="s">
        <v>3</v>
      </c>
      <c r="H700" t="s">
        <v>4</v>
      </c>
      <c r="I700" t="s">
        <v>9</v>
      </c>
      <c r="J700">
        <v>89.63</v>
      </c>
      <c r="K700">
        <v>23.2</v>
      </c>
      <c r="L700" t="s">
        <v>12</v>
      </c>
      <c r="M700">
        <v>0</v>
      </c>
      <c r="N700" t="str">
        <f t="shared" si="30"/>
        <v>Under 40</v>
      </c>
      <c r="O700" t="str">
        <f t="shared" si="31"/>
        <v>Normal</v>
      </c>
    </row>
    <row r="701" spans="1:15" x14ac:dyDescent="0.3">
      <c r="A701">
        <v>22321</v>
      </c>
      <c r="B701" t="s">
        <v>7</v>
      </c>
      <c r="C701">
        <v>44</v>
      </c>
      <c r="D701">
        <v>0</v>
      </c>
      <c r="E701">
        <v>0</v>
      </c>
      <c r="F701" t="str">
        <f t="shared" si="32"/>
        <v>Lower Risk</v>
      </c>
      <c r="G701" t="s">
        <v>3</v>
      </c>
      <c r="H701" t="s">
        <v>4</v>
      </c>
      <c r="I701" t="s">
        <v>5</v>
      </c>
      <c r="J701">
        <v>124.06</v>
      </c>
      <c r="K701">
        <v>20.8</v>
      </c>
      <c r="L701" t="s">
        <v>11</v>
      </c>
      <c r="M701">
        <v>0</v>
      </c>
      <c r="N701" t="str">
        <f t="shared" si="30"/>
        <v>40–59</v>
      </c>
      <c r="O701" t="str">
        <f t="shared" si="31"/>
        <v>Normal</v>
      </c>
    </row>
    <row r="702" spans="1:15" x14ac:dyDescent="0.3">
      <c r="A702">
        <v>38184</v>
      </c>
      <c r="B702" t="s">
        <v>7</v>
      </c>
      <c r="C702">
        <v>79</v>
      </c>
      <c r="D702">
        <v>1</v>
      </c>
      <c r="E702">
        <v>0</v>
      </c>
      <c r="F702" t="str">
        <f t="shared" si="32"/>
        <v>High Risk</v>
      </c>
      <c r="G702" t="s">
        <v>3</v>
      </c>
      <c r="H702" t="s">
        <v>4</v>
      </c>
      <c r="I702" t="s">
        <v>9</v>
      </c>
      <c r="J702">
        <v>99.47</v>
      </c>
      <c r="K702">
        <v>28.4</v>
      </c>
      <c r="L702" t="s">
        <v>11</v>
      </c>
      <c r="M702">
        <v>0</v>
      </c>
      <c r="N702" t="str">
        <f t="shared" si="30"/>
        <v>60+</v>
      </c>
      <c r="O702" t="str">
        <f t="shared" si="31"/>
        <v>Overweight</v>
      </c>
    </row>
    <row r="703" spans="1:15" x14ac:dyDescent="0.3">
      <c r="A703">
        <v>13997</v>
      </c>
      <c r="B703" t="s">
        <v>2</v>
      </c>
      <c r="C703">
        <v>38</v>
      </c>
      <c r="D703">
        <v>0</v>
      </c>
      <c r="E703">
        <v>0</v>
      </c>
      <c r="F703" t="str">
        <f t="shared" si="32"/>
        <v>Lower Risk</v>
      </c>
      <c r="G703" t="s">
        <v>3</v>
      </c>
      <c r="H703" t="s">
        <v>4</v>
      </c>
      <c r="I703" t="s">
        <v>5</v>
      </c>
      <c r="J703">
        <v>88.97</v>
      </c>
      <c r="K703">
        <v>30.2</v>
      </c>
      <c r="L703" t="s">
        <v>11</v>
      </c>
      <c r="M703">
        <v>0</v>
      </c>
      <c r="N703" t="str">
        <f t="shared" si="30"/>
        <v>Under 40</v>
      </c>
      <c r="O703" t="str">
        <f t="shared" si="31"/>
        <v>Obese</v>
      </c>
    </row>
    <row r="704" spans="1:15" x14ac:dyDescent="0.3">
      <c r="A704">
        <v>41673</v>
      </c>
      <c r="B704" t="s">
        <v>7</v>
      </c>
      <c r="C704">
        <v>45</v>
      </c>
      <c r="D704">
        <v>0</v>
      </c>
      <c r="E704">
        <v>0</v>
      </c>
      <c r="F704" t="str">
        <f t="shared" si="32"/>
        <v>Lower Risk</v>
      </c>
      <c r="G704" t="s">
        <v>3</v>
      </c>
      <c r="H704" t="s">
        <v>4</v>
      </c>
      <c r="I704" t="s">
        <v>9</v>
      </c>
      <c r="J704">
        <v>80.930000000000007</v>
      </c>
      <c r="K704">
        <v>23.1</v>
      </c>
      <c r="L704" t="s">
        <v>11</v>
      </c>
      <c r="M704">
        <v>0</v>
      </c>
      <c r="N704" t="str">
        <f t="shared" si="30"/>
        <v>40–59</v>
      </c>
      <c r="O704" t="str">
        <f t="shared" si="31"/>
        <v>Normal</v>
      </c>
    </row>
    <row r="705" spans="1:15" x14ac:dyDescent="0.3">
      <c r="A705">
        <v>27796</v>
      </c>
      <c r="B705" t="s">
        <v>7</v>
      </c>
      <c r="C705">
        <v>66</v>
      </c>
      <c r="D705">
        <v>0</v>
      </c>
      <c r="E705">
        <v>0</v>
      </c>
      <c r="F705" t="str">
        <f t="shared" si="32"/>
        <v>Moderate Risk</v>
      </c>
      <c r="G705" t="s">
        <v>3</v>
      </c>
      <c r="H705" t="s">
        <v>4</v>
      </c>
      <c r="I705" t="s">
        <v>5</v>
      </c>
      <c r="J705">
        <v>102.07</v>
      </c>
      <c r="K705">
        <v>16.7</v>
      </c>
      <c r="L705" t="s">
        <v>12</v>
      </c>
      <c r="M705">
        <v>0</v>
      </c>
      <c r="N705" t="str">
        <f t="shared" si="30"/>
        <v>60+</v>
      </c>
      <c r="O705" t="str">
        <f t="shared" si="31"/>
        <v>Underweight</v>
      </c>
    </row>
    <row r="706" spans="1:15" x14ac:dyDescent="0.3">
      <c r="A706">
        <v>18390</v>
      </c>
      <c r="B706" t="s">
        <v>7</v>
      </c>
      <c r="C706">
        <v>19</v>
      </c>
      <c r="D706">
        <v>0</v>
      </c>
      <c r="E706">
        <v>0</v>
      </c>
      <c r="F706" t="str">
        <f t="shared" si="32"/>
        <v>Lower Risk</v>
      </c>
      <c r="G706" t="s">
        <v>13</v>
      </c>
      <c r="H706" t="s">
        <v>4</v>
      </c>
      <c r="I706" t="s">
        <v>9</v>
      </c>
      <c r="J706">
        <v>91.69</v>
      </c>
      <c r="K706">
        <v>39.5</v>
      </c>
      <c r="L706" t="s">
        <v>14</v>
      </c>
      <c r="M706">
        <v>0</v>
      </c>
      <c r="N706" t="str">
        <f t="shared" ref="N706:N769" si="33">IF(C706&lt;40,"Under 40",IF(C706&lt;60,"40–59","60+"))</f>
        <v>Under 40</v>
      </c>
      <c r="O706" t="str">
        <f t="shared" ref="O706:O769" si="34">IF(K706="N/A","Unknown",
IF(K706="","Unknown",
IF(K706&lt;18.5,"Underweight",
IF(K706&lt;25,"Normal",
IF(K706&lt;30,"Overweight","Obese")))))</f>
        <v>Obese</v>
      </c>
    </row>
    <row r="707" spans="1:15" x14ac:dyDescent="0.3">
      <c r="A707">
        <v>63409</v>
      </c>
      <c r="B707" t="s">
        <v>7</v>
      </c>
      <c r="C707">
        <v>49</v>
      </c>
      <c r="D707">
        <v>0</v>
      </c>
      <c r="E707">
        <v>0</v>
      </c>
      <c r="F707" t="str">
        <f t="shared" ref="F707:F770" si="35">IF(C707&gt;=60,
IF(OR(D707=1,E707=1),"High Risk","Moderate Risk"),
"Lower Risk")</f>
        <v>Lower Risk</v>
      </c>
      <c r="G707" t="s">
        <v>3</v>
      </c>
      <c r="H707" t="s">
        <v>4</v>
      </c>
      <c r="I707" t="s">
        <v>5</v>
      </c>
      <c r="J707">
        <v>63.71</v>
      </c>
      <c r="K707">
        <v>33.799999999999997</v>
      </c>
      <c r="L707" t="s">
        <v>12</v>
      </c>
      <c r="M707">
        <v>0</v>
      </c>
      <c r="N707" t="str">
        <f t="shared" si="33"/>
        <v>40–59</v>
      </c>
      <c r="O707" t="str">
        <f t="shared" si="34"/>
        <v>Obese</v>
      </c>
    </row>
    <row r="708" spans="1:15" x14ac:dyDescent="0.3">
      <c r="A708">
        <v>9752</v>
      </c>
      <c r="B708" t="s">
        <v>7</v>
      </c>
      <c r="C708">
        <v>66</v>
      </c>
      <c r="D708">
        <v>0</v>
      </c>
      <c r="E708">
        <v>0</v>
      </c>
      <c r="F708" t="str">
        <f t="shared" si="35"/>
        <v>Moderate Risk</v>
      </c>
      <c r="G708" t="s">
        <v>3</v>
      </c>
      <c r="H708" t="s">
        <v>15</v>
      </c>
      <c r="I708" t="s">
        <v>9</v>
      </c>
      <c r="J708">
        <v>200.49</v>
      </c>
      <c r="K708">
        <v>34.6</v>
      </c>
      <c r="L708" t="s">
        <v>12</v>
      </c>
      <c r="M708">
        <v>0</v>
      </c>
      <c r="N708" t="str">
        <f t="shared" si="33"/>
        <v>60+</v>
      </c>
      <c r="O708" t="str">
        <f t="shared" si="34"/>
        <v>Obese</v>
      </c>
    </row>
    <row r="709" spans="1:15" x14ac:dyDescent="0.3">
      <c r="A709">
        <v>72882</v>
      </c>
      <c r="B709" t="s">
        <v>2</v>
      </c>
      <c r="C709">
        <v>47</v>
      </c>
      <c r="D709">
        <v>0</v>
      </c>
      <c r="E709">
        <v>0</v>
      </c>
      <c r="F709" t="str">
        <f t="shared" si="35"/>
        <v>Lower Risk</v>
      </c>
      <c r="G709" t="s">
        <v>3</v>
      </c>
      <c r="H709" t="s">
        <v>4</v>
      </c>
      <c r="I709" t="s">
        <v>9</v>
      </c>
      <c r="J709">
        <v>75.3</v>
      </c>
      <c r="K709">
        <v>25</v>
      </c>
      <c r="L709" t="s">
        <v>6</v>
      </c>
      <c r="M709">
        <v>0</v>
      </c>
      <c r="N709" t="str">
        <f t="shared" si="33"/>
        <v>40–59</v>
      </c>
      <c r="O709" t="str">
        <f t="shared" si="34"/>
        <v>Overweight</v>
      </c>
    </row>
    <row r="710" spans="1:15" x14ac:dyDescent="0.3">
      <c r="A710">
        <v>49744</v>
      </c>
      <c r="B710" t="s">
        <v>7</v>
      </c>
      <c r="C710">
        <v>59</v>
      </c>
      <c r="D710">
        <v>0</v>
      </c>
      <c r="E710">
        <v>0</v>
      </c>
      <c r="F710" t="str">
        <f t="shared" si="35"/>
        <v>Lower Risk</v>
      </c>
      <c r="G710" t="s">
        <v>3</v>
      </c>
      <c r="H710" t="s">
        <v>4</v>
      </c>
      <c r="I710" t="s">
        <v>5</v>
      </c>
      <c r="J710">
        <v>240.71</v>
      </c>
      <c r="K710">
        <v>43.9</v>
      </c>
      <c r="L710" t="s">
        <v>6</v>
      </c>
      <c r="M710">
        <v>0</v>
      </c>
      <c r="N710" t="str">
        <f t="shared" si="33"/>
        <v>40–59</v>
      </c>
      <c r="O710" t="str">
        <f t="shared" si="34"/>
        <v>Obese</v>
      </c>
    </row>
    <row r="711" spans="1:15" x14ac:dyDescent="0.3">
      <c r="A711">
        <v>49086</v>
      </c>
      <c r="B711" t="s">
        <v>7</v>
      </c>
      <c r="C711">
        <v>23</v>
      </c>
      <c r="D711">
        <v>0</v>
      </c>
      <c r="E711">
        <v>0</v>
      </c>
      <c r="F711" t="str">
        <f t="shared" si="35"/>
        <v>Lower Risk</v>
      </c>
      <c r="G711" t="s">
        <v>13</v>
      </c>
      <c r="H711" t="s">
        <v>4</v>
      </c>
      <c r="I711" t="s">
        <v>5</v>
      </c>
      <c r="J711">
        <v>60.5</v>
      </c>
      <c r="K711">
        <v>27.1</v>
      </c>
      <c r="L711" t="s">
        <v>6</v>
      </c>
      <c r="M711">
        <v>0</v>
      </c>
      <c r="N711" t="str">
        <f t="shared" si="33"/>
        <v>Under 40</v>
      </c>
      <c r="O711" t="str">
        <f t="shared" si="34"/>
        <v>Overweight</v>
      </c>
    </row>
    <row r="712" spans="1:15" x14ac:dyDescent="0.3">
      <c r="A712">
        <v>40866</v>
      </c>
      <c r="B712" t="s">
        <v>7</v>
      </c>
      <c r="C712">
        <v>79</v>
      </c>
      <c r="D712">
        <v>0</v>
      </c>
      <c r="E712">
        <v>0</v>
      </c>
      <c r="F712" t="str">
        <f t="shared" si="35"/>
        <v>Moderate Risk</v>
      </c>
      <c r="G712" t="s">
        <v>3</v>
      </c>
      <c r="H712" t="s">
        <v>8</v>
      </c>
      <c r="I712" t="s">
        <v>9</v>
      </c>
      <c r="J712">
        <v>131.85</v>
      </c>
      <c r="K712">
        <v>25.9</v>
      </c>
      <c r="L712" t="s">
        <v>14</v>
      </c>
      <c r="M712">
        <v>0</v>
      </c>
      <c r="N712" t="str">
        <f t="shared" si="33"/>
        <v>60+</v>
      </c>
      <c r="O712" t="str">
        <f t="shared" si="34"/>
        <v>Overweight</v>
      </c>
    </row>
    <row r="713" spans="1:15" x14ac:dyDescent="0.3">
      <c r="A713">
        <v>47523</v>
      </c>
      <c r="B713" t="s">
        <v>7</v>
      </c>
      <c r="C713">
        <v>37</v>
      </c>
      <c r="D713">
        <v>0</v>
      </c>
      <c r="E713">
        <v>0</v>
      </c>
      <c r="F713" t="str">
        <f t="shared" si="35"/>
        <v>Lower Risk</v>
      </c>
      <c r="G713" t="s">
        <v>13</v>
      </c>
      <c r="H713" t="s">
        <v>8</v>
      </c>
      <c r="I713" t="s">
        <v>9</v>
      </c>
      <c r="J713">
        <v>134.38999999999999</v>
      </c>
      <c r="K713">
        <v>22.7</v>
      </c>
      <c r="L713" t="s">
        <v>6</v>
      </c>
      <c r="M713">
        <v>0</v>
      </c>
      <c r="N713" t="str">
        <f t="shared" si="33"/>
        <v>Under 40</v>
      </c>
      <c r="O713" t="str">
        <f t="shared" si="34"/>
        <v>Normal</v>
      </c>
    </row>
    <row r="714" spans="1:15" x14ac:dyDescent="0.3">
      <c r="A714">
        <v>63561</v>
      </c>
      <c r="B714" t="s">
        <v>2</v>
      </c>
      <c r="C714">
        <v>78</v>
      </c>
      <c r="D714">
        <v>0</v>
      </c>
      <c r="E714">
        <v>0</v>
      </c>
      <c r="F714" t="str">
        <f t="shared" si="35"/>
        <v>Moderate Risk</v>
      </c>
      <c r="G714" t="s">
        <v>3</v>
      </c>
      <c r="H714" t="s">
        <v>4</v>
      </c>
      <c r="I714" t="s">
        <v>5</v>
      </c>
      <c r="J714">
        <v>56.18</v>
      </c>
      <c r="K714">
        <v>27.1</v>
      </c>
      <c r="L714" t="s">
        <v>11</v>
      </c>
      <c r="M714">
        <v>0</v>
      </c>
      <c r="N714" t="str">
        <f t="shared" si="33"/>
        <v>60+</v>
      </c>
      <c r="O714" t="str">
        <f t="shared" si="34"/>
        <v>Overweight</v>
      </c>
    </row>
    <row r="715" spans="1:15" x14ac:dyDescent="0.3">
      <c r="A715">
        <v>51422</v>
      </c>
      <c r="B715" t="s">
        <v>7</v>
      </c>
      <c r="C715">
        <v>70</v>
      </c>
      <c r="D715">
        <v>1</v>
      </c>
      <c r="E715">
        <v>0</v>
      </c>
      <c r="F715" t="str">
        <f t="shared" si="35"/>
        <v>High Risk</v>
      </c>
      <c r="G715" t="s">
        <v>3</v>
      </c>
      <c r="H715" t="s">
        <v>4</v>
      </c>
      <c r="I715" t="s">
        <v>9</v>
      </c>
      <c r="J715">
        <v>113.64</v>
      </c>
      <c r="K715">
        <v>25.6</v>
      </c>
      <c r="L715" t="s">
        <v>6</v>
      </c>
      <c r="M715">
        <v>0</v>
      </c>
      <c r="N715" t="str">
        <f t="shared" si="33"/>
        <v>60+</v>
      </c>
      <c r="O715" t="str">
        <f t="shared" si="34"/>
        <v>Overweight</v>
      </c>
    </row>
    <row r="716" spans="1:15" x14ac:dyDescent="0.3">
      <c r="A716">
        <v>56870</v>
      </c>
      <c r="B716" t="s">
        <v>7</v>
      </c>
      <c r="C716">
        <v>34</v>
      </c>
      <c r="D716">
        <v>0</v>
      </c>
      <c r="E716">
        <v>0</v>
      </c>
      <c r="F716" t="str">
        <f t="shared" si="35"/>
        <v>Lower Risk</v>
      </c>
      <c r="G716" t="s">
        <v>13</v>
      </c>
      <c r="H716" t="s">
        <v>4</v>
      </c>
      <c r="I716" t="s">
        <v>9</v>
      </c>
      <c r="J716">
        <v>156.57</v>
      </c>
      <c r="K716">
        <v>28.4</v>
      </c>
      <c r="L716" t="s">
        <v>14</v>
      </c>
      <c r="M716">
        <v>0</v>
      </c>
      <c r="N716" t="str">
        <f t="shared" si="33"/>
        <v>Under 40</v>
      </c>
      <c r="O716" t="str">
        <f t="shared" si="34"/>
        <v>Overweight</v>
      </c>
    </row>
    <row r="717" spans="1:15" x14ac:dyDescent="0.3">
      <c r="A717">
        <v>3590</v>
      </c>
      <c r="B717" t="s">
        <v>7</v>
      </c>
      <c r="C717">
        <v>28</v>
      </c>
      <c r="D717">
        <v>1</v>
      </c>
      <c r="E717">
        <v>0</v>
      </c>
      <c r="F717" t="str">
        <f t="shared" si="35"/>
        <v>Lower Risk</v>
      </c>
      <c r="G717" t="s">
        <v>13</v>
      </c>
      <c r="H717" t="s">
        <v>4</v>
      </c>
      <c r="I717" t="s">
        <v>9</v>
      </c>
      <c r="J717">
        <v>80.400000000000006</v>
      </c>
      <c r="K717">
        <v>57.5</v>
      </c>
      <c r="L717" t="s">
        <v>11</v>
      </c>
      <c r="M717">
        <v>0</v>
      </c>
      <c r="N717" t="str">
        <f t="shared" si="33"/>
        <v>Under 40</v>
      </c>
      <c r="O717" t="str">
        <f t="shared" si="34"/>
        <v>Obese</v>
      </c>
    </row>
    <row r="718" spans="1:15" x14ac:dyDescent="0.3">
      <c r="A718">
        <v>60665</v>
      </c>
      <c r="B718" t="s">
        <v>2</v>
      </c>
      <c r="C718">
        <v>29</v>
      </c>
      <c r="D718">
        <v>0</v>
      </c>
      <c r="E718">
        <v>0</v>
      </c>
      <c r="F718" t="str">
        <f t="shared" si="35"/>
        <v>Lower Risk</v>
      </c>
      <c r="G718" t="s">
        <v>13</v>
      </c>
      <c r="H718" t="s">
        <v>4</v>
      </c>
      <c r="I718" t="s">
        <v>5</v>
      </c>
      <c r="J718">
        <v>59.26</v>
      </c>
      <c r="K718">
        <v>35.799999999999997</v>
      </c>
      <c r="L718" t="s">
        <v>12</v>
      </c>
      <c r="M718">
        <v>0</v>
      </c>
      <c r="N718" t="str">
        <f t="shared" si="33"/>
        <v>Under 40</v>
      </c>
      <c r="O718" t="str">
        <f t="shared" si="34"/>
        <v>Obese</v>
      </c>
    </row>
    <row r="719" spans="1:15" x14ac:dyDescent="0.3">
      <c r="A719">
        <v>40791</v>
      </c>
      <c r="B719" t="s">
        <v>7</v>
      </c>
      <c r="C719">
        <v>13</v>
      </c>
      <c r="D719">
        <v>0</v>
      </c>
      <c r="E719">
        <v>0</v>
      </c>
      <c r="F719" t="str">
        <f t="shared" si="35"/>
        <v>Lower Risk</v>
      </c>
      <c r="G719" t="s">
        <v>13</v>
      </c>
      <c r="H719" t="s">
        <v>16</v>
      </c>
      <c r="I719" t="s">
        <v>9</v>
      </c>
      <c r="J719">
        <v>63.26</v>
      </c>
      <c r="K719">
        <v>19.5</v>
      </c>
      <c r="L719" t="s">
        <v>14</v>
      </c>
      <c r="M719">
        <v>0</v>
      </c>
      <c r="N719" t="str">
        <f t="shared" si="33"/>
        <v>Under 40</v>
      </c>
      <c r="O719" t="str">
        <f t="shared" si="34"/>
        <v>Normal</v>
      </c>
    </row>
    <row r="720" spans="1:15" x14ac:dyDescent="0.3">
      <c r="A720">
        <v>54304</v>
      </c>
      <c r="B720" t="s">
        <v>7</v>
      </c>
      <c r="C720">
        <v>22</v>
      </c>
      <c r="D720">
        <v>0</v>
      </c>
      <c r="E720">
        <v>0</v>
      </c>
      <c r="F720" t="str">
        <f t="shared" si="35"/>
        <v>Lower Risk</v>
      </c>
      <c r="G720" t="s">
        <v>3</v>
      </c>
      <c r="H720" t="s">
        <v>4</v>
      </c>
      <c r="I720" t="s">
        <v>5</v>
      </c>
      <c r="J720">
        <v>86.24</v>
      </c>
      <c r="K720">
        <v>31.2</v>
      </c>
      <c r="L720" t="s">
        <v>11</v>
      </c>
      <c r="M720">
        <v>0</v>
      </c>
      <c r="N720" t="str">
        <f t="shared" si="33"/>
        <v>Under 40</v>
      </c>
      <c r="O720" t="str">
        <f t="shared" si="34"/>
        <v>Obese</v>
      </c>
    </row>
    <row r="721" spans="1:15" x14ac:dyDescent="0.3">
      <c r="A721">
        <v>22485</v>
      </c>
      <c r="B721" t="s">
        <v>2</v>
      </c>
      <c r="C721">
        <v>56</v>
      </c>
      <c r="D721">
        <v>0</v>
      </c>
      <c r="E721">
        <v>0</v>
      </c>
      <c r="F721" t="str">
        <f t="shared" si="35"/>
        <v>Lower Risk</v>
      </c>
      <c r="G721" t="s">
        <v>3</v>
      </c>
      <c r="H721" t="s">
        <v>4</v>
      </c>
      <c r="I721" t="s">
        <v>5</v>
      </c>
      <c r="J721">
        <v>197.1</v>
      </c>
      <c r="K721">
        <v>43.6</v>
      </c>
      <c r="L721" t="s">
        <v>6</v>
      </c>
      <c r="M721">
        <v>0</v>
      </c>
      <c r="N721" t="str">
        <f t="shared" si="33"/>
        <v>40–59</v>
      </c>
      <c r="O721" t="str">
        <f t="shared" si="34"/>
        <v>Obese</v>
      </c>
    </row>
    <row r="722" spans="1:15" x14ac:dyDescent="0.3">
      <c r="A722">
        <v>18430</v>
      </c>
      <c r="B722" t="s">
        <v>7</v>
      </c>
      <c r="C722">
        <v>81</v>
      </c>
      <c r="D722">
        <v>0</v>
      </c>
      <c r="E722">
        <v>0</v>
      </c>
      <c r="F722" t="str">
        <f t="shared" si="35"/>
        <v>Moderate Risk</v>
      </c>
      <c r="G722" t="s">
        <v>3</v>
      </c>
      <c r="H722" t="s">
        <v>8</v>
      </c>
      <c r="I722" t="s">
        <v>5</v>
      </c>
      <c r="J722">
        <v>90.9</v>
      </c>
      <c r="K722">
        <v>31.2</v>
      </c>
      <c r="L722" t="s">
        <v>6</v>
      </c>
      <c r="M722">
        <v>0</v>
      </c>
      <c r="N722" t="str">
        <f t="shared" si="33"/>
        <v>60+</v>
      </c>
      <c r="O722" t="str">
        <f t="shared" si="34"/>
        <v>Obese</v>
      </c>
    </row>
    <row r="723" spans="1:15" x14ac:dyDescent="0.3">
      <c r="A723">
        <v>19234</v>
      </c>
      <c r="B723" t="s">
        <v>7</v>
      </c>
      <c r="C723">
        <v>28</v>
      </c>
      <c r="D723">
        <v>0</v>
      </c>
      <c r="E723">
        <v>0</v>
      </c>
      <c r="F723" t="str">
        <f t="shared" si="35"/>
        <v>Lower Risk</v>
      </c>
      <c r="G723" t="s">
        <v>13</v>
      </c>
      <c r="H723" t="s">
        <v>4</v>
      </c>
      <c r="I723" t="s">
        <v>9</v>
      </c>
      <c r="J723">
        <v>84.59</v>
      </c>
      <c r="K723">
        <v>23.5</v>
      </c>
      <c r="L723" t="s">
        <v>14</v>
      </c>
      <c r="M723">
        <v>0</v>
      </c>
      <c r="N723" t="str">
        <f t="shared" si="33"/>
        <v>Under 40</v>
      </c>
      <c r="O723" t="str">
        <f t="shared" si="34"/>
        <v>Normal</v>
      </c>
    </row>
    <row r="724" spans="1:15" x14ac:dyDescent="0.3">
      <c r="A724">
        <v>52454</v>
      </c>
      <c r="B724" t="s">
        <v>2</v>
      </c>
      <c r="C724">
        <v>9</v>
      </c>
      <c r="D724">
        <v>0</v>
      </c>
      <c r="E724">
        <v>0</v>
      </c>
      <c r="F724" t="str">
        <f t="shared" si="35"/>
        <v>Lower Risk</v>
      </c>
      <c r="G724" t="s">
        <v>13</v>
      </c>
      <c r="H724" t="s">
        <v>16</v>
      </c>
      <c r="I724" t="s">
        <v>9</v>
      </c>
      <c r="J724">
        <v>121.8</v>
      </c>
      <c r="K724">
        <v>18.7</v>
      </c>
      <c r="L724" t="s">
        <v>14</v>
      </c>
      <c r="M724">
        <v>0</v>
      </c>
      <c r="N724" t="str">
        <f t="shared" si="33"/>
        <v>Under 40</v>
      </c>
      <c r="O724" t="str">
        <f t="shared" si="34"/>
        <v>Normal</v>
      </c>
    </row>
    <row r="725" spans="1:15" x14ac:dyDescent="0.3">
      <c r="A725">
        <v>13365</v>
      </c>
      <c r="B725" t="s">
        <v>2</v>
      </c>
      <c r="C725">
        <v>50</v>
      </c>
      <c r="D725">
        <v>0</v>
      </c>
      <c r="E725">
        <v>0</v>
      </c>
      <c r="F725" t="str">
        <f t="shared" si="35"/>
        <v>Lower Risk</v>
      </c>
      <c r="G725" t="s">
        <v>3</v>
      </c>
      <c r="H725" t="s">
        <v>4</v>
      </c>
      <c r="I725" t="s">
        <v>9</v>
      </c>
      <c r="J725">
        <v>77.650000000000006</v>
      </c>
      <c r="K725">
        <v>24.4</v>
      </c>
      <c r="L725" t="s">
        <v>12</v>
      </c>
      <c r="M725">
        <v>0</v>
      </c>
      <c r="N725" t="str">
        <f t="shared" si="33"/>
        <v>40–59</v>
      </c>
      <c r="O725" t="str">
        <f t="shared" si="34"/>
        <v>Normal</v>
      </c>
    </row>
    <row r="726" spans="1:15" x14ac:dyDescent="0.3">
      <c r="A726">
        <v>60983</v>
      </c>
      <c r="B726" t="s">
        <v>2</v>
      </c>
      <c r="C726">
        <v>70</v>
      </c>
      <c r="D726">
        <v>0</v>
      </c>
      <c r="E726">
        <v>0</v>
      </c>
      <c r="F726" t="str">
        <f t="shared" si="35"/>
        <v>Moderate Risk</v>
      </c>
      <c r="G726" t="s">
        <v>3</v>
      </c>
      <c r="H726" t="s">
        <v>4</v>
      </c>
      <c r="I726" t="s">
        <v>5</v>
      </c>
      <c r="J726">
        <v>64.41</v>
      </c>
      <c r="K726">
        <v>29.4</v>
      </c>
      <c r="L726" t="s">
        <v>12</v>
      </c>
      <c r="M726">
        <v>0</v>
      </c>
      <c r="N726" t="str">
        <f t="shared" si="33"/>
        <v>60+</v>
      </c>
      <c r="O726" t="str">
        <f t="shared" si="34"/>
        <v>Overweight</v>
      </c>
    </row>
    <row r="727" spans="1:15" x14ac:dyDescent="0.3">
      <c r="A727">
        <v>14615</v>
      </c>
      <c r="B727" t="s">
        <v>7</v>
      </c>
      <c r="C727">
        <v>30</v>
      </c>
      <c r="D727">
        <v>0</v>
      </c>
      <c r="E727">
        <v>0</v>
      </c>
      <c r="F727" t="str">
        <f t="shared" si="35"/>
        <v>Lower Risk</v>
      </c>
      <c r="G727" t="s">
        <v>13</v>
      </c>
      <c r="H727" t="s">
        <v>4</v>
      </c>
      <c r="I727" t="s">
        <v>5</v>
      </c>
      <c r="J727">
        <v>75.19</v>
      </c>
      <c r="K727">
        <v>37</v>
      </c>
      <c r="L727" t="s">
        <v>12</v>
      </c>
      <c r="M727">
        <v>0</v>
      </c>
      <c r="N727" t="str">
        <f t="shared" si="33"/>
        <v>Under 40</v>
      </c>
      <c r="O727" t="str">
        <f t="shared" si="34"/>
        <v>Obese</v>
      </c>
    </row>
    <row r="728" spans="1:15" x14ac:dyDescent="0.3">
      <c r="A728">
        <v>50277</v>
      </c>
      <c r="B728" t="s">
        <v>7</v>
      </c>
      <c r="C728">
        <v>51</v>
      </c>
      <c r="D728">
        <v>0</v>
      </c>
      <c r="E728">
        <v>0</v>
      </c>
      <c r="F728" t="str">
        <f t="shared" si="35"/>
        <v>Lower Risk</v>
      </c>
      <c r="G728" t="s">
        <v>3</v>
      </c>
      <c r="H728" t="s">
        <v>8</v>
      </c>
      <c r="I728" t="s">
        <v>9</v>
      </c>
      <c r="J728">
        <v>67.97</v>
      </c>
      <c r="K728">
        <v>29.4</v>
      </c>
      <c r="L728" t="s">
        <v>12</v>
      </c>
      <c r="M728">
        <v>0</v>
      </c>
      <c r="N728" t="str">
        <f t="shared" si="33"/>
        <v>40–59</v>
      </c>
      <c r="O728" t="str">
        <f t="shared" si="34"/>
        <v>Overweight</v>
      </c>
    </row>
    <row r="729" spans="1:15" x14ac:dyDescent="0.3">
      <c r="A729">
        <v>50811</v>
      </c>
      <c r="B729" t="s">
        <v>2</v>
      </c>
      <c r="C729">
        <v>24</v>
      </c>
      <c r="D729">
        <v>0</v>
      </c>
      <c r="E729">
        <v>0</v>
      </c>
      <c r="F729" t="str">
        <f t="shared" si="35"/>
        <v>Lower Risk</v>
      </c>
      <c r="G729" t="s">
        <v>13</v>
      </c>
      <c r="H729" t="s">
        <v>4</v>
      </c>
      <c r="I729" t="s">
        <v>5</v>
      </c>
      <c r="J729">
        <v>119.34</v>
      </c>
      <c r="K729">
        <v>38.5</v>
      </c>
      <c r="L729" t="s">
        <v>11</v>
      </c>
      <c r="M729">
        <v>0</v>
      </c>
      <c r="N729" t="str">
        <f t="shared" si="33"/>
        <v>Under 40</v>
      </c>
      <c r="O729" t="str">
        <f t="shared" si="34"/>
        <v>Obese</v>
      </c>
    </row>
    <row r="730" spans="1:15" x14ac:dyDescent="0.3">
      <c r="A730">
        <v>16575</v>
      </c>
      <c r="B730" t="s">
        <v>2</v>
      </c>
      <c r="C730">
        <v>17</v>
      </c>
      <c r="D730">
        <v>0</v>
      </c>
      <c r="E730">
        <v>0</v>
      </c>
      <c r="F730" t="str">
        <f t="shared" si="35"/>
        <v>Lower Risk</v>
      </c>
      <c r="G730" t="s">
        <v>13</v>
      </c>
      <c r="H730" t="s">
        <v>4</v>
      </c>
      <c r="I730" t="s">
        <v>9</v>
      </c>
      <c r="J730">
        <v>94.92</v>
      </c>
      <c r="K730">
        <v>23.5</v>
      </c>
      <c r="L730" t="s">
        <v>11</v>
      </c>
      <c r="M730">
        <v>0</v>
      </c>
      <c r="N730" t="str">
        <f t="shared" si="33"/>
        <v>Under 40</v>
      </c>
      <c r="O730" t="str">
        <f t="shared" si="34"/>
        <v>Normal</v>
      </c>
    </row>
    <row r="731" spans="1:15" x14ac:dyDescent="0.3">
      <c r="A731">
        <v>1246</v>
      </c>
      <c r="B731" t="s">
        <v>7</v>
      </c>
      <c r="C731">
        <v>43</v>
      </c>
      <c r="D731">
        <v>0</v>
      </c>
      <c r="E731">
        <v>0</v>
      </c>
      <c r="F731" t="str">
        <f t="shared" si="35"/>
        <v>Lower Risk</v>
      </c>
      <c r="G731" t="s">
        <v>3</v>
      </c>
      <c r="H731" t="s">
        <v>15</v>
      </c>
      <c r="I731" t="s">
        <v>9</v>
      </c>
      <c r="J731">
        <v>107.42</v>
      </c>
      <c r="K731" t="s">
        <v>10</v>
      </c>
      <c r="L731" t="s">
        <v>11</v>
      </c>
      <c r="M731">
        <v>0</v>
      </c>
      <c r="N731" t="str">
        <f t="shared" si="33"/>
        <v>40–59</v>
      </c>
      <c r="O731" t="str">
        <f t="shared" si="34"/>
        <v>Unknown</v>
      </c>
    </row>
    <row r="732" spans="1:15" x14ac:dyDescent="0.3">
      <c r="A732">
        <v>11176</v>
      </c>
      <c r="B732" t="s">
        <v>2</v>
      </c>
      <c r="C732">
        <v>9</v>
      </c>
      <c r="D732">
        <v>0</v>
      </c>
      <c r="E732">
        <v>0</v>
      </c>
      <c r="F732" t="str">
        <f t="shared" si="35"/>
        <v>Lower Risk</v>
      </c>
      <c r="G732" t="s">
        <v>13</v>
      </c>
      <c r="H732" t="s">
        <v>16</v>
      </c>
      <c r="I732" t="s">
        <v>9</v>
      </c>
      <c r="J732">
        <v>85.02</v>
      </c>
      <c r="K732">
        <v>16.3</v>
      </c>
      <c r="L732" t="s">
        <v>14</v>
      </c>
      <c r="M732">
        <v>0</v>
      </c>
      <c r="N732" t="str">
        <f t="shared" si="33"/>
        <v>Under 40</v>
      </c>
      <c r="O732" t="str">
        <f t="shared" si="34"/>
        <v>Underweight</v>
      </c>
    </row>
    <row r="733" spans="1:15" x14ac:dyDescent="0.3">
      <c r="A733">
        <v>30712</v>
      </c>
      <c r="B733" t="s">
        <v>2</v>
      </c>
      <c r="C733">
        <v>50</v>
      </c>
      <c r="D733">
        <v>0</v>
      </c>
      <c r="E733">
        <v>0</v>
      </c>
      <c r="F733" t="str">
        <f t="shared" si="35"/>
        <v>Lower Risk</v>
      </c>
      <c r="G733" t="s">
        <v>3</v>
      </c>
      <c r="H733" t="s">
        <v>4</v>
      </c>
      <c r="I733" t="s">
        <v>5</v>
      </c>
      <c r="J733">
        <v>103.51</v>
      </c>
      <c r="K733">
        <v>35.9</v>
      </c>
      <c r="L733" t="s">
        <v>11</v>
      </c>
      <c r="M733">
        <v>0</v>
      </c>
      <c r="N733" t="str">
        <f t="shared" si="33"/>
        <v>40–59</v>
      </c>
      <c r="O733" t="str">
        <f t="shared" si="34"/>
        <v>Obese</v>
      </c>
    </row>
    <row r="734" spans="1:15" x14ac:dyDescent="0.3">
      <c r="A734">
        <v>31308</v>
      </c>
      <c r="B734" t="s">
        <v>7</v>
      </c>
      <c r="C734">
        <v>49</v>
      </c>
      <c r="D734">
        <v>0</v>
      </c>
      <c r="E734">
        <v>0</v>
      </c>
      <c r="F734" t="str">
        <f t="shared" si="35"/>
        <v>Lower Risk</v>
      </c>
      <c r="G734" t="s">
        <v>3</v>
      </c>
      <c r="H734" t="s">
        <v>4</v>
      </c>
      <c r="I734" t="s">
        <v>5</v>
      </c>
      <c r="J734">
        <v>114.5</v>
      </c>
      <c r="K734">
        <v>35.9</v>
      </c>
      <c r="L734" t="s">
        <v>6</v>
      </c>
      <c r="M734">
        <v>0</v>
      </c>
      <c r="N734" t="str">
        <f t="shared" si="33"/>
        <v>40–59</v>
      </c>
      <c r="O734" t="str">
        <f t="shared" si="34"/>
        <v>Obese</v>
      </c>
    </row>
    <row r="735" spans="1:15" x14ac:dyDescent="0.3">
      <c r="A735">
        <v>9612</v>
      </c>
      <c r="B735" t="s">
        <v>2</v>
      </c>
      <c r="C735">
        <v>6</v>
      </c>
      <c r="D735">
        <v>0</v>
      </c>
      <c r="E735">
        <v>0</v>
      </c>
      <c r="F735" t="str">
        <f t="shared" si="35"/>
        <v>Lower Risk</v>
      </c>
      <c r="G735" t="s">
        <v>13</v>
      </c>
      <c r="H735" t="s">
        <v>16</v>
      </c>
      <c r="I735" t="s">
        <v>5</v>
      </c>
      <c r="J735">
        <v>70.78</v>
      </c>
      <c r="K735">
        <v>20.3</v>
      </c>
      <c r="L735" t="s">
        <v>14</v>
      </c>
      <c r="M735">
        <v>0</v>
      </c>
      <c r="N735" t="str">
        <f t="shared" si="33"/>
        <v>Under 40</v>
      </c>
      <c r="O735" t="str">
        <f t="shared" si="34"/>
        <v>Normal</v>
      </c>
    </row>
    <row r="736" spans="1:15" x14ac:dyDescent="0.3">
      <c r="A736">
        <v>3325</v>
      </c>
      <c r="B736" t="s">
        <v>2</v>
      </c>
      <c r="C736">
        <v>30</v>
      </c>
      <c r="D736">
        <v>0</v>
      </c>
      <c r="E736">
        <v>0</v>
      </c>
      <c r="F736" t="str">
        <f t="shared" si="35"/>
        <v>Lower Risk</v>
      </c>
      <c r="G736" t="s">
        <v>3</v>
      </c>
      <c r="H736" t="s">
        <v>8</v>
      </c>
      <c r="I736" t="s">
        <v>9</v>
      </c>
      <c r="J736">
        <v>95.01</v>
      </c>
      <c r="K736">
        <v>32.299999999999997</v>
      </c>
      <c r="L736" t="s">
        <v>12</v>
      </c>
      <c r="M736">
        <v>0</v>
      </c>
      <c r="N736" t="str">
        <f t="shared" si="33"/>
        <v>Under 40</v>
      </c>
      <c r="O736" t="str">
        <f t="shared" si="34"/>
        <v>Obese</v>
      </c>
    </row>
    <row r="737" spans="1:15" x14ac:dyDescent="0.3">
      <c r="A737">
        <v>52808</v>
      </c>
      <c r="B737" t="s">
        <v>2</v>
      </c>
      <c r="C737">
        <v>73</v>
      </c>
      <c r="D737">
        <v>0</v>
      </c>
      <c r="E737">
        <v>0</v>
      </c>
      <c r="F737" t="str">
        <f t="shared" si="35"/>
        <v>Moderate Risk</v>
      </c>
      <c r="G737" t="s">
        <v>3</v>
      </c>
      <c r="H737" t="s">
        <v>4</v>
      </c>
      <c r="I737" t="s">
        <v>5</v>
      </c>
      <c r="J737">
        <v>84.11</v>
      </c>
      <c r="K737">
        <v>27.9</v>
      </c>
      <c r="L737" t="s">
        <v>11</v>
      </c>
      <c r="M737">
        <v>0</v>
      </c>
      <c r="N737" t="str">
        <f t="shared" si="33"/>
        <v>60+</v>
      </c>
      <c r="O737" t="str">
        <f t="shared" si="34"/>
        <v>Overweight</v>
      </c>
    </row>
    <row r="738" spans="1:15" x14ac:dyDescent="0.3">
      <c r="A738">
        <v>41513</v>
      </c>
      <c r="B738" t="s">
        <v>7</v>
      </c>
      <c r="C738">
        <v>20</v>
      </c>
      <c r="D738">
        <v>0</v>
      </c>
      <c r="E738">
        <v>0</v>
      </c>
      <c r="F738" t="str">
        <f t="shared" si="35"/>
        <v>Lower Risk</v>
      </c>
      <c r="G738" t="s">
        <v>3</v>
      </c>
      <c r="H738" t="s">
        <v>4</v>
      </c>
      <c r="I738" t="s">
        <v>5</v>
      </c>
      <c r="J738">
        <v>74.02</v>
      </c>
      <c r="K738">
        <v>22.3</v>
      </c>
      <c r="L738" t="s">
        <v>11</v>
      </c>
      <c r="M738">
        <v>0</v>
      </c>
      <c r="N738" t="str">
        <f t="shared" si="33"/>
        <v>Under 40</v>
      </c>
      <c r="O738" t="str">
        <f t="shared" si="34"/>
        <v>Normal</v>
      </c>
    </row>
    <row r="739" spans="1:15" x14ac:dyDescent="0.3">
      <c r="A739">
        <v>36109</v>
      </c>
      <c r="B739" t="s">
        <v>2</v>
      </c>
      <c r="C739">
        <v>42</v>
      </c>
      <c r="D739">
        <v>0</v>
      </c>
      <c r="E739">
        <v>0</v>
      </c>
      <c r="F739" t="str">
        <f t="shared" si="35"/>
        <v>Lower Risk</v>
      </c>
      <c r="G739" t="s">
        <v>3</v>
      </c>
      <c r="H739" t="s">
        <v>4</v>
      </c>
      <c r="I739" t="s">
        <v>5</v>
      </c>
      <c r="J739">
        <v>78.489999999999995</v>
      </c>
      <c r="K739">
        <v>31.8</v>
      </c>
      <c r="L739" t="s">
        <v>12</v>
      </c>
      <c r="M739">
        <v>0</v>
      </c>
      <c r="N739" t="str">
        <f t="shared" si="33"/>
        <v>40–59</v>
      </c>
      <c r="O739" t="str">
        <f t="shared" si="34"/>
        <v>Obese</v>
      </c>
    </row>
    <row r="740" spans="1:15" x14ac:dyDescent="0.3">
      <c r="A740">
        <v>53336</v>
      </c>
      <c r="B740" t="s">
        <v>7</v>
      </c>
      <c r="C740">
        <v>79</v>
      </c>
      <c r="D740">
        <v>0</v>
      </c>
      <c r="E740">
        <v>0</v>
      </c>
      <c r="F740" t="str">
        <f t="shared" si="35"/>
        <v>Moderate Risk</v>
      </c>
      <c r="G740" t="s">
        <v>3</v>
      </c>
      <c r="H740" t="s">
        <v>15</v>
      </c>
      <c r="I740" t="s">
        <v>5</v>
      </c>
      <c r="J740">
        <v>74.22</v>
      </c>
      <c r="K740">
        <v>29.7</v>
      </c>
      <c r="L740" t="s">
        <v>14</v>
      </c>
      <c r="M740">
        <v>0</v>
      </c>
      <c r="N740" t="str">
        <f t="shared" si="33"/>
        <v>60+</v>
      </c>
      <c r="O740" t="str">
        <f t="shared" si="34"/>
        <v>Overweight</v>
      </c>
    </row>
    <row r="741" spans="1:15" x14ac:dyDescent="0.3">
      <c r="A741">
        <v>56831</v>
      </c>
      <c r="B741" t="s">
        <v>7</v>
      </c>
      <c r="C741">
        <v>55</v>
      </c>
      <c r="D741">
        <v>0</v>
      </c>
      <c r="E741">
        <v>0</v>
      </c>
      <c r="F741" t="str">
        <f t="shared" si="35"/>
        <v>Lower Risk</v>
      </c>
      <c r="G741" t="s">
        <v>3</v>
      </c>
      <c r="H741" t="s">
        <v>4</v>
      </c>
      <c r="I741" t="s">
        <v>5</v>
      </c>
      <c r="J741">
        <v>55.34</v>
      </c>
      <c r="K741">
        <v>27.1</v>
      </c>
      <c r="L741" t="s">
        <v>12</v>
      </c>
      <c r="M741">
        <v>0</v>
      </c>
      <c r="N741" t="str">
        <f t="shared" si="33"/>
        <v>40–59</v>
      </c>
      <c r="O741" t="str">
        <f t="shared" si="34"/>
        <v>Overweight</v>
      </c>
    </row>
    <row r="742" spans="1:15" x14ac:dyDescent="0.3">
      <c r="A742">
        <v>52580</v>
      </c>
      <c r="B742" t="s">
        <v>7</v>
      </c>
      <c r="C742">
        <v>27</v>
      </c>
      <c r="D742">
        <v>0</v>
      </c>
      <c r="E742">
        <v>0</v>
      </c>
      <c r="F742" t="str">
        <f t="shared" si="35"/>
        <v>Lower Risk</v>
      </c>
      <c r="G742" t="s">
        <v>13</v>
      </c>
      <c r="H742" t="s">
        <v>4</v>
      </c>
      <c r="I742" t="s">
        <v>9</v>
      </c>
      <c r="J742">
        <v>75.040000000000006</v>
      </c>
      <c r="K742">
        <v>24.5</v>
      </c>
      <c r="L742" t="s">
        <v>11</v>
      </c>
      <c r="M742">
        <v>0</v>
      </c>
      <c r="N742" t="str">
        <f t="shared" si="33"/>
        <v>Under 40</v>
      </c>
      <c r="O742" t="str">
        <f t="shared" si="34"/>
        <v>Normal</v>
      </c>
    </row>
    <row r="743" spans="1:15" x14ac:dyDescent="0.3">
      <c r="A743">
        <v>55592</v>
      </c>
      <c r="B743" t="s">
        <v>2</v>
      </c>
      <c r="C743">
        <v>71</v>
      </c>
      <c r="D743">
        <v>0</v>
      </c>
      <c r="E743">
        <v>0</v>
      </c>
      <c r="F743" t="str">
        <f t="shared" si="35"/>
        <v>Moderate Risk</v>
      </c>
      <c r="G743" t="s">
        <v>3</v>
      </c>
      <c r="H743" t="s">
        <v>4</v>
      </c>
      <c r="I743" t="s">
        <v>9</v>
      </c>
      <c r="J743">
        <v>109.73</v>
      </c>
      <c r="K743">
        <v>28.9</v>
      </c>
      <c r="L743" t="s">
        <v>11</v>
      </c>
      <c r="M743">
        <v>0</v>
      </c>
      <c r="N743" t="str">
        <f t="shared" si="33"/>
        <v>60+</v>
      </c>
      <c r="O743" t="str">
        <f t="shared" si="34"/>
        <v>Overweight</v>
      </c>
    </row>
    <row r="744" spans="1:15" x14ac:dyDescent="0.3">
      <c r="A744">
        <v>33723</v>
      </c>
      <c r="B744" t="s">
        <v>7</v>
      </c>
      <c r="C744">
        <v>9</v>
      </c>
      <c r="D744">
        <v>0</v>
      </c>
      <c r="E744">
        <v>0</v>
      </c>
      <c r="F744" t="str">
        <f t="shared" si="35"/>
        <v>Lower Risk</v>
      </c>
      <c r="G744" t="s">
        <v>13</v>
      </c>
      <c r="H744" t="s">
        <v>16</v>
      </c>
      <c r="I744" t="s">
        <v>5</v>
      </c>
      <c r="J744">
        <v>95.81</v>
      </c>
      <c r="K744" t="s">
        <v>10</v>
      </c>
      <c r="L744" t="s">
        <v>14</v>
      </c>
      <c r="M744">
        <v>0</v>
      </c>
      <c r="N744" t="str">
        <f t="shared" si="33"/>
        <v>Under 40</v>
      </c>
      <c r="O744" t="str">
        <f t="shared" si="34"/>
        <v>Unknown</v>
      </c>
    </row>
    <row r="745" spans="1:15" x14ac:dyDescent="0.3">
      <c r="A745">
        <v>26235</v>
      </c>
      <c r="B745" t="s">
        <v>2</v>
      </c>
      <c r="C745">
        <v>23</v>
      </c>
      <c r="D745">
        <v>0</v>
      </c>
      <c r="E745">
        <v>0</v>
      </c>
      <c r="F745" t="str">
        <f t="shared" si="35"/>
        <v>Lower Risk</v>
      </c>
      <c r="G745" t="s">
        <v>13</v>
      </c>
      <c r="H745" t="s">
        <v>4</v>
      </c>
      <c r="I745" t="s">
        <v>9</v>
      </c>
      <c r="J745">
        <v>96.78</v>
      </c>
      <c r="K745">
        <v>24.6</v>
      </c>
      <c r="L745" t="s">
        <v>12</v>
      </c>
      <c r="M745">
        <v>0</v>
      </c>
      <c r="N745" t="str">
        <f t="shared" si="33"/>
        <v>Under 40</v>
      </c>
      <c r="O745" t="str">
        <f t="shared" si="34"/>
        <v>Normal</v>
      </c>
    </row>
    <row r="746" spans="1:15" x14ac:dyDescent="0.3">
      <c r="A746">
        <v>16685</v>
      </c>
      <c r="B746" t="s">
        <v>7</v>
      </c>
      <c r="C746">
        <v>71</v>
      </c>
      <c r="D746">
        <v>1</v>
      </c>
      <c r="E746">
        <v>0</v>
      </c>
      <c r="F746" t="str">
        <f t="shared" si="35"/>
        <v>High Risk</v>
      </c>
      <c r="G746" t="s">
        <v>3</v>
      </c>
      <c r="H746" t="s">
        <v>4</v>
      </c>
      <c r="I746" t="s">
        <v>5</v>
      </c>
      <c r="J746">
        <v>194.62</v>
      </c>
      <c r="K746">
        <v>31.6</v>
      </c>
      <c r="L746" t="s">
        <v>11</v>
      </c>
      <c r="M746">
        <v>0</v>
      </c>
      <c r="N746" t="str">
        <f t="shared" si="33"/>
        <v>60+</v>
      </c>
      <c r="O746" t="str">
        <f t="shared" si="34"/>
        <v>Obese</v>
      </c>
    </row>
    <row r="747" spans="1:15" x14ac:dyDescent="0.3">
      <c r="A747">
        <v>44583</v>
      </c>
      <c r="B747" t="s">
        <v>7</v>
      </c>
      <c r="C747">
        <v>56</v>
      </c>
      <c r="D747">
        <v>0</v>
      </c>
      <c r="E747">
        <v>1</v>
      </c>
      <c r="F747" t="str">
        <f t="shared" si="35"/>
        <v>Lower Risk</v>
      </c>
      <c r="G747" t="s">
        <v>3</v>
      </c>
      <c r="H747" t="s">
        <v>4</v>
      </c>
      <c r="I747" t="s">
        <v>9</v>
      </c>
      <c r="J747">
        <v>70.02</v>
      </c>
      <c r="K747">
        <v>32.299999999999997</v>
      </c>
      <c r="L747" t="s">
        <v>11</v>
      </c>
      <c r="M747">
        <v>0</v>
      </c>
      <c r="N747" t="str">
        <f t="shared" si="33"/>
        <v>40–59</v>
      </c>
      <c r="O747" t="str">
        <f t="shared" si="34"/>
        <v>Obese</v>
      </c>
    </row>
    <row r="748" spans="1:15" x14ac:dyDescent="0.3">
      <c r="A748">
        <v>25315</v>
      </c>
      <c r="B748" t="s">
        <v>2</v>
      </c>
      <c r="C748">
        <v>31</v>
      </c>
      <c r="D748">
        <v>0</v>
      </c>
      <c r="E748">
        <v>0</v>
      </c>
      <c r="F748" t="str">
        <f t="shared" si="35"/>
        <v>Lower Risk</v>
      </c>
      <c r="G748" t="s">
        <v>3</v>
      </c>
      <c r="H748" t="s">
        <v>4</v>
      </c>
      <c r="I748" t="s">
        <v>5</v>
      </c>
      <c r="J748">
        <v>222.21</v>
      </c>
      <c r="K748">
        <v>41.1</v>
      </c>
      <c r="L748" t="s">
        <v>12</v>
      </c>
      <c r="M748">
        <v>0</v>
      </c>
      <c r="N748" t="str">
        <f t="shared" si="33"/>
        <v>Under 40</v>
      </c>
      <c r="O748" t="str">
        <f t="shared" si="34"/>
        <v>Obese</v>
      </c>
    </row>
    <row r="749" spans="1:15" x14ac:dyDescent="0.3">
      <c r="A749">
        <v>58227</v>
      </c>
      <c r="B749" t="s">
        <v>7</v>
      </c>
      <c r="C749">
        <v>64</v>
      </c>
      <c r="D749">
        <v>0</v>
      </c>
      <c r="E749">
        <v>0</v>
      </c>
      <c r="F749" t="str">
        <f t="shared" si="35"/>
        <v>Moderate Risk</v>
      </c>
      <c r="G749" t="s">
        <v>3</v>
      </c>
      <c r="H749" t="s">
        <v>15</v>
      </c>
      <c r="I749" t="s">
        <v>9</v>
      </c>
      <c r="J749">
        <v>62.41</v>
      </c>
      <c r="K749">
        <v>30</v>
      </c>
      <c r="L749" t="s">
        <v>11</v>
      </c>
      <c r="M749">
        <v>0</v>
      </c>
      <c r="N749" t="str">
        <f t="shared" si="33"/>
        <v>60+</v>
      </c>
      <c r="O749" t="str">
        <f t="shared" si="34"/>
        <v>Obese</v>
      </c>
    </row>
    <row r="750" spans="1:15" x14ac:dyDescent="0.3">
      <c r="A750">
        <v>60810</v>
      </c>
      <c r="B750" t="s">
        <v>2</v>
      </c>
      <c r="C750">
        <v>46</v>
      </c>
      <c r="D750">
        <v>0</v>
      </c>
      <c r="E750">
        <v>0</v>
      </c>
      <c r="F750" t="str">
        <f t="shared" si="35"/>
        <v>Lower Risk</v>
      </c>
      <c r="G750" t="s">
        <v>3</v>
      </c>
      <c r="H750" t="s">
        <v>8</v>
      </c>
      <c r="I750" t="s">
        <v>5</v>
      </c>
      <c r="J750">
        <v>55.83</v>
      </c>
      <c r="K750">
        <v>26.4</v>
      </c>
      <c r="L750" t="s">
        <v>11</v>
      </c>
      <c r="M750">
        <v>0</v>
      </c>
      <c r="N750" t="str">
        <f t="shared" si="33"/>
        <v>40–59</v>
      </c>
      <c r="O750" t="str">
        <f t="shared" si="34"/>
        <v>Overweight</v>
      </c>
    </row>
    <row r="751" spans="1:15" x14ac:dyDescent="0.3">
      <c r="A751">
        <v>34612</v>
      </c>
      <c r="B751" t="s">
        <v>2</v>
      </c>
      <c r="C751">
        <v>55</v>
      </c>
      <c r="D751">
        <v>0</v>
      </c>
      <c r="E751">
        <v>0</v>
      </c>
      <c r="F751" t="str">
        <f t="shared" si="35"/>
        <v>Lower Risk</v>
      </c>
      <c r="G751" t="s">
        <v>3</v>
      </c>
      <c r="H751" t="s">
        <v>15</v>
      </c>
      <c r="I751" t="s">
        <v>9</v>
      </c>
      <c r="J751">
        <v>65.12</v>
      </c>
      <c r="K751">
        <v>30</v>
      </c>
      <c r="L751" t="s">
        <v>11</v>
      </c>
      <c r="M751">
        <v>0</v>
      </c>
      <c r="N751" t="str">
        <f t="shared" si="33"/>
        <v>40–59</v>
      </c>
      <c r="O751" t="str">
        <f t="shared" si="34"/>
        <v>Obese</v>
      </c>
    </row>
    <row r="752" spans="1:15" x14ac:dyDescent="0.3">
      <c r="A752">
        <v>8320</v>
      </c>
      <c r="B752" t="s">
        <v>2</v>
      </c>
      <c r="C752">
        <v>2</v>
      </c>
      <c r="D752">
        <v>0</v>
      </c>
      <c r="E752">
        <v>0</v>
      </c>
      <c r="F752" t="str">
        <f t="shared" si="35"/>
        <v>Lower Risk</v>
      </c>
      <c r="G752" t="s">
        <v>13</v>
      </c>
      <c r="H752" t="s">
        <v>16</v>
      </c>
      <c r="I752" t="s">
        <v>9</v>
      </c>
      <c r="J752">
        <v>73.62</v>
      </c>
      <c r="K752">
        <v>20.8</v>
      </c>
      <c r="L752" t="s">
        <v>14</v>
      </c>
      <c r="M752">
        <v>0</v>
      </c>
      <c r="N752" t="str">
        <f t="shared" si="33"/>
        <v>Under 40</v>
      </c>
      <c r="O752" t="str">
        <f t="shared" si="34"/>
        <v>Normal</v>
      </c>
    </row>
    <row r="753" spans="1:15" x14ac:dyDescent="0.3">
      <c r="A753">
        <v>25595</v>
      </c>
      <c r="B753" t="s">
        <v>7</v>
      </c>
      <c r="C753">
        <v>58</v>
      </c>
      <c r="D753">
        <v>1</v>
      </c>
      <c r="E753">
        <v>0</v>
      </c>
      <c r="F753" t="str">
        <f t="shared" si="35"/>
        <v>Lower Risk</v>
      </c>
      <c r="G753" t="s">
        <v>3</v>
      </c>
      <c r="H753" t="s">
        <v>4</v>
      </c>
      <c r="I753" t="s">
        <v>5</v>
      </c>
      <c r="J753">
        <v>85.83</v>
      </c>
      <c r="K753">
        <v>44</v>
      </c>
      <c r="L753" t="s">
        <v>6</v>
      </c>
      <c r="M753">
        <v>0</v>
      </c>
      <c r="N753" t="str">
        <f t="shared" si="33"/>
        <v>40–59</v>
      </c>
      <c r="O753" t="str">
        <f t="shared" si="34"/>
        <v>Obese</v>
      </c>
    </row>
    <row r="754" spans="1:15" x14ac:dyDescent="0.3">
      <c r="A754">
        <v>30550</v>
      </c>
      <c r="B754" t="s">
        <v>7</v>
      </c>
      <c r="C754">
        <v>78</v>
      </c>
      <c r="D754">
        <v>0</v>
      </c>
      <c r="E754">
        <v>0</v>
      </c>
      <c r="F754" t="str">
        <f t="shared" si="35"/>
        <v>Moderate Risk</v>
      </c>
      <c r="G754" t="s">
        <v>13</v>
      </c>
      <c r="H754" t="s">
        <v>4</v>
      </c>
      <c r="I754" t="s">
        <v>5</v>
      </c>
      <c r="J754">
        <v>103.86</v>
      </c>
      <c r="K754">
        <v>30.6</v>
      </c>
      <c r="L754" t="s">
        <v>14</v>
      </c>
      <c r="M754">
        <v>0</v>
      </c>
      <c r="N754" t="str">
        <f t="shared" si="33"/>
        <v>60+</v>
      </c>
      <c r="O754" t="str">
        <f t="shared" si="34"/>
        <v>Obese</v>
      </c>
    </row>
    <row r="755" spans="1:15" x14ac:dyDescent="0.3">
      <c r="A755">
        <v>49529</v>
      </c>
      <c r="B755" t="s">
        <v>7</v>
      </c>
      <c r="C755">
        <v>1.1599999999999999</v>
      </c>
      <c r="D755">
        <v>0</v>
      </c>
      <c r="E755">
        <v>0</v>
      </c>
      <c r="F755" t="str">
        <f t="shared" si="35"/>
        <v>Lower Risk</v>
      </c>
      <c r="G755" t="s">
        <v>13</v>
      </c>
      <c r="H755" t="s">
        <v>16</v>
      </c>
      <c r="I755" t="s">
        <v>5</v>
      </c>
      <c r="J755">
        <v>60.98</v>
      </c>
      <c r="K755">
        <v>17.2</v>
      </c>
      <c r="L755" t="s">
        <v>14</v>
      </c>
      <c r="M755">
        <v>0</v>
      </c>
      <c r="N755" t="str">
        <f t="shared" si="33"/>
        <v>Under 40</v>
      </c>
      <c r="O755" t="str">
        <f t="shared" si="34"/>
        <v>Underweight</v>
      </c>
    </row>
    <row r="756" spans="1:15" x14ac:dyDescent="0.3">
      <c r="A756">
        <v>13367</v>
      </c>
      <c r="B756" t="s">
        <v>7</v>
      </c>
      <c r="C756">
        <v>35</v>
      </c>
      <c r="D756">
        <v>0</v>
      </c>
      <c r="E756">
        <v>0</v>
      </c>
      <c r="F756" t="str">
        <f t="shared" si="35"/>
        <v>Lower Risk</v>
      </c>
      <c r="G756" t="s">
        <v>3</v>
      </c>
      <c r="H756" t="s">
        <v>4</v>
      </c>
      <c r="I756" t="s">
        <v>9</v>
      </c>
      <c r="J756">
        <v>82.69</v>
      </c>
      <c r="K756">
        <v>29.1</v>
      </c>
      <c r="L756" t="s">
        <v>14</v>
      </c>
      <c r="M756">
        <v>0</v>
      </c>
      <c r="N756" t="str">
        <f t="shared" si="33"/>
        <v>Under 40</v>
      </c>
      <c r="O756" t="str">
        <f t="shared" si="34"/>
        <v>Overweight</v>
      </c>
    </row>
    <row r="757" spans="1:15" x14ac:dyDescent="0.3">
      <c r="A757">
        <v>33585</v>
      </c>
      <c r="B757" t="s">
        <v>7</v>
      </c>
      <c r="C757">
        <v>64</v>
      </c>
      <c r="D757">
        <v>0</v>
      </c>
      <c r="E757">
        <v>0</v>
      </c>
      <c r="F757" t="str">
        <f t="shared" si="35"/>
        <v>Moderate Risk</v>
      </c>
      <c r="G757" t="s">
        <v>3</v>
      </c>
      <c r="H757" t="s">
        <v>4</v>
      </c>
      <c r="I757" t="s">
        <v>9</v>
      </c>
      <c r="J757">
        <v>250.2</v>
      </c>
      <c r="K757">
        <v>27.4</v>
      </c>
      <c r="L757" t="s">
        <v>14</v>
      </c>
      <c r="M757">
        <v>0</v>
      </c>
      <c r="N757" t="str">
        <f t="shared" si="33"/>
        <v>60+</v>
      </c>
      <c r="O757" t="str">
        <f t="shared" si="34"/>
        <v>Overweight</v>
      </c>
    </row>
    <row r="758" spans="1:15" x14ac:dyDescent="0.3">
      <c r="A758">
        <v>49785</v>
      </c>
      <c r="B758" t="s">
        <v>7</v>
      </c>
      <c r="C758">
        <v>18</v>
      </c>
      <c r="D758">
        <v>0</v>
      </c>
      <c r="E758">
        <v>0</v>
      </c>
      <c r="F758" t="str">
        <f t="shared" si="35"/>
        <v>Lower Risk</v>
      </c>
      <c r="G758" t="s">
        <v>13</v>
      </c>
      <c r="H758" t="s">
        <v>4</v>
      </c>
      <c r="I758" t="s">
        <v>9</v>
      </c>
      <c r="J758">
        <v>128.97</v>
      </c>
      <c r="K758">
        <v>23.5</v>
      </c>
      <c r="L758" t="s">
        <v>14</v>
      </c>
      <c r="M758">
        <v>0</v>
      </c>
      <c r="N758" t="str">
        <f t="shared" si="33"/>
        <v>Under 40</v>
      </c>
      <c r="O758" t="str">
        <f t="shared" si="34"/>
        <v>Normal</v>
      </c>
    </row>
    <row r="759" spans="1:15" x14ac:dyDescent="0.3">
      <c r="A759">
        <v>6886</v>
      </c>
      <c r="B759" t="s">
        <v>2</v>
      </c>
      <c r="C759">
        <v>19</v>
      </c>
      <c r="D759">
        <v>0</v>
      </c>
      <c r="E759">
        <v>0</v>
      </c>
      <c r="F759" t="str">
        <f t="shared" si="35"/>
        <v>Lower Risk</v>
      </c>
      <c r="G759" t="s">
        <v>13</v>
      </c>
      <c r="H759" t="s">
        <v>4</v>
      </c>
      <c r="I759" t="s">
        <v>9</v>
      </c>
      <c r="J759">
        <v>84.31</v>
      </c>
      <c r="K759">
        <v>31.8</v>
      </c>
      <c r="L759" t="s">
        <v>11</v>
      </c>
      <c r="M759">
        <v>0</v>
      </c>
      <c r="N759" t="str">
        <f t="shared" si="33"/>
        <v>Under 40</v>
      </c>
      <c r="O759" t="str">
        <f t="shared" si="34"/>
        <v>Obese</v>
      </c>
    </row>
    <row r="760" spans="1:15" x14ac:dyDescent="0.3">
      <c r="A760">
        <v>38609</v>
      </c>
      <c r="B760" t="s">
        <v>2</v>
      </c>
      <c r="C760">
        <v>47</v>
      </c>
      <c r="D760">
        <v>0</v>
      </c>
      <c r="E760">
        <v>0</v>
      </c>
      <c r="F760" t="str">
        <f t="shared" si="35"/>
        <v>Lower Risk</v>
      </c>
      <c r="G760" t="s">
        <v>3</v>
      </c>
      <c r="H760" t="s">
        <v>15</v>
      </c>
      <c r="I760" t="s">
        <v>9</v>
      </c>
      <c r="J760">
        <v>74.8</v>
      </c>
      <c r="K760">
        <v>23.5</v>
      </c>
      <c r="L760" t="s">
        <v>11</v>
      </c>
      <c r="M760">
        <v>0</v>
      </c>
      <c r="N760" t="str">
        <f t="shared" si="33"/>
        <v>40–59</v>
      </c>
      <c r="O760" t="str">
        <f t="shared" si="34"/>
        <v>Normal</v>
      </c>
    </row>
    <row r="761" spans="1:15" x14ac:dyDescent="0.3">
      <c r="A761">
        <v>22159</v>
      </c>
      <c r="B761" t="s">
        <v>7</v>
      </c>
      <c r="C761">
        <v>54</v>
      </c>
      <c r="D761">
        <v>1</v>
      </c>
      <c r="E761">
        <v>0</v>
      </c>
      <c r="F761" t="str">
        <f t="shared" si="35"/>
        <v>Lower Risk</v>
      </c>
      <c r="G761" t="s">
        <v>13</v>
      </c>
      <c r="H761" t="s">
        <v>4</v>
      </c>
      <c r="I761" t="s">
        <v>5</v>
      </c>
      <c r="J761">
        <v>97.06</v>
      </c>
      <c r="K761">
        <v>28.5</v>
      </c>
      <c r="L761" t="s">
        <v>6</v>
      </c>
      <c r="M761">
        <v>0</v>
      </c>
      <c r="N761" t="str">
        <f t="shared" si="33"/>
        <v>40–59</v>
      </c>
      <c r="O761" t="str">
        <f t="shared" si="34"/>
        <v>Overweight</v>
      </c>
    </row>
    <row r="762" spans="1:15" x14ac:dyDescent="0.3">
      <c r="A762">
        <v>37413</v>
      </c>
      <c r="B762" t="s">
        <v>7</v>
      </c>
      <c r="C762">
        <v>39</v>
      </c>
      <c r="D762">
        <v>0</v>
      </c>
      <c r="E762">
        <v>0</v>
      </c>
      <c r="F762" t="str">
        <f t="shared" si="35"/>
        <v>Lower Risk</v>
      </c>
      <c r="G762" t="s">
        <v>3</v>
      </c>
      <c r="H762" t="s">
        <v>4</v>
      </c>
      <c r="I762" t="s">
        <v>5</v>
      </c>
      <c r="J762">
        <v>77.540000000000006</v>
      </c>
      <c r="K762">
        <v>32.700000000000003</v>
      </c>
      <c r="L762" t="s">
        <v>14</v>
      </c>
      <c r="M762">
        <v>0</v>
      </c>
      <c r="N762" t="str">
        <f t="shared" si="33"/>
        <v>Under 40</v>
      </c>
      <c r="O762" t="str">
        <f t="shared" si="34"/>
        <v>Obese</v>
      </c>
    </row>
    <row r="763" spans="1:15" x14ac:dyDescent="0.3">
      <c r="A763">
        <v>4169</v>
      </c>
      <c r="B763" t="s">
        <v>7</v>
      </c>
      <c r="C763">
        <v>37</v>
      </c>
      <c r="D763">
        <v>0</v>
      </c>
      <c r="E763">
        <v>0</v>
      </c>
      <c r="F763" t="str">
        <f t="shared" si="35"/>
        <v>Lower Risk</v>
      </c>
      <c r="G763" t="s">
        <v>13</v>
      </c>
      <c r="H763" t="s">
        <v>4</v>
      </c>
      <c r="I763" t="s">
        <v>9</v>
      </c>
      <c r="J763">
        <v>92.78</v>
      </c>
      <c r="K763">
        <v>54.2</v>
      </c>
      <c r="L763" t="s">
        <v>11</v>
      </c>
      <c r="M763">
        <v>0</v>
      </c>
      <c r="N763" t="str">
        <f t="shared" si="33"/>
        <v>Under 40</v>
      </c>
      <c r="O763" t="str">
        <f t="shared" si="34"/>
        <v>Obese</v>
      </c>
    </row>
    <row r="764" spans="1:15" x14ac:dyDescent="0.3">
      <c r="A764">
        <v>40055</v>
      </c>
      <c r="B764" t="s">
        <v>7</v>
      </c>
      <c r="C764">
        <v>17</v>
      </c>
      <c r="D764">
        <v>0</v>
      </c>
      <c r="E764">
        <v>0</v>
      </c>
      <c r="F764" t="str">
        <f t="shared" si="35"/>
        <v>Lower Risk</v>
      </c>
      <c r="G764" t="s">
        <v>13</v>
      </c>
      <c r="H764" t="s">
        <v>4</v>
      </c>
      <c r="I764" t="s">
        <v>9</v>
      </c>
      <c r="J764">
        <v>173.43</v>
      </c>
      <c r="K764">
        <v>25.6</v>
      </c>
      <c r="L764" t="s">
        <v>12</v>
      </c>
      <c r="M764">
        <v>0</v>
      </c>
      <c r="N764" t="str">
        <f t="shared" si="33"/>
        <v>Under 40</v>
      </c>
      <c r="O764" t="str">
        <f t="shared" si="34"/>
        <v>Overweight</v>
      </c>
    </row>
    <row r="765" spans="1:15" x14ac:dyDescent="0.3">
      <c r="A765">
        <v>18888</v>
      </c>
      <c r="B765" t="s">
        <v>7</v>
      </c>
      <c r="C765">
        <v>20</v>
      </c>
      <c r="D765">
        <v>0</v>
      </c>
      <c r="E765">
        <v>0</v>
      </c>
      <c r="F765" t="str">
        <f t="shared" si="35"/>
        <v>Lower Risk</v>
      </c>
      <c r="G765" t="s">
        <v>3</v>
      </c>
      <c r="H765" t="s">
        <v>4</v>
      </c>
      <c r="I765" t="s">
        <v>5</v>
      </c>
      <c r="J765">
        <v>79.08</v>
      </c>
      <c r="K765">
        <v>41.2</v>
      </c>
      <c r="L765" t="s">
        <v>11</v>
      </c>
      <c r="M765">
        <v>0</v>
      </c>
      <c r="N765" t="str">
        <f t="shared" si="33"/>
        <v>Under 40</v>
      </c>
      <c r="O765" t="str">
        <f t="shared" si="34"/>
        <v>Obese</v>
      </c>
    </row>
    <row r="766" spans="1:15" x14ac:dyDescent="0.3">
      <c r="A766">
        <v>45283</v>
      </c>
      <c r="B766" t="s">
        <v>7</v>
      </c>
      <c r="C766">
        <v>31</v>
      </c>
      <c r="D766">
        <v>0</v>
      </c>
      <c r="E766">
        <v>0</v>
      </c>
      <c r="F766" t="str">
        <f t="shared" si="35"/>
        <v>Lower Risk</v>
      </c>
      <c r="G766" t="s">
        <v>3</v>
      </c>
      <c r="H766" t="s">
        <v>4</v>
      </c>
      <c r="I766" t="s">
        <v>5</v>
      </c>
      <c r="J766">
        <v>106.18</v>
      </c>
      <c r="K766">
        <v>27</v>
      </c>
      <c r="L766" t="s">
        <v>12</v>
      </c>
      <c r="M766">
        <v>0</v>
      </c>
      <c r="N766" t="str">
        <f t="shared" si="33"/>
        <v>Under 40</v>
      </c>
      <c r="O766" t="str">
        <f t="shared" si="34"/>
        <v>Overweight</v>
      </c>
    </row>
    <row r="767" spans="1:15" x14ac:dyDescent="0.3">
      <c r="A767">
        <v>42503</v>
      </c>
      <c r="B767" t="s">
        <v>7</v>
      </c>
      <c r="C767">
        <v>56</v>
      </c>
      <c r="D767">
        <v>0</v>
      </c>
      <c r="E767">
        <v>0</v>
      </c>
      <c r="F767" t="str">
        <f t="shared" si="35"/>
        <v>Lower Risk</v>
      </c>
      <c r="G767" t="s">
        <v>3</v>
      </c>
      <c r="H767" t="s">
        <v>4</v>
      </c>
      <c r="I767" t="s">
        <v>9</v>
      </c>
      <c r="J767">
        <v>114.21</v>
      </c>
      <c r="K767">
        <v>21.3</v>
      </c>
      <c r="L767" t="s">
        <v>11</v>
      </c>
      <c r="M767">
        <v>0</v>
      </c>
      <c r="N767" t="str">
        <f t="shared" si="33"/>
        <v>40–59</v>
      </c>
      <c r="O767" t="str">
        <f t="shared" si="34"/>
        <v>Normal</v>
      </c>
    </row>
    <row r="768" spans="1:15" x14ac:dyDescent="0.3">
      <c r="A768">
        <v>23645</v>
      </c>
      <c r="B768" t="s">
        <v>7</v>
      </c>
      <c r="C768">
        <v>31</v>
      </c>
      <c r="D768">
        <v>0</v>
      </c>
      <c r="E768">
        <v>0</v>
      </c>
      <c r="F768" t="str">
        <f t="shared" si="35"/>
        <v>Lower Risk</v>
      </c>
      <c r="G768" t="s">
        <v>13</v>
      </c>
      <c r="H768" t="s">
        <v>4</v>
      </c>
      <c r="I768" t="s">
        <v>9</v>
      </c>
      <c r="J768">
        <v>91.08</v>
      </c>
      <c r="K768">
        <v>34.299999999999997</v>
      </c>
      <c r="L768" t="s">
        <v>11</v>
      </c>
      <c r="M768">
        <v>0</v>
      </c>
      <c r="N768" t="str">
        <f t="shared" si="33"/>
        <v>Under 40</v>
      </c>
      <c r="O768" t="str">
        <f t="shared" si="34"/>
        <v>Obese</v>
      </c>
    </row>
    <row r="769" spans="1:15" x14ac:dyDescent="0.3">
      <c r="A769">
        <v>62382</v>
      </c>
      <c r="B769" t="s">
        <v>2</v>
      </c>
      <c r="C769">
        <v>82</v>
      </c>
      <c r="D769">
        <v>0</v>
      </c>
      <c r="E769">
        <v>0</v>
      </c>
      <c r="F769" t="str">
        <f t="shared" si="35"/>
        <v>Moderate Risk</v>
      </c>
      <c r="G769" t="s">
        <v>3</v>
      </c>
      <c r="H769" t="s">
        <v>4</v>
      </c>
      <c r="I769" t="s">
        <v>5</v>
      </c>
      <c r="J769">
        <v>105.77</v>
      </c>
      <c r="K769">
        <v>29.5</v>
      </c>
      <c r="L769" t="s">
        <v>14</v>
      </c>
      <c r="M769">
        <v>0</v>
      </c>
      <c r="N769" t="str">
        <f t="shared" si="33"/>
        <v>60+</v>
      </c>
      <c r="O769" t="str">
        <f t="shared" si="34"/>
        <v>Overweight</v>
      </c>
    </row>
    <row r="770" spans="1:15" x14ac:dyDescent="0.3">
      <c r="A770">
        <v>59521</v>
      </c>
      <c r="B770" t="s">
        <v>2</v>
      </c>
      <c r="C770">
        <v>33</v>
      </c>
      <c r="D770">
        <v>0</v>
      </c>
      <c r="E770">
        <v>0</v>
      </c>
      <c r="F770" t="str">
        <f t="shared" si="35"/>
        <v>Lower Risk</v>
      </c>
      <c r="G770" t="s">
        <v>3</v>
      </c>
      <c r="H770" t="s">
        <v>4</v>
      </c>
      <c r="I770" t="s">
        <v>9</v>
      </c>
      <c r="J770">
        <v>74.88</v>
      </c>
      <c r="K770">
        <v>31.6</v>
      </c>
      <c r="L770" t="s">
        <v>12</v>
      </c>
      <c r="M770">
        <v>0</v>
      </c>
      <c r="N770" t="str">
        <f t="shared" ref="N770:N833" si="36">IF(C770&lt;40,"Under 40",IF(C770&lt;60,"40–59","60+"))</f>
        <v>Under 40</v>
      </c>
      <c r="O770" t="str">
        <f t="shared" ref="O770:O833" si="37">IF(K770="N/A","Unknown",
IF(K770="","Unknown",
IF(K770&lt;18.5,"Underweight",
IF(K770&lt;25,"Normal",
IF(K770&lt;30,"Overweight","Obese")))))</f>
        <v>Obese</v>
      </c>
    </row>
    <row r="771" spans="1:15" x14ac:dyDescent="0.3">
      <c r="A771">
        <v>55386</v>
      </c>
      <c r="B771" t="s">
        <v>2</v>
      </c>
      <c r="C771">
        <v>42</v>
      </c>
      <c r="D771">
        <v>0</v>
      </c>
      <c r="E771">
        <v>0</v>
      </c>
      <c r="F771" t="str">
        <f t="shared" ref="F771:F834" si="38">IF(C771&gt;=60,
IF(OR(D771=1,E771=1),"High Risk","Moderate Risk"),
"Lower Risk")</f>
        <v>Lower Risk</v>
      </c>
      <c r="G771" t="s">
        <v>3</v>
      </c>
      <c r="H771" t="s">
        <v>4</v>
      </c>
      <c r="I771" t="s">
        <v>9</v>
      </c>
      <c r="J771">
        <v>123.15</v>
      </c>
      <c r="K771">
        <v>26.1</v>
      </c>
      <c r="L771" t="s">
        <v>12</v>
      </c>
      <c r="M771">
        <v>0</v>
      </c>
      <c r="N771" t="str">
        <f t="shared" si="36"/>
        <v>40–59</v>
      </c>
      <c r="O771" t="str">
        <f t="shared" si="37"/>
        <v>Overweight</v>
      </c>
    </row>
    <row r="772" spans="1:15" x14ac:dyDescent="0.3">
      <c r="A772">
        <v>22685</v>
      </c>
      <c r="B772" t="s">
        <v>2</v>
      </c>
      <c r="C772">
        <v>20</v>
      </c>
      <c r="D772">
        <v>0</v>
      </c>
      <c r="E772">
        <v>0</v>
      </c>
      <c r="F772" t="str">
        <f t="shared" si="38"/>
        <v>Lower Risk</v>
      </c>
      <c r="G772" t="s">
        <v>13</v>
      </c>
      <c r="H772" t="s">
        <v>4</v>
      </c>
      <c r="I772" t="s">
        <v>9</v>
      </c>
      <c r="J772">
        <v>184.25</v>
      </c>
      <c r="K772">
        <v>27.5</v>
      </c>
      <c r="L772" t="s">
        <v>11</v>
      </c>
      <c r="M772">
        <v>0</v>
      </c>
      <c r="N772" t="str">
        <f t="shared" si="36"/>
        <v>Under 40</v>
      </c>
      <c r="O772" t="str">
        <f t="shared" si="37"/>
        <v>Overweight</v>
      </c>
    </row>
    <row r="773" spans="1:15" x14ac:dyDescent="0.3">
      <c r="A773">
        <v>46745</v>
      </c>
      <c r="B773" t="s">
        <v>2</v>
      </c>
      <c r="C773">
        <v>22</v>
      </c>
      <c r="D773">
        <v>0</v>
      </c>
      <c r="E773">
        <v>0</v>
      </c>
      <c r="F773" t="str">
        <f t="shared" si="38"/>
        <v>Lower Risk</v>
      </c>
      <c r="G773" t="s">
        <v>3</v>
      </c>
      <c r="H773" t="s">
        <v>15</v>
      </c>
      <c r="I773" t="s">
        <v>9</v>
      </c>
      <c r="J773">
        <v>117.69</v>
      </c>
      <c r="K773">
        <v>26.5</v>
      </c>
      <c r="L773" t="s">
        <v>11</v>
      </c>
      <c r="M773">
        <v>0</v>
      </c>
      <c r="N773" t="str">
        <f t="shared" si="36"/>
        <v>Under 40</v>
      </c>
      <c r="O773" t="str">
        <f t="shared" si="37"/>
        <v>Overweight</v>
      </c>
    </row>
    <row r="774" spans="1:15" x14ac:dyDescent="0.3">
      <c r="A774">
        <v>72547</v>
      </c>
      <c r="B774" t="s">
        <v>2</v>
      </c>
      <c r="C774">
        <v>61</v>
      </c>
      <c r="D774">
        <v>0</v>
      </c>
      <c r="E774">
        <v>0</v>
      </c>
      <c r="F774" t="str">
        <f t="shared" si="38"/>
        <v>Moderate Risk</v>
      </c>
      <c r="G774" t="s">
        <v>3</v>
      </c>
      <c r="H774" t="s">
        <v>4</v>
      </c>
      <c r="I774" t="s">
        <v>9</v>
      </c>
      <c r="J774">
        <v>55.26</v>
      </c>
      <c r="K774">
        <v>33.200000000000003</v>
      </c>
      <c r="L774" t="s">
        <v>14</v>
      </c>
      <c r="M774">
        <v>0</v>
      </c>
      <c r="N774" t="str">
        <f t="shared" si="36"/>
        <v>60+</v>
      </c>
      <c r="O774" t="str">
        <f t="shared" si="37"/>
        <v>Obese</v>
      </c>
    </row>
    <row r="775" spans="1:15" x14ac:dyDescent="0.3">
      <c r="A775">
        <v>26973</v>
      </c>
      <c r="B775" t="s">
        <v>7</v>
      </c>
      <c r="C775">
        <v>31</v>
      </c>
      <c r="D775">
        <v>0</v>
      </c>
      <c r="E775">
        <v>0</v>
      </c>
      <c r="F775" t="str">
        <f t="shared" si="38"/>
        <v>Lower Risk</v>
      </c>
      <c r="G775" t="s">
        <v>3</v>
      </c>
      <c r="H775" t="s">
        <v>4</v>
      </c>
      <c r="I775" t="s">
        <v>5</v>
      </c>
      <c r="J775">
        <v>106.51</v>
      </c>
      <c r="K775">
        <v>40.200000000000003</v>
      </c>
      <c r="L775" t="s">
        <v>11</v>
      </c>
      <c r="M775">
        <v>0</v>
      </c>
      <c r="N775" t="str">
        <f t="shared" si="36"/>
        <v>Under 40</v>
      </c>
      <c r="O775" t="str">
        <f t="shared" si="37"/>
        <v>Obese</v>
      </c>
    </row>
    <row r="776" spans="1:15" x14ac:dyDescent="0.3">
      <c r="A776">
        <v>41033</v>
      </c>
      <c r="B776" t="s">
        <v>7</v>
      </c>
      <c r="C776">
        <v>31</v>
      </c>
      <c r="D776">
        <v>0</v>
      </c>
      <c r="E776">
        <v>0</v>
      </c>
      <c r="F776" t="str">
        <f t="shared" si="38"/>
        <v>Lower Risk</v>
      </c>
      <c r="G776" t="s">
        <v>3</v>
      </c>
      <c r="H776" t="s">
        <v>15</v>
      </c>
      <c r="I776" t="s">
        <v>9</v>
      </c>
      <c r="J776">
        <v>55.27</v>
      </c>
      <c r="K776">
        <v>32.5</v>
      </c>
      <c r="L776" t="s">
        <v>6</v>
      </c>
      <c r="M776">
        <v>0</v>
      </c>
      <c r="N776" t="str">
        <f t="shared" si="36"/>
        <v>Under 40</v>
      </c>
      <c r="O776" t="str">
        <f t="shared" si="37"/>
        <v>Obese</v>
      </c>
    </row>
    <row r="777" spans="1:15" x14ac:dyDescent="0.3">
      <c r="A777">
        <v>5046</v>
      </c>
      <c r="B777" t="s">
        <v>2</v>
      </c>
      <c r="C777">
        <v>17</v>
      </c>
      <c r="D777">
        <v>0</v>
      </c>
      <c r="E777">
        <v>0</v>
      </c>
      <c r="F777" t="str">
        <f t="shared" si="38"/>
        <v>Lower Risk</v>
      </c>
      <c r="G777" t="s">
        <v>13</v>
      </c>
      <c r="H777" t="s">
        <v>8</v>
      </c>
      <c r="I777" t="s">
        <v>5</v>
      </c>
      <c r="J777">
        <v>98.42</v>
      </c>
      <c r="K777">
        <v>23.4</v>
      </c>
      <c r="L777" t="s">
        <v>14</v>
      </c>
      <c r="M777">
        <v>0</v>
      </c>
      <c r="N777" t="str">
        <f t="shared" si="36"/>
        <v>Under 40</v>
      </c>
      <c r="O777" t="str">
        <f t="shared" si="37"/>
        <v>Normal</v>
      </c>
    </row>
    <row r="778" spans="1:15" x14ac:dyDescent="0.3">
      <c r="A778">
        <v>71442</v>
      </c>
      <c r="B778" t="s">
        <v>7</v>
      </c>
      <c r="C778">
        <v>30</v>
      </c>
      <c r="D778">
        <v>0</v>
      </c>
      <c r="E778">
        <v>0</v>
      </c>
      <c r="F778" t="str">
        <f t="shared" si="38"/>
        <v>Lower Risk</v>
      </c>
      <c r="G778" t="s">
        <v>3</v>
      </c>
      <c r="H778" t="s">
        <v>4</v>
      </c>
      <c r="I778" t="s">
        <v>9</v>
      </c>
      <c r="J778">
        <v>99.2</v>
      </c>
      <c r="K778">
        <v>32.5</v>
      </c>
      <c r="L778" t="s">
        <v>11</v>
      </c>
      <c r="M778">
        <v>0</v>
      </c>
      <c r="N778" t="str">
        <f t="shared" si="36"/>
        <v>Under 40</v>
      </c>
      <c r="O778" t="str">
        <f t="shared" si="37"/>
        <v>Obese</v>
      </c>
    </row>
    <row r="779" spans="1:15" x14ac:dyDescent="0.3">
      <c r="A779">
        <v>49624</v>
      </c>
      <c r="B779" t="s">
        <v>2</v>
      </c>
      <c r="C779">
        <v>69</v>
      </c>
      <c r="D779">
        <v>0</v>
      </c>
      <c r="E779">
        <v>0</v>
      </c>
      <c r="F779" t="str">
        <f t="shared" si="38"/>
        <v>Moderate Risk</v>
      </c>
      <c r="G779" t="s">
        <v>3</v>
      </c>
      <c r="H779" t="s">
        <v>4</v>
      </c>
      <c r="I779" t="s">
        <v>5</v>
      </c>
      <c r="J779">
        <v>98.92</v>
      </c>
      <c r="K779">
        <v>23.9</v>
      </c>
      <c r="L779" t="s">
        <v>6</v>
      </c>
      <c r="M779">
        <v>0</v>
      </c>
      <c r="N779" t="str">
        <f t="shared" si="36"/>
        <v>60+</v>
      </c>
      <c r="O779" t="str">
        <f t="shared" si="37"/>
        <v>Normal</v>
      </c>
    </row>
    <row r="780" spans="1:15" x14ac:dyDescent="0.3">
      <c r="A780">
        <v>10572</v>
      </c>
      <c r="B780" t="s">
        <v>7</v>
      </c>
      <c r="C780">
        <v>63</v>
      </c>
      <c r="D780">
        <v>0</v>
      </c>
      <c r="E780">
        <v>0</v>
      </c>
      <c r="F780" t="str">
        <f t="shared" si="38"/>
        <v>Moderate Risk</v>
      </c>
      <c r="G780" t="s">
        <v>3</v>
      </c>
      <c r="H780" t="s">
        <v>4</v>
      </c>
      <c r="I780" t="s">
        <v>9</v>
      </c>
      <c r="J780">
        <v>92.7</v>
      </c>
      <c r="K780">
        <v>29.5</v>
      </c>
      <c r="L780" t="s">
        <v>11</v>
      </c>
      <c r="M780">
        <v>0</v>
      </c>
      <c r="N780" t="str">
        <f t="shared" si="36"/>
        <v>60+</v>
      </c>
      <c r="O780" t="str">
        <f t="shared" si="37"/>
        <v>Overweight</v>
      </c>
    </row>
    <row r="781" spans="1:15" x14ac:dyDescent="0.3">
      <c r="A781">
        <v>55847</v>
      </c>
      <c r="B781" t="s">
        <v>2</v>
      </c>
      <c r="C781">
        <v>19</v>
      </c>
      <c r="D781">
        <v>0</v>
      </c>
      <c r="E781">
        <v>0</v>
      </c>
      <c r="F781" t="str">
        <f t="shared" si="38"/>
        <v>Lower Risk</v>
      </c>
      <c r="G781" t="s">
        <v>13</v>
      </c>
      <c r="H781" t="s">
        <v>4</v>
      </c>
      <c r="I781" t="s">
        <v>9</v>
      </c>
      <c r="J781">
        <v>106.7</v>
      </c>
      <c r="K781">
        <v>24</v>
      </c>
      <c r="L781" t="s">
        <v>11</v>
      </c>
      <c r="M781">
        <v>0</v>
      </c>
      <c r="N781" t="str">
        <f t="shared" si="36"/>
        <v>Under 40</v>
      </c>
      <c r="O781" t="str">
        <f t="shared" si="37"/>
        <v>Normal</v>
      </c>
    </row>
    <row r="782" spans="1:15" x14ac:dyDescent="0.3">
      <c r="A782">
        <v>42441</v>
      </c>
      <c r="B782" t="s">
        <v>2</v>
      </c>
      <c r="C782">
        <v>7</v>
      </c>
      <c r="D782">
        <v>0</v>
      </c>
      <c r="E782">
        <v>0</v>
      </c>
      <c r="F782" t="str">
        <f t="shared" si="38"/>
        <v>Lower Risk</v>
      </c>
      <c r="G782" t="s">
        <v>13</v>
      </c>
      <c r="H782" t="s">
        <v>16</v>
      </c>
      <c r="I782" t="s">
        <v>5</v>
      </c>
      <c r="J782">
        <v>152.81</v>
      </c>
      <c r="K782">
        <v>17.7</v>
      </c>
      <c r="L782" t="s">
        <v>14</v>
      </c>
      <c r="M782">
        <v>0</v>
      </c>
      <c r="N782" t="str">
        <f t="shared" si="36"/>
        <v>Under 40</v>
      </c>
      <c r="O782" t="str">
        <f t="shared" si="37"/>
        <v>Underweight</v>
      </c>
    </row>
    <row r="783" spans="1:15" x14ac:dyDescent="0.3">
      <c r="A783">
        <v>28910</v>
      </c>
      <c r="B783" t="s">
        <v>7</v>
      </c>
      <c r="C783">
        <v>51</v>
      </c>
      <c r="D783">
        <v>0</v>
      </c>
      <c r="E783">
        <v>0</v>
      </c>
      <c r="F783" t="str">
        <f t="shared" si="38"/>
        <v>Lower Risk</v>
      </c>
      <c r="G783" t="s">
        <v>3</v>
      </c>
      <c r="H783" t="s">
        <v>4</v>
      </c>
      <c r="I783" t="s">
        <v>5</v>
      </c>
      <c r="J783">
        <v>82.59</v>
      </c>
      <c r="K783">
        <v>26.2</v>
      </c>
      <c r="L783" t="s">
        <v>6</v>
      </c>
      <c r="M783">
        <v>0</v>
      </c>
      <c r="N783" t="str">
        <f t="shared" si="36"/>
        <v>40–59</v>
      </c>
      <c r="O783" t="str">
        <f t="shared" si="37"/>
        <v>Overweight</v>
      </c>
    </row>
    <row r="784" spans="1:15" x14ac:dyDescent="0.3">
      <c r="A784">
        <v>10381</v>
      </c>
      <c r="B784" t="s">
        <v>7</v>
      </c>
      <c r="C784">
        <v>38</v>
      </c>
      <c r="D784">
        <v>1</v>
      </c>
      <c r="E784">
        <v>0</v>
      </c>
      <c r="F784" t="str">
        <f t="shared" si="38"/>
        <v>Lower Risk</v>
      </c>
      <c r="G784" t="s">
        <v>3</v>
      </c>
      <c r="H784" t="s">
        <v>8</v>
      </c>
      <c r="I784" t="s">
        <v>5</v>
      </c>
      <c r="J784">
        <v>91</v>
      </c>
      <c r="K784">
        <v>33.299999999999997</v>
      </c>
      <c r="L784" t="s">
        <v>11</v>
      </c>
      <c r="M784">
        <v>0</v>
      </c>
      <c r="N784" t="str">
        <f t="shared" si="36"/>
        <v>Under 40</v>
      </c>
      <c r="O784" t="str">
        <f t="shared" si="37"/>
        <v>Obese</v>
      </c>
    </row>
    <row r="785" spans="1:15" x14ac:dyDescent="0.3">
      <c r="A785">
        <v>14387</v>
      </c>
      <c r="B785" t="s">
        <v>2</v>
      </c>
      <c r="C785">
        <v>2</v>
      </c>
      <c r="D785">
        <v>0</v>
      </c>
      <c r="E785">
        <v>0</v>
      </c>
      <c r="F785" t="str">
        <f t="shared" si="38"/>
        <v>Lower Risk</v>
      </c>
      <c r="G785" t="s">
        <v>13</v>
      </c>
      <c r="H785" t="s">
        <v>16</v>
      </c>
      <c r="I785" t="s">
        <v>5</v>
      </c>
      <c r="J785">
        <v>93.88</v>
      </c>
      <c r="K785">
        <v>17.399999999999999</v>
      </c>
      <c r="L785" t="s">
        <v>14</v>
      </c>
      <c r="M785">
        <v>0</v>
      </c>
      <c r="N785" t="str">
        <f t="shared" si="36"/>
        <v>Under 40</v>
      </c>
      <c r="O785" t="str">
        <f t="shared" si="37"/>
        <v>Underweight</v>
      </c>
    </row>
    <row r="786" spans="1:15" x14ac:dyDescent="0.3">
      <c r="A786">
        <v>31956</v>
      </c>
      <c r="B786" t="s">
        <v>7</v>
      </c>
      <c r="C786">
        <v>58</v>
      </c>
      <c r="D786">
        <v>0</v>
      </c>
      <c r="E786">
        <v>0</v>
      </c>
      <c r="F786" t="str">
        <f t="shared" si="38"/>
        <v>Lower Risk</v>
      </c>
      <c r="G786" t="s">
        <v>3</v>
      </c>
      <c r="H786" t="s">
        <v>4</v>
      </c>
      <c r="I786" t="s">
        <v>5</v>
      </c>
      <c r="J786">
        <v>76.989999999999995</v>
      </c>
      <c r="K786">
        <v>29</v>
      </c>
      <c r="L786" t="s">
        <v>11</v>
      </c>
      <c r="M786">
        <v>0</v>
      </c>
      <c r="N786" t="str">
        <f t="shared" si="36"/>
        <v>40–59</v>
      </c>
      <c r="O786" t="str">
        <f t="shared" si="37"/>
        <v>Overweight</v>
      </c>
    </row>
    <row r="787" spans="1:15" x14ac:dyDescent="0.3">
      <c r="A787">
        <v>17813</v>
      </c>
      <c r="B787" t="s">
        <v>7</v>
      </c>
      <c r="C787">
        <v>69</v>
      </c>
      <c r="D787">
        <v>0</v>
      </c>
      <c r="E787">
        <v>1</v>
      </c>
      <c r="F787" t="str">
        <f t="shared" si="38"/>
        <v>High Risk</v>
      </c>
      <c r="G787" t="s">
        <v>3</v>
      </c>
      <c r="H787" t="s">
        <v>4</v>
      </c>
      <c r="I787" t="s">
        <v>9</v>
      </c>
      <c r="J787">
        <v>254.6</v>
      </c>
      <c r="K787">
        <v>21.7</v>
      </c>
      <c r="L787" t="s">
        <v>14</v>
      </c>
      <c r="M787">
        <v>0</v>
      </c>
      <c r="N787" t="str">
        <f t="shared" si="36"/>
        <v>60+</v>
      </c>
      <c r="O787" t="str">
        <f t="shared" si="37"/>
        <v>Normal</v>
      </c>
    </row>
    <row r="788" spans="1:15" x14ac:dyDescent="0.3">
      <c r="A788">
        <v>24665</v>
      </c>
      <c r="B788" t="s">
        <v>7</v>
      </c>
      <c r="C788">
        <v>64</v>
      </c>
      <c r="D788">
        <v>1</v>
      </c>
      <c r="E788">
        <v>0</v>
      </c>
      <c r="F788" t="str">
        <f t="shared" si="38"/>
        <v>High Risk</v>
      </c>
      <c r="G788" t="s">
        <v>3</v>
      </c>
      <c r="H788" t="s">
        <v>4</v>
      </c>
      <c r="I788" t="s">
        <v>9</v>
      </c>
      <c r="J788">
        <v>93.99</v>
      </c>
      <c r="K788">
        <v>37.799999999999997</v>
      </c>
      <c r="L788" t="s">
        <v>6</v>
      </c>
      <c r="M788">
        <v>0</v>
      </c>
      <c r="N788" t="str">
        <f t="shared" si="36"/>
        <v>60+</v>
      </c>
      <c r="O788" t="str">
        <f t="shared" si="37"/>
        <v>Obese</v>
      </c>
    </row>
    <row r="789" spans="1:15" x14ac:dyDescent="0.3">
      <c r="A789">
        <v>13683</v>
      </c>
      <c r="B789" t="s">
        <v>7</v>
      </c>
      <c r="C789">
        <v>31</v>
      </c>
      <c r="D789">
        <v>0</v>
      </c>
      <c r="E789">
        <v>0</v>
      </c>
      <c r="F789" t="str">
        <f t="shared" si="38"/>
        <v>Lower Risk</v>
      </c>
      <c r="G789" t="s">
        <v>3</v>
      </c>
      <c r="H789" t="s">
        <v>4</v>
      </c>
      <c r="I789" t="s">
        <v>5</v>
      </c>
      <c r="J789">
        <v>109.68</v>
      </c>
      <c r="K789">
        <v>41.8</v>
      </c>
      <c r="L789" t="s">
        <v>11</v>
      </c>
      <c r="M789">
        <v>0</v>
      </c>
      <c r="N789" t="str">
        <f t="shared" si="36"/>
        <v>Under 40</v>
      </c>
      <c r="O789" t="str">
        <f t="shared" si="37"/>
        <v>Obese</v>
      </c>
    </row>
    <row r="790" spans="1:15" x14ac:dyDescent="0.3">
      <c r="A790">
        <v>7387</v>
      </c>
      <c r="B790" t="s">
        <v>7</v>
      </c>
      <c r="C790">
        <v>59</v>
      </c>
      <c r="D790">
        <v>1</v>
      </c>
      <c r="E790">
        <v>0</v>
      </c>
      <c r="F790" t="str">
        <f t="shared" si="38"/>
        <v>Lower Risk</v>
      </c>
      <c r="G790" t="s">
        <v>3</v>
      </c>
      <c r="H790" t="s">
        <v>4</v>
      </c>
      <c r="I790" t="s">
        <v>9</v>
      </c>
      <c r="J790">
        <v>92.04</v>
      </c>
      <c r="K790">
        <v>24.2</v>
      </c>
      <c r="L790" t="s">
        <v>11</v>
      </c>
      <c r="M790">
        <v>0</v>
      </c>
      <c r="N790" t="str">
        <f t="shared" si="36"/>
        <v>40–59</v>
      </c>
      <c r="O790" t="str">
        <f t="shared" si="37"/>
        <v>Normal</v>
      </c>
    </row>
    <row r="791" spans="1:15" x14ac:dyDescent="0.3">
      <c r="A791">
        <v>57011</v>
      </c>
      <c r="B791" t="s">
        <v>7</v>
      </c>
      <c r="C791">
        <v>54</v>
      </c>
      <c r="D791">
        <v>0</v>
      </c>
      <c r="E791">
        <v>0</v>
      </c>
      <c r="F791" t="str">
        <f t="shared" si="38"/>
        <v>Lower Risk</v>
      </c>
      <c r="G791" t="s">
        <v>3</v>
      </c>
      <c r="H791" t="s">
        <v>4</v>
      </c>
      <c r="I791" t="s">
        <v>9</v>
      </c>
      <c r="J791">
        <v>111.41</v>
      </c>
      <c r="K791">
        <v>31.1</v>
      </c>
      <c r="L791" t="s">
        <v>11</v>
      </c>
      <c r="M791">
        <v>0</v>
      </c>
      <c r="N791" t="str">
        <f t="shared" si="36"/>
        <v>40–59</v>
      </c>
      <c r="O791" t="str">
        <f t="shared" si="37"/>
        <v>Obese</v>
      </c>
    </row>
    <row r="792" spans="1:15" x14ac:dyDescent="0.3">
      <c r="A792">
        <v>22384</v>
      </c>
      <c r="B792" t="s">
        <v>7</v>
      </c>
      <c r="C792">
        <v>24</v>
      </c>
      <c r="D792">
        <v>0</v>
      </c>
      <c r="E792">
        <v>0</v>
      </c>
      <c r="F792" t="str">
        <f t="shared" si="38"/>
        <v>Lower Risk</v>
      </c>
      <c r="G792" t="s">
        <v>3</v>
      </c>
      <c r="H792" t="s">
        <v>4</v>
      </c>
      <c r="I792" t="s">
        <v>9</v>
      </c>
      <c r="J792">
        <v>97.92</v>
      </c>
      <c r="K792">
        <v>23.1</v>
      </c>
      <c r="L792" t="s">
        <v>11</v>
      </c>
      <c r="M792">
        <v>0</v>
      </c>
      <c r="N792" t="str">
        <f t="shared" si="36"/>
        <v>Under 40</v>
      </c>
      <c r="O792" t="str">
        <f t="shared" si="37"/>
        <v>Normal</v>
      </c>
    </row>
    <row r="793" spans="1:15" x14ac:dyDescent="0.3">
      <c r="A793">
        <v>24108</v>
      </c>
      <c r="B793" t="s">
        <v>2</v>
      </c>
      <c r="C793">
        <v>19</v>
      </c>
      <c r="D793">
        <v>0</v>
      </c>
      <c r="E793">
        <v>0</v>
      </c>
      <c r="F793" t="str">
        <f t="shared" si="38"/>
        <v>Lower Risk</v>
      </c>
      <c r="G793" t="s">
        <v>13</v>
      </c>
      <c r="H793" t="s">
        <v>4</v>
      </c>
      <c r="I793" t="s">
        <v>5</v>
      </c>
      <c r="J793">
        <v>65.61</v>
      </c>
      <c r="K793">
        <v>25.1</v>
      </c>
      <c r="L793" t="s">
        <v>14</v>
      </c>
      <c r="M793">
        <v>0</v>
      </c>
      <c r="N793" t="str">
        <f t="shared" si="36"/>
        <v>Under 40</v>
      </c>
      <c r="O793" t="str">
        <f t="shared" si="37"/>
        <v>Overweight</v>
      </c>
    </row>
    <row r="794" spans="1:15" x14ac:dyDescent="0.3">
      <c r="A794">
        <v>50053</v>
      </c>
      <c r="B794" t="s">
        <v>2</v>
      </c>
      <c r="C794">
        <v>17</v>
      </c>
      <c r="D794">
        <v>0</v>
      </c>
      <c r="E794">
        <v>0</v>
      </c>
      <c r="F794" t="str">
        <f t="shared" si="38"/>
        <v>Lower Risk</v>
      </c>
      <c r="G794" t="s">
        <v>13</v>
      </c>
      <c r="H794" t="s">
        <v>4</v>
      </c>
      <c r="I794" t="s">
        <v>5</v>
      </c>
      <c r="J794">
        <v>62.37</v>
      </c>
      <c r="K794">
        <v>41.3</v>
      </c>
      <c r="L794" t="s">
        <v>11</v>
      </c>
      <c r="M794">
        <v>0</v>
      </c>
      <c r="N794" t="str">
        <f t="shared" si="36"/>
        <v>Under 40</v>
      </c>
      <c r="O794" t="str">
        <f t="shared" si="37"/>
        <v>Obese</v>
      </c>
    </row>
    <row r="795" spans="1:15" x14ac:dyDescent="0.3">
      <c r="A795">
        <v>69427</v>
      </c>
      <c r="B795" t="s">
        <v>7</v>
      </c>
      <c r="C795">
        <v>29</v>
      </c>
      <c r="D795">
        <v>0</v>
      </c>
      <c r="E795">
        <v>0</v>
      </c>
      <c r="F795" t="str">
        <f t="shared" si="38"/>
        <v>Lower Risk</v>
      </c>
      <c r="G795" t="s">
        <v>13</v>
      </c>
      <c r="H795" t="s">
        <v>4</v>
      </c>
      <c r="I795" t="s">
        <v>5</v>
      </c>
      <c r="J795">
        <v>101.28</v>
      </c>
      <c r="K795">
        <v>22.7</v>
      </c>
      <c r="L795" t="s">
        <v>11</v>
      </c>
      <c r="M795">
        <v>0</v>
      </c>
      <c r="N795" t="str">
        <f t="shared" si="36"/>
        <v>Under 40</v>
      </c>
      <c r="O795" t="str">
        <f t="shared" si="37"/>
        <v>Normal</v>
      </c>
    </row>
    <row r="796" spans="1:15" x14ac:dyDescent="0.3">
      <c r="A796">
        <v>21688</v>
      </c>
      <c r="B796" t="s">
        <v>7</v>
      </c>
      <c r="C796">
        <v>42</v>
      </c>
      <c r="D796">
        <v>0</v>
      </c>
      <c r="E796">
        <v>0</v>
      </c>
      <c r="F796" t="str">
        <f t="shared" si="38"/>
        <v>Lower Risk</v>
      </c>
      <c r="G796" t="s">
        <v>3</v>
      </c>
      <c r="H796" t="s">
        <v>4</v>
      </c>
      <c r="I796" t="s">
        <v>9</v>
      </c>
      <c r="J796">
        <v>88.31</v>
      </c>
      <c r="K796">
        <v>24</v>
      </c>
      <c r="L796" t="s">
        <v>12</v>
      </c>
      <c r="M796">
        <v>0</v>
      </c>
      <c r="N796" t="str">
        <f t="shared" si="36"/>
        <v>40–59</v>
      </c>
      <c r="O796" t="str">
        <f t="shared" si="37"/>
        <v>Normal</v>
      </c>
    </row>
    <row r="797" spans="1:15" x14ac:dyDescent="0.3">
      <c r="A797">
        <v>60777</v>
      </c>
      <c r="B797" t="s">
        <v>7</v>
      </c>
      <c r="C797">
        <v>31</v>
      </c>
      <c r="D797">
        <v>0</v>
      </c>
      <c r="E797">
        <v>0</v>
      </c>
      <c r="F797" t="str">
        <f t="shared" si="38"/>
        <v>Lower Risk</v>
      </c>
      <c r="G797" t="s">
        <v>3</v>
      </c>
      <c r="H797" t="s">
        <v>15</v>
      </c>
      <c r="I797" t="s">
        <v>9</v>
      </c>
      <c r="J797">
        <v>103.55</v>
      </c>
      <c r="K797">
        <v>20.5</v>
      </c>
      <c r="L797" t="s">
        <v>6</v>
      </c>
      <c r="M797">
        <v>0</v>
      </c>
      <c r="N797" t="str">
        <f t="shared" si="36"/>
        <v>Under 40</v>
      </c>
      <c r="O797" t="str">
        <f t="shared" si="37"/>
        <v>Normal</v>
      </c>
    </row>
    <row r="798" spans="1:15" x14ac:dyDescent="0.3">
      <c r="A798">
        <v>64732</v>
      </c>
      <c r="B798" t="s">
        <v>7</v>
      </c>
      <c r="C798">
        <v>29</v>
      </c>
      <c r="D798">
        <v>0</v>
      </c>
      <c r="E798">
        <v>0</v>
      </c>
      <c r="F798" t="str">
        <f t="shared" si="38"/>
        <v>Lower Risk</v>
      </c>
      <c r="G798" t="s">
        <v>13</v>
      </c>
      <c r="H798" t="s">
        <v>4</v>
      </c>
      <c r="I798" t="s">
        <v>5</v>
      </c>
      <c r="J798">
        <v>60.26</v>
      </c>
      <c r="K798">
        <v>20.399999999999999</v>
      </c>
      <c r="L798" t="s">
        <v>11</v>
      </c>
      <c r="M798">
        <v>0</v>
      </c>
      <c r="N798" t="str">
        <f t="shared" si="36"/>
        <v>Under 40</v>
      </c>
      <c r="O798" t="str">
        <f t="shared" si="37"/>
        <v>Normal</v>
      </c>
    </row>
    <row r="799" spans="1:15" x14ac:dyDescent="0.3">
      <c r="A799">
        <v>42710</v>
      </c>
      <c r="B799" t="s">
        <v>7</v>
      </c>
      <c r="C799">
        <v>23</v>
      </c>
      <c r="D799">
        <v>0</v>
      </c>
      <c r="E799">
        <v>0</v>
      </c>
      <c r="F799" t="str">
        <f t="shared" si="38"/>
        <v>Lower Risk</v>
      </c>
      <c r="G799" t="s">
        <v>13</v>
      </c>
      <c r="H799" t="s">
        <v>4</v>
      </c>
      <c r="I799" t="s">
        <v>5</v>
      </c>
      <c r="J799">
        <v>79.39</v>
      </c>
      <c r="K799">
        <v>27.6</v>
      </c>
      <c r="L799" t="s">
        <v>11</v>
      </c>
      <c r="M799">
        <v>0</v>
      </c>
      <c r="N799" t="str">
        <f t="shared" si="36"/>
        <v>Under 40</v>
      </c>
      <c r="O799" t="str">
        <f t="shared" si="37"/>
        <v>Overweight</v>
      </c>
    </row>
    <row r="800" spans="1:15" x14ac:dyDescent="0.3">
      <c r="A800">
        <v>46683</v>
      </c>
      <c r="B800" t="s">
        <v>7</v>
      </c>
      <c r="C800">
        <v>25</v>
      </c>
      <c r="D800">
        <v>0</v>
      </c>
      <c r="E800">
        <v>0</v>
      </c>
      <c r="F800" t="str">
        <f t="shared" si="38"/>
        <v>Lower Risk</v>
      </c>
      <c r="G800" t="s">
        <v>13</v>
      </c>
      <c r="H800" t="s">
        <v>4</v>
      </c>
      <c r="I800" t="s">
        <v>5</v>
      </c>
      <c r="J800">
        <v>122.01</v>
      </c>
      <c r="K800">
        <v>27</v>
      </c>
      <c r="L800" t="s">
        <v>12</v>
      </c>
      <c r="M800">
        <v>0</v>
      </c>
      <c r="N800" t="str">
        <f t="shared" si="36"/>
        <v>Under 40</v>
      </c>
      <c r="O800" t="str">
        <f t="shared" si="37"/>
        <v>Overweight</v>
      </c>
    </row>
    <row r="801" spans="1:15" x14ac:dyDescent="0.3">
      <c r="A801">
        <v>58909</v>
      </c>
      <c r="B801" t="s">
        <v>7</v>
      </c>
      <c r="C801">
        <v>14</v>
      </c>
      <c r="D801">
        <v>0</v>
      </c>
      <c r="E801">
        <v>0</v>
      </c>
      <c r="F801" t="str">
        <f t="shared" si="38"/>
        <v>Lower Risk</v>
      </c>
      <c r="G801" t="s">
        <v>13</v>
      </c>
      <c r="H801" t="s">
        <v>16</v>
      </c>
      <c r="I801" t="s">
        <v>9</v>
      </c>
      <c r="J801">
        <v>78.09</v>
      </c>
      <c r="K801">
        <v>26.4</v>
      </c>
      <c r="L801" t="s">
        <v>14</v>
      </c>
      <c r="M801">
        <v>0</v>
      </c>
      <c r="N801" t="str">
        <f t="shared" si="36"/>
        <v>Under 40</v>
      </c>
      <c r="O801" t="str">
        <f t="shared" si="37"/>
        <v>Overweight</v>
      </c>
    </row>
    <row r="802" spans="1:15" x14ac:dyDescent="0.3">
      <c r="A802">
        <v>51125</v>
      </c>
      <c r="B802" t="s">
        <v>7</v>
      </c>
      <c r="C802">
        <v>66</v>
      </c>
      <c r="D802">
        <v>0</v>
      </c>
      <c r="E802">
        <v>0</v>
      </c>
      <c r="F802" t="str">
        <f t="shared" si="38"/>
        <v>Moderate Risk</v>
      </c>
      <c r="G802" t="s">
        <v>3</v>
      </c>
      <c r="H802" t="s">
        <v>4</v>
      </c>
      <c r="I802" t="s">
        <v>5</v>
      </c>
      <c r="J802">
        <v>89.7</v>
      </c>
      <c r="K802">
        <v>34.9</v>
      </c>
      <c r="L802" t="s">
        <v>12</v>
      </c>
      <c r="M802">
        <v>0</v>
      </c>
      <c r="N802" t="str">
        <f t="shared" si="36"/>
        <v>60+</v>
      </c>
      <c r="O802" t="str">
        <f t="shared" si="37"/>
        <v>Obese</v>
      </c>
    </row>
    <row r="803" spans="1:15" x14ac:dyDescent="0.3">
      <c r="A803">
        <v>29077</v>
      </c>
      <c r="B803" t="s">
        <v>7</v>
      </c>
      <c r="C803">
        <v>77</v>
      </c>
      <c r="D803">
        <v>0</v>
      </c>
      <c r="E803">
        <v>0</v>
      </c>
      <c r="F803" t="str">
        <f t="shared" si="38"/>
        <v>Moderate Risk</v>
      </c>
      <c r="G803" t="s">
        <v>3</v>
      </c>
      <c r="H803" t="s">
        <v>4</v>
      </c>
      <c r="I803" t="s">
        <v>9</v>
      </c>
      <c r="J803">
        <v>95.1</v>
      </c>
      <c r="K803">
        <v>35</v>
      </c>
      <c r="L803" t="s">
        <v>11</v>
      </c>
      <c r="M803">
        <v>0</v>
      </c>
      <c r="N803" t="str">
        <f t="shared" si="36"/>
        <v>60+</v>
      </c>
      <c r="O803" t="str">
        <f t="shared" si="37"/>
        <v>Obese</v>
      </c>
    </row>
    <row r="804" spans="1:15" x14ac:dyDescent="0.3">
      <c r="A804">
        <v>4970</v>
      </c>
      <c r="B804" t="s">
        <v>2</v>
      </c>
      <c r="C804">
        <v>79</v>
      </c>
      <c r="D804">
        <v>0</v>
      </c>
      <c r="E804">
        <v>0</v>
      </c>
      <c r="F804" t="str">
        <f t="shared" si="38"/>
        <v>Moderate Risk</v>
      </c>
      <c r="G804" t="s">
        <v>3</v>
      </c>
      <c r="H804" t="s">
        <v>8</v>
      </c>
      <c r="I804" t="s">
        <v>9</v>
      </c>
      <c r="J804">
        <v>112.64</v>
      </c>
      <c r="K804">
        <v>28.5</v>
      </c>
      <c r="L804" t="s">
        <v>6</v>
      </c>
      <c r="M804">
        <v>0</v>
      </c>
      <c r="N804" t="str">
        <f t="shared" si="36"/>
        <v>60+</v>
      </c>
      <c r="O804" t="str">
        <f t="shared" si="37"/>
        <v>Overweight</v>
      </c>
    </row>
    <row r="805" spans="1:15" x14ac:dyDescent="0.3">
      <c r="A805">
        <v>58291</v>
      </c>
      <c r="B805" t="s">
        <v>7</v>
      </c>
      <c r="C805">
        <v>52</v>
      </c>
      <c r="D805">
        <v>0</v>
      </c>
      <c r="E805">
        <v>0</v>
      </c>
      <c r="F805" t="str">
        <f t="shared" si="38"/>
        <v>Lower Risk</v>
      </c>
      <c r="G805" t="s">
        <v>3</v>
      </c>
      <c r="H805" t="s">
        <v>4</v>
      </c>
      <c r="I805" t="s">
        <v>9</v>
      </c>
      <c r="J805">
        <v>79.8</v>
      </c>
      <c r="K805">
        <v>32.299999999999997</v>
      </c>
      <c r="L805" t="s">
        <v>6</v>
      </c>
      <c r="M805">
        <v>0</v>
      </c>
      <c r="N805" t="str">
        <f t="shared" si="36"/>
        <v>40–59</v>
      </c>
      <c r="O805" t="str">
        <f t="shared" si="37"/>
        <v>Obese</v>
      </c>
    </row>
    <row r="806" spans="1:15" x14ac:dyDescent="0.3">
      <c r="A806">
        <v>18616</v>
      </c>
      <c r="B806" t="s">
        <v>7</v>
      </c>
      <c r="C806">
        <v>41</v>
      </c>
      <c r="D806">
        <v>0</v>
      </c>
      <c r="E806">
        <v>0</v>
      </c>
      <c r="F806" t="str">
        <f t="shared" si="38"/>
        <v>Lower Risk</v>
      </c>
      <c r="G806" t="s">
        <v>3</v>
      </c>
      <c r="H806" t="s">
        <v>4</v>
      </c>
      <c r="I806" t="s">
        <v>5</v>
      </c>
      <c r="J806">
        <v>82.2</v>
      </c>
      <c r="K806">
        <v>23.9</v>
      </c>
      <c r="L806" t="s">
        <v>14</v>
      </c>
      <c r="M806">
        <v>0</v>
      </c>
      <c r="N806" t="str">
        <f t="shared" si="36"/>
        <v>40–59</v>
      </c>
      <c r="O806" t="str">
        <f t="shared" si="37"/>
        <v>Normal</v>
      </c>
    </row>
    <row r="807" spans="1:15" x14ac:dyDescent="0.3">
      <c r="A807">
        <v>99</v>
      </c>
      <c r="B807" t="s">
        <v>7</v>
      </c>
      <c r="C807">
        <v>31</v>
      </c>
      <c r="D807">
        <v>0</v>
      </c>
      <c r="E807">
        <v>0</v>
      </c>
      <c r="F807" t="str">
        <f t="shared" si="38"/>
        <v>Lower Risk</v>
      </c>
      <c r="G807" t="s">
        <v>13</v>
      </c>
      <c r="H807" t="s">
        <v>4</v>
      </c>
      <c r="I807" t="s">
        <v>5</v>
      </c>
      <c r="J807">
        <v>108.89</v>
      </c>
      <c r="K807">
        <v>52.3</v>
      </c>
      <c r="L807" t="s">
        <v>14</v>
      </c>
      <c r="M807">
        <v>0</v>
      </c>
      <c r="N807" t="str">
        <f t="shared" si="36"/>
        <v>Under 40</v>
      </c>
      <c r="O807" t="str">
        <f t="shared" si="37"/>
        <v>Obese</v>
      </c>
    </row>
    <row r="808" spans="1:15" x14ac:dyDescent="0.3">
      <c r="A808">
        <v>55529</v>
      </c>
      <c r="B808" t="s">
        <v>2</v>
      </c>
      <c r="C808">
        <v>39</v>
      </c>
      <c r="D808">
        <v>0</v>
      </c>
      <c r="E808">
        <v>0</v>
      </c>
      <c r="F808" t="str">
        <f t="shared" si="38"/>
        <v>Lower Risk</v>
      </c>
      <c r="G808" t="s">
        <v>3</v>
      </c>
      <c r="H808" t="s">
        <v>4</v>
      </c>
      <c r="I808" t="s">
        <v>9</v>
      </c>
      <c r="J808">
        <v>114.32</v>
      </c>
      <c r="K808">
        <v>26.4</v>
      </c>
      <c r="L808" t="s">
        <v>11</v>
      </c>
      <c r="M808">
        <v>0</v>
      </c>
      <c r="N808" t="str">
        <f t="shared" si="36"/>
        <v>Under 40</v>
      </c>
      <c r="O808" t="str">
        <f t="shared" si="37"/>
        <v>Overweight</v>
      </c>
    </row>
    <row r="809" spans="1:15" x14ac:dyDescent="0.3">
      <c r="A809">
        <v>12204</v>
      </c>
      <c r="B809" t="s">
        <v>7</v>
      </c>
      <c r="C809">
        <v>51</v>
      </c>
      <c r="D809">
        <v>0</v>
      </c>
      <c r="E809">
        <v>0</v>
      </c>
      <c r="F809" t="str">
        <f t="shared" si="38"/>
        <v>Lower Risk</v>
      </c>
      <c r="G809" t="s">
        <v>13</v>
      </c>
      <c r="H809" t="s">
        <v>15</v>
      </c>
      <c r="I809" t="s">
        <v>9</v>
      </c>
      <c r="J809">
        <v>116.14</v>
      </c>
      <c r="K809">
        <v>20.9</v>
      </c>
      <c r="L809" t="s">
        <v>11</v>
      </c>
      <c r="M809">
        <v>0</v>
      </c>
      <c r="N809" t="str">
        <f t="shared" si="36"/>
        <v>40–59</v>
      </c>
      <c r="O809" t="str">
        <f t="shared" si="37"/>
        <v>Normal</v>
      </c>
    </row>
    <row r="810" spans="1:15" x14ac:dyDescent="0.3">
      <c r="A810">
        <v>21397</v>
      </c>
      <c r="B810" t="s">
        <v>7</v>
      </c>
      <c r="C810">
        <v>40</v>
      </c>
      <c r="D810">
        <v>0</v>
      </c>
      <c r="E810">
        <v>0</v>
      </c>
      <c r="F810" t="str">
        <f t="shared" si="38"/>
        <v>Lower Risk</v>
      </c>
      <c r="G810" t="s">
        <v>3</v>
      </c>
      <c r="H810" t="s">
        <v>15</v>
      </c>
      <c r="I810" t="s">
        <v>5</v>
      </c>
      <c r="J810">
        <v>122.74</v>
      </c>
      <c r="K810">
        <v>23.3</v>
      </c>
      <c r="L810" t="s">
        <v>14</v>
      </c>
      <c r="M810">
        <v>0</v>
      </c>
      <c r="N810" t="str">
        <f t="shared" si="36"/>
        <v>40–59</v>
      </c>
      <c r="O810" t="str">
        <f t="shared" si="37"/>
        <v>Normal</v>
      </c>
    </row>
    <row r="811" spans="1:15" x14ac:dyDescent="0.3">
      <c r="A811">
        <v>64633</v>
      </c>
      <c r="B811" t="s">
        <v>7</v>
      </c>
      <c r="C811">
        <v>48</v>
      </c>
      <c r="D811">
        <v>0</v>
      </c>
      <c r="E811">
        <v>0</v>
      </c>
      <c r="F811" t="str">
        <f t="shared" si="38"/>
        <v>Lower Risk</v>
      </c>
      <c r="G811" t="s">
        <v>3</v>
      </c>
      <c r="H811" t="s">
        <v>4</v>
      </c>
      <c r="I811" t="s">
        <v>5</v>
      </c>
      <c r="J811">
        <v>94.04</v>
      </c>
      <c r="K811">
        <v>32.700000000000003</v>
      </c>
      <c r="L811" t="s">
        <v>11</v>
      </c>
      <c r="M811">
        <v>0</v>
      </c>
      <c r="N811" t="str">
        <f t="shared" si="36"/>
        <v>40–59</v>
      </c>
      <c r="O811" t="str">
        <f t="shared" si="37"/>
        <v>Obese</v>
      </c>
    </row>
    <row r="812" spans="1:15" x14ac:dyDescent="0.3">
      <c r="A812">
        <v>23016</v>
      </c>
      <c r="B812" t="s">
        <v>2</v>
      </c>
      <c r="C812">
        <v>55</v>
      </c>
      <c r="D812">
        <v>0</v>
      </c>
      <c r="E812">
        <v>0</v>
      </c>
      <c r="F812" t="str">
        <f t="shared" si="38"/>
        <v>Lower Risk</v>
      </c>
      <c r="G812" t="s">
        <v>3</v>
      </c>
      <c r="H812" t="s">
        <v>4</v>
      </c>
      <c r="I812" t="s">
        <v>9</v>
      </c>
      <c r="J812">
        <v>86.6</v>
      </c>
      <c r="K812">
        <v>26.5</v>
      </c>
      <c r="L812" t="s">
        <v>11</v>
      </c>
      <c r="M812">
        <v>0</v>
      </c>
      <c r="N812" t="str">
        <f t="shared" si="36"/>
        <v>40–59</v>
      </c>
      <c r="O812" t="str">
        <f t="shared" si="37"/>
        <v>Overweight</v>
      </c>
    </row>
    <row r="813" spans="1:15" x14ac:dyDescent="0.3">
      <c r="A813">
        <v>18412</v>
      </c>
      <c r="B813" t="s">
        <v>2</v>
      </c>
      <c r="C813">
        <v>41</v>
      </c>
      <c r="D813">
        <v>0</v>
      </c>
      <c r="E813">
        <v>0</v>
      </c>
      <c r="F813" t="str">
        <f t="shared" si="38"/>
        <v>Lower Risk</v>
      </c>
      <c r="G813" t="s">
        <v>3</v>
      </c>
      <c r="H813" t="s">
        <v>4</v>
      </c>
      <c r="I813" t="s">
        <v>9</v>
      </c>
      <c r="J813">
        <v>82.32</v>
      </c>
      <c r="K813">
        <v>27.9</v>
      </c>
      <c r="L813" t="s">
        <v>14</v>
      </c>
      <c r="M813">
        <v>0</v>
      </c>
      <c r="N813" t="str">
        <f t="shared" si="36"/>
        <v>40–59</v>
      </c>
      <c r="O813" t="str">
        <f t="shared" si="37"/>
        <v>Overweight</v>
      </c>
    </row>
    <row r="814" spans="1:15" x14ac:dyDescent="0.3">
      <c r="A814">
        <v>67412</v>
      </c>
      <c r="B814" t="s">
        <v>7</v>
      </c>
      <c r="C814">
        <v>39</v>
      </c>
      <c r="D814">
        <v>0</v>
      </c>
      <c r="E814">
        <v>0</v>
      </c>
      <c r="F814" t="str">
        <f t="shared" si="38"/>
        <v>Lower Risk</v>
      </c>
      <c r="G814" t="s">
        <v>3</v>
      </c>
      <c r="H814" t="s">
        <v>4</v>
      </c>
      <c r="I814" t="s">
        <v>9</v>
      </c>
      <c r="J814">
        <v>83.83</v>
      </c>
      <c r="K814">
        <v>30.3</v>
      </c>
      <c r="L814" t="s">
        <v>11</v>
      </c>
      <c r="M814">
        <v>0</v>
      </c>
      <c r="N814" t="str">
        <f t="shared" si="36"/>
        <v>Under 40</v>
      </c>
      <c r="O814" t="str">
        <f t="shared" si="37"/>
        <v>Obese</v>
      </c>
    </row>
    <row r="815" spans="1:15" x14ac:dyDescent="0.3">
      <c r="A815">
        <v>37545</v>
      </c>
      <c r="B815" t="s">
        <v>2</v>
      </c>
      <c r="C815">
        <v>41</v>
      </c>
      <c r="D815">
        <v>0</v>
      </c>
      <c r="E815">
        <v>0</v>
      </c>
      <c r="F815" t="str">
        <f t="shared" si="38"/>
        <v>Lower Risk</v>
      </c>
      <c r="G815" t="s">
        <v>13</v>
      </c>
      <c r="H815" t="s">
        <v>15</v>
      </c>
      <c r="I815" t="s">
        <v>5</v>
      </c>
      <c r="J815">
        <v>106.98</v>
      </c>
      <c r="K815">
        <v>27.6</v>
      </c>
      <c r="L815" t="s">
        <v>11</v>
      </c>
      <c r="M815">
        <v>0</v>
      </c>
      <c r="N815" t="str">
        <f t="shared" si="36"/>
        <v>40–59</v>
      </c>
      <c r="O815" t="str">
        <f t="shared" si="37"/>
        <v>Overweight</v>
      </c>
    </row>
    <row r="816" spans="1:15" x14ac:dyDescent="0.3">
      <c r="A816">
        <v>10324</v>
      </c>
      <c r="B816" t="s">
        <v>7</v>
      </c>
      <c r="C816">
        <v>5</v>
      </c>
      <c r="D816">
        <v>0</v>
      </c>
      <c r="E816">
        <v>0</v>
      </c>
      <c r="F816" t="str">
        <f t="shared" si="38"/>
        <v>Lower Risk</v>
      </c>
      <c r="G816" t="s">
        <v>13</v>
      </c>
      <c r="H816" t="s">
        <v>16</v>
      </c>
      <c r="I816" t="s">
        <v>5</v>
      </c>
      <c r="J816">
        <v>93.88</v>
      </c>
      <c r="K816">
        <v>14.6</v>
      </c>
      <c r="L816" t="s">
        <v>14</v>
      </c>
      <c r="M816">
        <v>0</v>
      </c>
      <c r="N816" t="str">
        <f t="shared" si="36"/>
        <v>Under 40</v>
      </c>
      <c r="O816" t="str">
        <f t="shared" si="37"/>
        <v>Underweight</v>
      </c>
    </row>
    <row r="817" spans="1:15" x14ac:dyDescent="0.3">
      <c r="A817">
        <v>14491</v>
      </c>
      <c r="B817" t="s">
        <v>2</v>
      </c>
      <c r="C817">
        <v>38</v>
      </c>
      <c r="D817">
        <v>0</v>
      </c>
      <c r="E817">
        <v>0</v>
      </c>
      <c r="F817" t="str">
        <f t="shared" si="38"/>
        <v>Lower Risk</v>
      </c>
      <c r="G817" t="s">
        <v>3</v>
      </c>
      <c r="H817" t="s">
        <v>15</v>
      </c>
      <c r="I817" t="s">
        <v>5</v>
      </c>
      <c r="J817">
        <v>70.53</v>
      </c>
      <c r="K817">
        <v>40.9</v>
      </c>
      <c r="L817" t="s">
        <v>12</v>
      </c>
      <c r="M817">
        <v>0</v>
      </c>
      <c r="N817" t="str">
        <f t="shared" si="36"/>
        <v>Under 40</v>
      </c>
      <c r="O817" t="str">
        <f t="shared" si="37"/>
        <v>Obese</v>
      </c>
    </row>
    <row r="818" spans="1:15" x14ac:dyDescent="0.3">
      <c r="A818">
        <v>64582</v>
      </c>
      <c r="B818" t="s">
        <v>2</v>
      </c>
      <c r="C818">
        <v>40</v>
      </c>
      <c r="D818">
        <v>1</v>
      </c>
      <c r="E818">
        <v>0</v>
      </c>
      <c r="F818" t="str">
        <f t="shared" si="38"/>
        <v>Lower Risk</v>
      </c>
      <c r="G818" t="s">
        <v>3</v>
      </c>
      <c r="H818" t="s">
        <v>15</v>
      </c>
      <c r="I818" t="s">
        <v>9</v>
      </c>
      <c r="J818">
        <v>212.01</v>
      </c>
      <c r="K818">
        <v>28.4</v>
      </c>
      <c r="L818" t="s">
        <v>11</v>
      </c>
      <c r="M818">
        <v>0</v>
      </c>
      <c r="N818" t="str">
        <f t="shared" si="36"/>
        <v>40–59</v>
      </c>
      <c r="O818" t="str">
        <f t="shared" si="37"/>
        <v>Overweight</v>
      </c>
    </row>
    <row r="819" spans="1:15" x14ac:dyDescent="0.3">
      <c r="A819">
        <v>25514</v>
      </c>
      <c r="B819" t="s">
        <v>2</v>
      </c>
      <c r="C819">
        <v>12</v>
      </c>
      <c r="D819">
        <v>0</v>
      </c>
      <c r="E819">
        <v>0</v>
      </c>
      <c r="F819" t="str">
        <f t="shared" si="38"/>
        <v>Lower Risk</v>
      </c>
      <c r="G819" t="s">
        <v>13</v>
      </c>
      <c r="H819" t="s">
        <v>16</v>
      </c>
      <c r="I819" t="s">
        <v>9</v>
      </c>
      <c r="J819">
        <v>65.88</v>
      </c>
      <c r="K819">
        <v>23.7</v>
      </c>
      <c r="L819" t="s">
        <v>14</v>
      </c>
      <c r="M819">
        <v>0</v>
      </c>
      <c r="N819" t="str">
        <f t="shared" si="36"/>
        <v>Under 40</v>
      </c>
      <c r="O819" t="str">
        <f t="shared" si="37"/>
        <v>Normal</v>
      </c>
    </row>
    <row r="820" spans="1:15" x14ac:dyDescent="0.3">
      <c r="A820">
        <v>7663</v>
      </c>
      <c r="B820" t="s">
        <v>2</v>
      </c>
      <c r="C820">
        <v>20</v>
      </c>
      <c r="D820">
        <v>0</v>
      </c>
      <c r="E820">
        <v>0</v>
      </c>
      <c r="F820" t="str">
        <f t="shared" si="38"/>
        <v>Lower Risk</v>
      </c>
      <c r="G820" t="s">
        <v>13</v>
      </c>
      <c r="H820" t="s">
        <v>15</v>
      </c>
      <c r="I820" t="s">
        <v>9</v>
      </c>
      <c r="J820">
        <v>106.97</v>
      </c>
      <c r="K820">
        <v>27.9</v>
      </c>
      <c r="L820" t="s">
        <v>6</v>
      </c>
      <c r="M820">
        <v>0</v>
      </c>
      <c r="N820" t="str">
        <f t="shared" si="36"/>
        <v>Under 40</v>
      </c>
      <c r="O820" t="str">
        <f t="shared" si="37"/>
        <v>Overweight</v>
      </c>
    </row>
    <row r="821" spans="1:15" x14ac:dyDescent="0.3">
      <c r="A821">
        <v>66220</v>
      </c>
      <c r="B821" t="s">
        <v>2</v>
      </c>
      <c r="C821">
        <v>53</v>
      </c>
      <c r="D821">
        <v>0</v>
      </c>
      <c r="E821">
        <v>0</v>
      </c>
      <c r="F821" t="str">
        <f t="shared" si="38"/>
        <v>Lower Risk</v>
      </c>
      <c r="G821" t="s">
        <v>3</v>
      </c>
      <c r="H821" t="s">
        <v>4</v>
      </c>
      <c r="I821" t="s">
        <v>5</v>
      </c>
      <c r="J821">
        <v>126.35</v>
      </c>
      <c r="K821">
        <v>25.2</v>
      </c>
      <c r="L821" t="s">
        <v>11</v>
      </c>
      <c r="M821">
        <v>0</v>
      </c>
      <c r="N821" t="str">
        <f t="shared" si="36"/>
        <v>40–59</v>
      </c>
      <c r="O821" t="str">
        <f t="shared" si="37"/>
        <v>Overweight</v>
      </c>
    </row>
    <row r="822" spans="1:15" x14ac:dyDescent="0.3">
      <c r="A822">
        <v>71793</v>
      </c>
      <c r="B822" t="s">
        <v>7</v>
      </c>
      <c r="C822">
        <v>21</v>
      </c>
      <c r="D822">
        <v>0</v>
      </c>
      <c r="E822">
        <v>0</v>
      </c>
      <c r="F822" t="str">
        <f t="shared" si="38"/>
        <v>Lower Risk</v>
      </c>
      <c r="G822" t="s">
        <v>13</v>
      </c>
      <c r="H822" t="s">
        <v>4</v>
      </c>
      <c r="I822" t="s">
        <v>5</v>
      </c>
      <c r="J822">
        <v>129.16</v>
      </c>
      <c r="K822">
        <v>34.4</v>
      </c>
      <c r="L822" t="s">
        <v>14</v>
      </c>
      <c r="M822">
        <v>0</v>
      </c>
      <c r="N822" t="str">
        <f t="shared" si="36"/>
        <v>Under 40</v>
      </c>
      <c r="O822" t="str">
        <f t="shared" si="37"/>
        <v>Obese</v>
      </c>
    </row>
    <row r="823" spans="1:15" x14ac:dyDescent="0.3">
      <c r="A823">
        <v>25458</v>
      </c>
      <c r="B823" t="s">
        <v>7</v>
      </c>
      <c r="C823">
        <v>70</v>
      </c>
      <c r="D823">
        <v>1</v>
      </c>
      <c r="E823">
        <v>0</v>
      </c>
      <c r="F823" t="str">
        <f t="shared" si="38"/>
        <v>High Risk</v>
      </c>
      <c r="G823" t="s">
        <v>3</v>
      </c>
      <c r="H823" t="s">
        <v>15</v>
      </c>
      <c r="I823" t="s">
        <v>9</v>
      </c>
      <c r="J823">
        <v>88.66</v>
      </c>
      <c r="K823">
        <v>36.700000000000003</v>
      </c>
      <c r="L823" t="s">
        <v>6</v>
      </c>
      <c r="M823">
        <v>0</v>
      </c>
      <c r="N823" t="str">
        <f t="shared" si="36"/>
        <v>60+</v>
      </c>
      <c r="O823" t="str">
        <f t="shared" si="37"/>
        <v>Obese</v>
      </c>
    </row>
    <row r="824" spans="1:15" x14ac:dyDescent="0.3">
      <c r="A824">
        <v>69645</v>
      </c>
      <c r="B824" t="s">
        <v>2</v>
      </c>
      <c r="C824">
        <v>61</v>
      </c>
      <c r="D824">
        <v>0</v>
      </c>
      <c r="E824">
        <v>0</v>
      </c>
      <c r="F824" t="str">
        <f t="shared" si="38"/>
        <v>Moderate Risk</v>
      </c>
      <c r="G824" t="s">
        <v>3</v>
      </c>
      <c r="H824" t="s">
        <v>15</v>
      </c>
      <c r="I824" t="s">
        <v>9</v>
      </c>
      <c r="J824">
        <v>112.95</v>
      </c>
      <c r="K824">
        <v>22.2</v>
      </c>
      <c r="L824" t="s">
        <v>6</v>
      </c>
      <c r="M824">
        <v>0</v>
      </c>
      <c r="N824" t="str">
        <f t="shared" si="36"/>
        <v>60+</v>
      </c>
      <c r="O824" t="str">
        <f t="shared" si="37"/>
        <v>Normal</v>
      </c>
    </row>
    <row r="825" spans="1:15" x14ac:dyDescent="0.3">
      <c r="A825">
        <v>53695</v>
      </c>
      <c r="B825" t="s">
        <v>2</v>
      </c>
      <c r="C825">
        <v>70</v>
      </c>
      <c r="D825">
        <v>0</v>
      </c>
      <c r="E825">
        <v>0</v>
      </c>
      <c r="F825" t="str">
        <f t="shared" si="38"/>
        <v>Moderate Risk</v>
      </c>
      <c r="G825" t="s">
        <v>3</v>
      </c>
      <c r="H825" t="s">
        <v>15</v>
      </c>
      <c r="I825" t="s">
        <v>5</v>
      </c>
      <c r="J825">
        <v>81.59</v>
      </c>
      <c r="K825">
        <v>27.2</v>
      </c>
      <c r="L825" t="s">
        <v>11</v>
      </c>
      <c r="M825">
        <v>0</v>
      </c>
      <c r="N825" t="str">
        <f t="shared" si="36"/>
        <v>60+</v>
      </c>
      <c r="O825" t="str">
        <f t="shared" si="37"/>
        <v>Overweight</v>
      </c>
    </row>
    <row r="826" spans="1:15" x14ac:dyDescent="0.3">
      <c r="A826">
        <v>26692</v>
      </c>
      <c r="B826" t="s">
        <v>7</v>
      </c>
      <c r="C826">
        <v>38</v>
      </c>
      <c r="D826">
        <v>0</v>
      </c>
      <c r="E826">
        <v>0</v>
      </c>
      <c r="F826" t="str">
        <f t="shared" si="38"/>
        <v>Lower Risk</v>
      </c>
      <c r="G826" t="s">
        <v>3</v>
      </c>
      <c r="H826" t="s">
        <v>15</v>
      </c>
      <c r="I826" t="s">
        <v>9</v>
      </c>
      <c r="J826">
        <v>76.819999999999993</v>
      </c>
      <c r="K826">
        <v>27.3</v>
      </c>
      <c r="L826" t="s">
        <v>11</v>
      </c>
      <c r="M826">
        <v>0</v>
      </c>
      <c r="N826" t="str">
        <f t="shared" si="36"/>
        <v>Under 40</v>
      </c>
      <c r="O826" t="str">
        <f t="shared" si="37"/>
        <v>Overweight</v>
      </c>
    </row>
    <row r="827" spans="1:15" x14ac:dyDescent="0.3">
      <c r="A827">
        <v>33400</v>
      </c>
      <c r="B827" t="s">
        <v>2</v>
      </c>
      <c r="C827">
        <v>59</v>
      </c>
      <c r="D827">
        <v>0</v>
      </c>
      <c r="E827">
        <v>0</v>
      </c>
      <c r="F827" t="str">
        <f t="shared" si="38"/>
        <v>Lower Risk</v>
      </c>
      <c r="G827" t="s">
        <v>3</v>
      </c>
      <c r="H827" t="s">
        <v>15</v>
      </c>
      <c r="I827" t="s">
        <v>9</v>
      </c>
      <c r="J827">
        <v>73.75</v>
      </c>
      <c r="K827">
        <v>27.3</v>
      </c>
      <c r="L827" t="s">
        <v>12</v>
      </c>
      <c r="M827">
        <v>0</v>
      </c>
      <c r="N827" t="str">
        <f t="shared" si="36"/>
        <v>40–59</v>
      </c>
      <c r="O827" t="str">
        <f t="shared" si="37"/>
        <v>Overweight</v>
      </c>
    </row>
    <row r="828" spans="1:15" x14ac:dyDescent="0.3">
      <c r="A828">
        <v>67078</v>
      </c>
      <c r="B828" t="s">
        <v>7</v>
      </c>
      <c r="C828">
        <v>36</v>
      </c>
      <c r="D828">
        <v>1</v>
      </c>
      <c r="E828">
        <v>0</v>
      </c>
      <c r="F828" t="str">
        <f t="shared" si="38"/>
        <v>Lower Risk</v>
      </c>
      <c r="G828" t="s">
        <v>3</v>
      </c>
      <c r="H828" t="s">
        <v>4</v>
      </c>
      <c r="I828" t="s">
        <v>5</v>
      </c>
      <c r="J828">
        <v>91.56</v>
      </c>
      <c r="K828">
        <v>42.2</v>
      </c>
      <c r="L828" t="s">
        <v>11</v>
      </c>
      <c r="M828">
        <v>0</v>
      </c>
      <c r="N828" t="str">
        <f t="shared" si="36"/>
        <v>Under 40</v>
      </c>
      <c r="O828" t="str">
        <f t="shared" si="37"/>
        <v>Obese</v>
      </c>
    </row>
    <row r="829" spans="1:15" x14ac:dyDescent="0.3">
      <c r="A829">
        <v>32352</v>
      </c>
      <c r="B829" t="s">
        <v>7</v>
      </c>
      <c r="C829">
        <v>31</v>
      </c>
      <c r="D829">
        <v>0</v>
      </c>
      <c r="E829">
        <v>0</v>
      </c>
      <c r="F829" t="str">
        <f t="shared" si="38"/>
        <v>Lower Risk</v>
      </c>
      <c r="G829" t="s">
        <v>3</v>
      </c>
      <c r="H829" t="s">
        <v>15</v>
      </c>
      <c r="I829" t="s">
        <v>9</v>
      </c>
      <c r="J829">
        <v>104.55</v>
      </c>
      <c r="K829">
        <v>26.4</v>
      </c>
      <c r="L829" t="s">
        <v>11</v>
      </c>
      <c r="M829">
        <v>0</v>
      </c>
      <c r="N829" t="str">
        <f t="shared" si="36"/>
        <v>Under 40</v>
      </c>
      <c r="O829" t="str">
        <f t="shared" si="37"/>
        <v>Overweight</v>
      </c>
    </row>
    <row r="830" spans="1:15" x14ac:dyDescent="0.3">
      <c r="A830">
        <v>22540</v>
      </c>
      <c r="B830" t="s">
        <v>7</v>
      </c>
      <c r="C830">
        <v>65</v>
      </c>
      <c r="D830">
        <v>0</v>
      </c>
      <c r="E830">
        <v>0</v>
      </c>
      <c r="F830" t="str">
        <f t="shared" si="38"/>
        <v>Moderate Risk</v>
      </c>
      <c r="G830" t="s">
        <v>3</v>
      </c>
      <c r="H830" t="s">
        <v>15</v>
      </c>
      <c r="I830" t="s">
        <v>5</v>
      </c>
      <c r="J830">
        <v>84.84</v>
      </c>
      <c r="K830">
        <v>39.4</v>
      </c>
      <c r="L830" t="s">
        <v>14</v>
      </c>
      <c r="M830">
        <v>0</v>
      </c>
      <c r="N830" t="str">
        <f t="shared" si="36"/>
        <v>60+</v>
      </c>
      <c r="O830" t="str">
        <f t="shared" si="37"/>
        <v>Obese</v>
      </c>
    </row>
    <row r="831" spans="1:15" x14ac:dyDescent="0.3">
      <c r="A831">
        <v>26999</v>
      </c>
      <c r="B831" t="s">
        <v>2</v>
      </c>
      <c r="C831">
        <v>61</v>
      </c>
      <c r="D831">
        <v>1</v>
      </c>
      <c r="E831">
        <v>1</v>
      </c>
      <c r="F831" t="str">
        <f t="shared" si="38"/>
        <v>High Risk</v>
      </c>
      <c r="G831" t="s">
        <v>3</v>
      </c>
      <c r="H831" t="s">
        <v>15</v>
      </c>
      <c r="I831" t="s">
        <v>9</v>
      </c>
      <c r="J831">
        <v>86.06</v>
      </c>
      <c r="K831">
        <v>34.799999999999997</v>
      </c>
      <c r="L831" t="s">
        <v>11</v>
      </c>
      <c r="M831">
        <v>0</v>
      </c>
      <c r="N831" t="str">
        <f t="shared" si="36"/>
        <v>60+</v>
      </c>
      <c r="O831" t="str">
        <f t="shared" si="37"/>
        <v>Obese</v>
      </c>
    </row>
    <row r="832" spans="1:15" x14ac:dyDescent="0.3">
      <c r="A832">
        <v>65218</v>
      </c>
      <c r="B832" t="s">
        <v>2</v>
      </c>
      <c r="C832">
        <v>2</v>
      </c>
      <c r="D832">
        <v>0</v>
      </c>
      <c r="E832">
        <v>0</v>
      </c>
      <c r="F832" t="str">
        <f t="shared" si="38"/>
        <v>Lower Risk</v>
      </c>
      <c r="G832" t="s">
        <v>13</v>
      </c>
      <c r="H832" t="s">
        <v>16</v>
      </c>
      <c r="I832" t="s">
        <v>9</v>
      </c>
      <c r="J832">
        <v>109.1</v>
      </c>
      <c r="K832">
        <v>20</v>
      </c>
      <c r="L832" t="s">
        <v>14</v>
      </c>
      <c r="M832">
        <v>0</v>
      </c>
      <c r="N832" t="str">
        <f t="shared" si="36"/>
        <v>Under 40</v>
      </c>
      <c r="O832" t="str">
        <f t="shared" si="37"/>
        <v>Normal</v>
      </c>
    </row>
    <row r="833" spans="1:15" x14ac:dyDescent="0.3">
      <c r="A833">
        <v>30102</v>
      </c>
      <c r="B833" t="s">
        <v>2</v>
      </c>
      <c r="C833">
        <v>52</v>
      </c>
      <c r="D833">
        <v>0</v>
      </c>
      <c r="E833">
        <v>0</v>
      </c>
      <c r="F833" t="str">
        <f t="shared" si="38"/>
        <v>Lower Risk</v>
      </c>
      <c r="G833" t="s">
        <v>3</v>
      </c>
      <c r="H833" t="s">
        <v>4</v>
      </c>
      <c r="I833" t="s">
        <v>9</v>
      </c>
      <c r="J833">
        <v>68.349999999999994</v>
      </c>
      <c r="K833">
        <v>34.1</v>
      </c>
      <c r="L833" t="s">
        <v>11</v>
      </c>
      <c r="M833">
        <v>0</v>
      </c>
      <c r="N833" t="str">
        <f t="shared" si="36"/>
        <v>40–59</v>
      </c>
      <c r="O833" t="str">
        <f t="shared" si="37"/>
        <v>Obese</v>
      </c>
    </row>
    <row r="834" spans="1:15" x14ac:dyDescent="0.3">
      <c r="A834">
        <v>49521</v>
      </c>
      <c r="B834" t="s">
        <v>7</v>
      </c>
      <c r="C834">
        <v>33</v>
      </c>
      <c r="D834">
        <v>0</v>
      </c>
      <c r="E834">
        <v>0</v>
      </c>
      <c r="F834" t="str">
        <f t="shared" si="38"/>
        <v>Lower Risk</v>
      </c>
      <c r="G834" t="s">
        <v>3</v>
      </c>
      <c r="H834" t="s">
        <v>4</v>
      </c>
      <c r="I834" t="s">
        <v>5</v>
      </c>
      <c r="J834">
        <v>121.04</v>
      </c>
      <c r="K834">
        <v>31.4</v>
      </c>
      <c r="L834" t="s">
        <v>14</v>
      </c>
      <c r="M834">
        <v>0</v>
      </c>
      <c r="N834" t="str">
        <f t="shared" ref="N834:N897" si="39">IF(C834&lt;40,"Under 40",IF(C834&lt;60,"40–59","60+"))</f>
        <v>Under 40</v>
      </c>
      <c r="O834" t="str">
        <f t="shared" ref="O834:O897" si="40">IF(K834="N/A","Unknown",
IF(K834="","Unknown",
IF(K834&lt;18.5,"Underweight",
IF(K834&lt;25,"Normal",
IF(K834&lt;30,"Overweight","Obese")))))</f>
        <v>Obese</v>
      </c>
    </row>
    <row r="835" spans="1:15" x14ac:dyDescent="0.3">
      <c r="A835">
        <v>54643</v>
      </c>
      <c r="B835" t="s">
        <v>2</v>
      </c>
      <c r="C835">
        <v>5</v>
      </c>
      <c r="D835">
        <v>0</v>
      </c>
      <c r="E835">
        <v>0</v>
      </c>
      <c r="F835" t="str">
        <f t="shared" ref="F835:F898" si="41">IF(C835&gt;=60,
IF(OR(D835=1,E835=1),"High Risk","Moderate Risk"),
"Lower Risk")</f>
        <v>Lower Risk</v>
      </c>
      <c r="G835" t="s">
        <v>13</v>
      </c>
      <c r="H835" t="s">
        <v>16</v>
      </c>
      <c r="I835" t="s">
        <v>9</v>
      </c>
      <c r="J835">
        <v>160.83000000000001</v>
      </c>
      <c r="K835">
        <v>17.8</v>
      </c>
      <c r="L835" t="s">
        <v>14</v>
      </c>
      <c r="M835">
        <v>0</v>
      </c>
      <c r="N835" t="str">
        <f t="shared" si="39"/>
        <v>Under 40</v>
      </c>
      <c r="O835" t="str">
        <f t="shared" si="40"/>
        <v>Underweight</v>
      </c>
    </row>
    <row r="836" spans="1:15" x14ac:dyDescent="0.3">
      <c r="A836">
        <v>29134</v>
      </c>
      <c r="B836" t="s">
        <v>7</v>
      </c>
      <c r="C836">
        <v>32</v>
      </c>
      <c r="D836">
        <v>0</v>
      </c>
      <c r="E836">
        <v>0</v>
      </c>
      <c r="F836" t="str">
        <f t="shared" si="41"/>
        <v>Lower Risk</v>
      </c>
      <c r="G836" t="s">
        <v>3</v>
      </c>
      <c r="H836" t="s">
        <v>4</v>
      </c>
      <c r="I836" t="s">
        <v>9</v>
      </c>
      <c r="J836">
        <v>85.62</v>
      </c>
      <c r="K836">
        <v>46.1</v>
      </c>
      <c r="L836" t="s">
        <v>12</v>
      </c>
      <c r="M836">
        <v>0</v>
      </c>
      <c r="N836" t="str">
        <f t="shared" si="39"/>
        <v>Under 40</v>
      </c>
      <c r="O836" t="str">
        <f t="shared" si="40"/>
        <v>Obese</v>
      </c>
    </row>
    <row r="837" spans="1:15" x14ac:dyDescent="0.3">
      <c r="A837">
        <v>68281</v>
      </c>
      <c r="B837" t="s">
        <v>7</v>
      </c>
      <c r="C837">
        <v>54</v>
      </c>
      <c r="D837">
        <v>0</v>
      </c>
      <c r="E837">
        <v>0</v>
      </c>
      <c r="F837" t="str">
        <f t="shared" si="41"/>
        <v>Lower Risk</v>
      </c>
      <c r="G837" t="s">
        <v>3</v>
      </c>
      <c r="H837" t="s">
        <v>15</v>
      </c>
      <c r="I837" t="s">
        <v>5</v>
      </c>
      <c r="J837">
        <v>74.23</v>
      </c>
      <c r="K837">
        <v>28.1</v>
      </c>
      <c r="L837" t="s">
        <v>6</v>
      </c>
      <c r="M837">
        <v>0</v>
      </c>
      <c r="N837" t="str">
        <f t="shared" si="39"/>
        <v>40–59</v>
      </c>
      <c r="O837" t="str">
        <f t="shared" si="40"/>
        <v>Overweight</v>
      </c>
    </row>
    <row r="838" spans="1:15" x14ac:dyDescent="0.3">
      <c r="A838">
        <v>40350</v>
      </c>
      <c r="B838" t="s">
        <v>7</v>
      </c>
      <c r="C838">
        <v>51</v>
      </c>
      <c r="D838">
        <v>0</v>
      </c>
      <c r="E838">
        <v>0</v>
      </c>
      <c r="F838" t="str">
        <f t="shared" si="41"/>
        <v>Lower Risk</v>
      </c>
      <c r="G838" t="s">
        <v>13</v>
      </c>
      <c r="H838" t="s">
        <v>4</v>
      </c>
      <c r="I838" t="s">
        <v>5</v>
      </c>
      <c r="J838">
        <v>110.76</v>
      </c>
      <c r="K838">
        <v>24.7</v>
      </c>
      <c r="L838" t="s">
        <v>6</v>
      </c>
      <c r="M838">
        <v>0</v>
      </c>
      <c r="N838" t="str">
        <f t="shared" si="39"/>
        <v>40–59</v>
      </c>
      <c r="O838" t="str">
        <f t="shared" si="40"/>
        <v>Normal</v>
      </c>
    </row>
    <row r="839" spans="1:15" x14ac:dyDescent="0.3">
      <c r="A839">
        <v>33410</v>
      </c>
      <c r="B839" t="s">
        <v>7</v>
      </c>
      <c r="C839">
        <v>39</v>
      </c>
      <c r="D839">
        <v>0</v>
      </c>
      <c r="E839">
        <v>0</v>
      </c>
      <c r="F839" t="str">
        <f t="shared" si="41"/>
        <v>Lower Risk</v>
      </c>
      <c r="G839" t="s">
        <v>13</v>
      </c>
      <c r="H839" t="s">
        <v>15</v>
      </c>
      <c r="I839" t="s">
        <v>5</v>
      </c>
      <c r="J839">
        <v>79.44</v>
      </c>
      <c r="K839">
        <v>22.7</v>
      </c>
      <c r="L839" t="s">
        <v>11</v>
      </c>
      <c r="M839">
        <v>0</v>
      </c>
      <c r="N839" t="str">
        <f t="shared" si="39"/>
        <v>Under 40</v>
      </c>
      <c r="O839" t="str">
        <f t="shared" si="40"/>
        <v>Normal</v>
      </c>
    </row>
    <row r="840" spans="1:15" x14ac:dyDescent="0.3">
      <c r="A840">
        <v>39375</v>
      </c>
      <c r="B840" t="s">
        <v>7</v>
      </c>
      <c r="C840">
        <v>40</v>
      </c>
      <c r="D840">
        <v>0</v>
      </c>
      <c r="E840">
        <v>0</v>
      </c>
      <c r="F840" t="str">
        <f t="shared" si="41"/>
        <v>Lower Risk</v>
      </c>
      <c r="G840" t="s">
        <v>3</v>
      </c>
      <c r="H840" t="s">
        <v>4</v>
      </c>
      <c r="I840" t="s">
        <v>9</v>
      </c>
      <c r="J840">
        <v>119.52</v>
      </c>
      <c r="K840">
        <v>34.6</v>
      </c>
      <c r="L840" t="s">
        <v>11</v>
      </c>
      <c r="M840">
        <v>0</v>
      </c>
      <c r="N840" t="str">
        <f t="shared" si="39"/>
        <v>40–59</v>
      </c>
      <c r="O840" t="str">
        <f t="shared" si="40"/>
        <v>Obese</v>
      </c>
    </row>
    <row r="841" spans="1:15" x14ac:dyDescent="0.3">
      <c r="A841">
        <v>2543</v>
      </c>
      <c r="B841" t="s">
        <v>7</v>
      </c>
      <c r="C841">
        <v>19</v>
      </c>
      <c r="D841">
        <v>0</v>
      </c>
      <c r="E841">
        <v>0</v>
      </c>
      <c r="F841" t="str">
        <f t="shared" si="41"/>
        <v>Lower Risk</v>
      </c>
      <c r="G841" t="s">
        <v>3</v>
      </c>
      <c r="H841" t="s">
        <v>4</v>
      </c>
      <c r="I841" t="s">
        <v>9</v>
      </c>
      <c r="J841">
        <v>90.42</v>
      </c>
      <c r="K841">
        <v>21.4</v>
      </c>
      <c r="L841" t="s">
        <v>11</v>
      </c>
      <c r="M841">
        <v>0</v>
      </c>
      <c r="N841" t="str">
        <f t="shared" si="39"/>
        <v>Under 40</v>
      </c>
      <c r="O841" t="str">
        <f t="shared" si="40"/>
        <v>Normal</v>
      </c>
    </row>
    <row r="842" spans="1:15" x14ac:dyDescent="0.3">
      <c r="A842">
        <v>45289</v>
      </c>
      <c r="B842" t="s">
        <v>7</v>
      </c>
      <c r="C842">
        <v>9</v>
      </c>
      <c r="D842">
        <v>0</v>
      </c>
      <c r="E842">
        <v>0</v>
      </c>
      <c r="F842" t="str">
        <f t="shared" si="41"/>
        <v>Lower Risk</v>
      </c>
      <c r="G842" t="s">
        <v>13</v>
      </c>
      <c r="H842" t="s">
        <v>16</v>
      </c>
      <c r="I842" t="s">
        <v>5</v>
      </c>
      <c r="J842">
        <v>109.32</v>
      </c>
      <c r="K842">
        <v>27.4</v>
      </c>
      <c r="L842" t="s">
        <v>14</v>
      </c>
      <c r="M842">
        <v>0</v>
      </c>
      <c r="N842" t="str">
        <f t="shared" si="39"/>
        <v>Under 40</v>
      </c>
      <c r="O842" t="str">
        <f t="shared" si="40"/>
        <v>Overweight</v>
      </c>
    </row>
    <row r="843" spans="1:15" x14ac:dyDescent="0.3">
      <c r="A843">
        <v>12106</v>
      </c>
      <c r="B843" t="s">
        <v>2</v>
      </c>
      <c r="C843">
        <v>53</v>
      </c>
      <c r="D843">
        <v>1</v>
      </c>
      <c r="E843">
        <v>0</v>
      </c>
      <c r="F843" t="str">
        <f t="shared" si="41"/>
        <v>Lower Risk</v>
      </c>
      <c r="G843" t="s">
        <v>3</v>
      </c>
      <c r="H843" t="s">
        <v>15</v>
      </c>
      <c r="I843" t="s">
        <v>9</v>
      </c>
      <c r="J843">
        <v>78.16</v>
      </c>
      <c r="K843">
        <v>36.6</v>
      </c>
      <c r="L843" t="s">
        <v>11</v>
      </c>
      <c r="M843">
        <v>0</v>
      </c>
      <c r="N843" t="str">
        <f t="shared" si="39"/>
        <v>40–59</v>
      </c>
      <c r="O843" t="str">
        <f t="shared" si="40"/>
        <v>Obese</v>
      </c>
    </row>
    <row r="844" spans="1:15" x14ac:dyDescent="0.3">
      <c r="A844">
        <v>10792</v>
      </c>
      <c r="B844" t="s">
        <v>7</v>
      </c>
      <c r="C844">
        <v>23</v>
      </c>
      <c r="D844">
        <v>0</v>
      </c>
      <c r="E844">
        <v>0</v>
      </c>
      <c r="F844" t="str">
        <f t="shared" si="41"/>
        <v>Lower Risk</v>
      </c>
      <c r="G844" t="s">
        <v>13</v>
      </c>
      <c r="H844" t="s">
        <v>4</v>
      </c>
      <c r="I844" t="s">
        <v>9</v>
      </c>
      <c r="J844">
        <v>79.13</v>
      </c>
      <c r="K844">
        <v>32.9</v>
      </c>
      <c r="L844" t="s">
        <v>6</v>
      </c>
      <c r="M844">
        <v>0</v>
      </c>
      <c r="N844" t="str">
        <f t="shared" si="39"/>
        <v>Under 40</v>
      </c>
      <c r="O844" t="str">
        <f t="shared" si="40"/>
        <v>Obese</v>
      </c>
    </row>
    <row r="845" spans="1:15" x14ac:dyDescent="0.3">
      <c r="A845">
        <v>19153</v>
      </c>
      <c r="B845" t="s">
        <v>7</v>
      </c>
      <c r="C845">
        <v>19</v>
      </c>
      <c r="D845">
        <v>0</v>
      </c>
      <c r="E845">
        <v>0</v>
      </c>
      <c r="F845" t="str">
        <f t="shared" si="41"/>
        <v>Lower Risk</v>
      </c>
      <c r="G845" t="s">
        <v>13</v>
      </c>
      <c r="H845" t="s">
        <v>8</v>
      </c>
      <c r="I845" t="s">
        <v>5</v>
      </c>
      <c r="J845">
        <v>84.06</v>
      </c>
      <c r="K845">
        <v>24.7</v>
      </c>
      <c r="L845" t="s">
        <v>11</v>
      </c>
      <c r="M845">
        <v>0</v>
      </c>
      <c r="N845" t="str">
        <f t="shared" si="39"/>
        <v>Under 40</v>
      </c>
      <c r="O845" t="str">
        <f t="shared" si="40"/>
        <v>Normal</v>
      </c>
    </row>
    <row r="846" spans="1:15" x14ac:dyDescent="0.3">
      <c r="A846">
        <v>47876</v>
      </c>
      <c r="B846" t="s">
        <v>2</v>
      </c>
      <c r="C846">
        <v>1</v>
      </c>
      <c r="D846">
        <v>0</v>
      </c>
      <c r="E846">
        <v>0</v>
      </c>
      <c r="F846" t="str">
        <f t="shared" si="41"/>
        <v>Lower Risk</v>
      </c>
      <c r="G846" t="s">
        <v>13</v>
      </c>
      <c r="H846" t="s">
        <v>16</v>
      </c>
      <c r="I846" t="s">
        <v>9</v>
      </c>
      <c r="J846">
        <v>89.3</v>
      </c>
      <c r="K846">
        <v>21.4</v>
      </c>
      <c r="L846" t="s">
        <v>14</v>
      </c>
      <c r="M846">
        <v>0</v>
      </c>
      <c r="N846" t="str">
        <f t="shared" si="39"/>
        <v>Under 40</v>
      </c>
      <c r="O846" t="str">
        <f t="shared" si="40"/>
        <v>Normal</v>
      </c>
    </row>
    <row r="847" spans="1:15" x14ac:dyDescent="0.3">
      <c r="A847">
        <v>25283</v>
      </c>
      <c r="B847" t="s">
        <v>7</v>
      </c>
      <c r="C847">
        <v>48</v>
      </c>
      <c r="D847">
        <v>0</v>
      </c>
      <c r="E847">
        <v>0</v>
      </c>
      <c r="F847" t="str">
        <f t="shared" si="41"/>
        <v>Lower Risk</v>
      </c>
      <c r="G847" t="s">
        <v>3</v>
      </c>
      <c r="H847" t="s">
        <v>4</v>
      </c>
      <c r="I847" t="s">
        <v>5</v>
      </c>
      <c r="J847">
        <v>69.209999999999994</v>
      </c>
      <c r="K847">
        <v>33.1</v>
      </c>
      <c r="L847" t="s">
        <v>11</v>
      </c>
      <c r="M847">
        <v>0</v>
      </c>
      <c r="N847" t="str">
        <f t="shared" si="39"/>
        <v>40–59</v>
      </c>
      <c r="O847" t="str">
        <f t="shared" si="40"/>
        <v>Obese</v>
      </c>
    </row>
    <row r="848" spans="1:15" x14ac:dyDescent="0.3">
      <c r="A848">
        <v>12270</v>
      </c>
      <c r="B848" t="s">
        <v>2</v>
      </c>
      <c r="C848">
        <v>71</v>
      </c>
      <c r="D848">
        <v>0</v>
      </c>
      <c r="E848">
        <v>0</v>
      </c>
      <c r="F848" t="str">
        <f t="shared" si="41"/>
        <v>Moderate Risk</v>
      </c>
      <c r="G848" t="s">
        <v>3</v>
      </c>
      <c r="H848" t="s">
        <v>15</v>
      </c>
      <c r="I848" t="s">
        <v>9</v>
      </c>
      <c r="J848">
        <v>186.45</v>
      </c>
      <c r="K848">
        <v>26.7</v>
      </c>
      <c r="L848" t="s">
        <v>11</v>
      </c>
      <c r="M848">
        <v>0</v>
      </c>
      <c r="N848" t="str">
        <f t="shared" si="39"/>
        <v>60+</v>
      </c>
      <c r="O848" t="str">
        <f t="shared" si="40"/>
        <v>Overweight</v>
      </c>
    </row>
    <row r="849" spans="1:15" x14ac:dyDescent="0.3">
      <c r="A849">
        <v>49949</v>
      </c>
      <c r="B849" t="s">
        <v>2</v>
      </c>
      <c r="C849">
        <v>44</v>
      </c>
      <c r="D849">
        <v>0</v>
      </c>
      <c r="E849">
        <v>0</v>
      </c>
      <c r="F849" t="str">
        <f t="shared" si="41"/>
        <v>Lower Risk</v>
      </c>
      <c r="G849" t="s">
        <v>3</v>
      </c>
      <c r="H849" t="s">
        <v>4</v>
      </c>
      <c r="I849" t="s">
        <v>5</v>
      </c>
      <c r="J849">
        <v>58.47</v>
      </c>
      <c r="K849">
        <v>24.4</v>
      </c>
      <c r="L849" t="s">
        <v>11</v>
      </c>
      <c r="M849">
        <v>0</v>
      </c>
      <c r="N849" t="str">
        <f t="shared" si="39"/>
        <v>40–59</v>
      </c>
      <c r="O849" t="str">
        <f t="shared" si="40"/>
        <v>Normal</v>
      </c>
    </row>
    <row r="850" spans="1:15" x14ac:dyDescent="0.3">
      <c r="A850">
        <v>50826</v>
      </c>
      <c r="B850" t="s">
        <v>7</v>
      </c>
      <c r="C850">
        <v>53</v>
      </c>
      <c r="D850">
        <v>0</v>
      </c>
      <c r="E850">
        <v>0</v>
      </c>
      <c r="F850" t="str">
        <f t="shared" si="41"/>
        <v>Lower Risk</v>
      </c>
      <c r="G850" t="s">
        <v>3</v>
      </c>
      <c r="H850" t="s">
        <v>15</v>
      </c>
      <c r="I850" t="s">
        <v>9</v>
      </c>
      <c r="J850">
        <v>189.49</v>
      </c>
      <c r="K850">
        <v>25.8</v>
      </c>
      <c r="L850" t="s">
        <v>14</v>
      </c>
      <c r="M850">
        <v>0</v>
      </c>
      <c r="N850" t="str">
        <f t="shared" si="39"/>
        <v>40–59</v>
      </c>
      <c r="O850" t="str">
        <f t="shared" si="40"/>
        <v>Overweight</v>
      </c>
    </row>
    <row r="851" spans="1:15" x14ac:dyDescent="0.3">
      <c r="A851">
        <v>28681</v>
      </c>
      <c r="B851" t="s">
        <v>7</v>
      </c>
      <c r="C851">
        <v>70</v>
      </c>
      <c r="D851">
        <v>1</v>
      </c>
      <c r="E851">
        <v>0</v>
      </c>
      <c r="F851" t="str">
        <f t="shared" si="41"/>
        <v>High Risk</v>
      </c>
      <c r="G851" t="s">
        <v>3</v>
      </c>
      <c r="H851" t="s">
        <v>8</v>
      </c>
      <c r="I851" t="s">
        <v>5</v>
      </c>
      <c r="J851">
        <v>99.6</v>
      </c>
      <c r="K851">
        <v>34.299999999999997</v>
      </c>
      <c r="L851" t="s">
        <v>6</v>
      </c>
      <c r="M851">
        <v>0</v>
      </c>
      <c r="N851" t="str">
        <f t="shared" si="39"/>
        <v>60+</v>
      </c>
      <c r="O851" t="str">
        <f t="shared" si="40"/>
        <v>Obese</v>
      </c>
    </row>
    <row r="852" spans="1:15" x14ac:dyDescent="0.3">
      <c r="A852">
        <v>41615</v>
      </c>
      <c r="B852" t="s">
        <v>7</v>
      </c>
      <c r="C852">
        <v>1.4</v>
      </c>
      <c r="D852">
        <v>0</v>
      </c>
      <c r="E852">
        <v>0</v>
      </c>
      <c r="F852" t="str">
        <f t="shared" si="41"/>
        <v>Lower Risk</v>
      </c>
      <c r="G852" t="s">
        <v>13</v>
      </c>
      <c r="H852" t="s">
        <v>16</v>
      </c>
      <c r="I852" t="s">
        <v>9</v>
      </c>
      <c r="J852">
        <v>126.18</v>
      </c>
      <c r="K852">
        <v>18.100000000000001</v>
      </c>
      <c r="L852" t="s">
        <v>14</v>
      </c>
      <c r="M852">
        <v>0</v>
      </c>
      <c r="N852" t="str">
        <f t="shared" si="39"/>
        <v>Under 40</v>
      </c>
      <c r="O852" t="str">
        <f t="shared" si="40"/>
        <v>Underweight</v>
      </c>
    </row>
    <row r="853" spans="1:15" x14ac:dyDescent="0.3">
      <c r="A853">
        <v>14147</v>
      </c>
      <c r="B853" t="s">
        <v>2</v>
      </c>
      <c r="C853">
        <v>49</v>
      </c>
      <c r="D853">
        <v>0</v>
      </c>
      <c r="E853">
        <v>0</v>
      </c>
      <c r="F853" t="str">
        <f t="shared" si="41"/>
        <v>Lower Risk</v>
      </c>
      <c r="G853" t="s">
        <v>3</v>
      </c>
      <c r="H853" t="s">
        <v>4</v>
      </c>
      <c r="I853" t="s">
        <v>5</v>
      </c>
      <c r="J853">
        <v>186.32</v>
      </c>
      <c r="K853">
        <v>43.8</v>
      </c>
      <c r="L853" t="s">
        <v>12</v>
      </c>
      <c r="M853">
        <v>0</v>
      </c>
      <c r="N853" t="str">
        <f t="shared" si="39"/>
        <v>40–59</v>
      </c>
      <c r="O853" t="str">
        <f t="shared" si="40"/>
        <v>Obese</v>
      </c>
    </row>
    <row r="854" spans="1:15" x14ac:dyDescent="0.3">
      <c r="A854">
        <v>41537</v>
      </c>
      <c r="B854" t="s">
        <v>7</v>
      </c>
      <c r="C854">
        <v>17</v>
      </c>
      <c r="D854">
        <v>0</v>
      </c>
      <c r="E854">
        <v>0</v>
      </c>
      <c r="F854" t="str">
        <f t="shared" si="41"/>
        <v>Lower Risk</v>
      </c>
      <c r="G854" t="s">
        <v>13</v>
      </c>
      <c r="H854" t="s">
        <v>4</v>
      </c>
      <c r="I854" t="s">
        <v>9</v>
      </c>
      <c r="J854">
        <v>62.49</v>
      </c>
      <c r="K854">
        <v>26.9</v>
      </c>
      <c r="L854" t="s">
        <v>11</v>
      </c>
      <c r="M854">
        <v>0</v>
      </c>
      <c r="N854" t="str">
        <f t="shared" si="39"/>
        <v>Under 40</v>
      </c>
      <c r="O854" t="str">
        <f t="shared" si="40"/>
        <v>Overweight</v>
      </c>
    </row>
    <row r="855" spans="1:15" x14ac:dyDescent="0.3">
      <c r="A855">
        <v>62332</v>
      </c>
      <c r="B855" t="s">
        <v>7</v>
      </c>
      <c r="C855">
        <v>40</v>
      </c>
      <c r="D855">
        <v>0</v>
      </c>
      <c r="E855">
        <v>0</v>
      </c>
      <c r="F855" t="str">
        <f t="shared" si="41"/>
        <v>Lower Risk</v>
      </c>
      <c r="G855" t="s">
        <v>3</v>
      </c>
      <c r="H855" t="s">
        <v>4</v>
      </c>
      <c r="I855" t="s">
        <v>9</v>
      </c>
      <c r="J855">
        <v>74.510000000000005</v>
      </c>
      <c r="K855">
        <v>36.6</v>
      </c>
      <c r="L855" t="s">
        <v>11</v>
      </c>
      <c r="M855">
        <v>0</v>
      </c>
      <c r="N855" t="str">
        <f t="shared" si="39"/>
        <v>40–59</v>
      </c>
      <c r="O855" t="str">
        <f t="shared" si="40"/>
        <v>Obese</v>
      </c>
    </row>
    <row r="856" spans="1:15" x14ac:dyDescent="0.3">
      <c r="A856">
        <v>25488</v>
      </c>
      <c r="B856" t="s">
        <v>7</v>
      </c>
      <c r="C856">
        <v>46</v>
      </c>
      <c r="D856">
        <v>0</v>
      </c>
      <c r="E856">
        <v>0</v>
      </c>
      <c r="F856" t="str">
        <f t="shared" si="41"/>
        <v>Lower Risk</v>
      </c>
      <c r="G856" t="s">
        <v>3</v>
      </c>
      <c r="H856" t="s">
        <v>8</v>
      </c>
      <c r="I856" t="s">
        <v>5</v>
      </c>
      <c r="J856">
        <v>94.63</v>
      </c>
      <c r="K856">
        <v>24.9</v>
      </c>
      <c r="L856" t="s">
        <v>11</v>
      </c>
      <c r="M856">
        <v>0</v>
      </c>
      <c r="N856" t="str">
        <f t="shared" si="39"/>
        <v>40–59</v>
      </c>
      <c r="O856" t="str">
        <f t="shared" si="40"/>
        <v>Normal</v>
      </c>
    </row>
    <row r="857" spans="1:15" x14ac:dyDescent="0.3">
      <c r="A857">
        <v>45759</v>
      </c>
      <c r="B857" t="s">
        <v>7</v>
      </c>
      <c r="C857">
        <v>32</v>
      </c>
      <c r="D857">
        <v>0</v>
      </c>
      <c r="E857">
        <v>0</v>
      </c>
      <c r="F857" t="str">
        <f t="shared" si="41"/>
        <v>Lower Risk</v>
      </c>
      <c r="G857" t="s">
        <v>3</v>
      </c>
      <c r="H857" t="s">
        <v>4</v>
      </c>
      <c r="I857" t="s">
        <v>9</v>
      </c>
      <c r="J857">
        <v>91.98</v>
      </c>
      <c r="K857">
        <v>27.6</v>
      </c>
      <c r="L857" t="s">
        <v>12</v>
      </c>
      <c r="M857">
        <v>0</v>
      </c>
      <c r="N857" t="str">
        <f t="shared" si="39"/>
        <v>Under 40</v>
      </c>
      <c r="O857" t="str">
        <f t="shared" si="40"/>
        <v>Overweight</v>
      </c>
    </row>
    <row r="858" spans="1:15" x14ac:dyDescent="0.3">
      <c r="A858">
        <v>71929</v>
      </c>
      <c r="B858" t="s">
        <v>2</v>
      </c>
      <c r="C858">
        <v>2</v>
      </c>
      <c r="D858">
        <v>0</v>
      </c>
      <c r="E858">
        <v>0</v>
      </c>
      <c r="F858" t="str">
        <f t="shared" si="41"/>
        <v>Lower Risk</v>
      </c>
      <c r="G858" t="s">
        <v>13</v>
      </c>
      <c r="H858" t="s">
        <v>16</v>
      </c>
      <c r="I858" t="s">
        <v>9</v>
      </c>
      <c r="J858">
        <v>56.77</v>
      </c>
      <c r="K858">
        <v>20.9</v>
      </c>
      <c r="L858" t="s">
        <v>14</v>
      </c>
      <c r="M858">
        <v>0</v>
      </c>
      <c r="N858" t="str">
        <f t="shared" si="39"/>
        <v>Under 40</v>
      </c>
      <c r="O858" t="str">
        <f t="shared" si="40"/>
        <v>Normal</v>
      </c>
    </row>
    <row r="859" spans="1:15" x14ac:dyDescent="0.3">
      <c r="A859">
        <v>14807</v>
      </c>
      <c r="B859" t="s">
        <v>7</v>
      </c>
      <c r="C859">
        <v>40</v>
      </c>
      <c r="D859">
        <v>0</v>
      </c>
      <c r="E859">
        <v>0</v>
      </c>
      <c r="F859" t="str">
        <f t="shared" si="41"/>
        <v>Lower Risk</v>
      </c>
      <c r="G859" t="s">
        <v>3</v>
      </c>
      <c r="H859" t="s">
        <v>4</v>
      </c>
      <c r="I859" t="s">
        <v>5</v>
      </c>
      <c r="J859">
        <v>75.87</v>
      </c>
      <c r="K859">
        <v>30.3</v>
      </c>
      <c r="L859" t="s">
        <v>11</v>
      </c>
      <c r="M859">
        <v>0</v>
      </c>
      <c r="N859" t="str">
        <f t="shared" si="39"/>
        <v>40–59</v>
      </c>
      <c r="O859" t="str">
        <f t="shared" si="40"/>
        <v>Obese</v>
      </c>
    </row>
    <row r="860" spans="1:15" x14ac:dyDescent="0.3">
      <c r="A860">
        <v>16110</v>
      </c>
      <c r="B860" t="s">
        <v>7</v>
      </c>
      <c r="C860">
        <v>19</v>
      </c>
      <c r="D860">
        <v>0</v>
      </c>
      <c r="E860">
        <v>0</v>
      </c>
      <c r="F860" t="str">
        <f t="shared" si="41"/>
        <v>Lower Risk</v>
      </c>
      <c r="G860" t="s">
        <v>13</v>
      </c>
      <c r="H860" t="s">
        <v>4</v>
      </c>
      <c r="I860" t="s">
        <v>9</v>
      </c>
      <c r="J860">
        <v>77.19</v>
      </c>
      <c r="K860">
        <v>37.4</v>
      </c>
      <c r="L860" t="s">
        <v>12</v>
      </c>
      <c r="M860">
        <v>0</v>
      </c>
      <c r="N860" t="str">
        <f t="shared" si="39"/>
        <v>Under 40</v>
      </c>
      <c r="O860" t="str">
        <f t="shared" si="40"/>
        <v>Obese</v>
      </c>
    </row>
    <row r="861" spans="1:15" x14ac:dyDescent="0.3">
      <c r="A861">
        <v>40970</v>
      </c>
      <c r="B861" t="s">
        <v>2</v>
      </c>
      <c r="C861">
        <v>43</v>
      </c>
      <c r="D861">
        <v>0</v>
      </c>
      <c r="E861">
        <v>0</v>
      </c>
      <c r="F861" t="str">
        <f t="shared" si="41"/>
        <v>Lower Risk</v>
      </c>
      <c r="G861" t="s">
        <v>3</v>
      </c>
      <c r="H861" t="s">
        <v>4</v>
      </c>
      <c r="I861" t="s">
        <v>5</v>
      </c>
      <c r="J861">
        <v>135.75</v>
      </c>
      <c r="K861">
        <v>35.9</v>
      </c>
      <c r="L861" t="s">
        <v>12</v>
      </c>
      <c r="M861">
        <v>0</v>
      </c>
      <c r="N861" t="str">
        <f t="shared" si="39"/>
        <v>40–59</v>
      </c>
      <c r="O861" t="str">
        <f t="shared" si="40"/>
        <v>Obese</v>
      </c>
    </row>
    <row r="862" spans="1:15" x14ac:dyDescent="0.3">
      <c r="A862">
        <v>28933</v>
      </c>
      <c r="B862" t="s">
        <v>7</v>
      </c>
      <c r="C862">
        <v>46</v>
      </c>
      <c r="D862">
        <v>0</v>
      </c>
      <c r="E862">
        <v>0</v>
      </c>
      <c r="F862" t="str">
        <f t="shared" si="41"/>
        <v>Lower Risk</v>
      </c>
      <c r="G862" t="s">
        <v>3</v>
      </c>
      <c r="H862" t="s">
        <v>4</v>
      </c>
      <c r="I862" t="s">
        <v>9</v>
      </c>
      <c r="J862">
        <v>100.15</v>
      </c>
      <c r="K862">
        <v>50.3</v>
      </c>
      <c r="L862" t="s">
        <v>12</v>
      </c>
      <c r="M862">
        <v>0</v>
      </c>
      <c r="N862" t="str">
        <f t="shared" si="39"/>
        <v>40–59</v>
      </c>
      <c r="O862" t="str">
        <f t="shared" si="40"/>
        <v>Obese</v>
      </c>
    </row>
    <row r="863" spans="1:15" x14ac:dyDescent="0.3">
      <c r="A863">
        <v>11709</v>
      </c>
      <c r="B863" t="s">
        <v>2</v>
      </c>
      <c r="C863">
        <v>71</v>
      </c>
      <c r="D863">
        <v>0</v>
      </c>
      <c r="E863">
        <v>0</v>
      </c>
      <c r="F863" t="str">
        <f t="shared" si="41"/>
        <v>Moderate Risk</v>
      </c>
      <c r="G863" t="s">
        <v>13</v>
      </c>
      <c r="H863" t="s">
        <v>4</v>
      </c>
      <c r="I863" t="s">
        <v>5</v>
      </c>
      <c r="J863">
        <v>95.08</v>
      </c>
      <c r="K863">
        <v>31.5</v>
      </c>
      <c r="L863" t="s">
        <v>11</v>
      </c>
      <c r="M863">
        <v>0</v>
      </c>
      <c r="N863" t="str">
        <f t="shared" si="39"/>
        <v>60+</v>
      </c>
      <c r="O863" t="str">
        <f t="shared" si="40"/>
        <v>Obese</v>
      </c>
    </row>
    <row r="864" spans="1:15" x14ac:dyDescent="0.3">
      <c r="A864">
        <v>37154</v>
      </c>
      <c r="B864" t="s">
        <v>7</v>
      </c>
      <c r="C864">
        <v>31</v>
      </c>
      <c r="D864">
        <v>0</v>
      </c>
      <c r="E864">
        <v>0</v>
      </c>
      <c r="F864" t="str">
        <f t="shared" si="41"/>
        <v>Lower Risk</v>
      </c>
      <c r="G864" t="s">
        <v>3</v>
      </c>
      <c r="H864" t="s">
        <v>4</v>
      </c>
      <c r="I864" t="s">
        <v>5</v>
      </c>
      <c r="J864">
        <v>125.38</v>
      </c>
      <c r="K864">
        <v>24.4</v>
      </c>
      <c r="L864" t="s">
        <v>12</v>
      </c>
      <c r="M864">
        <v>0</v>
      </c>
      <c r="N864" t="str">
        <f t="shared" si="39"/>
        <v>Under 40</v>
      </c>
      <c r="O864" t="str">
        <f t="shared" si="40"/>
        <v>Normal</v>
      </c>
    </row>
    <row r="865" spans="1:15" x14ac:dyDescent="0.3">
      <c r="A865">
        <v>16809</v>
      </c>
      <c r="B865" t="s">
        <v>2</v>
      </c>
      <c r="C865">
        <v>41</v>
      </c>
      <c r="D865">
        <v>0</v>
      </c>
      <c r="E865">
        <v>0</v>
      </c>
      <c r="F865" t="str">
        <f t="shared" si="41"/>
        <v>Lower Risk</v>
      </c>
      <c r="G865" t="s">
        <v>3</v>
      </c>
      <c r="H865" t="s">
        <v>4</v>
      </c>
      <c r="I865" t="s">
        <v>5</v>
      </c>
      <c r="J865">
        <v>111.71</v>
      </c>
      <c r="K865">
        <v>38.9</v>
      </c>
      <c r="L865" t="s">
        <v>6</v>
      </c>
      <c r="M865">
        <v>0</v>
      </c>
      <c r="N865" t="str">
        <f t="shared" si="39"/>
        <v>40–59</v>
      </c>
      <c r="O865" t="str">
        <f t="shared" si="40"/>
        <v>Obese</v>
      </c>
    </row>
    <row r="866" spans="1:15" x14ac:dyDescent="0.3">
      <c r="A866">
        <v>13907</v>
      </c>
      <c r="B866" t="s">
        <v>2</v>
      </c>
      <c r="C866">
        <v>65</v>
      </c>
      <c r="D866">
        <v>0</v>
      </c>
      <c r="E866">
        <v>0</v>
      </c>
      <c r="F866" t="str">
        <f t="shared" si="41"/>
        <v>Moderate Risk</v>
      </c>
      <c r="G866" t="s">
        <v>3</v>
      </c>
      <c r="H866" t="s">
        <v>8</v>
      </c>
      <c r="I866" t="s">
        <v>9</v>
      </c>
      <c r="J866">
        <v>94.64</v>
      </c>
      <c r="K866">
        <v>28.6</v>
      </c>
      <c r="L866" t="s">
        <v>11</v>
      </c>
      <c r="M866">
        <v>0</v>
      </c>
      <c r="N866" t="str">
        <f t="shared" si="39"/>
        <v>60+</v>
      </c>
      <c r="O866" t="str">
        <f t="shared" si="40"/>
        <v>Overweight</v>
      </c>
    </row>
    <row r="867" spans="1:15" x14ac:dyDescent="0.3">
      <c r="A867">
        <v>2314</v>
      </c>
      <c r="B867" t="s">
        <v>2</v>
      </c>
      <c r="C867">
        <v>52</v>
      </c>
      <c r="D867">
        <v>0</v>
      </c>
      <c r="E867">
        <v>0</v>
      </c>
      <c r="F867" t="str">
        <f t="shared" si="41"/>
        <v>Lower Risk</v>
      </c>
      <c r="G867" t="s">
        <v>3</v>
      </c>
      <c r="H867" t="s">
        <v>4</v>
      </c>
      <c r="I867" t="s">
        <v>5</v>
      </c>
      <c r="J867">
        <v>226.7</v>
      </c>
      <c r="K867" t="s">
        <v>10</v>
      </c>
      <c r="L867" t="s">
        <v>12</v>
      </c>
      <c r="M867">
        <v>0</v>
      </c>
      <c r="N867" t="str">
        <f t="shared" si="39"/>
        <v>40–59</v>
      </c>
      <c r="O867" t="str">
        <f t="shared" si="40"/>
        <v>Unknown</v>
      </c>
    </row>
    <row r="868" spans="1:15" x14ac:dyDescent="0.3">
      <c r="A868">
        <v>70380</v>
      </c>
      <c r="B868" t="s">
        <v>7</v>
      </c>
      <c r="C868">
        <v>20</v>
      </c>
      <c r="D868">
        <v>0</v>
      </c>
      <c r="E868">
        <v>0</v>
      </c>
      <c r="F868" t="str">
        <f t="shared" si="41"/>
        <v>Lower Risk</v>
      </c>
      <c r="G868" t="s">
        <v>13</v>
      </c>
      <c r="H868" t="s">
        <v>4</v>
      </c>
      <c r="I868" t="s">
        <v>5</v>
      </c>
      <c r="J868">
        <v>112.96</v>
      </c>
      <c r="K868">
        <v>27.5</v>
      </c>
      <c r="L868" t="s">
        <v>11</v>
      </c>
      <c r="M868">
        <v>0</v>
      </c>
      <c r="N868" t="str">
        <f t="shared" si="39"/>
        <v>Under 40</v>
      </c>
      <c r="O868" t="str">
        <f t="shared" si="40"/>
        <v>Overweight</v>
      </c>
    </row>
    <row r="869" spans="1:15" x14ac:dyDescent="0.3">
      <c r="A869">
        <v>63058</v>
      </c>
      <c r="B869" t="s">
        <v>7</v>
      </c>
      <c r="C869">
        <v>77</v>
      </c>
      <c r="D869">
        <v>0</v>
      </c>
      <c r="E869">
        <v>1</v>
      </c>
      <c r="F869" t="str">
        <f t="shared" si="41"/>
        <v>High Risk</v>
      </c>
      <c r="G869" t="s">
        <v>3</v>
      </c>
      <c r="H869" t="s">
        <v>4</v>
      </c>
      <c r="I869" t="s">
        <v>9</v>
      </c>
      <c r="J869">
        <v>183.1</v>
      </c>
      <c r="K869" t="s">
        <v>10</v>
      </c>
      <c r="L869" t="s">
        <v>11</v>
      </c>
      <c r="M869">
        <v>0</v>
      </c>
      <c r="N869" t="str">
        <f t="shared" si="39"/>
        <v>60+</v>
      </c>
      <c r="O869" t="str">
        <f t="shared" si="40"/>
        <v>Unknown</v>
      </c>
    </row>
    <row r="870" spans="1:15" x14ac:dyDescent="0.3">
      <c r="A870">
        <v>54071</v>
      </c>
      <c r="B870" t="s">
        <v>7</v>
      </c>
      <c r="C870">
        <v>51</v>
      </c>
      <c r="D870">
        <v>0</v>
      </c>
      <c r="E870">
        <v>0</v>
      </c>
      <c r="F870" t="str">
        <f t="shared" si="41"/>
        <v>Lower Risk</v>
      </c>
      <c r="G870" t="s">
        <v>3</v>
      </c>
      <c r="H870" t="s">
        <v>4</v>
      </c>
      <c r="I870" t="s">
        <v>5</v>
      </c>
      <c r="J870">
        <v>105.36</v>
      </c>
      <c r="K870">
        <v>43.7</v>
      </c>
      <c r="L870" t="s">
        <v>14</v>
      </c>
      <c r="M870">
        <v>0</v>
      </c>
      <c r="N870" t="str">
        <f t="shared" si="39"/>
        <v>40–59</v>
      </c>
      <c r="O870" t="str">
        <f t="shared" si="40"/>
        <v>Obese</v>
      </c>
    </row>
    <row r="871" spans="1:15" x14ac:dyDescent="0.3">
      <c r="A871">
        <v>67405</v>
      </c>
      <c r="B871" t="s">
        <v>7</v>
      </c>
      <c r="C871">
        <v>37</v>
      </c>
      <c r="D871">
        <v>0</v>
      </c>
      <c r="E871">
        <v>0</v>
      </c>
      <c r="F871" t="str">
        <f t="shared" si="41"/>
        <v>Lower Risk</v>
      </c>
      <c r="G871" t="s">
        <v>3</v>
      </c>
      <c r="H871" t="s">
        <v>4</v>
      </c>
      <c r="I871" t="s">
        <v>5</v>
      </c>
      <c r="J871">
        <v>84.13</v>
      </c>
      <c r="K871">
        <v>27</v>
      </c>
      <c r="L871" t="s">
        <v>11</v>
      </c>
      <c r="M871">
        <v>0</v>
      </c>
      <c r="N871" t="str">
        <f t="shared" si="39"/>
        <v>Under 40</v>
      </c>
      <c r="O871" t="str">
        <f t="shared" si="40"/>
        <v>Overweight</v>
      </c>
    </row>
    <row r="872" spans="1:15" x14ac:dyDescent="0.3">
      <c r="A872">
        <v>28024</v>
      </c>
      <c r="B872" t="s">
        <v>2</v>
      </c>
      <c r="C872">
        <v>49</v>
      </c>
      <c r="D872">
        <v>0</v>
      </c>
      <c r="E872">
        <v>0</v>
      </c>
      <c r="F872" t="str">
        <f t="shared" si="41"/>
        <v>Lower Risk</v>
      </c>
      <c r="G872" t="s">
        <v>3</v>
      </c>
      <c r="H872" t="s">
        <v>4</v>
      </c>
      <c r="I872" t="s">
        <v>9</v>
      </c>
      <c r="J872">
        <v>102.47</v>
      </c>
      <c r="K872">
        <v>29.3</v>
      </c>
      <c r="L872" t="s">
        <v>6</v>
      </c>
      <c r="M872">
        <v>0</v>
      </c>
      <c r="N872" t="str">
        <f t="shared" si="39"/>
        <v>40–59</v>
      </c>
      <c r="O872" t="str">
        <f t="shared" si="40"/>
        <v>Overweight</v>
      </c>
    </row>
    <row r="873" spans="1:15" x14ac:dyDescent="0.3">
      <c r="A873">
        <v>11730</v>
      </c>
      <c r="B873" t="s">
        <v>7</v>
      </c>
      <c r="C873">
        <v>62</v>
      </c>
      <c r="D873">
        <v>1</v>
      </c>
      <c r="E873">
        <v>0</v>
      </c>
      <c r="F873" t="str">
        <f t="shared" si="41"/>
        <v>High Risk</v>
      </c>
      <c r="G873" t="s">
        <v>3</v>
      </c>
      <c r="H873" t="s">
        <v>15</v>
      </c>
      <c r="I873" t="s">
        <v>9</v>
      </c>
      <c r="J873">
        <v>77.040000000000006</v>
      </c>
      <c r="K873">
        <v>34.700000000000003</v>
      </c>
      <c r="L873" t="s">
        <v>11</v>
      </c>
      <c r="M873">
        <v>0</v>
      </c>
      <c r="N873" t="str">
        <f t="shared" si="39"/>
        <v>60+</v>
      </c>
      <c r="O873" t="str">
        <f t="shared" si="40"/>
        <v>Obese</v>
      </c>
    </row>
    <row r="874" spans="1:15" x14ac:dyDescent="0.3">
      <c r="A874">
        <v>2549</v>
      </c>
      <c r="B874" t="s">
        <v>7</v>
      </c>
      <c r="C874">
        <v>17</v>
      </c>
      <c r="D874">
        <v>0</v>
      </c>
      <c r="E874">
        <v>0</v>
      </c>
      <c r="F874" t="str">
        <f t="shared" si="41"/>
        <v>Lower Risk</v>
      </c>
      <c r="G874" t="s">
        <v>13</v>
      </c>
      <c r="H874" t="s">
        <v>4</v>
      </c>
      <c r="I874" t="s">
        <v>9</v>
      </c>
      <c r="J874">
        <v>83.23</v>
      </c>
      <c r="K874" t="s">
        <v>10</v>
      </c>
      <c r="L874" t="s">
        <v>11</v>
      </c>
      <c r="M874">
        <v>0</v>
      </c>
      <c r="N874" t="str">
        <f t="shared" si="39"/>
        <v>Under 40</v>
      </c>
      <c r="O874" t="str">
        <f t="shared" si="40"/>
        <v>Unknown</v>
      </c>
    </row>
    <row r="875" spans="1:15" x14ac:dyDescent="0.3">
      <c r="A875">
        <v>17245</v>
      </c>
      <c r="B875" t="s">
        <v>7</v>
      </c>
      <c r="C875">
        <v>28</v>
      </c>
      <c r="D875">
        <v>0</v>
      </c>
      <c r="E875">
        <v>0</v>
      </c>
      <c r="F875" t="str">
        <f t="shared" si="41"/>
        <v>Lower Risk</v>
      </c>
      <c r="G875" t="s">
        <v>3</v>
      </c>
      <c r="H875" t="s">
        <v>4</v>
      </c>
      <c r="I875" t="s">
        <v>9</v>
      </c>
      <c r="J875">
        <v>87.01</v>
      </c>
      <c r="K875">
        <v>39.9</v>
      </c>
      <c r="L875" t="s">
        <v>11</v>
      </c>
      <c r="M875">
        <v>0</v>
      </c>
      <c r="N875" t="str">
        <f t="shared" si="39"/>
        <v>Under 40</v>
      </c>
      <c r="O875" t="str">
        <f t="shared" si="40"/>
        <v>Obese</v>
      </c>
    </row>
    <row r="876" spans="1:15" x14ac:dyDescent="0.3">
      <c r="A876">
        <v>70852</v>
      </c>
      <c r="B876" t="s">
        <v>2</v>
      </c>
      <c r="C876">
        <v>80</v>
      </c>
      <c r="D876">
        <v>0</v>
      </c>
      <c r="E876">
        <v>0</v>
      </c>
      <c r="F876" t="str">
        <f t="shared" si="41"/>
        <v>Moderate Risk</v>
      </c>
      <c r="G876" t="s">
        <v>3</v>
      </c>
      <c r="H876" t="s">
        <v>4</v>
      </c>
      <c r="I876" t="s">
        <v>9</v>
      </c>
      <c r="J876">
        <v>56.99</v>
      </c>
      <c r="K876">
        <v>26.7</v>
      </c>
      <c r="L876" t="s">
        <v>11</v>
      </c>
      <c r="M876">
        <v>0</v>
      </c>
      <c r="N876" t="str">
        <f t="shared" si="39"/>
        <v>60+</v>
      </c>
      <c r="O876" t="str">
        <f t="shared" si="40"/>
        <v>Overweight</v>
      </c>
    </row>
    <row r="877" spans="1:15" x14ac:dyDescent="0.3">
      <c r="A877">
        <v>60957</v>
      </c>
      <c r="B877" t="s">
        <v>2</v>
      </c>
      <c r="C877">
        <v>45</v>
      </c>
      <c r="D877">
        <v>0</v>
      </c>
      <c r="E877">
        <v>0</v>
      </c>
      <c r="F877" t="str">
        <f t="shared" si="41"/>
        <v>Lower Risk</v>
      </c>
      <c r="G877" t="s">
        <v>3</v>
      </c>
      <c r="H877" t="s">
        <v>4</v>
      </c>
      <c r="I877" t="s">
        <v>9</v>
      </c>
      <c r="J877">
        <v>73.010000000000005</v>
      </c>
      <c r="K877">
        <v>24.8</v>
      </c>
      <c r="L877" t="s">
        <v>6</v>
      </c>
      <c r="M877">
        <v>0</v>
      </c>
      <c r="N877" t="str">
        <f t="shared" si="39"/>
        <v>40–59</v>
      </c>
      <c r="O877" t="str">
        <f t="shared" si="40"/>
        <v>Normal</v>
      </c>
    </row>
    <row r="878" spans="1:15" x14ac:dyDescent="0.3">
      <c r="A878">
        <v>19742</v>
      </c>
      <c r="B878" t="s">
        <v>7</v>
      </c>
      <c r="C878">
        <v>37</v>
      </c>
      <c r="D878">
        <v>0</v>
      </c>
      <c r="E878">
        <v>0</v>
      </c>
      <c r="F878" t="str">
        <f t="shared" si="41"/>
        <v>Lower Risk</v>
      </c>
      <c r="G878" t="s">
        <v>3</v>
      </c>
      <c r="H878" t="s">
        <v>4</v>
      </c>
      <c r="I878" t="s">
        <v>5</v>
      </c>
      <c r="J878">
        <v>106.35</v>
      </c>
      <c r="K878">
        <v>29.7</v>
      </c>
      <c r="L878" t="s">
        <v>11</v>
      </c>
      <c r="M878">
        <v>0</v>
      </c>
      <c r="N878" t="str">
        <f t="shared" si="39"/>
        <v>Under 40</v>
      </c>
      <c r="O878" t="str">
        <f t="shared" si="40"/>
        <v>Overweight</v>
      </c>
    </row>
    <row r="879" spans="1:15" x14ac:dyDescent="0.3">
      <c r="A879">
        <v>10782</v>
      </c>
      <c r="B879" t="s">
        <v>7</v>
      </c>
      <c r="C879">
        <v>3</v>
      </c>
      <c r="D879">
        <v>0</v>
      </c>
      <c r="E879">
        <v>0</v>
      </c>
      <c r="F879" t="str">
        <f t="shared" si="41"/>
        <v>Lower Risk</v>
      </c>
      <c r="G879" t="s">
        <v>13</v>
      </c>
      <c r="H879" t="s">
        <v>16</v>
      </c>
      <c r="I879" t="s">
        <v>9</v>
      </c>
      <c r="J879">
        <v>80.63</v>
      </c>
      <c r="K879">
        <v>15.9</v>
      </c>
      <c r="L879" t="s">
        <v>14</v>
      </c>
      <c r="M879">
        <v>0</v>
      </c>
      <c r="N879" t="str">
        <f t="shared" si="39"/>
        <v>Under 40</v>
      </c>
      <c r="O879" t="str">
        <f t="shared" si="40"/>
        <v>Underweight</v>
      </c>
    </row>
    <row r="880" spans="1:15" x14ac:dyDescent="0.3">
      <c r="A880">
        <v>61742</v>
      </c>
      <c r="B880" t="s">
        <v>2</v>
      </c>
      <c r="C880">
        <v>26</v>
      </c>
      <c r="D880">
        <v>0</v>
      </c>
      <c r="E880">
        <v>0</v>
      </c>
      <c r="F880" t="str">
        <f t="shared" si="41"/>
        <v>Lower Risk</v>
      </c>
      <c r="G880" t="s">
        <v>13</v>
      </c>
      <c r="H880" t="s">
        <v>4</v>
      </c>
      <c r="I880" t="s">
        <v>5</v>
      </c>
      <c r="J880">
        <v>103.61</v>
      </c>
      <c r="K880">
        <v>31.4</v>
      </c>
      <c r="L880" t="s">
        <v>11</v>
      </c>
      <c r="M880">
        <v>0</v>
      </c>
      <c r="N880" t="str">
        <f t="shared" si="39"/>
        <v>Under 40</v>
      </c>
      <c r="O880" t="str">
        <f t="shared" si="40"/>
        <v>Obese</v>
      </c>
    </row>
    <row r="881" spans="1:15" x14ac:dyDescent="0.3">
      <c r="A881">
        <v>4808</v>
      </c>
      <c r="B881" t="s">
        <v>7</v>
      </c>
      <c r="C881">
        <v>71</v>
      </c>
      <c r="D881">
        <v>0</v>
      </c>
      <c r="E881">
        <v>0</v>
      </c>
      <c r="F881" t="str">
        <f t="shared" si="41"/>
        <v>Moderate Risk</v>
      </c>
      <c r="G881" t="s">
        <v>3</v>
      </c>
      <c r="H881" t="s">
        <v>8</v>
      </c>
      <c r="I881" t="s">
        <v>5</v>
      </c>
      <c r="J881">
        <v>91.35</v>
      </c>
      <c r="K881" t="s">
        <v>10</v>
      </c>
      <c r="L881" t="s">
        <v>6</v>
      </c>
      <c r="M881">
        <v>0</v>
      </c>
      <c r="N881" t="str">
        <f t="shared" si="39"/>
        <v>60+</v>
      </c>
      <c r="O881" t="str">
        <f t="shared" si="40"/>
        <v>Unknown</v>
      </c>
    </row>
    <row r="882" spans="1:15" x14ac:dyDescent="0.3">
      <c r="A882">
        <v>13571</v>
      </c>
      <c r="B882" t="s">
        <v>2</v>
      </c>
      <c r="C882">
        <v>58</v>
      </c>
      <c r="D882">
        <v>0</v>
      </c>
      <c r="E882">
        <v>0</v>
      </c>
      <c r="F882" t="str">
        <f t="shared" si="41"/>
        <v>Lower Risk</v>
      </c>
      <c r="G882" t="s">
        <v>3</v>
      </c>
      <c r="H882" t="s">
        <v>15</v>
      </c>
      <c r="I882" t="s">
        <v>5</v>
      </c>
      <c r="J882">
        <v>194.04</v>
      </c>
      <c r="K882">
        <v>27.8</v>
      </c>
      <c r="L882" t="s">
        <v>11</v>
      </c>
      <c r="M882">
        <v>0</v>
      </c>
      <c r="N882" t="str">
        <f t="shared" si="39"/>
        <v>40–59</v>
      </c>
      <c r="O882" t="str">
        <f t="shared" si="40"/>
        <v>Overweight</v>
      </c>
    </row>
    <row r="883" spans="1:15" x14ac:dyDescent="0.3">
      <c r="A883">
        <v>49928</v>
      </c>
      <c r="B883" t="s">
        <v>7</v>
      </c>
      <c r="C883">
        <v>59</v>
      </c>
      <c r="D883">
        <v>0</v>
      </c>
      <c r="E883">
        <v>0</v>
      </c>
      <c r="F883" t="str">
        <f t="shared" si="41"/>
        <v>Lower Risk</v>
      </c>
      <c r="G883" t="s">
        <v>3</v>
      </c>
      <c r="H883" t="s">
        <v>15</v>
      </c>
      <c r="I883" t="s">
        <v>9</v>
      </c>
      <c r="J883">
        <v>111.99</v>
      </c>
      <c r="K883">
        <v>35.5</v>
      </c>
      <c r="L883" t="s">
        <v>6</v>
      </c>
      <c r="M883">
        <v>0</v>
      </c>
      <c r="N883" t="str">
        <f t="shared" si="39"/>
        <v>40–59</v>
      </c>
      <c r="O883" t="str">
        <f t="shared" si="40"/>
        <v>Obese</v>
      </c>
    </row>
    <row r="884" spans="1:15" x14ac:dyDescent="0.3">
      <c r="A884">
        <v>52688</v>
      </c>
      <c r="B884" t="s">
        <v>2</v>
      </c>
      <c r="C884">
        <v>74</v>
      </c>
      <c r="D884">
        <v>1</v>
      </c>
      <c r="E884">
        <v>0</v>
      </c>
      <c r="F884" t="str">
        <f t="shared" si="41"/>
        <v>High Risk</v>
      </c>
      <c r="G884" t="s">
        <v>3</v>
      </c>
      <c r="H884" t="s">
        <v>4</v>
      </c>
      <c r="I884" t="s">
        <v>9</v>
      </c>
      <c r="J884">
        <v>57.51</v>
      </c>
      <c r="K884">
        <v>31.7</v>
      </c>
      <c r="L884" t="s">
        <v>12</v>
      </c>
      <c r="M884">
        <v>0</v>
      </c>
      <c r="N884" t="str">
        <f t="shared" si="39"/>
        <v>60+</v>
      </c>
      <c r="O884" t="str">
        <f t="shared" si="40"/>
        <v>Obese</v>
      </c>
    </row>
    <row r="885" spans="1:15" x14ac:dyDescent="0.3">
      <c r="A885">
        <v>24099</v>
      </c>
      <c r="B885" t="s">
        <v>2</v>
      </c>
      <c r="C885">
        <v>17</v>
      </c>
      <c r="D885">
        <v>0</v>
      </c>
      <c r="E885">
        <v>0</v>
      </c>
      <c r="F885" t="str">
        <f t="shared" si="41"/>
        <v>Lower Risk</v>
      </c>
      <c r="G885" t="s">
        <v>13</v>
      </c>
      <c r="H885" t="s">
        <v>4</v>
      </c>
      <c r="I885" t="s">
        <v>9</v>
      </c>
      <c r="J885">
        <v>68.489999999999995</v>
      </c>
      <c r="K885">
        <v>33.200000000000003</v>
      </c>
      <c r="L885" t="s">
        <v>11</v>
      </c>
      <c r="M885">
        <v>0</v>
      </c>
      <c r="N885" t="str">
        <f t="shared" si="39"/>
        <v>Under 40</v>
      </c>
      <c r="O885" t="str">
        <f t="shared" si="40"/>
        <v>Obese</v>
      </c>
    </row>
    <row r="886" spans="1:15" x14ac:dyDescent="0.3">
      <c r="A886">
        <v>65698</v>
      </c>
      <c r="B886" t="s">
        <v>7</v>
      </c>
      <c r="C886">
        <v>62</v>
      </c>
      <c r="D886">
        <v>0</v>
      </c>
      <c r="E886">
        <v>0</v>
      </c>
      <c r="F886" t="str">
        <f t="shared" si="41"/>
        <v>Moderate Risk</v>
      </c>
      <c r="G886" t="s">
        <v>3</v>
      </c>
      <c r="H886" t="s">
        <v>4</v>
      </c>
      <c r="I886" t="s">
        <v>5</v>
      </c>
      <c r="J886">
        <v>60.2</v>
      </c>
      <c r="K886">
        <v>27.7</v>
      </c>
      <c r="L886" t="s">
        <v>6</v>
      </c>
      <c r="M886">
        <v>0</v>
      </c>
      <c r="N886" t="str">
        <f t="shared" si="39"/>
        <v>60+</v>
      </c>
      <c r="O886" t="str">
        <f t="shared" si="40"/>
        <v>Overweight</v>
      </c>
    </row>
    <row r="887" spans="1:15" x14ac:dyDescent="0.3">
      <c r="A887">
        <v>47885</v>
      </c>
      <c r="B887" t="s">
        <v>2</v>
      </c>
      <c r="C887">
        <v>37</v>
      </c>
      <c r="D887">
        <v>0</v>
      </c>
      <c r="E887">
        <v>0</v>
      </c>
      <c r="F887" t="str">
        <f t="shared" si="41"/>
        <v>Lower Risk</v>
      </c>
      <c r="G887" t="s">
        <v>3</v>
      </c>
      <c r="H887" t="s">
        <v>8</v>
      </c>
      <c r="I887" t="s">
        <v>5</v>
      </c>
      <c r="J887">
        <v>160</v>
      </c>
      <c r="K887">
        <v>31.9</v>
      </c>
      <c r="L887" t="s">
        <v>6</v>
      </c>
      <c r="M887">
        <v>0</v>
      </c>
      <c r="N887" t="str">
        <f t="shared" si="39"/>
        <v>Under 40</v>
      </c>
      <c r="O887" t="str">
        <f t="shared" si="40"/>
        <v>Obese</v>
      </c>
    </row>
    <row r="888" spans="1:15" x14ac:dyDescent="0.3">
      <c r="A888">
        <v>13948</v>
      </c>
      <c r="B888" t="s">
        <v>7</v>
      </c>
      <c r="C888">
        <v>19</v>
      </c>
      <c r="D888">
        <v>0</v>
      </c>
      <c r="E888">
        <v>0</v>
      </c>
      <c r="F888" t="str">
        <f t="shared" si="41"/>
        <v>Lower Risk</v>
      </c>
      <c r="G888" t="s">
        <v>13</v>
      </c>
      <c r="H888" t="s">
        <v>17</v>
      </c>
      <c r="I888" t="s">
        <v>5</v>
      </c>
      <c r="J888">
        <v>86.96</v>
      </c>
      <c r="K888">
        <v>25.8</v>
      </c>
      <c r="L888" t="s">
        <v>11</v>
      </c>
      <c r="M888">
        <v>0</v>
      </c>
      <c r="N888" t="str">
        <f t="shared" si="39"/>
        <v>Under 40</v>
      </c>
      <c r="O888" t="str">
        <f t="shared" si="40"/>
        <v>Overweight</v>
      </c>
    </row>
    <row r="889" spans="1:15" x14ac:dyDescent="0.3">
      <c r="A889">
        <v>17351</v>
      </c>
      <c r="B889" t="s">
        <v>7</v>
      </c>
      <c r="C889">
        <v>59</v>
      </c>
      <c r="D889">
        <v>0</v>
      </c>
      <c r="E889">
        <v>0</v>
      </c>
      <c r="F889" t="str">
        <f t="shared" si="41"/>
        <v>Lower Risk</v>
      </c>
      <c r="G889" t="s">
        <v>3</v>
      </c>
      <c r="H889" t="s">
        <v>4</v>
      </c>
      <c r="I889" t="s">
        <v>9</v>
      </c>
      <c r="J889">
        <v>237.15</v>
      </c>
      <c r="K889">
        <v>27.7</v>
      </c>
      <c r="L889" t="s">
        <v>11</v>
      </c>
      <c r="M889">
        <v>0</v>
      </c>
      <c r="N889" t="str">
        <f t="shared" si="39"/>
        <v>40–59</v>
      </c>
      <c r="O889" t="str">
        <f t="shared" si="40"/>
        <v>Overweight</v>
      </c>
    </row>
    <row r="890" spans="1:15" x14ac:dyDescent="0.3">
      <c r="A890">
        <v>820</v>
      </c>
      <c r="B890" t="s">
        <v>7</v>
      </c>
      <c r="C890">
        <v>59</v>
      </c>
      <c r="D890">
        <v>1</v>
      </c>
      <c r="E890">
        <v>0</v>
      </c>
      <c r="F890" t="str">
        <f t="shared" si="41"/>
        <v>Lower Risk</v>
      </c>
      <c r="G890" t="s">
        <v>3</v>
      </c>
      <c r="H890" t="s">
        <v>4</v>
      </c>
      <c r="I890" t="s">
        <v>9</v>
      </c>
      <c r="J890">
        <v>99.06</v>
      </c>
      <c r="K890">
        <v>23.4</v>
      </c>
      <c r="L890" t="s">
        <v>11</v>
      </c>
      <c r="M890">
        <v>0</v>
      </c>
      <c r="N890" t="str">
        <f t="shared" si="39"/>
        <v>40–59</v>
      </c>
      <c r="O890" t="str">
        <f t="shared" si="40"/>
        <v>Normal</v>
      </c>
    </row>
    <row r="891" spans="1:15" x14ac:dyDescent="0.3">
      <c r="A891">
        <v>55721</v>
      </c>
      <c r="B891" t="s">
        <v>2</v>
      </c>
      <c r="C891">
        <v>62</v>
      </c>
      <c r="D891">
        <v>0</v>
      </c>
      <c r="E891">
        <v>1</v>
      </c>
      <c r="F891" t="str">
        <f t="shared" si="41"/>
        <v>High Risk</v>
      </c>
      <c r="G891" t="s">
        <v>3</v>
      </c>
      <c r="H891" t="s">
        <v>8</v>
      </c>
      <c r="I891" t="s">
        <v>5</v>
      </c>
      <c r="J891">
        <v>56.31</v>
      </c>
      <c r="K891">
        <v>24.3</v>
      </c>
      <c r="L891" t="s">
        <v>6</v>
      </c>
      <c r="M891">
        <v>0</v>
      </c>
      <c r="N891" t="str">
        <f t="shared" si="39"/>
        <v>60+</v>
      </c>
      <c r="O891" t="str">
        <f t="shared" si="40"/>
        <v>Normal</v>
      </c>
    </row>
    <row r="892" spans="1:15" x14ac:dyDescent="0.3">
      <c r="A892">
        <v>72310</v>
      </c>
      <c r="B892" t="s">
        <v>2</v>
      </c>
      <c r="C892">
        <v>80</v>
      </c>
      <c r="D892">
        <v>1</v>
      </c>
      <c r="E892">
        <v>1</v>
      </c>
      <c r="F892" t="str">
        <f t="shared" si="41"/>
        <v>High Risk</v>
      </c>
      <c r="G892" t="s">
        <v>3</v>
      </c>
      <c r="H892" t="s">
        <v>8</v>
      </c>
      <c r="I892" t="s">
        <v>5</v>
      </c>
      <c r="J892">
        <v>84.31</v>
      </c>
      <c r="K892">
        <v>30.3</v>
      </c>
      <c r="L892" t="s">
        <v>12</v>
      </c>
      <c r="M892">
        <v>0</v>
      </c>
      <c r="N892" t="str">
        <f t="shared" si="39"/>
        <v>60+</v>
      </c>
      <c r="O892" t="str">
        <f t="shared" si="40"/>
        <v>Obese</v>
      </c>
    </row>
    <row r="893" spans="1:15" x14ac:dyDescent="0.3">
      <c r="A893">
        <v>24115</v>
      </c>
      <c r="B893" t="s">
        <v>7</v>
      </c>
      <c r="C893">
        <v>54</v>
      </c>
      <c r="D893">
        <v>0</v>
      </c>
      <c r="E893">
        <v>0</v>
      </c>
      <c r="F893" t="str">
        <f t="shared" si="41"/>
        <v>Lower Risk</v>
      </c>
      <c r="G893" t="s">
        <v>3</v>
      </c>
      <c r="H893" t="s">
        <v>4</v>
      </c>
      <c r="I893" t="s">
        <v>9</v>
      </c>
      <c r="J893">
        <v>90.92</v>
      </c>
      <c r="K893">
        <v>29.1</v>
      </c>
      <c r="L893" t="s">
        <v>11</v>
      </c>
      <c r="M893">
        <v>0</v>
      </c>
      <c r="N893" t="str">
        <f t="shared" si="39"/>
        <v>40–59</v>
      </c>
      <c r="O893" t="str">
        <f t="shared" si="40"/>
        <v>Overweight</v>
      </c>
    </row>
    <row r="894" spans="1:15" x14ac:dyDescent="0.3">
      <c r="A894">
        <v>65766</v>
      </c>
      <c r="B894" t="s">
        <v>7</v>
      </c>
      <c r="C894">
        <v>27</v>
      </c>
      <c r="D894">
        <v>0</v>
      </c>
      <c r="E894">
        <v>0</v>
      </c>
      <c r="F894" t="str">
        <f t="shared" si="41"/>
        <v>Lower Risk</v>
      </c>
      <c r="G894" t="s">
        <v>13</v>
      </c>
      <c r="H894" t="s">
        <v>4</v>
      </c>
      <c r="I894" t="s">
        <v>9</v>
      </c>
      <c r="J894">
        <v>104.33</v>
      </c>
      <c r="K894">
        <v>20.100000000000001</v>
      </c>
      <c r="L894" t="s">
        <v>11</v>
      </c>
      <c r="M894">
        <v>0</v>
      </c>
      <c r="N894" t="str">
        <f t="shared" si="39"/>
        <v>Under 40</v>
      </c>
      <c r="O894" t="str">
        <f t="shared" si="40"/>
        <v>Normal</v>
      </c>
    </row>
    <row r="895" spans="1:15" x14ac:dyDescent="0.3">
      <c r="A895">
        <v>42482</v>
      </c>
      <c r="B895" t="s">
        <v>7</v>
      </c>
      <c r="C895">
        <v>4</v>
      </c>
      <c r="D895">
        <v>0</v>
      </c>
      <c r="E895">
        <v>0</v>
      </c>
      <c r="F895" t="str">
        <f t="shared" si="41"/>
        <v>Lower Risk</v>
      </c>
      <c r="G895" t="s">
        <v>13</v>
      </c>
      <c r="H895" t="s">
        <v>16</v>
      </c>
      <c r="I895" t="s">
        <v>5</v>
      </c>
      <c r="J895">
        <v>62.61</v>
      </c>
      <c r="K895">
        <v>21.2</v>
      </c>
      <c r="L895" t="s">
        <v>14</v>
      </c>
      <c r="M895">
        <v>0</v>
      </c>
      <c r="N895" t="str">
        <f t="shared" si="39"/>
        <v>Under 40</v>
      </c>
      <c r="O895" t="str">
        <f t="shared" si="40"/>
        <v>Normal</v>
      </c>
    </row>
    <row r="896" spans="1:15" x14ac:dyDescent="0.3">
      <c r="A896">
        <v>25627</v>
      </c>
      <c r="B896" t="s">
        <v>2</v>
      </c>
      <c r="C896">
        <v>81</v>
      </c>
      <c r="D896">
        <v>1</v>
      </c>
      <c r="E896">
        <v>0</v>
      </c>
      <c r="F896" t="str">
        <f t="shared" si="41"/>
        <v>High Risk</v>
      </c>
      <c r="G896" t="s">
        <v>3</v>
      </c>
      <c r="H896" t="s">
        <v>8</v>
      </c>
      <c r="I896" t="s">
        <v>5</v>
      </c>
      <c r="J896">
        <v>231.19</v>
      </c>
      <c r="K896">
        <v>31.6</v>
      </c>
      <c r="L896" t="s">
        <v>6</v>
      </c>
      <c r="M896">
        <v>0</v>
      </c>
      <c r="N896" t="str">
        <f t="shared" si="39"/>
        <v>60+</v>
      </c>
      <c r="O896" t="str">
        <f t="shared" si="40"/>
        <v>Obese</v>
      </c>
    </row>
    <row r="897" spans="1:15" x14ac:dyDescent="0.3">
      <c r="A897">
        <v>7122</v>
      </c>
      <c r="B897" t="s">
        <v>7</v>
      </c>
      <c r="C897">
        <v>41</v>
      </c>
      <c r="D897">
        <v>0</v>
      </c>
      <c r="E897">
        <v>0</v>
      </c>
      <c r="F897" t="str">
        <f t="shared" si="41"/>
        <v>Lower Risk</v>
      </c>
      <c r="G897" t="s">
        <v>13</v>
      </c>
      <c r="H897" t="s">
        <v>4</v>
      </c>
      <c r="I897" t="s">
        <v>9</v>
      </c>
      <c r="J897">
        <v>94.3</v>
      </c>
      <c r="K897">
        <v>41.6</v>
      </c>
      <c r="L897" t="s">
        <v>14</v>
      </c>
      <c r="M897">
        <v>0</v>
      </c>
      <c r="N897" t="str">
        <f t="shared" si="39"/>
        <v>40–59</v>
      </c>
      <c r="O897" t="str">
        <f t="shared" si="40"/>
        <v>Obese</v>
      </c>
    </row>
    <row r="898" spans="1:15" x14ac:dyDescent="0.3">
      <c r="A898">
        <v>48755</v>
      </c>
      <c r="B898" t="s">
        <v>2</v>
      </c>
      <c r="C898">
        <v>27</v>
      </c>
      <c r="D898">
        <v>0</v>
      </c>
      <c r="E898">
        <v>0</v>
      </c>
      <c r="F898" t="str">
        <f t="shared" si="41"/>
        <v>Lower Risk</v>
      </c>
      <c r="G898" t="s">
        <v>3</v>
      </c>
      <c r="H898" t="s">
        <v>4</v>
      </c>
      <c r="I898" t="s">
        <v>9</v>
      </c>
      <c r="J898">
        <v>104.48</v>
      </c>
      <c r="K898">
        <v>36.4</v>
      </c>
      <c r="L898" t="s">
        <v>12</v>
      </c>
      <c r="M898">
        <v>0</v>
      </c>
      <c r="N898" t="str">
        <f t="shared" ref="N898:N961" si="42">IF(C898&lt;40,"Under 40",IF(C898&lt;60,"40–59","60+"))</f>
        <v>Under 40</v>
      </c>
      <c r="O898" t="str">
        <f t="shared" ref="O898:O961" si="43">IF(K898="N/A","Unknown",
IF(K898="","Unknown",
IF(K898&lt;18.5,"Underweight",
IF(K898&lt;25,"Normal",
IF(K898&lt;30,"Overweight","Obese")))))</f>
        <v>Obese</v>
      </c>
    </row>
    <row r="899" spans="1:15" x14ac:dyDescent="0.3">
      <c r="A899">
        <v>33551</v>
      </c>
      <c r="B899" t="s">
        <v>7</v>
      </c>
      <c r="C899">
        <v>51</v>
      </c>
      <c r="D899">
        <v>1</v>
      </c>
      <c r="E899">
        <v>0</v>
      </c>
      <c r="F899" t="str">
        <f t="shared" ref="F899:F962" si="44">IF(C899&gt;=60,
IF(OR(D899=1,E899=1),"High Risk","Moderate Risk"),
"Lower Risk")</f>
        <v>Lower Risk</v>
      </c>
      <c r="G899" t="s">
        <v>3</v>
      </c>
      <c r="H899" t="s">
        <v>4</v>
      </c>
      <c r="I899" t="s">
        <v>5</v>
      </c>
      <c r="J899">
        <v>72.62</v>
      </c>
      <c r="K899">
        <v>30.5</v>
      </c>
      <c r="L899" t="s">
        <v>11</v>
      </c>
      <c r="M899">
        <v>0</v>
      </c>
      <c r="N899" t="str">
        <f t="shared" si="42"/>
        <v>40–59</v>
      </c>
      <c r="O899" t="str">
        <f t="shared" si="43"/>
        <v>Obese</v>
      </c>
    </row>
    <row r="900" spans="1:15" x14ac:dyDescent="0.3">
      <c r="A900">
        <v>62716</v>
      </c>
      <c r="B900" t="s">
        <v>7</v>
      </c>
      <c r="C900">
        <v>59</v>
      </c>
      <c r="D900">
        <v>0</v>
      </c>
      <c r="E900">
        <v>0</v>
      </c>
      <c r="F900" t="str">
        <f t="shared" si="44"/>
        <v>Lower Risk</v>
      </c>
      <c r="G900" t="s">
        <v>3</v>
      </c>
      <c r="H900" t="s">
        <v>8</v>
      </c>
      <c r="I900" t="s">
        <v>5</v>
      </c>
      <c r="J900">
        <v>81.64</v>
      </c>
      <c r="K900">
        <v>32.799999999999997</v>
      </c>
      <c r="L900" t="s">
        <v>14</v>
      </c>
      <c r="M900">
        <v>0</v>
      </c>
      <c r="N900" t="str">
        <f t="shared" si="42"/>
        <v>40–59</v>
      </c>
      <c r="O900" t="str">
        <f t="shared" si="43"/>
        <v>Obese</v>
      </c>
    </row>
    <row r="901" spans="1:15" x14ac:dyDescent="0.3">
      <c r="A901">
        <v>68438</v>
      </c>
      <c r="B901" t="s">
        <v>7</v>
      </c>
      <c r="C901">
        <v>51</v>
      </c>
      <c r="D901">
        <v>0</v>
      </c>
      <c r="E901">
        <v>0</v>
      </c>
      <c r="F901" t="str">
        <f t="shared" si="44"/>
        <v>Lower Risk</v>
      </c>
      <c r="G901" t="s">
        <v>3</v>
      </c>
      <c r="H901" t="s">
        <v>4</v>
      </c>
      <c r="I901" t="s">
        <v>9</v>
      </c>
      <c r="J901">
        <v>90.78</v>
      </c>
      <c r="K901">
        <v>32.299999999999997</v>
      </c>
      <c r="L901" t="s">
        <v>11</v>
      </c>
      <c r="M901">
        <v>0</v>
      </c>
      <c r="N901" t="str">
        <f t="shared" si="42"/>
        <v>40–59</v>
      </c>
      <c r="O901" t="str">
        <f t="shared" si="43"/>
        <v>Obese</v>
      </c>
    </row>
    <row r="902" spans="1:15" x14ac:dyDescent="0.3">
      <c r="A902">
        <v>41148</v>
      </c>
      <c r="B902" t="s">
        <v>2</v>
      </c>
      <c r="C902">
        <v>71</v>
      </c>
      <c r="D902">
        <v>0</v>
      </c>
      <c r="E902">
        <v>1</v>
      </c>
      <c r="F902" t="str">
        <f t="shared" si="44"/>
        <v>High Risk</v>
      </c>
      <c r="G902" t="s">
        <v>3</v>
      </c>
      <c r="H902" t="s">
        <v>4</v>
      </c>
      <c r="I902" t="s">
        <v>5</v>
      </c>
      <c r="J902">
        <v>70.709999999999994</v>
      </c>
      <c r="K902">
        <v>30.1</v>
      </c>
      <c r="L902" t="s">
        <v>11</v>
      </c>
      <c r="M902">
        <v>0</v>
      </c>
      <c r="N902" t="str">
        <f t="shared" si="42"/>
        <v>60+</v>
      </c>
      <c r="O902" t="str">
        <f t="shared" si="43"/>
        <v>Obese</v>
      </c>
    </row>
    <row r="903" spans="1:15" x14ac:dyDescent="0.3">
      <c r="A903">
        <v>14924</v>
      </c>
      <c r="B903" t="s">
        <v>2</v>
      </c>
      <c r="C903">
        <v>48</v>
      </c>
      <c r="D903">
        <v>0</v>
      </c>
      <c r="E903">
        <v>0</v>
      </c>
      <c r="F903" t="str">
        <f t="shared" si="44"/>
        <v>Lower Risk</v>
      </c>
      <c r="G903" t="s">
        <v>3</v>
      </c>
      <c r="H903" t="s">
        <v>4</v>
      </c>
      <c r="I903" t="s">
        <v>5</v>
      </c>
      <c r="J903">
        <v>72.36</v>
      </c>
      <c r="K903">
        <v>34.700000000000003</v>
      </c>
      <c r="L903" t="s">
        <v>12</v>
      </c>
      <c r="M903">
        <v>0</v>
      </c>
      <c r="N903" t="str">
        <f t="shared" si="42"/>
        <v>40–59</v>
      </c>
      <c r="O903" t="str">
        <f t="shared" si="43"/>
        <v>Obese</v>
      </c>
    </row>
    <row r="904" spans="1:15" x14ac:dyDescent="0.3">
      <c r="A904">
        <v>47950</v>
      </c>
      <c r="B904" t="s">
        <v>7</v>
      </c>
      <c r="C904">
        <v>49</v>
      </c>
      <c r="D904">
        <v>0</v>
      </c>
      <c r="E904">
        <v>0</v>
      </c>
      <c r="F904" t="str">
        <f t="shared" si="44"/>
        <v>Lower Risk</v>
      </c>
      <c r="G904" t="s">
        <v>3</v>
      </c>
      <c r="H904" t="s">
        <v>8</v>
      </c>
      <c r="I904" t="s">
        <v>5</v>
      </c>
      <c r="J904">
        <v>59.76</v>
      </c>
      <c r="K904">
        <v>29.7</v>
      </c>
      <c r="L904" t="s">
        <v>14</v>
      </c>
      <c r="M904">
        <v>0</v>
      </c>
      <c r="N904" t="str">
        <f t="shared" si="42"/>
        <v>40–59</v>
      </c>
      <c r="O904" t="str">
        <f t="shared" si="43"/>
        <v>Overweight</v>
      </c>
    </row>
    <row r="905" spans="1:15" x14ac:dyDescent="0.3">
      <c r="A905">
        <v>8008</v>
      </c>
      <c r="B905" t="s">
        <v>7</v>
      </c>
      <c r="C905">
        <v>35</v>
      </c>
      <c r="D905">
        <v>0</v>
      </c>
      <c r="E905">
        <v>0</v>
      </c>
      <c r="F905" t="str">
        <f t="shared" si="44"/>
        <v>Lower Risk</v>
      </c>
      <c r="G905" t="s">
        <v>13</v>
      </c>
      <c r="H905" t="s">
        <v>15</v>
      </c>
      <c r="I905" t="s">
        <v>5</v>
      </c>
      <c r="J905">
        <v>83.76</v>
      </c>
      <c r="K905" t="s">
        <v>10</v>
      </c>
      <c r="L905" t="s">
        <v>12</v>
      </c>
      <c r="M905">
        <v>0</v>
      </c>
      <c r="N905" t="str">
        <f t="shared" si="42"/>
        <v>Under 40</v>
      </c>
      <c r="O905" t="str">
        <f t="shared" si="43"/>
        <v>Unknown</v>
      </c>
    </row>
    <row r="906" spans="1:15" x14ac:dyDescent="0.3">
      <c r="A906">
        <v>56089</v>
      </c>
      <c r="B906" t="s">
        <v>7</v>
      </c>
      <c r="C906">
        <v>25</v>
      </c>
      <c r="D906">
        <v>0</v>
      </c>
      <c r="E906">
        <v>0</v>
      </c>
      <c r="F906" t="str">
        <f t="shared" si="44"/>
        <v>Lower Risk</v>
      </c>
      <c r="G906" t="s">
        <v>3</v>
      </c>
      <c r="H906" t="s">
        <v>4</v>
      </c>
      <c r="I906" t="s">
        <v>9</v>
      </c>
      <c r="J906">
        <v>63.64</v>
      </c>
      <c r="K906">
        <v>31.3</v>
      </c>
      <c r="L906" t="s">
        <v>6</v>
      </c>
      <c r="M906">
        <v>0</v>
      </c>
      <c r="N906" t="str">
        <f t="shared" si="42"/>
        <v>Under 40</v>
      </c>
      <c r="O906" t="str">
        <f t="shared" si="43"/>
        <v>Obese</v>
      </c>
    </row>
    <row r="907" spans="1:15" x14ac:dyDescent="0.3">
      <c r="A907">
        <v>9262</v>
      </c>
      <c r="B907" t="s">
        <v>7</v>
      </c>
      <c r="C907">
        <v>31</v>
      </c>
      <c r="D907">
        <v>0</v>
      </c>
      <c r="E907">
        <v>0</v>
      </c>
      <c r="F907" t="str">
        <f t="shared" si="44"/>
        <v>Lower Risk</v>
      </c>
      <c r="G907" t="s">
        <v>3</v>
      </c>
      <c r="H907" t="s">
        <v>4</v>
      </c>
      <c r="I907" t="s">
        <v>9</v>
      </c>
      <c r="J907">
        <v>76.260000000000005</v>
      </c>
      <c r="K907">
        <v>35.6</v>
      </c>
      <c r="L907" t="s">
        <v>11</v>
      </c>
      <c r="M907">
        <v>0</v>
      </c>
      <c r="N907" t="str">
        <f t="shared" si="42"/>
        <v>Under 40</v>
      </c>
      <c r="O907" t="str">
        <f t="shared" si="43"/>
        <v>Obese</v>
      </c>
    </row>
    <row r="908" spans="1:15" x14ac:dyDescent="0.3">
      <c r="A908">
        <v>71896</v>
      </c>
      <c r="B908" t="s">
        <v>7</v>
      </c>
      <c r="C908">
        <v>68</v>
      </c>
      <c r="D908">
        <v>0</v>
      </c>
      <c r="E908">
        <v>0</v>
      </c>
      <c r="F908" t="str">
        <f t="shared" si="44"/>
        <v>Moderate Risk</v>
      </c>
      <c r="G908" t="s">
        <v>3</v>
      </c>
      <c r="H908" t="s">
        <v>4</v>
      </c>
      <c r="I908" t="s">
        <v>9</v>
      </c>
      <c r="J908">
        <v>82.06</v>
      </c>
      <c r="K908">
        <v>35.200000000000003</v>
      </c>
      <c r="L908" t="s">
        <v>6</v>
      </c>
      <c r="M908">
        <v>0</v>
      </c>
      <c r="N908" t="str">
        <f t="shared" si="42"/>
        <v>60+</v>
      </c>
      <c r="O908" t="str">
        <f t="shared" si="43"/>
        <v>Obese</v>
      </c>
    </row>
    <row r="909" spans="1:15" x14ac:dyDescent="0.3">
      <c r="A909">
        <v>38623</v>
      </c>
      <c r="B909" t="s">
        <v>2</v>
      </c>
      <c r="C909">
        <v>39</v>
      </c>
      <c r="D909">
        <v>0</v>
      </c>
      <c r="E909">
        <v>0</v>
      </c>
      <c r="F909" t="str">
        <f t="shared" si="44"/>
        <v>Lower Risk</v>
      </c>
      <c r="G909" t="s">
        <v>13</v>
      </c>
      <c r="H909" t="s">
        <v>4</v>
      </c>
      <c r="I909" t="s">
        <v>5</v>
      </c>
      <c r="J909">
        <v>110.91</v>
      </c>
      <c r="K909">
        <v>27.6</v>
      </c>
      <c r="L909" t="s">
        <v>11</v>
      </c>
      <c r="M909">
        <v>0</v>
      </c>
      <c r="N909" t="str">
        <f t="shared" si="42"/>
        <v>Under 40</v>
      </c>
      <c r="O909" t="str">
        <f t="shared" si="43"/>
        <v>Overweight</v>
      </c>
    </row>
    <row r="910" spans="1:15" x14ac:dyDescent="0.3">
      <c r="A910">
        <v>26503</v>
      </c>
      <c r="B910" t="s">
        <v>7</v>
      </c>
      <c r="C910">
        <v>32</v>
      </c>
      <c r="D910">
        <v>0</v>
      </c>
      <c r="E910">
        <v>0</v>
      </c>
      <c r="F910" t="str">
        <f t="shared" si="44"/>
        <v>Lower Risk</v>
      </c>
      <c r="G910" t="s">
        <v>13</v>
      </c>
      <c r="H910" t="s">
        <v>4</v>
      </c>
      <c r="I910" t="s">
        <v>9</v>
      </c>
      <c r="J910">
        <v>77.16</v>
      </c>
      <c r="K910">
        <v>35.200000000000003</v>
      </c>
      <c r="L910" t="s">
        <v>12</v>
      </c>
      <c r="M910">
        <v>0</v>
      </c>
      <c r="N910" t="str">
        <f t="shared" si="42"/>
        <v>Under 40</v>
      </c>
      <c r="O910" t="str">
        <f t="shared" si="43"/>
        <v>Obese</v>
      </c>
    </row>
    <row r="911" spans="1:15" x14ac:dyDescent="0.3">
      <c r="A911">
        <v>5475</v>
      </c>
      <c r="B911" t="s">
        <v>7</v>
      </c>
      <c r="C911">
        <v>39</v>
      </c>
      <c r="D911">
        <v>0</v>
      </c>
      <c r="E911">
        <v>0</v>
      </c>
      <c r="F911" t="str">
        <f t="shared" si="44"/>
        <v>Lower Risk</v>
      </c>
      <c r="G911" t="s">
        <v>3</v>
      </c>
      <c r="H911" t="s">
        <v>4</v>
      </c>
      <c r="I911" t="s">
        <v>9</v>
      </c>
      <c r="J911">
        <v>69.58</v>
      </c>
      <c r="K911">
        <v>28.1</v>
      </c>
      <c r="L911" t="s">
        <v>14</v>
      </c>
      <c r="M911">
        <v>0</v>
      </c>
      <c r="N911" t="str">
        <f t="shared" si="42"/>
        <v>Under 40</v>
      </c>
      <c r="O911" t="str">
        <f t="shared" si="43"/>
        <v>Overweight</v>
      </c>
    </row>
    <row r="912" spans="1:15" x14ac:dyDescent="0.3">
      <c r="A912">
        <v>15525</v>
      </c>
      <c r="B912" t="s">
        <v>7</v>
      </c>
      <c r="C912">
        <v>63</v>
      </c>
      <c r="D912">
        <v>0</v>
      </c>
      <c r="E912">
        <v>0</v>
      </c>
      <c r="F912" t="str">
        <f t="shared" si="44"/>
        <v>Moderate Risk</v>
      </c>
      <c r="G912" t="s">
        <v>3</v>
      </c>
      <c r="H912" t="s">
        <v>4</v>
      </c>
      <c r="I912" t="s">
        <v>5</v>
      </c>
      <c r="J912">
        <v>96.26</v>
      </c>
      <c r="K912">
        <v>31.8</v>
      </c>
      <c r="L912" t="s">
        <v>14</v>
      </c>
      <c r="M912">
        <v>0</v>
      </c>
      <c r="N912" t="str">
        <f t="shared" si="42"/>
        <v>60+</v>
      </c>
      <c r="O912" t="str">
        <f t="shared" si="43"/>
        <v>Obese</v>
      </c>
    </row>
    <row r="913" spans="1:15" x14ac:dyDescent="0.3">
      <c r="A913">
        <v>48748</v>
      </c>
      <c r="B913" t="s">
        <v>7</v>
      </c>
      <c r="C913">
        <v>69</v>
      </c>
      <c r="D913">
        <v>0</v>
      </c>
      <c r="E913">
        <v>0</v>
      </c>
      <c r="F913" t="str">
        <f t="shared" si="44"/>
        <v>Moderate Risk</v>
      </c>
      <c r="G913" t="s">
        <v>3</v>
      </c>
      <c r="H913" t="s">
        <v>4</v>
      </c>
      <c r="I913" t="s">
        <v>9</v>
      </c>
      <c r="J913">
        <v>87.27</v>
      </c>
      <c r="K913">
        <v>23.3</v>
      </c>
      <c r="L913" t="s">
        <v>12</v>
      </c>
      <c r="M913">
        <v>0</v>
      </c>
      <c r="N913" t="str">
        <f t="shared" si="42"/>
        <v>60+</v>
      </c>
      <c r="O913" t="str">
        <f t="shared" si="43"/>
        <v>Normal</v>
      </c>
    </row>
    <row r="914" spans="1:15" x14ac:dyDescent="0.3">
      <c r="A914">
        <v>11745</v>
      </c>
      <c r="B914" t="s">
        <v>7</v>
      </c>
      <c r="C914">
        <v>29</v>
      </c>
      <c r="D914">
        <v>0</v>
      </c>
      <c r="E914">
        <v>0</v>
      </c>
      <c r="F914" t="str">
        <f t="shared" si="44"/>
        <v>Lower Risk</v>
      </c>
      <c r="G914" t="s">
        <v>3</v>
      </c>
      <c r="H914" t="s">
        <v>4</v>
      </c>
      <c r="I914" t="s">
        <v>5</v>
      </c>
      <c r="J914">
        <v>65.36</v>
      </c>
      <c r="K914">
        <v>28.8</v>
      </c>
      <c r="L914" t="s">
        <v>6</v>
      </c>
      <c r="M914">
        <v>0</v>
      </c>
      <c r="N914" t="str">
        <f t="shared" si="42"/>
        <v>Under 40</v>
      </c>
      <c r="O914" t="str">
        <f t="shared" si="43"/>
        <v>Overweight</v>
      </c>
    </row>
    <row r="915" spans="1:15" x14ac:dyDescent="0.3">
      <c r="A915">
        <v>17733</v>
      </c>
      <c r="B915" t="s">
        <v>7</v>
      </c>
      <c r="C915">
        <v>1.72</v>
      </c>
      <c r="D915">
        <v>0</v>
      </c>
      <c r="E915">
        <v>0</v>
      </c>
      <c r="F915" t="str">
        <f t="shared" si="44"/>
        <v>Lower Risk</v>
      </c>
      <c r="G915" t="s">
        <v>13</v>
      </c>
      <c r="H915" t="s">
        <v>16</v>
      </c>
      <c r="I915" t="s">
        <v>9</v>
      </c>
      <c r="J915">
        <v>109.51</v>
      </c>
      <c r="K915">
        <v>19.5</v>
      </c>
      <c r="L915" t="s">
        <v>14</v>
      </c>
      <c r="M915">
        <v>0</v>
      </c>
      <c r="N915" t="str">
        <f t="shared" si="42"/>
        <v>Under 40</v>
      </c>
      <c r="O915" t="str">
        <f t="shared" si="43"/>
        <v>Normal</v>
      </c>
    </row>
    <row r="916" spans="1:15" x14ac:dyDescent="0.3">
      <c r="A916">
        <v>71591</v>
      </c>
      <c r="B916" t="s">
        <v>7</v>
      </c>
      <c r="C916">
        <v>58</v>
      </c>
      <c r="D916">
        <v>0</v>
      </c>
      <c r="E916">
        <v>0</v>
      </c>
      <c r="F916" t="str">
        <f t="shared" si="44"/>
        <v>Lower Risk</v>
      </c>
      <c r="G916" t="s">
        <v>3</v>
      </c>
      <c r="H916" t="s">
        <v>4</v>
      </c>
      <c r="I916" t="s">
        <v>5</v>
      </c>
      <c r="J916">
        <v>89.03</v>
      </c>
      <c r="K916">
        <v>30</v>
      </c>
      <c r="L916" t="s">
        <v>12</v>
      </c>
      <c r="M916">
        <v>0</v>
      </c>
      <c r="N916" t="str">
        <f t="shared" si="42"/>
        <v>40–59</v>
      </c>
      <c r="O916" t="str">
        <f t="shared" si="43"/>
        <v>Obese</v>
      </c>
    </row>
    <row r="917" spans="1:15" x14ac:dyDescent="0.3">
      <c r="A917">
        <v>11743</v>
      </c>
      <c r="B917" t="s">
        <v>7</v>
      </c>
      <c r="C917">
        <v>32</v>
      </c>
      <c r="D917">
        <v>0</v>
      </c>
      <c r="E917">
        <v>0</v>
      </c>
      <c r="F917" t="str">
        <f t="shared" si="44"/>
        <v>Lower Risk</v>
      </c>
      <c r="G917" t="s">
        <v>3</v>
      </c>
      <c r="H917" t="s">
        <v>4</v>
      </c>
      <c r="I917" t="s">
        <v>5</v>
      </c>
      <c r="J917">
        <v>91.34</v>
      </c>
      <c r="K917">
        <v>25.5</v>
      </c>
      <c r="L917" t="s">
        <v>6</v>
      </c>
      <c r="M917">
        <v>0</v>
      </c>
      <c r="N917" t="str">
        <f t="shared" si="42"/>
        <v>Under 40</v>
      </c>
      <c r="O917" t="str">
        <f t="shared" si="43"/>
        <v>Overweight</v>
      </c>
    </row>
    <row r="918" spans="1:15" x14ac:dyDescent="0.3">
      <c r="A918">
        <v>67864</v>
      </c>
      <c r="B918" t="s">
        <v>2</v>
      </c>
      <c r="C918">
        <v>63</v>
      </c>
      <c r="D918">
        <v>0</v>
      </c>
      <c r="E918">
        <v>0</v>
      </c>
      <c r="F918" t="str">
        <f t="shared" si="44"/>
        <v>Moderate Risk</v>
      </c>
      <c r="G918" t="s">
        <v>3</v>
      </c>
      <c r="H918" t="s">
        <v>4</v>
      </c>
      <c r="I918" t="s">
        <v>9</v>
      </c>
      <c r="J918">
        <v>57.82</v>
      </c>
      <c r="K918">
        <v>28.8</v>
      </c>
      <c r="L918" t="s">
        <v>6</v>
      </c>
      <c r="M918">
        <v>0</v>
      </c>
      <c r="N918" t="str">
        <f t="shared" si="42"/>
        <v>60+</v>
      </c>
      <c r="O918" t="str">
        <f t="shared" si="43"/>
        <v>Overweight</v>
      </c>
    </row>
    <row r="919" spans="1:15" x14ac:dyDescent="0.3">
      <c r="A919">
        <v>34857</v>
      </c>
      <c r="B919" t="s">
        <v>2</v>
      </c>
      <c r="C919">
        <v>57</v>
      </c>
      <c r="D919">
        <v>0</v>
      </c>
      <c r="E919">
        <v>0</v>
      </c>
      <c r="F919" t="str">
        <f t="shared" si="44"/>
        <v>Lower Risk</v>
      </c>
      <c r="G919" t="s">
        <v>3</v>
      </c>
      <c r="H919" t="s">
        <v>8</v>
      </c>
      <c r="I919" t="s">
        <v>5</v>
      </c>
      <c r="J919">
        <v>81.150000000000006</v>
      </c>
      <c r="K919">
        <v>40.200000000000003</v>
      </c>
      <c r="L919" t="s">
        <v>6</v>
      </c>
      <c r="M919">
        <v>0</v>
      </c>
      <c r="N919" t="str">
        <f t="shared" si="42"/>
        <v>40–59</v>
      </c>
      <c r="O919" t="str">
        <f t="shared" si="43"/>
        <v>Obese</v>
      </c>
    </row>
    <row r="920" spans="1:15" x14ac:dyDescent="0.3">
      <c r="A920">
        <v>34995</v>
      </c>
      <c r="B920" t="s">
        <v>7</v>
      </c>
      <c r="C920">
        <v>77</v>
      </c>
      <c r="D920">
        <v>0</v>
      </c>
      <c r="E920">
        <v>0</v>
      </c>
      <c r="F920" t="str">
        <f t="shared" si="44"/>
        <v>Moderate Risk</v>
      </c>
      <c r="G920" t="s">
        <v>3</v>
      </c>
      <c r="H920" t="s">
        <v>4</v>
      </c>
      <c r="I920" t="s">
        <v>9</v>
      </c>
      <c r="J920">
        <v>115.29</v>
      </c>
      <c r="K920">
        <v>32.9</v>
      </c>
      <c r="L920" t="s">
        <v>14</v>
      </c>
      <c r="M920">
        <v>0</v>
      </c>
      <c r="N920" t="str">
        <f t="shared" si="42"/>
        <v>60+</v>
      </c>
      <c r="O920" t="str">
        <f t="shared" si="43"/>
        <v>Obese</v>
      </c>
    </row>
    <row r="921" spans="1:15" x14ac:dyDescent="0.3">
      <c r="A921">
        <v>3606</v>
      </c>
      <c r="B921" t="s">
        <v>2</v>
      </c>
      <c r="C921">
        <v>8</v>
      </c>
      <c r="D921">
        <v>0</v>
      </c>
      <c r="E921">
        <v>0</v>
      </c>
      <c r="F921" t="str">
        <f t="shared" si="44"/>
        <v>Lower Risk</v>
      </c>
      <c r="G921" t="s">
        <v>13</v>
      </c>
      <c r="H921" t="s">
        <v>16</v>
      </c>
      <c r="I921" t="s">
        <v>5</v>
      </c>
      <c r="J921">
        <v>111.02</v>
      </c>
      <c r="K921">
        <v>22.4</v>
      </c>
      <c r="L921" t="s">
        <v>14</v>
      </c>
      <c r="M921">
        <v>0</v>
      </c>
      <c r="N921" t="str">
        <f t="shared" si="42"/>
        <v>Under 40</v>
      </c>
      <c r="O921" t="str">
        <f t="shared" si="43"/>
        <v>Normal</v>
      </c>
    </row>
    <row r="922" spans="1:15" x14ac:dyDescent="0.3">
      <c r="A922">
        <v>22952</v>
      </c>
      <c r="B922" t="s">
        <v>7</v>
      </c>
      <c r="C922">
        <v>21</v>
      </c>
      <c r="D922">
        <v>0</v>
      </c>
      <c r="E922">
        <v>0</v>
      </c>
      <c r="F922" t="str">
        <f t="shared" si="44"/>
        <v>Lower Risk</v>
      </c>
      <c r="G922" t="s">
        <v>13</v>
      </c>
      <c r="H922" t="s">
        <v>15</v>
      </c>
      <c r="I922" t="s">
        <v>5</v>
      </c>
      <c r="J922">
        <v>111.61</v>
      </c>
      <c r="K922">
        <v>36.9</v>
      </c>
      <c r="L922" t="s">
        <v>12</v>
      </c>
      <c r="M922">
        <v>0</v>
      </c>
      <c r="N922" t="str">
        <f t="shared" si="42"/>
        <v>Under 40</v>
      </c>
      <c r="O922" t="str">
        <f t="shared" si="43"/>
        <v>Obese</v>
      </c>
    </row>
    <row r="923" spans="1:15" x14ac:dyDescent="0.3">
      <c r="A923">
        <v>32554</v>
      </c>
      <c r="B923" t="s">
        <v>7</v>
      </c>
      <c r="C923">
        <v>16</v>
      </c>
      <c r="D923">
        <v>0</v>
      </c>
      <c r="E923">
        <v>0</v>
      </c>
      <c r="F923" t="str">
        <f t="shared" si="44"/>
        <v>Lower Risk</v>
      </c>
      <c r="G923" t="s">
        <v>13</v>
      </c>
      <c r="H923" t="s">
        <v>16</v>
      </c>
      <c r="I923" t="s">
        <v>9</v>
      </c>
      <c r="J923">
        <v>109.02</v>
      </c>
      <c r="K923">
        <v>19.8</v>
      </c>
      <c r="L923" t="s">
        <v>14</v>
      </c>
      <c r="M923">
        <v>0</v>
      </c>
      <c r="N923" t="str">
        <f t="shared" si="42"/>
        <v>Under 40</v>
      </c>
      <c r="O923" t="str">
        <f t="shared" si="43"/>
        <v>Normal</v>
      </c>
    </row>
    <row r="924" spans="1:15" x14ac:dyDescent="0.3">
      <c r="A924">
        <v>45893</v>
      </c>
      <c r="B924" t="s">
        <v>7</v>
      </c>
      <c r="C924">
        <v>8</v>
      </c>
      <c r="D924">
        <v>0</v>
      </c>
      <c r="E924">
        <v>0</v>
      </c>
      <c r="F924" t="str">
        <f t="shared" si="44"/>
        <v>Lower Risk</v>
      </c>
      <c r="G924" t="s">
        <v>13</v>
      </c>
      <c r="H924" t="s">
        <v>16</v>
      </c>
      <c r="I924" t="s">
        <v>5</v>
      </c>
      <c r="J924">
        <v>106.51</v>
      </c>
      <c r="K924">
        <v>12.3</v>
      </c>
      <c r="L924" t="s">
        <v>14</v>
      </c>
      <c r="M924">
        <v>0</v>
      </c>
      <c r="N924" t="str">
        <f t="shared" si="42"/>
        <v>Under 40</v>
      </c>
      <c r="O924" t="str">
        <f t="shared" si="43"/>
        <v>Underweight</v>
      </c>
    </row>
    <row r="925" spans="1:15" x14ac:dyDescent="0.3">
      <c r="A925">
        <v>72020</v>
      </c>
      <c r="B925" t="s">
        <v>2</v>
      </c>
      <c r="C925">
        <v>71</v>
      </c>
      <c r="D925">
        <v>0</v>
      </c>
      <c r="E925">
        <v>1</v>
      </c>
      <c r="F925" t="str">
        <f t="shared" si="44"/>
        <v>High Risk</v>
      </c>
      <c r="G925" t="s">
        <v>3</v>
      </c>
      <c r="H925" t="s">
        <v>8</v>
      </c>
      <c r="I925" t="s">
        <v>9</v>
      </c>
      <c r="J925">
        <v>207.32</v>
      </c>
      <c r="K925">
        <v>32.4</v>
      </c>
      <c r="L925" t="s">
        <v>12</v>
      </c>
      <c r="M925">
        <v>0</v>
      </c>
      <c r="N925" t="str">
        <f t="shared" si="42"/>
        <v>60+</v>
      </c>
      <c r="O925" t="str">
        <f t="shared" si="43"/>
        <v>Obese</v>
      </c>
    </row>
    <row r="926" spans="1:15" x14ac:dyDescent="0.3">
      <c r="A926">
        <v>57879</v>
      </c>
      <c r="B926" t="s">
        <v>7</v>
      </c>
      <c r="C926">
        <v>74</v>
      </c>
      <c r="D926">
        <v>0</v>
      </c>
      <c r="E926">
        <v>0</v>
      </c>
      <c r="F926" t="str">
        <f t="shared" si="44"/>
        <v>Moderate Risk</v>
      </c>
      <c r="G926" t="s">
        <v>3</v>
      </c>
      <c r="H926" t="s">
        <v>4</v>
      </c>
      <c r="I926" t="s">
        <v>5</v>
      </c>
      <c r="J926">
        <v>87.11</v>
      </c>
      <c r="K926">
        <v>24.8</v>
      </c>
      <c r="L926" t="s">
        <v>11</v>
      </c>
      <c r="M926">
        <v>0</v>
      </c>
      <c r="N926" t="str">
        <f t="shared" si="42"/>
        <v>60+</v>
      </c>
      <c r="O926" t="str">
        <f t="shared" si="43"/>
        <v>Normal</v>
      </c>
    </row>
    <row r="927" spans="1:15" x14ac:dyDescent="0.3">
      <c r="A927">
        <v>53538</v>
      </c>
      <c r="B927" t="s">
        <v>7</v>
      </c>
      <c r="C927">
        <v>7</v>
      </c>
      <c r="D927">
        <v>0</v>
      </c>
      <c r="E927">
        <v>0</v>
      </c>
      <c r="F927" t="str">
        <f t="shared" si="44"/>
        <v>Lower Risk</v>
      </c>
      <c r="G927" t="s">
        <v>13</v>
      </c>
      <c r="H927" t="s">
        <v>16</v>
      </c>
      <c r="I927" t="s">
        <v>5</v>
      </c>
      <c r="J927">
        <v>61.68</v>
      </c>
      <c r="K927">
        <v>16.399999999999999</v>
      </c>
      <c r="L927" t="s">
        <v>14</v>
      </c>
      <c r="M927">
        <v>0</v>
      </c>
      <c r="N927" t="str">
        <f t="shared" si="42"/>
        <v>Under 40</v>
      </c>
      <c r="O927" t="str">
        <f t="shared" si="43"/>
        <v>Underweight</v>
      </c>
    </row>
    <row r="928" spans="1:15" x14ac:dyDescent="0.3">
      <c r="A928">
        <v>17006</v>
      </c>
      <c r="B928" t="s">
        <v>2</v>
      </c>
      <c r="C928">
        <v>19</v>
      </c>
      <c r="D928">
        <v>0</v>
      </c>
      <c r="E928">
        <v>0</v>
      </c>
      <c r="F928" t="str">
        <f t="shared" si="44"/>
        <v>Lower Risk</v>
      </c>
      <c r="G928" t="s">
        <v>13</v>
      </c>
      <c r="H928" t="s">
        <v>4</v>
      </c>
      <c r="I928" t="s">
        <v>9</v>
      </c>
      <c r="J928">
        <v>119.04</v>
      </c>
      <c r="K928">
        <v>35.9</v>
      </c>
      <c r="L928" t="s">
        <v>14</v>
      </c>
      <c r="M928">
        <v>0</v>
      </c>
      <c r="N928" t="str">
        <f t="shared" si="42"/>
        <v>Under 40</v>
      </c>
      <c r="O928" t="str">
        <f t="shared" si="43"/>
        <v>Obese</v>
      </c>
    </row>
    <row r="929" spans="1:15" x14ac:dyDescent="0.3">
      <c r="A929">
        <v>36638</v>
      </c>
      <c r="B929" t="s">
        <v>2</v>
      </c>
      <c r="C929">
        <v>64</v>
      </c>
      <c r="D929">
        <v>0</v>
      </c>
      <c r="E929">
        <v>0</v>
      </c>
      <c r="F929" t="str">
        <f t="shared" si="44"/>
        <v>Moderate Risk</v>
      </c>
      <c r="G929" t="s">
        <v>3</v>
      </c>
      <c r="H929" t="s">
        <v>4</v>
      </c>
      <c r="I929" t="s">
        <v>5</v>
      </c>
      <c r="J929">
        <v>86.05</v>
      </c>
      <c r="K929">
        <v>23</v>
      </c>
      <c r="L929" t="s">
        <v>14</v>
      </c>
      <c r="M929">
        <v>0</v>
      </c>
      <c r="N929" t="str">
        <f t="shared" si="42"/>
        <v>60+</v>
      </c>
      <c r="O929" t="str">
        <f t="shared" si="43"/>
        <v>Normal</v>
      </c>
    </row>
    <row r="930" spans="1:15" x14ac:dyDescent="0.3">
      <c r="A930">
        <v>41097</v>
      </c>
      <c r="B930" t="s">
        <v>7</v>
      </c>
      <c r="C930">
        <v>23</v>
      </c>
      <c r="D930">
        <v>1</v>
      </c>
      <c r="E930">
        <v>0</v>
      </c>
      <c r="F930" t="str">
        <f t="shared" si="44"/>
        <v>Lower Risk</v>
      </c>
      <c r="G930" t="s">
        <v>13</v>
      </c>
      <c r="H930" t="s">
        <v>4</v>
      </c>
      <c r="I930" t="s">
        <v>5</v>
      </c>
      <c r="J930">
        <v>70.03</v>
      </c>
      <c r="K930">
        <v>78</v>
      </c>
      <c r="L930" t="s">
        <v>12</v>
      </c>
      <c r="M930">
        <v>0</v>
      </c>
      <c r="N930" t="str">
        <f t="shared" si="42"/>
        <v>Under 40</v>
      </c>
      <c r="O930" t="str">
        <f t="shared" si="43"/>
        <v>Obese</v>
      </c>
    </row>
    <row r="931" spans="1:15" x14ac:dyDescent="0.3">
      <c r="A931">
        <v>36618</v>
      </c>
      <c r="B931" t="s">
        <v>2</v>
      </c>
      <c r="C931">
        <v>75</v>
      </c>
      <c r="D931">
        <v>0</v>
      </c>
      <c r="E931">
        <v>1</v>
      </c>
      <c r="F931" t="str">
        <f t="shared" si="44"/>
        <v>High Risk</v>
      </c>
      <c r="G931" t="s">
        <v>3</v>
      </c>
      <c r="H931" t="s">
        <v>8</v>
      </c>
      <c r="I931" t="s">
        <v>5</v>
      </c>
      <c r="J931">
        <v>207.64</v>
      </c>
      <c r="K931">
        <v>30.5</v>
      </c>
      <c r="L931" t="s">
        <v>6</v>
      </c>
      <c r="M931">
        <v>0</v>
      </c>
      <c r="N931" t="str">
        <f t="shared" si="42"/>
        <v>60+</v>
      </c>
      <c r="O931" t="str">
        <f t="shared" si="43"/>
        <v>Obese</v>
      </c>
    </row>
    <row r="932" spans="1:15" x14ac:dyDescent="0.3">
      <c r="A932">
        <v>37290</v>
      </c>
      <c r="B932" t="s">
        <v>2</v>
      </c>
      <c r="C932">
        <v>80</v>
      </c>
      <c r="D932">
        <v>0</v>
      </c>
      <c r="E932">
        <v>0</v>
      </c>
      <c r="F932" t="str">
        <f t="shared" si="44"/>
        <v>Moderate Risk</v>
      </c>
      <c r="G932" t="s">
        <v>3</v>
      </c>
      <c r="H932" t="s">
        <v>8</v>
      </c>
      <c r="I932" t="s">
        <v>9</v>
      </c>
      <c r="J932">
        <v>236.84</v>
      </c>
      <c r="K932">
        <v>26.8</v>
      </c>
      <c r="L932" t="s">
        <v>11</v>
      </c>
      <c r="M932">
        <v>0</v>
      </c>
      <c r="N932" t="str">
        <f t="shared" si="42"/>
        <v>60+</v>
      </c>
      <c r="O932" t="str">
        <f t="shared" si="43"/>
        <v>Overweight</v>
      </c>
    </row>
    <row r="933" spans="1:15" x14ac:dyDescent="0.3">
      <c r="A933">
        <v>54620</v>
      </c>
      <c r="B933" t="s">
        <v>2</v>
      </c>
      <c r="C933">
        <v>40</v>
      </c>
      <c r="D933">
        <v>0</v>
      </c>
      <c r="E933">
        <v>0</v>
      </c>
      <c r="F933" t="str">
        <f t="shared" si="44"/>
        <v>Lower Risk</v>
      </c>
      <c r="G933" t="s">
        <v>3</v>
      </c>
      <c r="H933" t="s">
        <v>4</v>
      </c>
      <c r="I933" t="s">
        <v>5</v>
      </c>
      <c r="J933">
        <v>78.11</v>
      </c>
      <c r="K933">
        <v>35.299999999999997</v>
      </c>
      <c r="L933" t="s">
        <v>11</v>
      </c>
      <c r="M933">
        <v>0</v>
      </c>
      <c r="N933" t="str">
        <f t="shared" si="42"/>
        <v>40–59</v>
      </c>
      <c r="O933" t="str">
        <f t="shared" si="43"/>
        <v>Obese</v>
      </c>
    </row>
    <row r="934" spans="1:15" x14ac:dyDescent="0.3">
      <c r="A934">
        <v>42108</v>
      </c>
      <c r="B934" t="s">
        <v>7</v>
      </c>
      <c r="C934">
        <v>24</v>
      </c>
      <c r="D934">
        <v>0</v>
      </c>
      <c r="E934">
        <v>0</v>
      </c>
      <c r="F934" t="str">
        <f t="shared" si="44"/>
        <v>Lower Risk</v>
      </c>
      <c r="G934" t="s">
        <v>13</v>
      </c>
      <c r="H934" t="s">
        <v>15</v>
      </c>
      <c r="I934" t="s">
        <v>9</v>
      </c>
      <c r="J934">
        <v>100.97</v>
      </c>
      <c r="K934">
        <v>27.9</v>
      </c>
      <c r="L934" t="s">
        <v>11</v>
      </c>
      <c r="M934">
        <v>0</v>
      </c>
      <c r="N934" t="str">
        <f t="shared" si="42"/>
        <v>Under 40</v>
      </c>
      <c r="O934" t="str">
        <f t="shared" si="43"/>
        <v>Overweight</v>
      </c>
    </row>
    <row r="935" spans="1:15" x14ac:dyDescent="0.3">
      <c r="A935">
        <v>19681</v>
      </c>
      <c r="B935" t="s">
        <v>7</v>
      </c>
      <c r="C935">
        <v>74</v>
      </c>
      <c r="D935">
        <v>0</v>
      </c>
      <c r="E935">
        <v>0</v>
      </c>
      <c r="F935" t="str">
        <f t="shared" si="44"/>
        <v>Moderate Risk</v>
      </c>
      <c r="G935" t="s">
        <v>3</v>
      </c>
      <c r="H935" t="s">
        <v>8</v>
      </c>
      <c r="I935" t="s">
        <v>5</v>
      </c>
      <c r="J935">
        <v>99.21</v>
      </c>
      <c r="K935">
        <v>22.1</v>
      </c>
      <c r="L935" t="s">
        <v>11</v>
      </c>
      <c r="M935">
        <v>0</v>
      </c>
      <c r="N935" t="str">
        <f t="shared" si="42"/>
        <v>60+</v>
      </c>
      <c r="O935" t="str">
        <f t="shared" si="43"/>
        <v>Normal</v>
      </c>
    </row>
    <row r="936" spans="1:15" x14ac:dyDescent="0.3">
      <c r="A936">
        <v>6988</v>
      </c>
      <c r="B936" t="s">
        <v>7</v>
      </c>
      <c r="C936">
        <v>52</v>
      </c>
      <c r="D936">
        <v>0</v>
      </c>
      <c r="E936">
        <v>0</v>
      </c>
      <c r="F936" t="str">
        <f t="shared" si="44"/>
        <v>Lower Risk</v>
      </c>
      <c r="G936" t="s">
        <v>3</v>
      </c>
      <c r="H936" t="s">
        <v>8</v>
      </c>
      <c r="I936" t="s">
        <v>5</v>
      </c>
      <c r="J936">
        <v>113.21</v>
      </c>
      <c r="K936">
        <v>38.299999999999997</v>
      </c>
      <c r="L936" t="s">
        <v>11</v>
      </c>
      <c r="M936">
        <v>0</v>
      </c>
      <c r="N936" t="str">
        <f t="shared" si="42"/>
        <v>40–59</v>
      </c>
      <c r="O936" t="str">
        <f t="shared" si="43"/>
        <v>Obese</v>
      </c>
    </row>
    <row r="937" spans="1:15" x14ac:dyDescent="0.3">
      <c r="A937">
        <v>25287</v>
      </c>
      <c r="B937" t="s">
        <v>2</v>
      </c>
      <c r="C937">
        <v>54</v>
      </c>
      <c r="D937">
        <v>0</v>
      </c>
      <c r="E937">
        <v>0</v>
      </c>
      <c r="F937" t="str">
        <f t="shared" si="44"/>
        <v>Lower Risk</v>
      </c>
      <c r="G937" t="s">
        <v>3</v>
      </c>
      <c r="H937" t="s">
        <v>4</v>
      </c>
      <c r="I937" t="s">
        <v>5</v>
      </c>
      <c r="J937">
        <v>92.95</v>
      </c>
      <c r="K937">
        <v>41</v>
      </c>
      <c r="L937" t="s">
        <v>11</v>
      </c>
      <c r="M937">
        <v>0</v>
      </c>
      <c r="N937" t="str">
        <f t="shared" si="42"/>
        <v>40–59</v>
      </c>
      <c r="O937" t="str">
        <f t="shared" si="43"/>
        <v>Obese</v>
      </c>
    </row>
    <row r="938" spans="1:15" x14ac:dyDescent="0.3">
      <c r="A938">
        <v>224</v>
      </c>
      <c r="B938" t="s">
        <v>7</v>
      </c>
      <c r="C938">
        <v>23</v>
      </c>
      <c r="D938">
        <v>0</v>
      </c>
      <c r="E938">
        <v>0</v>
      </c>
      <c r="F938" t="str">
        <f t="shared" si="44"/>
        <v>Lower Risk</v>
      </c>
      <c r="G938" t="s">
        <v>13</v>
      </c>
      <c r="H938" t="s">
        <v>4</v>
      </c>
      <c r="I938" t="s">
        <v>5</v>
      </c>
      <c r="J938">
        <v>110.16</v>
      </c>
      <c r="K938" t="s">
        <v>10</v>
      </c>
      <c r="L938" t="s">
        <v>11</v>
      </c>
      <c r="M938">
        <v>0</v>
      </c>
      <c r="N938" t="str">
        <f t="shared" si="42"/>
        <v>Under 40</v>
      </c>
      <c r="O938" t="str">
        <f t="shared" si="43"/>
        <v>Unknown</v>
      </c>
    </row>
    <row r="939" spans="1:15" x14ac:dyDescent="0.3">
      <c r="A939">
        <v>56679</v>
      </c>
      <c r="B939" t="s">
        <v>2</v>
      </c>
      <c r="C939">
        <v>19</v>
      </c>
      <c r="D939">
        <v>0</v>
      </c>
      <c r="E939">
        <v>0</v>
      </c>
      <c r="F939" t="str">
        <f t="shared" si="44"/>
        <v>Lower Risk</v>
      </c>
      <c r="G939" t="s">
        <v>13</v>
      </c>
      <c r="H939" t="s">
        <v>4</v>
      </c>
      <c r="I939" t="s">
        <v>9</v>
      </c>
      <c r="J939">
        <v>142.57</v>
      </c>
      <c r="K939">
        <v>22.8</v>
      </c>
      <c r="L939" t="s">
        <v>14</v>
      </c>
      <c r="M939">
        <v>0</v>
      </c>
      <c r="N939" t="str">
        <f t="shared" si="42"/>
        <v>Under 40</v>
      </c>
      <c r="O939" t="str">
        <f t="shared" si="43"/>
        <v>Normal</v>
      </c>
    </row>
    <row r="940" spans="1:15" x14ac:dyDescent="0.3">
      <c r="A940">
        <v>27146</v>
      </c>
      <c r="B940" t="s">
        <v>7</v>
      </c>
      <c r="C940">
        <v>23</v>
      </c>
      <c r="D940">
        <v>0</v>
      </c>
      <c r="E940">
        <v>0</v>
      </c>
      <c r="F940" t="str">
        <f t="shared" si="44"/>
        <v>Lower Risk</v>
      </c>
      <c r="G940" t="s">
        <v>13</v>
      </c>
      <c r="H940" t="s">
        <v>4</v>
      </c>
      <c r="I940" t="s">
        <v>9</v>
      </c>
      <c r="J940">
        <v>92.87</v>
      </c>
      <c r="K940">
        <v>30.1</v>
      </c>
      <c r="L940" t="s">
        <v>11</v>
      </c>
      <c r="M940">
        <v>0</v>
      </c>
      <c r="N940" t="str">
        <f t="shared" si="42"/>
        <v>Under 40</v>
      </c>
      <c r="O940" t="str">
        <f t="shared" si="43"/>
        <v>Obese</v>
      </c>
    </row>
    <row r="941" spans="1:15" x14ac:dyDescent="0.3">
      <c r="A941">
        <v>16556</v>
      </c>
      <c r="B941" t="s">
        <v>2</v>
      </c>
      <c r="C941">
        <v>13</v>
      </c>
      <c r="D941">
        <v>0</v>
      </c>
      <c r="E941">
        <v>0</v>
      </c>
      <c r="F941" t="str">
        <f t="shared" si="44"/>
        <v>Lower Risk</v>
      </c>
      <c r="G941" t="s">
        <v>13</v>
      </c>
      <c r="H941" t="s">
        <v>17</v>
      </c>
      <c r="I941" t="s">
        <v>9</v>
      </c>
      <c r="J941">
        <v>111.48</v>
      </c>
      <c r="K941">
        <v>20.8</v>
      </c>
      <c r="L941" t="s">
        <v>14</v>
      </c>
      <c r="M941">
        <v>0</v>
      </c>
      <c r="N941" t="str">
        <f t="shared" si="42"/>
        <v>Under 40</v>
      </c>
      <c r="O941" t="str">
        <f t="shared" si="43"/>
        <v>Normal</v>
      </c>
    </row>
    <row r="942" spans="1:15" x14ac:dyDescent="0.3">
      <c r="A942">
        <v>5934</v>
      </c>
      <c r="B942" t="s">
        <v>7</v>
      </c>
      <c r="C942">
        <v>51</v>
      </c>
      <c r="D942">
        <v>0</v>
      </c>
      <c r="E942">
        <v>0</v>
      </c>
      <c r="F942" t="str">
        <f t="shared" si="44"/>
        <v>Lower Risk</v>
      </c>
      <c r="G942" t="s">
        <v>3</v>
      </c>
      <c r="H942" t="s">
        <v>4</v>
      </c>
      <c r="I942" t="s">
        <v>5</v>
      </c>
      <c r="J942">
        <v>123</v>
      </c>
      <c r="K942">
        <v>31.7</v>
      </c>
      <c r="L942" t="s">
        <v>11</v>
      </c>
      <c r="M942">
        <v>0</v>
      </c>
      <c r="N942" t="str">
        <f t="shared" si="42"/>
        <v>40–59</v>
      </c>
      <c r="O942" t="str">
        <f t="shared" si="43"/>
        <v>Obese</v>
      </c>
    </row>
    <row r="943" spans="1:15" x14ac:dyDescent="0.3">
      <c r="A943">
        <v>58999</v>
      </c>
      <c r="B943" t="s">
        <v>2</v>
      </c>
      <c r="C943">
        <v>60</v>
      </c>
      <c r="D943">
        <v>0</v>
      </c>
      <c r="E943">
        <v>0</v>
      </c>
      <c r="F943" t="str">
        <f t="shared" si="44"/>
        <v>Moderate Risk</v>
      </c>
      <c r="G943" t="s">
        <v>3</v>
      </c>
      <c r="H943" t="s">
        <v>15</v>
      </c>
      <c r="I943" t="s">
        <v>5</v>
      </c>
      <c r="J943">
        <v>100.54</v>
      </c>
      <c r="K943">
        <v>30.1</v>
      </c>
      <c r="L943" t="s">
        <v>11</v>
      </c>
      <c r="M943">
        <v>0</v>
      </c>
      <c r="N943" t="str">
        <f t="shared" si="42"/>
        <v>60+</v>
      </c>
      <c r="O943" t="str">
        <f t="shared" si="43"/>
        <v>Obese</v>
      </c>
    </row>
    <row r="944" spans="1:15" x14ac:dyDescent="0.3">
      <c r="A944">
        <v>28261</v>
      </c>
      <c r="B944" t="s">
        <v>2</v>
      </c>
      <c r="C944">
        <v>79</v>
      </c>
      <c r="D944">
        <v>0</v>
      </c>
      <c r="E944">
        <v>1</v>
      </c>
      <c r="F944" t="str">
        <f t="shared" si="44"/>
        <v>High Risk</v>
      </c>
      <c r="G944" t="s">
        <v>3</v>
      </c>
      <c r="H944" t="s">
        <v>8</v>
      </c>
      <c r="I944" t="s">
        <v>5</v>
      </c>
      <c r="J944">
        <v>106.68</v>
      </c>
      <c r="K944">
        <v>30.8</v>
      </c>
      <c r="L944" t="s">
        <v>11</v>
      </c>
      <c r="M944">
        <v>0</v>
      </c>
      <c r="N944" t="str">
        <f t="shared" si="42"/>
        <v>60+</v>
      </c>
      <c r="O944" t="str">
        <f t="shared" si="43"/>
        <v>Obese</v>
      </c>
    </row>
    <row r="945" spans="1:15" x14ac:dyDescent="0.3">
      <c r="A945">
        <v>35222</v>
      </c>
      <c r="B945" t="s">
        <v>7</v>
      </c>
      <c r="C945">
        <v>75</v>
      </c>
      <c r="D945">
        <v>0</v>
      </c>
      <c r="E945">
        <v>0</v>
      </c>
      <c r="F945" t="str">
        <f t="shared" si="44"/>
        <v>Moderate Risk</v>
      </c>
      <c r="G945" t="s">
        <v>3</v>
      </c>
      <c r="H945" t="s">
        <v>4</v>
      </c>
      <c r="I945" t="s">
        <v>5</v>
      </c>
      <c r="J945">
        <v>86.4</v>
      </c>
      <c r="K945">
        <v>42.6</v>
      </c>
      <c r="L945" t="s">
        <v>11</v>
      </c>
      <c r="M945">
        <v>0</v>
      </c>
      <c r="N945" t="str">
        <f t="shared" si="42"/>
        <v>60+</v>
      </c>
      <c r="O945" t="str">
        <f t="shared" si="43"/>
        <v>Obese</v>
      </c>
    </row>
    <row r="946" spans="1:15" x14ac:dyDescent="0.3">
      <c r="A946">
        <v>44105</v>
      </c>
      <c r="B946" t="s">
        <v>7</v>
      </c>
      <c r="C946">
        <v>69</v>
      </c>
      <c r="D946">
        <v>1</v>
      </c>
      <c r="E946">
        <v>0</v>
      </c>
      <c r="F946" t="str">
        <f t="shared" si="44"/>
        <v>High Risk</v>
      </c>
      <c r="G946" t="s">
        <v>3</v>
      </c>
      <c r="H946" t="s">
        <v>8</v>
      </c>
      <c r="I946" t="s">
        <v>5</v>
      </c>
      <c r="J946">
        <v>61.81</v>
      </c>
      <c r="K946">
        <v>37.1</v>
      </c>
      <c r="L946" t="s">
        <v>14</v>
      </c>
      <c r="M946">
        <v>0</v>
      </c>
      <c r="N946" t="str">
        <f t="shared" si="42"/>
        <v>60+</v>
      </c>
      <c r="O946" t="str">
        <f t="shared" si="43"/>
        <v>Obese</v>
      </c>
    </row>
    <row r="947" spans="1:15" x14ac:dyDescent="0.3">
      <c r="A947">
        <v>65256</v>
      </c>
      <c r="B947" t="s">
        <v>7</v>
      </c>
      <c r="C947">
        <v>57</v>
      </c>
      <c r="D947">
        <v>0</v>
      </c>
      <c r="E947">
        <v>0</v>
      </c>
      <c r="F947" t="str">
        <f t="shared" si="44"/>
        <v>Lower Risk</v>
      </c>
      <c r="G947" t="s">
        <v>3</v>
      </c>
      <c r="H947" t="s">
        <v>8</v>
      </c>
      <c r="I947" t="s">
        <v>9</v>
      </c>
      <c r="J947">
        <v>128.28</v>
      </c>
      <c r="K947">
        <v>34.200000000000003</v>
      </c>
      <c r="L947" t="s">
        <v>11</v>
      </c>
      <c r="M947">
        <v>0</v>
      </c>
      <c r="N947" t="str">
        <f t="shared" si="42"/>
        <v>40–59</v>
      </c>
      <c r="O947" t="str">
        <f t="shared" si="43"/>
        <v>Obese</v>
      </c>
    </row>
    <row r="948" spans="1:15" x14ac:dyDescent="0.3">
      <c r="A948">
        <v>62709</v>
      </c>
      <c r="B948" t="s">
        <v>7</v>
      </c>
      <c r="C948">
        <v>47</v>
      </c>
      <c r="D948">
        <v>0</v>
      </c>
      <c r="E948">
        <v>0</v>
      </c>
      <c r="F948" t="str">
        <f t="shared" si="44"/>
        <v>Lower Risk</v>
      </c>
      <c r="G948" t="s">
        <v>3</v>
      </c>
      <c r="H948" t="s">
        <v>4</v>
      </c>
      <c r="I948" t="s">
        <v>9</v>
      </c>
      <c r="J948">
        <v>204.63</v>
      </c>
      <c r="K948">
        <v>43.4</v>
      </c>
      <c r="L948" t="s">
        <v>11</v>
      </c>
      <c r="M948">
        <v>0</v>
      </c>
      <c r="N948" t="str">
        <f t="shared" si="42"/>
        <v>40–59</v>
      </c>
      <c r="O948" t="str">
        <f t="shared" si="43"/>
        <v>Obese</v>
      </c>
    </row>
    <row r="949" spans="1:15" x14ac:dyDescent="0.3">
      <c r="A949">
        <v>36698</v>
      </c>
      <c r="B949" t="s">
        <v>7</v>
      </c>
      <c r="C949">
        <v>33</v>
      </c>
      <c r="D949">
        <v>0</v>
      </c>
      <c r="E949">
        <v>0</v>
      </c>
      <c r="F949" t="str">
        <f t="shared" si="44"/>
        <v>Lower Risk</v>
      </c>
      <c r="G949" t="s">
        <v>3</v>
      </c>
      <c r="H949" t="s">
        <v>4</v>
      </c>
      <c r="I949" t="s">
        <v>5</v>
      </c>
      <c r="J949">
        <v>89.98</v>
      </c>
      <c r="K949">
        <v>18.7</v>
      </c>
      <c r="L949" t="s">
        <v>12</v>
      </c>
      <c r="M949">
        <v>0</v>
      </c>
      <c r="N949" t="str">
        <f t="shared" si="42"/>
        <v>Under 40</v>
      </c>
      <c r="O949" t="str">
        <f t="shared" si="43"/>
        <v>Normal</v>
      </c>
    </row>
    <row r="950" spans="1:15" x14ac:dyDescent="0.3">
      <c r="A950">
        <v>7273</v>
      </c>
      <c r="B950" t="s">
        <v>7</v>
      </c>
      <c r="C950">
        <v>51</v>
      </c>
      <c r="D950">
        <v>0</v>
      </c>
      <c r="E950">
        <v>0</v>
      </c>
      <c r="F950" t="str">
        <f t="shared" si="44"/>
        <v>Lower Risk</v>
      </c>
      <c r="G950" t="s">
        <v>3</v>
      </c>
      <c r="H950" t="s">
        <v>8</v>
      </c>
      <c r="I950" t="s">
        <v>5</v>
      </c>
      <c r="J950">
        <v>232.89</v>
      </c>
      <c r="K950">
        <v>34</v>
      </c>
      <c r="L950" t="s">
        <v>12</v>
      </c>
      <c r="M950">
        <v>0</v>
      </c>
      <c r="N950" t="str">
        <f t="shared" si="42"/>
        <v>40–59</v>
      </c>
      <c r="O950" t="str">
        <f t="shared" si="43"/>
        <v>Obese</v>
      </c>
    </row>
    <row r="951" spans="1:15" x14ac:dyDescent="0.3">
      <c r="A951">
        <v>20044</v>
      </c>
      <c r="B951" t="s">
        <v>7</v>
      </c>
      <c r="C951">
        <v>47</v>
      </c>
      <c r="D951">
        <v>0</v>
      </c>
      <c r="E951">
        <v>0</v>
      </c>
      <c r="F951" t="str">
        <f t="shared" si="44"/>
        <v>Lower Risk</v>
      </c>
      <c r="G951" t="s">
        <v>3</v>
      </c>
      <c r="H951" t="s">
        <v>4</v>
      </c>
      <c r="I951" t="s">
        <v>9</v>
      </c>
      <c r="J951">
        <v>98.58</v>
      </c>
      <c r="K951">
        <v>23.2</v>
      </c>
      <c r="L951" t="s">
        <v>11</v>
      </c>
      <c r="M951">
        <v>0</v>
      </c>
      <c r="N951" t="str">
        <f t="shared" si="42"/>
        <v>40–59</v>
      </c>
      <c r="O951" t="str">
        <f t="shared" si="43"/>
        <v>Normal</v>
      </c>
    </row>
    <row r="952" spans="1:15" x14ac:dyDescent="0.3">
      <c r="A952">
        <v>54769</v>
      </c>
      <c r="B952" t="s">
        <v>2</v>
      </c>
      <c r="C952">
        <v>15</v>
      </c>
      <c r="D952">
        <v>0</v>
      </c>
      <c r="E952">
        <v>0</v>
      </c>
      <c r="F952" t="str">
        <f t="shared" si="44"/>
        <v>Lower Risk</v>
      </c>
      <c r="G952" t="s">
        <v>13</v>
      </c>
      <c r="H952" t="s">
        <v>4</v>
      </c>
      <c r="I952" t="s">
        <v>5</v>
      </c>
      <c r="J952">
        <v>57.94</v>
      </c>
      <c r="K952">
        <v>41.7</v>
      </c>
      <c r="L952" t="s">
        <v>14</v>
      </c>
      <c r="M952">
        <v>0</v>
      </c>
      <c r="N952" t="str">
        <f t="shared" si="42"/>
        <v>Under 40</v>
      </c>
      <c r="O952" t="str">
        <f t="shared" si="43"/>
        <v>Obese</v>
      </c>
    </row>
    <row r="953" spans="1:15" x14ac:dyDescent="0.3">
      <c r="A953">
        <v>57372</v>
      </c>
      <c r="B953" t="s">
        <v>2</v>
      </c>
      <c r="C953">
        <v>1</v>
      </c>
      <c r="D953">
        <v>0</v>
      </c>
      <c r="E953">
        <v>0</v>
      </c>
      <c r="F953" t="str">
        <f t="shared" si="44"/>
        <v>Lower Risk</v>
      </c>
      <c r="G953" t="s">
        <v>13</v>
      </c>
      <c r="H953" t="s">
        <v>16</v>
      </c>
      <c r="I953" t="s">
        <v>9</v>
      </c>
      <c r="J953">
        <v>123.21</v>
      </c>
      <c r="K953">
        <v>15.1</v>
      </c>
      <c r="L953" t="s">
        <v>14</v>
      </c>
      <c r="M953">
        <v>0</v>
      </c>
      <c r="N953" t="str">
        <f t="shared" si="42"/>
        <v>Under 40</v>
      </c>
      <c r="O953" t="str">
        <f t="shared" si="43"/>
        <v>Underweight</v>
      </c>
    </row>
    <row r="954" spans="1:15" x14ac:dyDescent="0.3">
      <c r="A954">
        <v>30605</v>
      </c>
      <c r="B954" t="s">
        <v>7</v>
      </c>
      <c r="C954">
        <v>20</v>
      </c>
      <c r="D954">
        <v>0</v>
      </c>
      <c r="E954">
        <v>0</v>
      </c>
      <c r="F954" t="str">
        <f t="shared" si="44"/>
        <v>Lower Risk</v>
      </c>
      <c r="G954" t="s">
        <v>13</v>
      </c>
      <c r="H954" t="s">
        <v>4</v>
      </c>
      <c r="I954" t="s">
        <v>5</v>
      </c>
      <c r="J954">
        <v>76.34</v>
      </c>
      <c r="K954">
        <v>20.6</v>
      </c>
      <c r="L954" t="s">
        <v>12</v>
      </c>
      <c r="M954">
        <v>0</v>
      </c>
      <c r="N954" t="str">
        <f t="shared" si="42"/>
        <v>Under 40</v>
      </c>
      <c r="O954" t="str">
        <f t="shared" si="43"/>
        <v>Normal</v>
      </c>
    </row>
    <row r="955" spans="1:15" x14ac:dyDescent="0.3">
      <c r="A955">
        <v>13622</v>
      </c>
      <c r="B955" t="s">
        <v>2</v>
      </c>
      <c r="C955">
        <v>6</v>
      </c>
      <c r="D955">
        <v>0</v>
      </c>
      <c r="E955">
        <v>0</v>
      </c>
      <c r="F955" t="str">
        <f t="shared" si="44"/>
        <v>Lower Risk</v>
      </c>
      <c r="G955" t="s">
        <v>13</v>
      </c>
      <c r="H955" t="s">
        <v>16</v>
      </c>
      <c r="I955" t="s">
        <v>9</v>
      </c>
      <c r="J955">
        <v>92.98</v>
      </c>
      <c r="K955">
        <v>18.899999999999999</v>
      </c>
      <c r="L955" t="s">
        <v>14</v>
      </c>
      <c r="M955">
        <v>0</v>
      </c>
      <c r="N955" t="str">
        <f t="shared" si="42"/>
        <v>Under 40</v>
      </c>
      <c r="O955" t="str">
        <f t="shared" si="43"/>
        <v>Normal</v>
      </c>
    </row>
    <row r="956" spans="1:15" x14ac:dyDescent="0.3">
      <c r="A956">
        <v>12686</v>
      </c>
      <c r="B956" t="s">
        <v>2</v>
      </c>
      <c r="C956">
        <v>50</v>
      </c>
      <c r="D956">
        <v>0</v>
      </c>
      <c r="E956">
        <v>0</v>
      </c>
      <c r="F956" t="str">
        <f t="shared" si="44"/>
        <v>Lower Risk</v>
      </c>
      <c r="G956" t="s">
        <v>13</v>
      </c>
      <c r="H956" t="s">
        <v>15</v>
      </c>
      <c r="I956" t="s">
        <v>9</v>
      </c>
      <c r="J956">
        <v>92.81</v>
      </c>
      <c r="K956">
        <v>26.6</v>
      </c>
      <c r="L956" t="s">
        <v>11</v>
      </c>
      <c r="M956">
        <v>0</v>
      </c>
      <c r="N956" t="str">
        <f t="shared" si="42"/>
        <v>40–59</v>
      </c>
      <c r="O956" t="str">
        <f t="shared" si="43"/>
        <v>Overweight</v>
      </c>
    </row>
    <row r="957" spans="1:15" x14ac:dyDescent="0.3">
      <c r="A957">
        <v>39250</v>
      </c>
      <c r="B957" t="s">
        <v>2</v>
      </c>
      <c r="C957">
        <v>31</v>
      </c>
      <c r="D957">
        <v>0</v>
      </c>
      <c r="E957">
        <v>0</v>
      </c>
      <c r="F957" t="str">
        <f t="shared" si="44"/>
        <v>Lower Risk</v>
      </c>
      <c r="G957" t="s">
        <v>3</v>
      </c>
      <c r="H957" t="s">
        <v>4</v>
      </c>
      <c r="I957" t="s">
        <v>5</v>
      </c>
      <c r="J957">
        <v>85.16</v>
      </c>
      <c r="K957">
        <v>30.1</v>
      </c>
      <c r="L957" t="s">
        <v>12</v>
      </c>
      <c r="M957">
        <v>0</v>
      </c>
      <c r="N957" t="str">
        <f t="shared" si="42"/>
        <v>Under 40</v>
      </c>
      <c r="O957" t="str">
        <f t="shared" si="43"/>
        <v>Obese</v>
      </c>
    </row>
    <row r="958" spans="1:15" x14ac:dyDescent="0.3">
      <c r="A958">
        <v>2879</v>
      </c>
      <c r="B958" t="s">
        <v>7</v>
      </c>
      <c r="C958">
        <v>15</v>
      </c>
      <c r="D958">
        <v>0</v>
      </c>
      <c r="E958">
        <v>0</v>
      </c>
      <c r="F958" t="str">
        <f t="shared" si="44"/>
        <v>Lower Risk</v>
      </c>
      <c r="G958" t="s">
        <v>13</v>
      </c>
      <c r="H958" t="s">
        <v>8</v>
      </c>
      <c r="I958" t="s">
        <v>5</v>
      </c>
      <c r="J958">
        <v>90.1</v>
      </c>
      <c r="K958">
        <v>32.1</v>
      </c>
      <c r="L958" t="s">
        <v>11</v>
      </c>
      <c r="M958">
        <v>0</v>
      </c>
      <c r="N958" t="str">
        <f t="shared" si="42"/>
        <v>Under 40</v>
      </c>
      <c r="O958" t="str">
        <f t="shared" si="43"/>
        <v>Obese</v>
      </c>
    </row>
    <row r="959" spans="1:15" x14ac:dyDescent="0.3">
      <c r="A959">
        <v>59684</v>
      </c>
      <c r="B959" t="s">
        <v>7</v>
      </c>
      <c r="C959">
        <v>3</v>
      </c>
      <c r="D959">
        <v>0</v>
      </c>
      <c r="E959">
        <v>0</v>
      </c>
      <c r="F959" t="str">
        <f t="shared" si="44"/>
        <v>Lower Risk</v>
      </c>
      <c r="G959" t="s">
        <v>13</v>
      </c>
      <c r="H959" t="s">
        <v>16</v>
      </c>
      <c r="I959" t="s">
        <v>5</v>
      </c>
      <c r="J959">
        <v>65.150000000000006</v>
      </c>
      <c r="K959">
        <v>15.1</v>
      </c>
      <c r="L959" t="s">
        <v>14</v>
      </c>
      <c r="M959">
        <v>0</v>
      </c>
      <c r="N959" t="str">
        <f t="shared" si="42"/>
        <v>Under 40</v>
      </c>
      <c r="O959" t="str">
        <f t="shared" si="43"/>
        <v>Underweight</v>
      </c>
    </row>
    <row r="960" spans="1:15" x14ac:dyDescent="0.3">
      <c r="A960">
        <v>48830</v>
      </c>
      <c r="B960" t="s">
        <v>2</v>
      </c>
      <c r="C960">
        <v>30</v>
      </c>
      <c r="D960">
        <v>0</v>
      </c>
      <c r="E960">
        <v>0</v>
      </c>
      <c r="F960" t="str">
        <f t="shared" si="44"/>
        <v>Lower Risk</v>
      </c>
      <c r="G960" t="s">
        <v>3</v>
      </c>
      <c r="H960" t="s">
        <v>4</v>
      </c>
      <c r="I960" t="s">
        <v>5</v>
      </c>
      <c r="J960">
        <v>104.62</v>
      </c>
      <c r="K960">
        <v>33.5</v>
      </c>
      <c r="L960" t="s">
        <v>12</v>
      </c>
      <c r="M960">
        <v>0</v>
      </c>
      <c r="N960" t="str">
        <f t="shared" si="42"/>
        <v>Under 40</v>
      </c>
      <c r="O960" t="str">
        <f t="shared" si="43"/>
        <v>Obese</v>
      </c>
    </row>
    <row r="961" spans="1:15" x14ac:dyDescent="0.3">
      <c r="A961">
        <v>56986</v>
      </c>
      <c r="B961" t="s">
        <v>2</v>
      </c>
      <c r="C961">
        <v>17</v>
      </c>
      <c r="D961">
        <v>0</v>
      </c>
      <c r="E961">
        <v>0</v>
      </c>
      <c r="F961" t="str">
        <f t="shared" si="44"/>
        <v>Lower Risk</v>
      </c>
      <c r="G961" t="s">
        <v>13</v>
      </c>
      <c r="H961" t="s">
        <v>17</v>
      </c>
      <c r="I961" t="s">
        <v>5</v>
      </c>
      <c r="J961">
        <v>113.25</v>
      </c>
      <c r="K961">
        <v>23.4</v>
      </c>
      <c r="L961" t="s">
        <v>11</v>
      </c>
      <c r="M961">
        <v>0</v>
      </c>
      <c r="N961" t="str">
        <f t="shared" si="42"/>
        <v>Under 40</v>
      </c>
      <c r="O961" t="str">
        <f t="shared" si="43"/>
        <v>Normal</v>
      </c>
    </row>
    <row r="962" spans="1:15" x14ac:dyDescent="0.3">
      <c r="A962">
        <v>47924</v>
      </c>
      <c r="B962" t="s">
        <v>2</v>
      </c>
      <c r="C962">
        <v>24</v>
      </c>
      <c r="D962">
        <v>0</v>
      </c>
      <c r="E962">
        <v>0</v>
      </c>
      <c r="F962" t="str">
        <f t="shared" si="44"/>
        <v>Lower Risk</v>
      </c>
      <c r="G962" t="s">
        <v>13</v>
      </c>
      <c r="H962" t="s">
        <v>4</v>
      </c>
      <c r="I962" t="s">
        <v>5</v>
      </c>
      <c r="J962">
        <v>59.28</v>
      </c>
      <c r="K962">
        <v>43.2</v>
      </c>
      <c r="L962" t="s">
        <v>11</v>
      </c>
      <c r="M962">
        <v>0</v>
      </c>
      <c r="N962" t="str">
        <f t="shared" ref="N962:N1025" si="45">IF(C962&lt;40,"Under 40",IF(C962&lt;60,"40–59","60+"))</f>
        <v>Under 40</v>
      </c>
      <c r="O962" t="str">
        <f t="shared" ref="O962:O1025" si="46">IF(K962="N/A","Unknown",
IF(K962="","Unknown",
IF(K962&lt;18.5,"Underweight",
IF(K962&lt;25,"Normal",
IF(K962&lt;30,"Overweight","Obese")))))</f>
        <v>Obese</v>
      </c>
    </row>
    <row r="963" spans="1:15" x14ac:dyDescent="0.3">
      <c r="A963">
        <v>16402</v>
      </c>
      <c r="B963" t="s">
        <v>7</v>
      </c>
      <c r="C963">
        <v>5</v>
      </c>
      <c r="D963">
        <v>0</v>
      </c>
      <c r="E963">
        <v>0</v>
      </c>
      <c r="F963" t="str">
        <f t="shared" ref="F963:F1026" si="47">IF(C963&gt;=60,
IF(OR(D963=1,E963=1),"High Risk","Moderate Risk"),
"Lower Risk")</f>
        <v>Lower Risk</v>
      </c>
      <c r="G963" t="s">
        <v>13</v>
      </c>
      <c r="H963" t="s">
        <v>16</v>
      </c>
      <c r="I963" t="s">
        <v>5</v>
      </c>
      <c r="J963">
        <v>93.07</v>
      </c>
      <c r="K963">
        <v>19.100000000000001</v>
      </c>
      <c r="L963" t="s">
        <v>14</v>
      </c>
      <c r="M963">
        <v>0</v>
      </c>
      <c r="N963" t="str">
        <f t="shared" si="45"/>
        <v>Under 40</v>
      </c>
      <c r="O963" t="str">
        <f t="shared" si="46"/>
        <v>Normal</v>
      </c>
    </row>
    <row r="964" spans="1:15" x14ac:dyDescent="0.3">
      <c r="A964">
        <v>40889</v>
      </c>
      <c r="B964" t="s">
        <v>2</v>
      </c>
      <c r="C964">
        <v>33</v>
      </c>
      <c r="D964">
        <v>0</v>
      </c>
      <c r="E964">
        <v>0</v>
      </c>
      <c r="F964" t="str">
        <f t="shared" si="47"/>
        <v>Lower Risk</v>
      </c>
      <c r="G964" t="s">
        <v>13</v>
      </c>
      <c r="H964" t="s">
        <v>4</v>
      </c>
      <c r="I964" t="s">
        <v>9</v>
      </c>
      <c r="J964">
        <v>77.42</v>
      </c>
      <c r="K964">
        <v>26.1</v>
      </c>
      <c r="L964" t="s">
        <v>14</v>
      </c>
      <c r="M964">
        <v>0</v>
      </c>
      <c r="N964" t="str">
        <f t="shared" si="45"/>
        <v>Under 40</v>
      </c>
      <c r="O964" t="str">
        <f t="shared" si="46"/>
        <v>Overweight</v>
      </c>
    </row>
    <row r="965" spans="1:15" x14ac:dyDescent="0.3">
      <c r="A965">
        <v>4083</v>
      </c>
      <c r="B965" t="s">
        <v>7</v>
      </c>
      <c r="C965">
        <v>30</v>
      </c>
      <c r="D965">
        <v>0</v>
      </c>
      <c r="E965">
        <v>0</v>
      </c>
      <c r="F965" t="str">
        <f t="shared" si="47"/>
        <v>Lower Risk</v>
      </c>
      <c r="G965" t="s">
        <v>13</v>
      </c>
      <c r="H965" t="s">
        <v>4</v>
      </c>
      <c r="I965" t="s">
        <v>9</v>
      </c>
      <c r="J965">
        <v>73.69</v>
      </c>
      <c r="K965">
        <v>17.3</v>
      </c>
      <c r="L965" t="s">
        <v>11</v>
      </c>
      <c r="M965">
        <v>0</v>
      </c>
      <c r="N965" t="str">
        <f t="shared" si="45"/>
        <v>Under 40</v>
      </c>
      <c r="O965" t="str">
        <f t="shared" si="46"/>
        <v>Underweight</v>
      </c>
    </row>
    <row r="966" spans="1:15" x14ac:dyDescent="0.3">
      <c r="A966">
        <v>59336</v>
      </c>
      <c r="B966" t="s">
        <v>2</v>
      </c>
      <c r="C966">
        <v>66</v>
      </c>
      <c r="D966">
        <v>1</v>
      </c>
      <c r="E966">
        <v>0</v>
      </c>
      <c r="F966" t="str">
        <f t="shared" si="47"/>
        <v>High Risk</v>
      </c>
      <c r="G966" t="s">
        <v>3</v>
      </c>
      <c r="H966" t="s">
        <v>4</v>
      </c>
      <c r="I966" t="s">
        <v>9</v>
      </c>
      <c r="J966">
        <v>74.900000000000006</v>
      </c>
      <c r="K966">
        <v>32.1</v>
      </c>
      <c r="L966" t="s">
        <v>11</v>
      </c>
      <c r="M966">
        <v>0</v>
      </c>
      <c r="N966" t="str">
        <f t="shared" si="45"/>
        <v>60+</v>
      </c>
      <c r="O966" t="str">
        <f t="shared" si="46"/>
        <v>Obese</v>
      </c>
    </row>
    <row r="967" spans="1:15" x14ac:dyDescent="0.3">
      <c r="A967">
        <v>5684</v>
      </c>
      <c r="B967" t="s">
        <v>2</v>
      </c>
      <c r="C967">
        <v>40</v>
      </c>
      <c r="D967">
        <v>0</v>
      </c>
      <c r="E967">
        <v>0</v>
      </c>
      <c r="F967" t="str">
        <f t="shared" si="47"/>
        <v>Lower Risk</v>
      </c>
      <c r="G967" t="s">
        <v>13</v>
      </c>
      <c r="H967" t="s">
        <v>4</v>
      </c>
      <c r="I967" t="s">
        <v>5</v>
      </c>
      <c r="J967">
        <v>88.27</v>
      </c>
      <c r="K967" t="s">
        <v>10</v>
      </c>
      <c r="L967" t="s">
        <v>6</v>
      </c>
      <c r="M967">
        <v>0</v>
      </c>
      <c r="N967" t="str">
        <f t="shared" si="45"/>
        <v>40–59</v>
      </c>
      <c r="O967" t="str">
        <f t="shared" si="46"/>
        <v>Unknown</v>
      </c>
    </row>
    <row r="968" spans="1:15" x14ac:dyDescent="0.3">
      <c r="A968">
        <v>48843</v>
      </c>
      <c r="B968" t="s">
        <v>7</v>
      </c>
      <c r="C968">
        <v>27</v>
      </c>
      <c r="D968">
        <v>0</v>
      </c>
      <c r="E968">
        <v>0</v>
      </c>
      <c r="F968" t="str">
        <f t="shared" si="47"/>
        <v>Lower Risk</v>
      </c>
      <c r="G968" t="s">
        <v>13</v>
      </c>
      <c r="H968" t="s">
        <v>4</v>
      </c>
      <c r="I968" t="s">
        <v>5</v>
      </c>
      <c r="J968">
        <v>58.39</v>
      </c>
      <c r="K968">
        <v>30.4</v>
      </c>
      <c r="L968" t="s">
        <v>11</v>
      </c>
      <c r="M968">
        <v>0</v>
      </c>
      <c r="N968" t="str">
        <f t="shared" si="45"/>
        <v>Under 40</v>
      </c>
      <c r="O968" t="str">
        <f t="shared" si="46"/>
        <v>Obese</v>
      </c>
    </row>
    <row r="969" spans="1:15" x14ac:dyDescent="0.3">
      <c r="A969">
        <v>5694</v>
      </c>
      <c r="B969" t="s">
        <v>2</v>
      </c>
      <c r="C969">
        <v>21</v>
      </c>
      <c r="D969">
        <v>0</v>
      </c>
      <c r="E969">
        <v>0</v>
      </c>
      <c r="F969" t="str">
        <f t="shared" si="47"/>
        <v>Lower Risk</v>
      </c>
      <c r="G969" t="s">
        <v>13</v>
      </c>
      <c r="H969" t="s">
        <v>4</v>
      </c>
      <c r="I969" t="s">
        <v>9</v>
      </c>
      <c r="J969">
        <v>102.05</v>
      </c>
      <c r="K969">
        <v>29.9</v>
      </c>
      <c r="L969" t="s">
        <v>11</v>
      </c>
      <c r="M969">
        <v>0</v>
      </c>
      <c r="N969" t="str">
        <f t="shared" si="45"/>
        <v>Under 40</v>
      </c>
      <c r="O969" t="str">
        <f t="shared" si="46"/>
        <v>Overweight</v>
      </c>
    </row>
    <row r="970" spans="1:15" x14ac:dyDescent="0.3">
      <c r="A970">
        <v>3673</v>
      </c>
      <c r="B970" t="s">
        <v>7</v>
      </c>
      <c r="C970">
        <v>55</v>
      </c>
      <c r="D970">
        <v>0</v>
      </c>
      <c r="E970">
        <v>0</v>
      </c>
      <c r="F970" t="str">
        <f t="shared" si="47"/>
        <v>Lower Risk</v>
      </c>
      <c r="G970" t="s">
        <v>3</v>
      </c>
      <c r="H970" t="s">
        <v>4</v>
      </c>
      <c r="I970" t="s">
        <v>9</v>
      </c>
      <c r="J970">
        <v>112.47</v>
      </c>
      <c r="K970">
        <v>32.799999999999997</v>
      </c>
      <c r="L970" t="s">
        <v>12</v>
      </c>
      <c r="M970">
        <v>0</v>
      </c>
      <c r="N970" t="str">
        <f t="shared" si="45"/>
        <v>40–59</v>
      </c>
      <c r="O970" t="str">
        <f t="shared" si="46"/>
        <v>Obese</v>
      </c>
    </row>
    <row r="971" spans="1:15" x14ac:dyDescent="0.3">
      <c r="A971">
        <v>44481</v>
      </c>
      <c r="B971" t="s">
        <v>7</v>
      </c>
      <c r="C971">
        <v>19</v>
      </c>
      <c r="D971">
        <v>0</v>
      </c>
      <c r="E971">
        <v>0</v>
      </c>
      <c r="F971" t="str">
        <f t="shared" si="47"/>
        <v>Lower Risk</v>
      </c>
      <c r="G971" t="s">
        <v>13</v>
      </c>
      <c r="H971" t="s">
        <v>4</v>
      </c>
      <c r="I971" t="s">
        <v>9</v>
      </c>
      <c r="J971">
        <v>72.84</v>
      </c>
      <c r="K971">
        <v>22.7</v>
      </c>
      <c r="L971" t="s">
        <v>11</v>
      </c>
      <c r="M971">
        <v>0</v>
      </c>
      <c r="N971" t="str">
        <f t="shared" si="45"/>
        <v>Under 40</v>
      </c>
      <c r="O971" t="str">
        <f t="shared" si="46"/>
        <v>Normal</v>
      </c>
    </row>
    <row r="972" spans="1:15" x14ac:dyDescent="0.3">
      <c r="A972">
        <v>10538</v>
      </c>
      <c r="B972" t="s">
        <v>2</v>
      </c>
      <c r="C972">
        <v>75</v>
      </c>
      <c r="D972">
        <v>1</v>
      </c>
      <c r="E972">
        <v>1</v>
      </c>
      <c r="F972" t="str">
        <f t="shared" si="47"/>
        <v>High Risk</v>
      </c>
      <c r="G972" t="s">
        <v>3</v>
      </c>
      <c r="H972" t="s">
        <v>8</v>
      </c>
      <c r="I972" t="s">
        <v>5</v>
      </c>
      <c r="J972">
        <v>195.03</v>
      </c>
      <c r="K972">
        <v>28.7</v>
      </c>
      <c r="L972" t="s">
        <v>6</v>
      </c>
      <c r="M972">
        <v>0</v>
      </c>
      <c r="N972" t="str">
        <f t="shared" si="45"/>
        <v>60+</v>
      </c>
      <c r="O972" t="str">
        <f t="shared" si="46"/>
        <v>Overweight</v>
      </c>
    </row>
    <row r="973" spans="1:15" x14ac:dyDescent="0.3">
      <c r="A973">
        <v>9648</v>
      </c>
      <c r="B973" t="s">
        <v>7</v>
      </c>
      <c r="C973">
        <v>71</v>
      </c>
      <c r="D973">
        <v>0</v>
      </c>
      <c r="E973">
        <v>1</v>
      </c>
      <c r="F973" t="str">
        <f t="shared" si="47"/>
        <v>High Risk</v>
      </c>
      <c r="G973" t="s">
        <v>3</v>
      </c>
      <c r="H973" t="s">
        <v>4</v>
      </c>
      <c r="I973" t="s">
        <v>5</v>
      </c>
      <c r="J973">
        <v>170.95</v>
      </c>
      <c r="K973">
        <v>35.200000000000003</v>
      </c>
      <c r="L973" t="s">
        <v>11</v>
      </c>
      <c r="M973">
        <v>0</v>
      </c>
      <c r="N973" t="str">
        <f t="shared" si="45"/>
        <v>60+</v>
      </c>
      <c r="O973" t="str">
        <f t="shared" si="46"/>
        <v>Obese</v>
      </c>
    </row>
    <row r="974" spans="1:15" x14ac:dyDescent="0.3">
      <c r="A974">
        <v>19101</v>
      </c>
      <c r="B974" t="s">
        <v>7</v>
      </c>
      <c r="C974">
        <v>16</v>
      </c>
      <c r="D974">
        <v>0</v>
      </c>
      <c r="E974">
        <v>0</v>
      </c>
      <c r="F974" t="str">
        <f t="shared" si="47"/>
        <v>Lower Risk</v>
      </c>
      <c r="G974" t="s">
        <v>13</v>
      </c>
      <c r="H974" t="s">
        <v>4</v>
      </c>
      <c r="I974" t="s">
        <v>5</v>
      </c>
      <c r="J974">
        <v>87.98</v>
      </c>
      <c r="K974">
        <v>22.4</v>
      </c>
      <c r="L974" t="s">
        <v>11</v>
      </c>
      <c r="M974">
        <v>0</v>
      </c>
      <c r="N974" t="str">
        <f t="shared" si="45"/>
        <v>Under 40</v>
      </c>
      <c r="O974" t="str">
        <f t="shared" si="46"/>
        <v>Normal</v>
      </c>
    </row>
    <row r="975" spans="1:15" x14ac:dyDescent="0.3">
      <c r="A975">
        <v>31867</v>
      </c>
      <c r="B975" t="s">
        <v>7</v>
      </c>
      <c r="C975">
        <v>49</v>
      </c>
      <c r="D975">
        <v>0</v>
      </c>
      <c r="E975">
        <v>0</v>
      </c>
      <c r="F975" t="str">
        <f t="shared" si="47"/>
        <v>Lower Risk</v>
      </c>
      <c r="G975" t="s">
        <v>13</v>
      </c>
      <c r="H975" t="s">
        <v>4</v>
      </c>
      <c r="I975" t="s">
        <v>9</v>
      </c>
      <c r="J975">
        <v>65.81</v>
      </c>
      <c r="K975">
        <v>32.299999999999997</v>
      </c>
      <c r="L975" t="s">
        <v>14</v>
      </c>
      <c r="M975">
        <v>0</v>
      </c>
      <c r="N975" t="str">
        <f t="shared" si="45"/>
        <v>40–59</v>
      </c>
      <c r="O975" t="str">
        <f t="shared" si="46"/>
        <v>Obese</v>
      </c>
    </row>
    <row r="976" spans="1:15" x14ac:dyDescent="0.3">
      <c r="A976">
        <v>11973</v>
      </c>
      <c r="B976" t="s">
        <v>7</v>
      </c>
      <c r="C976">
        <v>10</v>
      </c>
      <c r="D976">
        <v>0</v>
      </c>
      <c r="E976">
        <v>0</v>
      </c>
      <c r="F976" t="str">
        <f t="shared" si="47"/>
        <v>Lower Risk</v>
      </c>
      <c r="G976" t="s">
        <v>13</v>
      </c>
      <c r="H976" t="s">
        <v>16</v>
      </c>
      <c r="I976" t="s">
        <v>5</v>
      </c>
      <c r="J976">
        <v>124.6</v>
      </c>
      <c r="K976">
        <v>18.600000000000001</v>
      </c>
      <c r="L976" t="s">
        <v>14</v>
      </c>
      <c r="M976">
        <v>0</v>
      </c>
      <c r="N976" t="str">
        <f t="shared" si="45"/>
        <v>Under 40</v>
      </c>
      <c r="O976" t="str">
        <f t="shared" si="46"/>
        <v>Normal</v>
      </c>
    </row>
    <row r="977" spans="1:15" x14ac:dyDescent="0.3">
      <c r="A977">
        <v>23633</v>
      </c>
      <c r="B977" t="s">
        <v>7</v>
      </c>
      <c r="C977">
        <v>37</v>
      </c>
      <c r="D977">
        <v>0</v>
      </c>
      <c r="E977">
        <v>0</v>
      </c>
      <c r="F977" t="str">
        <f t="shared" si="47"/>
        <v>Lower Risk</v>
      </c>
      <c r="G977" t="s">
        <v>3</v>
      </c>
      <c r="H977" t="s">
        <v>4</v>
      </c>
      <c r="I977" t="s">
        <v>9</v>
      </c>
      <c r="J977">
        <v>83.65</v>
      </c>
      <c r="K977">
        <v>42.1</v>
      </c>
      <c r="L977" t="s">
        <v>12</v>
      </c>
      <c r="M977">
        <v>0</v>
      </c>
      <c r="N977" t="str">
        <f t="shared" si="45"/>
        <v>Under 40</v>
      </c>
      <c r="O977" t="str">
        <f t="shared" si="46"/>
        <v>Obese</v>
      </c>
    </row>
    <row r="978" spans="1:15" x14ac:dyDescent="0.3">
      <c r="A978">
        <v>52549</v>
      </c>
      <c r="B978" t="s">
        <v>2</v>
      </c>
      <c r="C978">
        <v>59</v>
      </c>
      <c r="D978">
        <v>0</v>
      </c>
      <c r="E978">
        <v>0</v>
      </c>
      <c r="F978" t="str">
        <f t="shared" si="47"/>
        <v>Lower Risk</v>
      </c>
      <c r="G978" t="s">
        <v>3</v>
      </c>
      <c r="H978" t="s">
        <v>15</v>
      </c>
      <c r="I978" t="s">
        <v>9</v>
      </c>
      <c r="J978">
        <v>88.81</v>
      </c>
      <c r="K978">
        <v>38</v>
      </c>
      <c r="L978" t="s">
        <v>6</v>
      </c>
      <c r="M978">
        <v>0</v>
      </c>
      <c r="N978" t="str">
        <f t="shared" si="45"/>
        <v>40–59</v>
      </c>
      <c r="O978" t="str">
        <f t="shared" si="46"/>
        <v>Obese</v>
      </c>
    </row>
    <row r="979" spans="1:15" x14ac:dyDescent="0.3">
      <c r="A979">
        <v>59178</v>
      </c>
      <c r="B979" t="s">
        <v>7</v>
      </c>
      <c r="C979">
        <v>7</v>
      </c>
      <c r="D979">
        <v>0</v>
      </c>
      <c r="E979">
        <v>0</v>
      </c>
      <c r="F979" t="str">
        <f t="shared" si="47"/>
        <v>Lower Risk</v>
      </c>
      <c r="G979" t="s">
        <v>13</v>
      </c>
      <c r="H979" t="s">
        <v>16</v>
      </c>
      <c r="I979" t="s">
        <v>5</v>
      </c>
      <c r="J979">
        <v>86.75</v>
      </c>
      <c r="K979">
        <v>22.3</v>
      </c>
      <c r="L979" t="s">
        <v>14</v>
      </c>
      <c r="M979">
        <v>0</v>
      </c>
      <c r="N979" t="str">
        <f t="shared" si="45"/>
        <v>Under 40</v>
      </c>
      <c r="O979" t="str">
        <f t="shared" si="46"/>
        <v>Normal</v>
      </c>
    </row>
    <row r="980" spans="1:15" x14ac:dyDescent="0.3">
      <c r="A980">
        <v>37349</v>
      </c>
      <c r="B980" t="s">
        <v>7</v>
      </c>
      <c r="C980">
        <v>61</v>
      </c>
      <c r="D980">
        <v>0</v>
      </c>
      <c r="E980">
        <v>0</v>
      </c>
      <c r="F980" t="str">
        <f t="shared" si="47"/>
        <v>Moderate Risk</v>
      </c>
      <c r="G980" t="s">
        <v>3</v>
      </c>
      <c r="H980" t="s">
        <v>4</v>
      </c>
      <c r="I980" t="s">
        <v>9</v>
      </c>
      <c r="J980">
        <v>123.36</v>
      </c>
      <c r="K980">
        <v>33.4</v>
      </c>
      <c r="L980" t="s">
        <v>11</v>
      </c>
      <c r="M980">
        <v>0</v>
      </c>
      <c r="N980" t="str">
        <f t="shared" si="45"/>
        <v>60+</v>
      </c>
      <c r="O980" t="str">
        <f t="shared" si="46"/>
        <v>Obese</v>
      </c>
    </row>
    <row r="981" spans="1:15" x14ac:dyDescent="0.3">
      <c r="A981">
        <v>44281</v>
      </c>
      <c r="B981" t="s">
        <v>2</v>
      </c>
      <c r="C981">
        <v>34</v>
      </c>
      <c r="D981">
        <v>0</v>
      </c>
      <c r="E981">
        <v>0</v>
      </c>
      <c r="F981" t="str">
        <f t="shared" si="47"/>
        <v>Lower Risk</v>
      </c>
      <c r="G981" t="s">
        <v>13</v>
      </c>
      <c r="H981" t="s">
        <v>4</v>
      </c>
      <c r="I981" t="s">
        <v>9</v>
      </c>
      <c r="J981">
        <v>89.68</v>
      </c>
      <c r="K981">
        <v>23.2</v>
      </c>
      <c r="L981" t="s">
        <v>12</v>
      </c>
      <c r="M981">
        <v>0</v>
      </c>
      <c r="N981" t="str">
        <f t="shared" si="45"/>
        <v>Under 40</v>
      </c>
      <c r="O981" t="str">
        <f t="shared" si="46"/>
        <v>Normal</v>
      </c>
    </row>
    <row r="982" spans="1:15" x14ac:dyDescent="0.3">
      <c r="A982">
        <v>55599</v>
      </c>
      <c r="B982" t="s">
        <v>7</v>
      </c>
      <c r="C982">
        <v>9</v>
      </c>
      <c r="D982">
        <v>0</v>
      </c>
      <c r="E982">
        <v>0</v>
      </c>
      <c r="F982" t="str">
        <f t="shared" si="47"/>
        <v>Lower Risk</v>
      </c>
      <c r="G982" t="s">
        <v>13</v>
      </c>
      <c r="H982" t="s">
        <v>16</v>
      </c>
      <c r="I982" t="s">
        <v>9</v>
      </c>
      <c r="J982">
        <v>69.87</v>
      </c>
      <c r="K982">
        <v>18</v>
      </c>
      <c r="L982" t="s">
        <v>14</v>
      </c>
      <c r="M982">
        <v>0</v>
      </c>
      <c r="N982" t="str">
        <f t="shared" si="45"/>
        <v>Under 40</v>
      </c>
      <c r="O982" t="str">
        <f t="shared" si="46"/>
        <v>Underweight</v>
      </c>
    </row>
    <row r="983" spans="1:15" x14ac:dyDescent="0.3">
      <c r="A983">
        <v>45224</v>
      </c>
      <c r="B983" t="s">
        <v>7</v>
      </c>
      <c r="C983">
        <v>46</v>
      </c>
      <c r="D983">
        <v>0</v>
      </c>
      <c r="E983">
        <v>0</v>
      </c>
      <c r="F983" t="str">
        <f t="shared" si="47"/>
        <v>Lower Risk</v>
      </c>
      <c r="G983" t="s">
        <v>3</v>
      </c>
      <c r="H983" t="s">
        <v>4</v>
      </c>
      <c r="I983" t="s">
        <v>9</v>
      </c>
      <c r="J983">
        <v>109.22</v>
      </c>
      <c r="K983">
        <v>20.100000000000001</v>
      </c>
      <c r="L983" t="s">
        <v>11</v>
      </c>
      <c r="M983">
        <v>0</v>
      </c>
      <c r="N983" t="str">
        <f t="shared" si="45"/>
        <v>40–59</v>
      </c>
      <c r="O983" t="str">
        <f t="shared" si="46"/>
        <v>Normal</v>
      </c>
    </row>
    <row r="984" spans="1:15" x14ac:dyDescent="0.3">
      <c r="A984">
        <v>54747</v>
      </c>
      <c r="B984" t="s">
        <v>2</v>
      </c>
      <c r="C984">
        <v>0.88</v>
      </c>
      <c r="D984">
        <v>0</v>
      </c>
      <c r="E984">
        <v>0</v>
      </c>
      <c r="F984" t="str">
        <f t="shared" si="47"/>
        <v>Lower Risk</v>
      </c>
      <c r="G984" t="s">
        <v>13</v>
      </c>
      <c r="H984" t="s">
        <v>16</v>
      </c>
      <c r="I984" t="s">
        <v>9</v>
      </c>
      <c r="J984">
        <v>157.57</v>
      </c>
      <c r="K984">
        <v>19.2</v>
      </c>
      <c r="L984" t="s">
        <v>14</v>
      </c>
      <c r="M984">
        <v>0</v>
      </c>
      <c r="N984" t="str">
        <f t="shared" si="45"/>
        <v>Under 40</v>
      </c>
      <c r="O984" t="str">
        <f t="shared" si="46"/>
        <v>Normal</v>
      </c>
    </row>
    <row r="985" spans="1:15" x14ac:dyDescent="0.3">
      <c r="A985">
        <v>2751</v>
      </c>
      <c r="B985" t="s">
        <v>2</v>
      </c>
      <c r="C985">
        <v>50</v>
      </c>
      <c r="D985">
        <v>0</v>
      </c>
      <c r="E985">
        <v>0</v>
      </c>
      <c r="F985" t="str">
        <f t="shared" si="47"/>
        <v>Lower Risk</v>
      </c>
      <c r="G985" t="s">
        <v>3</v>
      </c>
      <c r="H985" t="s">
        <v>15</v>
      </c>
      <c r="I985" t="s">
        <v>5</v>
      </c>
      <c r="J985">
        <v>110.73</v>
      </c>
      <c r="K985">
        <v>28.7</v>
      </c>
      <c r="L985" t="s">
        <v>12</v>
      </c>
      <c r="M985">
        <v>0</v>
      </c>
      <c r="N985" t="str">
        <f t="shared" si="45"/>
        <v>40–59</v>
      </c>
      <c r="O985" t="str">
        <f t="shared" si="46"/>
        <v>Overweight</v>
      </c>
    </row>
    <row r="986" spans="1:15" x14ac:dyDescent="0.3">
      <c r="A986">
        <v>6090</v>
      </c>
      <c r="B986" t="s">
        <v>2</v>
      </c>
      <c r="C986">
        <v>19</v>
      </c>
      <c r="D986">
        <v>0</v>
      </c>
      <c r="E986">
        <v>0</v>
      </c>
      <c r="F986" t="str">
        <f t="shared" si="47"/>
        <v>Lower Risk</v>
      </c>
      <c r="G986" t="s">
        <v>3</v>
      </c>
      <c r="H986" t="s">
        <v>4</v>
      </c>
      <c r="I986" t="s">
        <v>5</v>
      </c>
      <c r="J986">
        <v>99.14</v>
      </c>
      <c r="K986">
        <v>28.1</v>
      </c>
      <c r="L986" t="s">
        <v>11</v>
      </c>
      <c r="M986">
        <v>0</v>
      </c>
      <c r="N986" t="str">
        <f t="shared" si="45"/>
        <v>Under 40</v>
      </c>
      <c r="O986" t="str">
        <f t="shared" si="46"/>
        <v>Overweight</v>
      </c>
    </row>
    <row r="987" spans="1:15" x14ac:dyDescent="0.3">
      <c r="A987">
        <v>46385</v>
      </c>
      <c r="B987" t="s">
        <v>7</v>
      </c>
      <c r="C987">
        <v>21</v>
      </c>
      <c r="D987">
        <v>0</v>
      </c>
      <c r="E987">
        <v>0</v>
      </c>
      <c r="F987" t="str">
        <f t="shared" si="47"/>
        <v>Lower Risk</v>
      </c>
      <c r="G987" t="s">
        <v>3</v>
      </c>
      <c r="H987" t="s">
        <v>4</v>
      </c>
      <c r="I987" t="s">
        <v>5</v>
      </c>
      <c r="J987">
        <v>59.15</v>
      </c>
      <c r="K987">
        <v>22.6</v>
      </c>
      <c r="L987" t="s">
        <v>11</v>
      </c>
      <c r="M987">
        <v>0</v>
      </c>
      <c r="N987" t="str">
        <f t="shared" si="45"/>
        <v>Under 40</v>
      </c>
      <c r="O987" t="str">
        <f t="shared" si="46"/>
        <v>Normal</v>
      </c>
    </row>
    <row r="988" spans="1:15" x14ac:dyDescent="0.3">
      <c r="A988">
        <v>46323</v>
      </c>
      <c r="B988" t="s">
        <v>7</v>
      </c>
      <c r="C988">
        <v>2</v>
      </c>
      <c r="D988">
        <v>0</v>
      </c>
      <c r="E988">
        <v>0</v>
      </c>
      <c r="F988" t="str">
        <f t="shared" si="47"/>
        <v>Lower Risk</v>
      </c>
      <c r="G988" t="s">
        <v>13</v>
      </c>
      <c r="H988" t="s">
        <v>16</v>
      </c>
      <c r="I988" t="s">
        <v>9</v>
      </c>
      <c r="J988">
        <v>165.11</v>
      </c>
      <c r="K988">
        <v>18</v>
      </c>
      <c r="L988" t="s">
        <v>14</v>
      </c>
      <c r="M988">
        <v>0</v>
      </c>
      <c r="N988" t="str">
        <f t="shared" si="45"/>
        <v>Under 40</v>
      </c>
      <c r="O988" t="str">
        <f t="shared" si="46"/>
        <v>Underweight</v>
      </c>
    </row>
    <row r="989" spans="1:15" x14ac:dyDescent="0.3">
      <c r="A989">
        <v>28122</v>
      </c>
      <c r="B989" t="s">
        <v>7</v>
      </c>
      <c r="C989">
        <v>37</v>
      </c>
      <c r="D989">
        <v>0</v>
      </c>
      <c r="E989">
        <v>0</v>
      </c>
      <c r="F989" t="str">
        <f t="shared" si="47"/>
        <v>Lower Risk</v>
      </c>
      <c r="G989" t="s">
        <v>3</v>
      </c>
      <c r="H989" t="s">
        <v>8</v>
      </c>
      <c r="I989" t="s">
        <v>9</v>
      </c>
      <c r="J989">
        <v>77.44</v>
      </c>
      <c r="K989">
        <v>21.4</v>
      </c>
      <c r="L989" t="s">
        <v>6</v>
      </c>
      <c r="M989">
        <v>0</v>
      </c>
      <c r="N989" t="str">
        <f t="shared" si="45"/>
        <v>Under 40</v>
      </c>
      <c r="O989" t="str">
        <f t="shared" si="46"/>
        <v>Normal</v>
      </c>
    </row>
    <row r="990" spans="1:15" x14ac:dyDescent="0.3">
      <c r="A990">
        <v>50843</v>
      </c>
      <c r="B990" t="s">
        <v>2</v>
      </c>
      <c r="C990">
        <v>20</v>
      </c>
      <c r="D990">
        <v>0</v>
      </c>
      <c r="E990">
        <v>0</v>
      </c>
      <c r="F990" t="str">
        <f t="shared" si="47"/>
        <v>Lower Risk</v>
      </c>
      <c r="G990" t="s">
        <v>13</v>
      </c>
      <c r="H990" t="s">
        <v>4</v>
      </c>
      <c r="I990" t="s">
        <v>9</v>
      </c>
      <c r="J990">
        <v>100.33</v>
      </c>
      <c r="K990">
        <v>27.8</v>
      </c>
      <c r="L990" t="s">
        <v>14</v>
      </c>
      <c r="M990">
        <v>0</v>
      </c>
      <c r="N990" t="str">
        <f t="shared" si="45"/>
        <v>Under 40</v>
      </c>
      <c r="O990" t="str">
        <f t="shared" si="46"/>
        <v>Overweight</v>
      </c>
    </row>
    <row r="991" spans="1:15" x14ac:dyDescent="0.3">
      <c r="A991">
        <v>64464</v>
      </c>
      <c r="B991" t="s">
        <v>2</v>
      </c>
      <c r="C991">
        <v>50</v>
      </c>
      <c r="D991">
        <v>0</v>
      </c>
      <c r="E991">
        <v>0</v>
      </c>
      <c r="F991" t="str">
        <f t="shared" si="47"/>
        <v>Lower Risk</v>
      </c>
      <c r="G991" t="s">
        <v>3</v>
      </c>
      <c r="H991" t="s">
        <v>4</v>
      </c>
      <c r="I991" t="s">
        <v>5</v>
      </c>
      <c r="J991">
        <v>57.93</v>
      </c>
      <c r="K991">
        <v>27.6</v>
      </c>
      <c r="L991" t="s">
        <v>14</v>
      </c>
      <c r="M991">
        <v>0</v>
      </c>
      <c r="N991" t="str">
        <f t="shared" si="45"/>
        <v>40–59</v>
      </c>
      <c r="O991" t="str">
        <f t="shared" si="46"/>
        <v>Overweight</v>
      </c>
    </row>
    <row r="992" spans="1:15" x14ac:dyDescent="0.3">
      <c r="A992">
        <v>66922</v>
      </c>
      <c r="B992" t="s">
        <v>2</v>
      </c>
      <c r="C992">
        <v>61</v>
      </c>
      <c r="D992">
        <v>1</v>
      </c>
      <c r="E992">
        <v>1</v>
      </c>
      <c r="F992" t="str">
        <f t="shared" si="47"/>
        <v>High Risk</v>
      </c>
      <c r="G992" t="s">
        <v>13</v>
      </c>
      <c r="H992" t="s">
        <v>4</v>
      </c>
      <c r="I992" t="s">
        <v>9</v>
      </c>
      <c r="J992">
        <v>148.24</v>
      </c>
      <c r="K992">
        <v>32.200000000000003</v>
      </c>
      <c r="L992" t="s">
        <v>6</v>
      </c>
      <c r="M992">
        <v>0</v>
      </c>
      <c r="N992" t="str">
        <f t="shared" si="45"/>
        <v>60+</v>
      </c>
      <c r="O992" t="str">
        <f t="shared" si="46"/>
        <v>Obese</v>
      </c>
    </row>
    <row r="993" spans="1:15" x14ac:dyDescent="0.3">
      <c r="A993">
        <v>66494</v>
      </c>
      <c r="B993" t="s">
        <v>2</v>
      </c>
      <c r="C993">
        <v>48</v>
      </c>
      <c r="D993">
        <v>0</v>
      </c>
      <c r="E993">
        <v>0</v>
      </c>
      <c r="F993" t="str">
        <f t="shared" si="47"/>
        <v>Lower Risk</v>
      </c>
      <c r="G993" t="s">
        <v>3</v>
      </c>
      <c r="H993" t="s">
        <v>4</v>
      </c>
      <c r="I993" t="s">
        <v>5</v>
      </c>
      <c r="J993">
        <v>91.96</v>
      </c>
      <c r="K993">
        <v>24.9</v>
      </c>
      <c r="L993" t="s">
        <v>14</v>
      </c>
      <c r="M993">
        <v>0</v>
      </c>
      <c r="N993" t="str">
        <f t="shared" si="45"/>
        <v>40–59</v>
      </c>
      <c r="O993" t="str">
        <f t="shared" si="46"/>
        <v>Normal</v>
      </c>
    </row>
    <row r="994" spans="1:15" x14ac:dyDescent="0.3">
      <c r="A994">
        <v>42786</v>
      </c>
      <c r="B994" t="s">
        <v>2</v>
      </c>
      <c r="C994">
        <v>82</v>
      </c>
      <c r="D994">
        <v>0</v>
      </c>
      <c r="E994">
        <v>1</v>
      </c>
      <c r="F994" t="str">
        <f t="shared" si="47"/>
        <v>High Risk</v>
      </c>
      <c r="G994" t="s">
        <v>3</v>
      </c>
      <c r="H994" t="s">
        <v>8</v>
      </c>
      <c r="I994" t="s">
        <v>9</v>
      </c>
      <c r="J994">
        <v>72.930000000000007</v>
      </c>
      <c r="K994">
        <v>27.1</v>
      </c>
      <c r="L994" t="s">
        <v>6</v>
      </c>
      <c r="M994">
        <v>0</v>
      </c>
      <c r="N994" t="str">
        <f t="shared" si="45"/>
        <v>60+</v>
      </c>
      <c r="O994" t="str">
        <f t="shared" si="46"/>
        <v>Overweight</v>
      </c>
    </row>
    <row r="995" spans="1:15" x14ac:dyDescent="0.3">
      <c r="A995">
        <v>33401</v>
      </c>
      <c r="B995" t="s">
        <v>2</v>
      </c>
      <c r="C995">
        <v>64</v>
      </c>
      <c r="D995">
        <v>0</v>
      </c>
      <c r="E995">
        <v>0</v>
      </c>
      <c r="F995" t="str">
        <f t="shared" si="47"/>
        <v>Moderate Risk</v>
      </c>
      <c r="G995" t="s">
        <v>3</v>
      </c>
      <c r="H995" t="s">
        <v>4</v>
      </c>
      <c r="I995" t="s">
        <v>9</v>
      </c>
      <c r="J995">
        <v>84.27</v>
      </c>
      <c r="K995">
        <v>24.6</v>
      </c>
      <c r="L995" t="s">
        <v>14</v>
      </c>
      <c r="M995">
        <v>0</v>
      </c>
      <c r="N995" t="str">
        <f t="shared" si="45"/>
        <v>60+</v>
      </c>
      <c r="O995" t="str">
        <f t="shared" si="46"/>
        <v>Normal</v>
      </c>
    </row>
    <row r="996" spans="1:15" x14ac:dyDescent="0.3">
      <c r="A996">
        <v>24174</v>
      </c>
      <c r="B996" t="s">
        <v>7</v>
      </c>
      <c r="C996">
        <v>50</v>
      </c>
      <c r="D996">
        <v>0</v>
      </c>
      <c r="E996">
        <v>0</v>
      </c>
      <c r="F996" t="str">
        <f t="shared" si="47"/>
        <v>Lower Risk</v>
      </c>
      <c r="G996" t="s">
        <v>3</v>
      </c>
      <c r="H996" t="s">
        <v>15</v>
      </c>
      <c r="I996" t="s">
        <v>9</v>
      </c>
      <c r="J996">
        <v>124.45</v>
      </c>
      <c r="K996">
        <v>24.6</v>
      </c>
      <c r="L996" t="s">
        <v>11</v>
      </c>
      <c r="M996">
        <v>0</v>
      </c>
      <c r="N996" t="str">
        <f t="shared" si="45"/>
        <v>40–59</v>
      </c>
      <c r="O996" t="str">
        <f t="shared" si="46"/>
        <v>Normal</v>
      </c>
    </row>
    <row r="997" spans="1:15" x14ac:dyDescent="0.3">
      <c r="A997">
        <v>60211</v>
      </c>
      <c r="B997" t="s">
        <v>2</v>
      </c>
      <c r="C997">
        <v>1.4</v>
      </c>
      <c r="D997">
        <v>0</v>
      </c>
      <c r="E997">
        <v>0</v>
      </c>
      <c r="F997" t="str">
        <f t="shared" si="47"/>
        <v>Lower Risk</v>
      </c>
      <c r="G997" t="s">
        <v>13</v>
      </c>
      <c r="H997" t="s">
        <v>16</v>
      </c>
      <c r="I997" t="s">
        <v>5</v>
      </c>
      <c r="J997">
        <v>90.51</v>
      </c>
      <c r="K997">
        <v>18.899999999999999</v>
      </c>
      <c r="L997" t="s">
        <v>14</v>
      </c>
      <c r="M997">
        <v>0</v>
      </c>
      <c r="N997" t="str">
        <f t="shared" si="45"/>
        <v>Under 40</v>
      </c>
      <c r="O997" t="str">
        <f t="shared" si="46"/>
        <v>Normal</v>
      </c>
    </row>
    <row r="998" spans="1:15" x14ac:dyDescent="0.3">
      <c r="A998">
        <v>53279</v>
      </c>
      <c r="B998" t="s">
        <v>2</v>
      </c>
      <c r="C998">
        <v>0.24</v>
      </c>
      <c r="D998">
        <v>0</v>
      </c>
      <c r="E998">
        <v>0</v>
      </c>
      <c r="F998" t="str">
        <f t="shared" si="47"/>
        <v>Lower Risk</v>
      </c>
      <c r="G998" t="s">
        <v>13</v>
      </c>
      <c r="H998" t="s">
        <v>16</v>
      </c>
      <c r="I998" t="s">
        <v>9</v>
      </c>
      <c r="J998">
        <v>118.87</v>
      </c>
      <c r="K998">
        <v>16.3</v>
      </c>
      <c r="L998" t="s">
        <v>14</v>
      </c>
      <c r="M998">
        <v>0</v>
      </c>
      <c r="N998" t="str">
        <f t="shared" si="45"/>
        <v>Under 40</v>
      </c>
      <c r="O998" t="str">
        <f t="shared" si="46"/>
        <v>Underweight</v>
      </c>
    </row>
    <row r="999" spans="1:15" x14ac:dyDescent="0.3">
      <c r="A999">
        <v>61715</v>
      </c>
      <c r="B999" t="s">
        <v>2</v>
      </c>
      <c r="C999">
        <v>55</v>
      </c>
      <c r="D999">
        <v>0</v>
      </c>
      <c r="E999">
        <v>0</v>
      </c>
      <c r="F999" t="str">
        <f t="shared" si="47"/>
        <v>Lower Risk</v>
      </c>
      <c r="G999" t="s">
        <v>3</v>
      </c>
      <c r="H999" t="s">
        <v>4</v>
      </c>
      <c r="I999" t="s">
        <v>9</v>
      </c>
      <c r="J999">
        <v>56.42</v>
      </c>
      <c r="K999">
        <v>31.8</v>
      </c>
      <c r="L999" t="s">
        <v>11</v>
      </c>
      <c r="M999">
        <v>0</v>
      </c>
      <c r="N999" t="str">
        <f t="shared" si="45"/>
        <v>40–59</v>
      </c>
      <c r="O999" t="str">
        <f t="shared" si="46"/>
        <v>Obese</v>
      </c>
    </row>
    <row r="1000" spans="1:15" x14ac:dyDescent="0.3">
      <c r="A1000">
        <v>37830</v>
      </c>
      <c r="B1000" t="s">
        <v>7</v>
      </c>
      <c r="C1000">
        <v>29</v>
      </c>
      <c r="D1000">
        <v>0</v>
      </c>
      <c r="E1000">
        <v>0</v>
      </c>
      <c r="F1000" t="str">
        <f t="shared" si="47"/>
        <v>Lower Risk</v>
      </c>
      <c r="G1000" t="s">
        <v>13</v>
      </c>
      <c r="H1000" t="s">
        <v>4</v>
      </c>
      <c r="I1000" t="s">
        <v>5</v>
      </c>
      <c r="J1000">
        <v>73.67</v>
      </c>
      <c r="K1000">
        <v>21</v>
      </c>
      <c r="L1000" t="s">
        <v>14</v>
      </c>
      <c r="M1000">
        <v>0</v>
      </c>
      <c r="N1000" t="str">
        <f t="shared" si="45"/>
        <v>Under 40</v>
      </c>
      <c r="O1000" t="str">
        <f t="shared" si="46"/>
        <v>Normal</v>
      </c>
    </row>
    <row r="1001" spans="1:15" x14ac:dyDescent="0.3">
      <c r="A1001">
        <v>2454</v>
      </c>
      <c r="B1001" t="s">
        <v>2</v>
      </c>
      <c r="C1001">
        <v>4</v>
      </c>
      <c r="D1001">
        <v>0</v>
      </c>
      <c r="E1001">
        <v>0</v>
      </c>
      <c r="F1001" t="str">
        <f t="shared" si="47"/>
        <v>Lower Risk</v>
      </c>
      <c r="G1001" t="s">
        <v>13</v>
      </c>
      <c r="H1001" t="s">
        <v>16</v>
      </c>
      <c r="I1001" t="s">
        <v>9</v>
      </c>
      <c r="J1001">
        <v>89.11</v>
      </c>
      <c r="K1001">
        <v>20.100000000000001</v>
      </c>
      <c r="L1001" t="s">
        <v>14</v>
      </c>
      <c r="M1001">
        <v>0</v>
      </c>
      <c r="N1001" t="str">
        <f t="shared" si="45"/>
        <v>Under 40</v>
      </c>
      <c r="O1001" t="str">
        <f t="shared" si="46"/>
        <v>Normal</v>
      </c>
    </row>
    <row r="1002" spans="1:15" x14ac:dyDescent="0.3">
      <c r="A1002">
        <v>60663</v>
      </c>
      <c r="B1002" t="s">
        <v>2</v>
      </c>
      <c r="C1002">
        <v>70</v>
      </c>
      <c r="D1002">
        <v>1</v>
      </c>
      <c r="E1002">
        <v>0</v>
      </c>
      <c r="F1002" t="str">
        <f t="shared" si="47"/>
        <v>High Risk</v>
      </c>
      <c r="G1002" t="s">
        <v>3</v>
      </c>
      <c r="H1002" t="s">
        <v>4</v>
      </c>
      <c r="I1002" t="s">
        <v>9</v>
      </c>
      <c r="J1002">
        <v>74.040000000000006</v>
      </c>
      <c r="K1002">
        <v>29.1</v>
      </c>
      <c r="L1002" t="s">
        <v>11</v>
      </c>
      <c r="M1002">
        <v>0</v>
      </c>
      <c r="N1002" t="str">
        <f t="shared" si="45"/>
        <v>60+</v>
      </c>
      <c r="O1002" t="str">
        <f t="shared" si="46"/>
        <v>Overweight</v>
      </c>
    </row>
    <row r="1003" spans="1:15" x14ac:dyDescent="0.3">
      <c r="A1003">
        <v>46875</v>
      </c>
      <c r="B1003" t="s">
        <v>2</v>
      </c>
      <c r="C1003">
        <v>35</v>
      </c>
      <c r="D1003">
        <v>0</v>
      </c>
      <c r="E1003">
        <v>0</v>
      </c>
      <c r="F1003" t="str">
        <f t="shared" si="47"/>
        <v>Lower Risk</v>
      </c>
      <c r="G1003" t="s">
        <v>3</v>
      </c>
      <c r="H1003" t="s">
        <v>4</v>
      </c>
      <c r="I1003" t="s">
        <v>5</v>
      </c>
      <c r="J1003">
        <v>145.22999999999999</v>
      </c>
      <c r="K1003">
        <v>32.299999999999997</v>
      </c>
      <c r="L1003" t="s">
        <v>11</v>
      </c>
      <c r="M1003">
        <v>0</v>
      </c>
      <c r="N1003" t="str">
        <f t="shared" si="45"/>
        <v>Under 40</v>
      </c>
      <c r="O1003" t="str">
        <f t="shared" si="46"/>
        <v>Obese</v>
      </c>
    </row>
    <row r="1004" spans="1:15" x14ac:dyDescent="0.3">
      <c r="A1004">
        <v>69091</v>
      </c>
      <c r="B1004" t="s">
        <v>7</v>
      </c>
      <c r="C1004">
        <v>80</v>
      </c>
      <c r="D1004">
        <v>0</v>
      </c>
      <c r="E1004">
        <v>1</v>
      </c>
      <c r="F1004" t="str">
        <f t="shared" si="47"/>
        <v>High Risk</v>
      </c>
      <c r="G1004" t="s">
        <v>3</v>
      </c>
      <c r="H1004" t="s">
        <v>4</v>
      </c>
      <c r="I1004" t="s">
        <v>9</v>
      </c>
      <c r="J1004">
        <v>100.8</v>
      </c>
      <c r="K1004">
        <v>29.4</v>
      </c>
      <c r="L1004" t="s">
        <v>11</v>
      </c>
      <c r="M1004">
        <v>0</v>
      </c>
      <c r="N1004" t="str">
        <f t="shared" si="45"/>
        <v>60+</v>
      </c>
      <c r="O1004" t="str">
        <f t="shared" si="46"/>
        <v>Overweight</v>
      </c>
    </row>
    <row r="1005" spans="1:15" x14ac:dyDescent="0.3">
      <c r="A1005">
        <v>1821</v>
      </c>
      <c r="B1005" t="s">
        <v>7</v>
      </c>
      <c r="C1005">
        <v>54</v>
      </c>
      <c r="D1005">
        <v>0</v>
      </c>
      <c r="E1005">
        <v>0</v>
      </c>
      <c r="F1005" t="str">
        <f t="shared" si="47"/>
        <v>Lower Risk</v>
      </c>
      <c r="G1005" t="s">
        <v>3</v>
      </c>
      <c r="H1005" t="s">
        <v>4</v>
      </c>
      <c r="I1005" t="s">
        <v>5</v>
      </c>
      <c r="J1005">
        <v>85.22</v>
      </c>
      <c r="K1005">
        <v>50.2</v>
      </c>
      <c r="L1005" t="s">
        <v>11</v>
      </c>
      <c r="M1005">
        <v>0</v>
      </c>
      <c r="N1005" t="str">
        <f t="shared" si="45"/>
        <v>40–59</v>
      </c>
      <c r="O1005" t="str">
        <f t="shared" si="46"/>
        <v>Obese</v>
      </c>
    </row>
    <row r="1006" spans="1:15" x14ac:dyDescent="0.3">
      <c r="A1006">
        <v>44978</v>
      </c>
      <c r="B1006" t="s">
        <v>2</v>
      </c>
      <c r="C1006">
        <v>39</v>
      </c>
      <c r="D1006">
        <v>0</v>
      </c>
      <c r="E1006">
        <v>0</v>
      </c>
      <c r="F1006" t="str">
        <f t="shared" si="47"/>
        <v>Lower Risk</v>
      </c>
      <c r="G1006" t="s">
        <v>3</v>
      </c>
      <c r="H1006" t="s">
        <v>15</v>
      </c>
      <c r="I1006" t="s">
        <v>9</v>
      </c>
      <c r="J1006">
        <v>72.489999999999995</v>
      </c>
      <c r="K1006">
        <v>44.9</v>
      </c>
      <c r="L1006" t="s">
        <v>6</v>
      </c>
      <c r="M1006">
        <v>0</v>
      </c>
      <c r="N1006" t="str">
        <f t="shared" si="45"/>
        <v>Under 40</v>
      </c>
      <c r="O1006" t="str">
        <f t="shared" si="46"/>
        <v>Obese</v>
      </c>
    </row>
    <row r="1007" spans="1:15" x14ac:dyDescent="0.3">
      <c r="A1007">
        <v>3437</v>
      </c>
      <c r="B1007" t="s">
        <v>7</v>
      </c>
      <c r="C1007">
        <v>26</v>
      </c>
      <c r="D1007">
        <v>0</v>
      </c>
      <c r="E1007">
        <v>0</v>
      </c>
      <c r="F1007" t="str">
        <f t="shared" si="47"/>
        <v>Lower Risk</v>
      </c>
      <c r="G1007" t="s">
        <v>13</v>
      </c>
      <c r="H1007" t="s">
        <v>4</v>
      </c>
      <c r="I1007" t="s">
        <v>5</v>
      </c>
      <c r="J1007">
        <v>82.61</v>
      </c>
      <c r="K1007">
        <v>28.5</v>
      </c>
      <c r="L1007" t="s">
        <v>12</v>
      </c>
      <c r="M1007">
        <v>0</v>
      </c>
      <c r="N1007" t="str">
        <f t="shared" si="45"/>
        <v>Under 40</v>
      </c>
      <c r="O1007" t="str">
        <f t="shared" si="46"/>
        <v>Overweight</v>
      </c>
    </row>
    <row r="1008" spans="1:15" x14ac:dyDescent="0.3">
      <c r="A1008">
        <v>6355</v>
      </c>
      <c r="B1008" t="s">
        <v>7</v>
      </c>
      <c r="C1008">
        <v>6</v>
      </c>
      <c r="D1008">
        <v>0</v>
      </c>
      <c r="E1008">
        <v>0</v>
      </c>
      <c r="F1008" t="str">
        <f t="shared" si="47"/>
        <v>Lower Risk</v>
      </c>
      <c r="G1008" t="s">
        <v>13</v>
      </c>
      <c r="H1008" t="s">
        <v>16</v>
      </c>
      <c r="I1008" t="s">
        <v>9</v>
      </c>
      <c r="J1008">
        <v>72.069999999999993</v>
      </c>
      <c r="K1008">
        <v>19.5</v>
      </c>
      <c r="L1008" t="s">
        <v>14</v>
      </c>
      <c r="M1008">
        <v>0</v>
      </c>
      <c r="N1008" t="str">
        <f t="shared" si="45"/>
        <v>Under 40</v>
      </c>
      <c r="O1008" t="str">
        <f t="shared" si="46"/>
        <v>Normal</v>
      </c>
    </row>
    <row r="1009" spans="1:15" x14ac:dyDescent="0.3">
      <c r="A1009">
        <v>10762</v>
      </c>
      <c r="B1009" t="s">
        <v>7</v>
      </c>
      <c r="C1009">
        <v>41</v>
      </c>
      <c r="D1009">
        <v>0</v>
      </c>
      <c r="E1009">
        <v>0</v>
      </c>
      <c r="F1009" t="str">
        <f t="shared" si="47"/>
        <v>Lower Risk</v>
      </c>
      <c r="G1009" t="s">
        <v>3</v>
      </c>
      <c r="H1009" t="s">
        <v>4</v>
      </c>
      <c r="I1009" t="s">
        <v>9</v>
      </c>
      <c r="J1009">
        <v>79.849999999999994</v>
      </c>
      <c r="K1009">
        <v>45</v>
      </c>
      <c r="L1009" t="s">
        <v>14</v>
      </c>
      <c r="M1009">
        <v>0</v>
      </c>
      <c r="N1009" t="str">
        <f t="shared" si="45"/>
        <v>40–59</v>
      </c>
      <c r="O1009" t="str">
        <f t="shared" si="46"/>
        <v>Obese</v>
      </c>
    </row>
    <row r="1010" spans="1:15" x14ac:dyDescent="0.3">
      <c r="A1010">
        <v>58567</v>
      </c>
      <c r="B1010" t="s">
        <v>7</v>
      </c>
      <c r="C1010">
        <v>42</v>
      </c>
      <c r="D1010">
        <v>0</v>
      </c>
      <c r="E1010">
        <v>0</v>
      </c>
      <c r="F1010" t="str">
        <f t="shared" si="47"/>
        <v>Lower Risk</v>
      </c>
      <c r="G1010" t="s">
        <v>3</v>
      </c>
      <c r="H1010" t="s">
        <v>4</v>
      </c>
      <c r="I1010" t="s">
        <v>9</v>
      </c>
      <c r="J1010">
        <v>84.86</v>
      </c>
      <c r="K1010">
        <v>22.8</v>
      </c>
      <c r="L1010" t="s">
        <v>14</v>
      </c>
      <c r="M1010">
        <v>0</v>
      </c>
      <c r="N1010" t="str">
        <f t="shared" si="45"/>
        <v>40–59</v>
      </c>
      <c r="O1010" t="str">
        <f t="shared" si="46"/>
        <v>Normal</v>
      </c>
    </row>
    <row r="1011" spans="1:15" x14ac:dyDescent="0.3">
      <c r="A1011">
        <v>62187</v>
      </c>
      <c r="B1011" t="s">
        <v>2</v>
      </c>
      <c r="C1011">
        <v>9</v>
      </c>
      <c r="D1011">
        <v>0</v>
      </c>
      <c r="E1011">
        <v>0</v>
      </c>
      <c r="F1011" t="str">
        <f t="shared" si="47"/>
        <v>Lower Risk</v>
      </c>
      <c r="G1011" t="s">
        <v>13</v>
      </c>
      <c r="H1011" t="s">
        <v>16</v>
      </c>
      <c r="I1011" t="s">
        <v>5</v>
      </c>
      <c r="J1011">
        <v>131.88999999999999</v>
      </c>
      <c r="K1011">
        <v>25.5</v>
      </c>
      <c r="L1011" t="s">
        <v>14</v>
      </c>
      <c r="M1011">
        <v>0</v>
      </c>
      <c r="N1011" t="str">
        <f t="shared" si="45"/>
        <v>Under 40</v>
      </c>
      <c r="O1011" t="str">
        <f t="shared" si="46"/>
        <v>Overweight</v>
      </c>
    </row>
    <row r="1012" spans="1:15" x14ac:dyDescent="0.3">
      <c r="A1012">
        <v>84</v>
      </c>
      <c r="B1012" t="s">
        <v>2</v>
      </c>
      <c r="C1012">
        <v>55</v>
      </c>
      <c r="D1012">
        <v>0</v>
      </c>
      <c r="E1012">
        <v>0</v>
      </c>
      <c r="F1012" t="str">
        <f t="shared" si="47"/>
        <v>Lower Risk</v>
      </c>
      <c r="G1012" t="s">
        <v>3</v>
      </c>
      <c r="H1012" t="s">
        <v>4</v>
      </c>
      <c r="I1012" t="s">
        <v>5</v>
      </c>
      <c r="J1012">
        <v>89.17</v>
      </c>
      <c r="K1012">
        <v>31.5</v>
      </c>
      <c r="L1012" t="s">
        <v>11</v>
      </c>
      <c r="M1012">
        <v>0</v>
      </c>
      <c r="N1012" t="str">
        <f t="shared" si="45"/>
        <v>40–59</v>
      </c>
      <c r="O1012" t="str">
        <f t="shared" si="46"/>
        <v>Obese</v>
      </c>
    </row>
    <row r="1013" spans="1:15" x14ac:dyDescent="0.3">
      <c r="A1013">
        <v>8521</v>
      </c>
      <c r="B1013" t="s">
        <v>2</v>
      </c>
      <c r="C1013">
        <v>71</v>
      </c>
      <c r="D1013">
        <v>0</v>
      </c>
      <c r="E1013">
        <v>0</v>
      </c>
      <c r="F1013" t="str">
        <f t="shared" si="47"/>
        <v>Moderate Risk</v>
      </c>
      <c r="G1013" t="s">
        <v>3</v>
      </c>
      <c r="H1013" t="s">
        <v>4</v>
      </c>
      <c r="I1013" t="s">
        <v>9</v>
      </c>
      <c r="J1013">
        <v>227.91</v>
      </c>
      <c r="K1013">
        <v>31.6</v>
      </c>
      <c r="L1013" t="s">
        <v>6</v>
      </c>
      <c r="M1013">
        <v>0</v>
      </c>
      <c r="N1013" t="str">
        <f t="shared" si="45"/>
        <v>60+</v>
      </c>
      <c r="O1013" t="str">
        <f t="shared" si="46"/>
        <v>Obese</v>
      </c>
    </row>
    <row r="1014" spans="1:15" x14ac:dyDescent="0.3">
      <c r="A1014">
        <v>72779</v>
      </c>
      <c r="B1014" t="s">
        <v>7</v>
      </c>
      <c r="C1014">
        <v>14</v>
      </c>
      <c r="D1014">
        <v>0</v>
      </c>
      <c r="E1014">
        <v>0</v>
      </c>
      <c r="F1014" t="str">
        <f t="shared" si="47"/>
        <v>Lower Risk</v>
      </c>
      <c r="G1014" t="s">
        <v>13</v>
      </c>
      <c r="H1014" t="s">
        <v>16</v>
      </c>
      <c r="I1014" t="s">
        <v>5</v>
      </c>
      <c r="J1014">
        <v>131.77000000000001</v>
      </c>
      <c r="K1014">
        <v>31</v>
      </c>
      <c r="L1014" t="s">
        <v>14</v>
      </c>
      <c r="M1014">
        <v>0</v>
      </c>
      <c r="N1014" t="str">
        <f t="shared" si="45"/>
        <v>Under 40</v>
      </c>
      <c r="O1014" t="str">
        <f t="shared" si="46"/>
        <v>Obese</v>
      </c>
    </row>
    <row r="1015" spans="1:15" x14ac:dyDescent="0.3">
      <c r="A1015">
        <v>45824</v>
      </c>
      <c r="B1015" t="s">
        <v>7</v>
      </c>
      <c r="C1015">
        <v>77</v>
      </c>
      <c r="D1015">
        <v>1</v>
      </c>
      <c r="E1015">
        <v>0</v>
      </c>
      <c r="F1015" t="str">
        <f t="shared" si="47"/>
        <v>High Risk</v>
      </c>
      <c r="G1015" t="s">
        <v>3</v>
      </c>
      <c r="H1015" t="s">
        <v>8</v>
      </c>
      <c r="I1015" t="s">
        <v>5</v>
      </c>
      <c r="J1015">
        <v>102.01</v>
      </c>
      <c r="K1015">
        <v>29.5</v>
      </c>
      <c r="L1015" t="s">
        <v>14</v>
      </c>
      <c r="M1015">
        <v>0</v>
      </c>
      <c r="N1015" t="str">
        <f t="shared" si="45"/>
        <v>60+</v>
      </c>
      <c r="O1015" t="str">
        <f t="shared" si="46"/>
        <v>Overweight</v>
      </c>
    </row>
    <row r="1016" spans="1:15" x14ac:dyDescent="0.3">
      <c r="A1016">
        <v>61838</v>
      </c>
      <c r="B1016" t="s">
        <v>7</v>
      </c>
      <c r="C1016">
        <v>50</v>
      </c>
      <c r="D1016">
        <v>0</v>
      </c>
      <c r="E1016">
        <v>0</v>
      </c>
      <c r="F1016" t="str">
        <f t="shared" si="47"/>
        <v>Lower Risk</v>
      </c>
      <c r="G1016" t="s">
        <v>3</v>
      </c>
      <c r="H1016" t="s">
        <v>15</v>
      </c>
      <c r="I1016" t="s">
        <v>5</v>
      </c>
      <c r="J1016">
        <v>128.63</v>
      </c>
      <c r="K1016">
        <v>23.1</v>
      </c>
      <c r="L1016" t="s">
        <v>14</v>
      </c>
      <c r="M1016">
        <v>0</v>
      </c>
      <c r="N1016" t="str">
        <f t="shared" si="45"/>
        <v>40–59</v>
      </c>
      <c r="O1016" t="str">
        <f t="shared" si="46"/>
        <v>Normal</v>
      </c>
    </row>
    <row r="1017" spans="1:15" x14ac:dyDescent="0.3">
      <c r="A1017">
        <v>57212</v>
      </c>
      <c r="B1017" t="s">
        <v>2</v>
      </c>
      <c r="C1017">
        <v>49</v>
      </c>
      <c r="D1017">
        <v>0</v>
      </c>
      <c r="E1017">
        <v>0</v>
      </c>
      <c r="F1017" t="str">
        <f t="shared" si="47"/>
        <v>Lower Risk</v>
      </c>
      <c r="G1017" t="s">
        <v>13</v>
      </c>
      <c r="H1017" t="s">
        <v>4</v>
      </c>
      <c r="I1017" t="s">
        <v>5</v>
      </c>
      <c r="J1017">
        <v>144.1</v>
      </c>
      <c r="K1017">
        <v>30.7</v>
      </c>
      <c r="L1017" t="s">
        <v>12</v>
      </c>
      <c r="M1017">
        <v>0</v>
      </c>
      <c r="N1017" t="str">
        <f t="shared" si="45"/>
        <v>40–59</v>
      </c>
      <c r="O1017" t="str">
        <f t="shared" si="46"/>
        <v>Obese</v>
      </c>
    </row>
    <row r="1018" spans="1:15" x14ac:dyDescent="0.3">
      <c r="A1018">
        <v>62668</v>
      </c>
      <c r="B1018" t="s">
        <v>7</v>
      </c>
      <c r="C1018">
        <v>51</v>
      </c>
      <c r="D1018">
        <v>0</v>
      </c>
      <c r="E1018">
        <v>0</v>
      </c>
      <c r="F1018" t="str">
        <f t="shared" si="47"/>
        <v>Lower Risk</v>
      </c>
      <c r="G1018" t="s">
        <v>3</v>
      </c>
      <c r="H1018" t="s">
        <v>8</v>
      </c>
      <c r="I1018" t="s">
        <v>5</v>
      </c>
      <c r="J1018">
        <v>143.15</v>
      </c>
      <c r="K1018">
        <v>44.7</v>
      </c>
      <c r="L1018" t="s">
        <v>6</v>
      </c>
      <c r="M1018">
        <v>0</v>
      </c>
      <c r="N1018" t="str">
        <f t="shared" si="45"/>
        <v>40–59</v>
      </c>
      <c r="O1018" t="str">
        <f t="shared" si="46"/>
        <v>Obese</v>
      </c>
    </row>
    <row r="1019" spans="1:15" x14ac:dyDescent="0.3">
      <c r="A1019">
        <v>33142</v>
      </c>
      <c r="B1019" t="s">
        <v>2</v>
      </c>
      <c r="C1019">
        <v>79</v>
      </c>
      <c r="D1019">
        <v>0</v>
      </c>
      <c r="E1019">
        <v>0</v>
      </c>
      <c r="F1019" t="str">
        <f t="shared" si="47"/>
        <v>Moderate Risk</v>
      </c>
      <c r="G1019" t="s">
        <v>3</v>
      </c>
      <c r="H1019" t="s">
        <v>8</v>
      </c>
      <c r="I1019" t="s">
        <v>9</v>
      </c>
      <c r="J1019">
        <v>116.67</v>
      </c>
      <c r="K1019">
        <v>33.5</v>
      </c>
      <c r="L1019" t="s">
        <v>11</v>
      </c>
      <c r="M1019">
        <v>0</v>
      </c>
      <c r="N1019" t="str">
        <f t="shared" si="45"/>
        <v>60+</v>
      </c>
      <c r="O1019" t="str">
        <f t="shared" si="46"/>
        <v>Obese</v>
      </c>
    </row>
    <row r="1020" spans="1:15" x14ac:dyDescent="0.3">
      <c r="A1020">
        <v>17437</v>
      </c>
      <c r="B1020" t="s">
        <v>7</v>
      </c>
      <c r="C1020">
        <v>63</v>
      </c>
      <c r="D1020">
        <v>0</v>
      </c>
      <c r="E1020">
        <v>0</v>
      </c>
      <c r="F1020" t="str">
        <f t="shared" si="47"/>
        <v>Moderate Risk</v>
      </c>
      <c r="G1020" t="s">
        <v>3</v>
      </c>
      <c r="H1020" t="s">
        <v>8</v>
      </c>
      <c r="I1020" t="s">
        <v>9</v>
      </c>
      <c r="J1020">
        <v>85.6</v>
      </c>
      <c r="K1020">
        <v>25.9</v>
      </c>
      <c r="L1020" t="s">
        <v>14</v>
      </c>
      <c r="M1020">
        <v>0</v>
      </c>
      <c r="N1020" t="str">
        <f t="shared" si="45"/>
        <v>60+</v>
      </c>
      <c r="O1020" t="str">
        <f t="shared" si="46"/>
        <v>Overweight</v>
      </c>
    </row>
    <row r="1021" spans="1:15" x14ac:dyDescent="0.3">
      <c r="A1021">
        <v>38303</v>
      </c>
      <c r="B1021" t="s">
        <v>7</v>
      </c>
      <c r="C1021">
        <v>66</v>
      </c>
      <c r="D1021">
        <v>0</v>
      </c>
      <c r="E1021">
        <v>0</v>
      </c>
      <c r="F1021" t="str">
        <f t="shared" si="47"/>
        <v>Moderate Risk</v>
      </c>
      <c r="G1021" t="s">
        <v>3</v>
      </c>
      <c r="H1021" t="s">
        <v>8</v>
      </c>
      <c r="I1021" t="s">
        <v>5</v>
      </c>
      <c r="J1021">
        <v>142.12</v>
      </c>
      <c r="K1021">
        <v>28.3</v>
      </c>
      <c r="L1021" t="s">
        <v>11</v>
      </c>
      <c r="M1021">
        <v>0</v>
      </c>
      <c r="N1021" t="str">
        <f t="shared" si="45"/>
        <v>60+</v>
      </c>
      <c r="O1021" t="str">
        <f t="shared" si="46"/>
        <v>Overweight</v>
      </c>
    </row>
    <row r="1022" spans="1:15" x14ac:dyDescent="0.3">
      <c r="A1022">
        <v>12396</v>
      </c>
      <c r="B1022" t="s">
        <v>7</v>
      </c>
      <c r="C1022">
        <v>20</v>
      </c>
      <c r="D1022">
        <v>0</v>
      </c>
      <c r="E1022">
        <v>0</v>
      </c>
      <c r="F1022" t="str">
        <f t="shared" si="47"/>
        <v>Lower Risk</v>
      </c>
      <c r="G1022" t="s">
        <v>13</v>
      </c>
      <c r="H1022" t="s">
        <v>4</v>
      </c>
      <c r="I1022" t="s">
        <v>5</v>
      </c>
      <c r="J1022">
        <v>100.81</v>
      </c>
      <c r="K1022">
        <v>26.8</v>
      </c>
      <c r="L1022" t="s">
        <v>14</v>
      </c>
      <c r="M1022">
        <v>0</v>
      </c>
      <c r="N1022" t="str">
        <f t="shared" si="45"/>
        <v>Under 40</v>
      </c>
      <c r="O1022" t="str">
        <f t="shared" si="46"/>
        <v>Overweight</v>
      </c>
    </row>
    <row r="1023" spans="1:15" x14ac:dyDescent="0.3">
      <c r="A1023">
        <v>36484</v>
      </c>
      <c r="B1023" t="s">
        <v>7</v>
      </c>
      <c r="C1023">
        <v>37</v>
      </c>
      <c r="D1023">
        <v>0</v>
      </c>
      <c r="E1023">
        <v>0</v>
      </c>
      <c r="F1023" t="str">
        <f t="shared" si="47"/>
        <v>Lower Risk</v>
      </c>
      <c r="G1023" t="s">
        <v>3</v>
      </c>
      <c r="H1023" t="s">
        <v>15</v>
      </c>
      <c r="I1023" t="s">
        <v>5</v>
      </c>
      <c r="J1023">
        <v>69.17</v>
      </c>
      <c r="K1023">
        <v>27.8</v>
      </c>
      <c r="L1023" t="s">
        <v>11</v>
      </c>
      <c r="M1023">
        <v>0</v>
      </c>
      <c r="N1023" t="str">
        <f t="shared" si="45"/>
        <v>Under 40</v>
      </c>
      <c r="O1023" t="str">
        <f t="shared" si="46"/>
        <v>Overweight</v>
      </c>
    </row>
    <row r="1024" spans="1:15" x14ac:dyDescent="0.3">
      <c r="A1024">
        <v>60047</v>
      </c>
      <c r="B1024" t="s">
        <v>2</v>
      </c>
      <c r="C1024">
        <v>22</v>
      </c>
      <c r="D1024">
        <v>0</v>
      </c>
      <c r="E1024">
        <v>0</v>
      </c>
      <c r="F1024" t="str">
        <f t="shared" si="47"/>
        <v>Lower Risk</v>
      </c>
      <c r="G1024" t="s">
        <v>13</v>
      </c>
      <c r="H1024" t="s">
        <v>4</v>
      </c>
      <c r="I1024" t="s">
        <v>9</v>
      </c>
      <c r="J1024">
        <v>58.38</v>
      </c>
      <c r="K1024">
        <v>36</v>
      </c>
      <c r="L1024" t="s">
        <v>11</v>
      </c>
      <c r="M1024">
        <v>0</v>
      </c>
      <c r="N1024" t="str">
        <f t="shared" si="45"/>
        <v>Under 40</v>
      </c>
      <c r="O1024" t="str">
        <f t="shared" si="46"/>
        <v>Obese</v>
      </c>
    </row>
    <row r="1025" spans="1:15" x14ac:dyDescent="0.3">
      <c r="A1025">
        <v>16542</v>
      </c>
      <c r="B1025" t="s">
        <v>7</v>
      </c>
      <c r="C1025">
        <v>60</v>
      </c>
      <c r="D1025">
        <v>0</v>
      </c>
      <c r="E1025">
        <v>0</v>
      </c>
      <c r="F1025" t="str">
        <f t="shared" si="47"/>
        <v>Moderate Risk</v>
      </c>
      <c r="G1025" t="s">
        <v>3</v>
      </c>
      <c r="H1025" t="s">
        <v>15</v>
      </c>
      <c r="I1025" t="s">
        <v>5</v>
      </c>
      <c r="J1025">
        <v>86.34</v>
      </c>
      <c r="K1025">
        <v>22.1</v>
      </c>
      <c r="L1025" t="s">
        <v>11</v>
      </c>
      <c r="M1025">
        <v>0</v>
      </c>
      <c r="N1025" t="str">
        <f t="shared" si="45"/>
        <v>60+</v>
      </c>
      <c r="O1025" t="str">
        <f t="shared" si="46"/>
        <v>Normal</v>
      </c>
    </row>
    <row r="1026" spans="1:15" x14ac:dyDescent="0.3">
      <c r="A1026">
        <v>18805</v>
      </c>
      <c r="B1026" t="s">
        <v>2</v>
      </c>
      <c r="C1026">
        <v>39</v>
      </c>
      <c r="D1026">
        <v>0</v>
      </c>
      <c r="E1026">
        <v>0</v>
      </c>
      <c r="F1026" t="str">
        <f t="shared" si="47"/>
        <v>Lower Risk</v>
      </c>
      <c r="G1026" t="s">
        <v>3</v>
      </c>
      <c r="H1026" t="s">
        <v>4</v>
      </c>
      <c r="I1026" t="s">
        <v>5</v>
      </c>
      <c r="J1026">
        <v>95.44</v>
      </c>
      <c r="K1026">
        <v>38.4</v>
      </c>
      <c r="L1026" t="s">
        <v>11</v>
      </c>
      <c r="M1026">
        <v>0</v>
      </c>
      <c r="N1026" t="str">
        <f t="shared" ref="N1026:N1089" si="48">IF(C1026&lt;40,"Under 40",IF(C1026&lt;60,"40–59","60+"))</f>
        <v>Under 40</v>
      </c>
      <c r="O1026" t="str">
        <f t="shared" ref="O1026:O1089" si="49">IF(K1026="N/A","Unknown",
IF(K1026="","Unknown",
IF(K1026&lt;18.5,"Underweight",
IF(K1026&lt;25,"Normal",
IF(K1026&lt;30,"Overweight","Obese")))))</f>
        <v>Obese</v>
      </c>
    </row>
    <row r="1027" spans="1:15" x14ac:dyDescent="0.3">
      <c r="A1027">
        <v>17869</v>
      </c>
      <c r="B1027" t="s">
        <v>7</v>
      </c>
      <c r="C1027">
        <v>53</v>
      </c>
      <c r="D1027">
        <v>0</v>
      </c>
      <c r="E1027">
        <v>0</v>
      </c>
      <c r="F1027" t="str">
        <f t="shared" ref="F1027:F1090" si="50">IF(C1027&gt;=60,
IF(OR(D1027=1,E1027=1),"High Risk","Moderate Risk"),
"Lower Risk")</f>
        <v>Lower Risk</v>
      </c>
      <c r="G1027" t="s">
        <v>3</v>
      </c>
      <c r="H1027" t="s">
        <v>4</v>
      </c>
      <c r="I1027" t="s">
        <v>5</v>
      </c>
      <c r="J1027">
        <v>94.78</v>
      </c>
      <c r="K1027">
        <v>30.1</v>
      </c>
      <c r="L1027" t="s">
        <v>14</v>
      </c>
      <c r="M1027">
        <v>0</v>
      </c>
      <c r="N1027" t="str">
        <f t="shared" si="48"/>
        <v>40–59</v>
      </c>
      <c r="O1027" t="str">
        <f t="shared" si="49"/>
        <v>Obese</v>
      </c>
    </row>
    <row r="1028" spans="1:15" x14ac:dyDescent="0.3">
      <c r="A1028">
        <v>6793</v>
      </c>
      <c r="B1028" t="s">
        <v>7</v>
      </c>
      <c r="C1028">
        <v>55</v>
      </c>
      <c r="D1028">
        <v>0</v>
      </c>
      <c r="E1028">
        <v>0</v>
      </c>
      <c r="F1028" t="str">
        <f t="shared" si="50"/>
        <v>Lower Risk</v>
      </c>
      <c r="G1028" t="s">
        <v>3</v>
      </c>
      <c r="H1028" t="s">
        <v>4</v>
      </c>
      <c r="I1028" t="s">
        <v>9</v>
      </c>
      <c r="J1028">
        <v>109.59</v>
      </c>
      <c r="K1028">
        <v>26.2</v>
      </c>
      <c r="L1028" t="s">
        <v>6</v>
      </c>
      <c r="M1028">
        <v>0</v>
      </c>
      <c r="N1028" t="str">
        <f t="shared" si="48"/>
        <v>40–59</v>
      </c>
      <c r="O1028" t="str">
        <f t="shared" si="49"/>
        <v>Overweight</v>
      </c>
    </row>
    <row r="1029" spans="1:15" x14ac:dyDescent="0.3">
      <c r="A1029">
        <v>49265</v>
      </c>
      <c r="B1029" t="s">
        <v>7</v>
      </c>
      <c r="C1029">
        <v>63</v>
      </c>
      <c r="D1029">
        <v>0</v>
      </c>
      <c r="E1029">
        <v>0</v>
      </c>
      <c r="F1029" t="str">
        <f t="shared" si="50"/>
        <v>Moderate Risk</v>
      </c>
      <c r="G1029" t="s">
        <v>3</v>
      </c>
      <c r="H1029" t="s">
        <v>4</v>
      </c>
      <c r="I1029" t="s">
        <v>9</v>
      </c>
      <c r="J1029">
        <v>79.260000000000005</v>
      </c>
      <c r="K1029">
        <v>26.6</v>
      </c>
      <c r="L1029" t="s">
        <v>12</v>
      </c>
      <c r="M1029">
        <v>0</v>
      </c>
      <c r="N1029" t="str">
        <f t="shared" si="48"/>
        <v>60+</v>
      </c>
      <c r="O1029" t="str">
        <f t="shared" si="49"/>
        <v>Overweight</v>
      </c>
    </row>
    <row r="1030" spans="1:15" x14ac:dyDescent="0.3">
      <c r="A1030">
        <v>6606</v>
      </c>
      <c r="B1030" t="s">
        <v>7</v>
      </c>
      <c r="C1030">
        <v>57</v>
      </c>
      <c r="D1030">
        <v>0</v>
      </c>
      <c r="E1030">
        <v>0</v>
      </c>
      <c r="F1030" t="str">
        <f t="shared" si="50"/>
        <v>Lower Risk</v>
      </c>
      <c r="G1030" t="s">
        <v>3</v>
      </c>
      <c r="H1030" t="s">
        <v>4</v>
      </c>
      <c r="I1030" t="s">
        <v>5</v>
      </c>
      <c r="J1030">
        <v>78.459999999999994</v>
      </c>
      <c r="K1030">
        <v>32.6</v>
      </c>
      <c r="L1030" t="s">
        <v>11</v>
      </c>
      <c r="M1030">
        <v>0</v>
      </c>
      <c r="N1030" t="str">
        <f t="shared" si="48"/>
        <v>40–59</v>
      </c>
      <c r="O1030" t="str">
        <f t="shared" si="49"/>
        <v>Obese</v>
      </c>
    </row>
    <row r="1031" spans="1:15" x14ac:dyDescent="0.3">
      <c r="A1031">
        <v>23031</v>
      </c>
      <c r="B1031" t="s">
        <v>2</v>
      </c>
      <c r="C1031">
        <v>82</v>
      </c>
      <c r="D1031">
        <v>0</v>
      </c>
      <c r="E1031">
        <v>0</v>
      </c>
      <c r="F1031" t="str">
        <f t="shared" si="50"/>
        <v>Moderate Risk</v>
      </c>
      <c r="G1031" t="s">
        <v>3</v>
      </c>
      <c r="H1031" t="s">
        <v>8</v>
      </c>
      <c r="I1031" t="s">
        <v>9</v>
      </c>
      <c r="J1031">
        <v>85.29</v>
      </c>
      <c r="K1031">
        <v>27</v>
      </c>
      <c r="L1031" t="s">
        <v>11</v>
      </c>
      <c r="M1031">
        <v>0</v>
      </c>
      <c r="N1031" t="str">
        <f t="shared" si="48"/>
        <v>60+</v>
      </c>
      <c r="O1031" t="str">
        <f t="shared" si="49"/>
        <v>Overweight</v>
      </c>
    </row>
    <row r="1032" spans="1:15" x14ac:dyDescent="0.3">
      <c r="A1032">
        <v>69330</v>
      </c>
      <c r="B1032" t="s">
        <v>2</v>
      </c>
      <c r="C1032">
        <v>56</v>
      </c>
      <c r="D1032">
        <v>0</v>
      </c>
      <c r="E1032">
        <v>0</v>
      </c>
      <c r="F1032" t="str">
        <f t="shared" si="50"/>
        <v>Lower Risk</v>
      </c>
      <c r="G1032" t="s">
        <v>3</v>
      </c>
      <c r="H1032" t="s">
        <v>4</v>
      </c>
      <c r="I1032" t="s">
        <v>9</v>
      </c>
      <c r="J1032">
        <v>156.18</v>
      </c>
      <c r="K1032">
        <v>25.3</v>
      </c>
      <c r="L1032" t="s">
        <v>12</v>
      </c>
      <c r="M1032">
        <v>0</v>
      </c>
      <c r="N1032" t="str">
        <f t="shared" si="48"/>
        <v>40–59</v>
      </c>
      <c r="O1032" t="str">
        <f t="shared" si="49"/>
        <v>Overweight</v>
      </c>
    </row>
    <row r="1033" spans="1:15" x14ac:dyDescent="0.3">
      <c r="A1033">
        <v>22902</v>
      </c>
      <c r="B1033" t="s">
        <v>2</v>
      </c>
      <c r="C1033">
        <v>41</v>
      </c>
      <c r="D1033">
        <v>1</v>
      </c>
      <c r="E1033">
        <v>0</v>
      </c>
      <c r="F1033" t="str">
        <f t="shared" si="50"/>
        <v>Lower Risk</v>
      </c>
      <c r="G1033" t="s">
        <v>3</v>
      </c>
      <c r="H1033" t="s">
        <v>4</v>
      </c>
      <c r="I1033" t="s">
        <v>5</v>
      </c>
      <c r="J1033">
        <v>69.52</v>
      </c>
      <c r="K1033">
        <v>31.9</v>
      </c>
      <c r="L1033" t="s">
        <v>11</v>
      </c>
      <c r="M1033">
        <v>0</v>
      </c>
      <c r="N1033" t="str">
        <f t="shared" si="48"/>
        <v>40–59</v>
      </c>
      <c r="O1033" t="str">
        <f t="shared" si="49"/>
        <v>Obese</v>
      </c>
    </row>
    <row r="1034" spans="1:15" x14ac:dyDescent="0.3">
      <c r="A1034">
        <v>69622</v>
      </c>
      <c r="B1034" t="s">
        <v>7</v>
      </c>
      <c r="C1034">
        <v>8</v>
      </c>
      <c r="D1034">
        <v>0</v>
      </c>
      <c r="E1034">
        <v>0</v>
      </c>
      <c r="F1034" t="str">
        <f t="shared" si="50"/>
        <v>Lower Risk</v>
      </c>
      <c r="G1034" t="s">
        <v>13</v>
      </c>
      <c r="H1034" t="s">
        <v>16</v>
      </c>
      <c r="I1034" t="s">
        <v>5</v>
      </c>
      <c r="J1034">
        <v>65.319999999999993</v>
      </c>
      <c r="K1034">
        <v>18.399999999999999</v>
      </c>
      <c r="L1034" t="s">
        <v>14</v>
      </c>
      <c r="M1034">
        <v>0</v>
      </c>
      <c r="N1034" t="str">
        <f t="shared" si="48"/>
        <v>Under 40</v>
      </c>
      <c r="O1034" t="str">
        <f t="shared" si="49"/>
        <v>Underweight</v>
      </c>
    </row>
    <row r="1035" spans="1:15" x14ac:dyDescent="0.3">
      <c r="A1035">
        <v>4807</v>
      </c>
      <c r="B1035" t="s">
        <v>2</v>
      </c>
      <c r="C1035">
        <v>34</v>
      </c>
      <c r="D1035">
        <v>0</v>
      </c>
      <c r="E1035">
        <v>0</v>
      </c>
      <c r="F1035" t="str">
        <f t="shared" si="50"/>
        <v>Lower Risk</v>
      </c>
      <c r="G1035" t="s">
        <v>13</v>
      </c>
      <c r="H1035" t="s">
        <v>4</v>
      </c>
      <c r="I1035" t="s">
        <v>5</v>
      </c>
      <c r="J1035">
        <v>108.47</v>
      </c>
      <c r="K1035">
        <v>30.4</v>
      </c>
      <c r="L1035" t="s">
        <v>12</v>
      </c>
      <c r="M1035">
        <v>0</v>
      </c>
      <c r="N1035" t="str">
        <f t="shared" si="48"/>
        <v>Under 40</v>
      </c>
      <c r="O1035" t="str">
        <f t="shared" si="49"/>
        <v>Obese</v>
      </c>
    </row>
    <row r="1036" spans="1:15" x14ac:dyDescent="0.3">
      <c r="A1036">
        <v>9641</v>
      </c>
      <c r="B1036" t="s">
        <v>2</v>
      </c>
      <c r="C1036">
        <v>75</v>
      </c>
      <c r="D1036">
        <v>0</v>
      </c>
      <c r="E1036">
        <v>0</v>
      </c>
      <c r="F1036" t="str">
        <f t="shared" si="50"/>
        <v>Moderate Risk</v>
      </c>
      <c r="G1036" t="s">
        <v>3</v>
      </c>
      <c r="H1036" t="s">
        <v>4</v>
      </c>
      <c r="I1036" t="s">
        <v>5</v>
      </c>
      <c r="J1036">
        <v>105.63</v>
      </c>
      <c r="K1036">
        <v>28.2</v>
      </c>
      <c r="L1036" t="s">
        <v>12</v>
      </c>
      <c r="M1036">
        <v>0</v>
      </c>
      <c r="N1036" t="str">
        <f t="shared" si="48"/>
        <v>60+</v>
      </c>
      <c r="O1036" t="str">
        <f t="shared" si="49"/>
        <v>Overweight</v>
      </c>
    </row>
    <row r="1037" spans="1:15" x14ac:dyDescent="0.3">
      <c r="A1037">
        <v>10313</v>
      </c>
      <c r="B1037" t="s">
        <v>2</v>
      </c>
      <c r="C1037">
        <v>57</v>
      </c>
      <c r="D1037">
        <v>0</v>
      </c>
      <c r="E1037">
        <v>0</v>
      </c>
      <c r="F1037" t="str">
        <f t="shared" si="50"/>
        <v>Lower Risk</v>
      </c>
      <c r="G1037" t="s">
        <v>3</v>
      </c>
      <c r="H1037" t="s">
        <v>4</v>
      </c>
      <c r="I1037" t="s">
        <v>5</v>
      </c>
      <c r="J1037">
        <v>77.930000000000007</v>
      </c>
      <c r="K1037">
        <v>35.700000000000003</v>
      </c>
      <c r="L1037" t="s">
        <v>6</v>
      </c>
      <c r="M1037">
        <v>0</v>
      </c>
      <c r="N1037" t="str">
        <f t="shared" si="48"/>
        <v>40–59</v>
      </c>
      <c r="O1037" t="str">
        <f t="shared" si="49"/>
        <v>Obese</v>
      </c>
    </row>
    <row r="1038" spans="1:15" x14ac:dyDescent="0.3">
      <c r="A1038">
        <v>12097</v>
      </c>
      <c r="B1038" t="s">
        <v>7</v>
      </c>
      <c r="C1038">
        <v>72</v>
      </c>
      <c r="D1038">
        <v>0</v>
      </c>
      <c r="E1038">
        <v>0</v>
      </c>
      <c r="F1038" t="str">
        <f t="shared" si="50"/>
        <v>Moderate Risk</v>
      </c>
      <c r="G1038" t="s">
        <v>3</v>
      </c>
      <c r="H1038" t="s">
        <v>4</v>
      </c>
      <c r="I1038" t="s">
        <v>5</v>
      </c>
      <c r="J1038">
        <v>95.2</v>
      </c>
      <c r="K1038">
        <v>35</v>
      </c>
      <c r="L1038" t="s">
        <v>11</v>
      </c>
      <c r="M1038">
        <v>0</v>
      </c>
      <c r="N1038" t="str">
        <f t="shared" si="48"/>
        <v>60+</v>
      </c>
      <c r="O1038" t="str">
        <f t="shared" si="49"/>
        <v>Obese</v>
      </c>
    </row>
    <row r="1039" spans="1:15" x14ac:dyDescent="0.3">
      <c r="A1039">
        <v>58037</v>
      </c>
      <c r="B1039" t="s">
        <v>2</v>
      </c>
      <c r="C1039">
        <v>21</v>
      </c>
      <c r="D1039">
        <v>0</v>
      </c>
      <c r="E1039">
        <v>0</v>
      </c>
      <c r="F1039" t="str">
        <f t="shared" si="50"/>
        <v>Lower Risk</v>
      </c>
      <c r="G1039" t="s">
        <v>13</v>
      </c>
      <c r="H1039" t="s">
        <v>4</v>
      </c>
      <c r="I1039" t="s">
        <v>9</v>
      </c>
      <c r="J1039">
        <v>78.52</v>
      </c>
      <c r="K1039">
        <v>27.2</v>
      </c>
      <c r="L1039" t="s">
        <v>11</v>
      </c>
      <c r="M1039">
        <v>0</v>
      </c>
      <c r="N1039" t="str">
        <f t="shared" si="48"/>
        <v>Under 40</v>
      </c>
      <c r="O1039" t="str">
        <f t="shared" si="49"/>
        <v>Overweight</v>
      </c>
    </row>
    <row r="1040" spans="1:15" x14ac:dyDescent="0.3">
      <c r="A1040">
        <v>45323</v>
      </c>
      <c r="B1040" t="s">
        <v>7</v>
      </c>
      <c r="C1040">
        <v>51</v>
      </c>
      <c r="D1040">
        <v>0</v>
      </c>
      <c r="E1040">
        <v>0</v>
      </c>
      <c r="F1040" t="str">
        <f t="shared" si="50"/>
        <v>Lower Risk</v>
      </c>
      <c r="G1040" t="s">
        <v>3</v>
      </c>
      <c r="H1040" t="s">
        <v>4</v>
      </c>
      <c r="I1040" t="s">
        <v>5</v>
      </c>
      <c r="J1040">
        <v>114.89</v>
      </c>
      <c r="K1040">
        <v>23</v>
      </c>
      <c r="L1040" t="s">
        <v>11</v>
      </c>
      <c r="M1040">
        <v>0</v>
      </c>
      <c r="N1040" t="str">
        <f t="shared" si="48"/>
        <v>40–59</v>
      </c>
      <c r="O1040" t="str">
        <f t="shared" si="49"/>
        <v>Normal</v>
      </c>
    </row>
    <row r="1041" spans="1:15" x14ac:dyDescent="0.3">
      <c r="A1041">
        <v>34281</v>
      </c>
      <c r="B1041" t="s">
        <v>7</v>
      </c>
      <c r="C1041">
        <v>15</v>
      </c>
      <c r="D1041">
        <v>0</v>
      </c>
      <c r="E1041">
        <v>0</v>
      </c>
      <c r="F1041" t="str">
        <f t="shared" si="50"/>
        <v>Lower Risk</v>
      </c>
      <c r="G1041" t="s">
        <v>13</v>
      </c>
      <c r="H1041" t="s">
        <v>4</v>
      </c>
      <c r="I1041" t="s">
        <v>9</v>
      </c>
      <c r="J1041">
        <v>95.43</v>
      </c>
      <c r="K1041">
        <v>25</v>
      </c>
      <c r="L1041" t="s">
        <v>14</v>
      </c>
      <c r="M1041">
        <v>0</v>
      </c>
      <c r="N1041" t="str">
        <f t="shared" si="48"/>
        <v>Under 40</v>
      </c>
      <c r="O1041" t="str">
        <f t="shared" si="49"/>
        <v>Overweight</v>
      </c>
    </row>
    <row r="1042" spans="1:15" x14ac:dyDescent="0.3">
      <c r="A1042">
        <v>7990</v>
      </c>
      <c r="B1042" t="s">
        <v>7</v>
      </c>
      <c r="C1042">
        <v>24</v>
      </c>
      <c r="D1042">
        <v>0</v>
      </c>
      <c r="E1042">
        <v>0</v>
      </c>
      <c r="F1042" t="str">
        <f t="shared" si="50"/>
        <v>Lower Risk</v>
      </c>
      <c r="G1042" t="s">
        <v>3</v>
      </c>
      <c r="H1042" t="s">
        <v>4</v>
      </c>
      <c r="I1042" t="s">
        <v>9</v>
      </c>
      <c r="J1042">
        <v>84.08</v>
      </c>
      <c r="K1042">
        <v>24.5</v>
      </c>
      <c r="L1042" t="s">
        <v>14</v>
      </c>
      <c r="M1042">
        <v>0</v>
      </c>
      <c r="N1042" t="str">
        <f t="shared" si="48"/>
        <v>Under 40</v>
      </c>
      <c r="O1042" t="str">
        <f t="shared" si="49"/>
        <v>Normal</v>
      </c>
    </row>
    <row r="1043" spans="1:15" x14ac:dyDescent="0.3">
      <c r="A1043">
        <v>57622</v>
      </c>
      <c r="B1043" t="s">
        <v>7</v>
      </c>
      <c r="C1043">
        <v>30</v>
      </c>
      <c r="D1043">
        <v>0</v>
      </c>
      <c r="E1043">
        <v>0</v>
      </c>
      <c r="F1043" t="str">
        <f t="shared" si="50"/>
        <v>Lower Risk</v>
      </c>
      <c r="G1043" t="s">
        <v>3</v>
      </c>
      <c r="H1043" t="s">
        <v>15</v>
      </c>
      <c r="I1043" t="s">
        <v>9</v>
      </c>
      <c r="J1043">
        <v>110.55</v>
      </c>
      <c r="K1043">
        <v>30.9</v>
      </c>
      <c r="L1043" t="s">
        <v>12</v>
      </c>
      <c r="M1043">
        <v>0</v>
      </c>
      <c r="N1043" t="str">
        <f t="shared" si="48"/>
        <v>Under 40</v>
      </c>
      <c r="O1043" t="str">
        <f t="shared" si="49"/>
        <v>Obese</v>
      </c>
    </row>
    <row r="1044" spans="1:15" x14ac:dyDescent="0.3">
      <c r="A1044">
        <v>39120</v>
      </c>
      <c r="B1044" t="s">
        <v>7</v>
      </c>
      <c r="C1044">
        <v>82</v>
      </c>
      <c r="D1044">
        <v>0</v>
      </c>
      <c r="E1044">
        <v>0</v>
      </c>
      <c r="F1044" t="str">
        <f t="shared" si="50"/>
        <v>Moderate Risk</v>
      </c>
      <c r="G1044" t="s">
        <v>13</v>
      </c>
      <c r="H1044" t="s">
        <v>8</v>
      </c>
      <c r="I1044" t="s">
        <v>5</v>
      </c>
      <c r="J1044">
        <v>82.21</v>
      </c>
      <c r="K1044">
        <v>26</v>
      </c>
      <c r="L1044" t="s">
        <v>11</v>
      </c>
      <c r="M1044">
        <v>0</v>
      </c>
      <c r="N1044" t="str">
        <f t="shared" si="48"/>
        <v>60+</v>
      </c>
      <c r="O1044" t="str">
        <f t="shared" si="49"/>
        <v>Overweight</v>
      </c>
    </row>
    <row r="1045" spans="1:15" x14ac:dyDescent="0.3">
      <c r="A1045">
        <v>68344</v>
      </c>
      <c r="B1045" t="s">
        <v>7</v>
      </c>
      <c r="C1045">
        <v>62</v>
      </c>
      <c r="D1045">
        <v>0</v>
      </c>
      <c r="E1045">
        <v>0</v>
      </c>
      <c r="F1045" t="str">
        <f t="shared" si="50"/>
        <v>Moderate Risk</v>
      </c>
      <c r="G1045" t="s">
        <v>3</v>
      </c>
      <c r="H1045" t="s">
        <v>4</v>
      </c>
      <c r="I1045" t="s">
        <v>5</v>
      </c>
      <c r="J1045">
        <v>82.38</v>
      </c>
      <c r="K1045">
        <v>27.2</v>
      </c>
      <c r="L1045" t="s">
        <v>6</v>
      </c>
      <c r="M1045">
        <v>0</v>
      </c>
      <c r="N1045" t="str">
        <f t="shared" si="48"/>
        <v>60+</v>
      </c>
      <c r="O1045" t="str">
        <f t="shared" si="49"/>
        <v>Overweight</v>
      </c>
    </row>
    <row r="1046" spans="1:15" x14ac:dyDescent="0.3">
      <c r="A1046">
        <v>66752</v>
      </c>
      <c r="B1046" t="s">
        <v>7</v>
      </c>
      <c r="C1046">
        <v>79</v>
      </c>
      <c r="D1046">
        <v>0</v>
      </c>
      <c r="E1046">
        <v>0</v>
      </c>
      <c r="F1046" t="str">
        <f t="shared" si="50"/>
        <v>Moderate Risk</v>
      </c>
      <c r="G1046" t="s">
        <v>3</v>
      </c>
      <c r="H1046" t="s">
        <v>15</v>
      </c>
      <c r="I1046" t="s">
        <v>5</v>
      </c>
      <c r="J1046">
        <v>93.89</v>
      </c>
      <c r="K1046">
        <v>30.4</v>
      </c>
      <c r="L1046" t="s">
        <v>11</v>
      </c>
      <c r="M1046">
        <v>0</v>
      </c>
      <c r="N1046" t="str">
        <f t="shared" si="48"/>
        <v>60+</v>
      </c>
      <c r="O1046" t="str">
        <f t="shared" si="49"/>
        <v>Obese</v>
      </c>
    </row>
    <row r="1047" spans="1:15" x14ac:dyDescent="0.3">
      <c r="A1047">
        <v>11691</v>
      </c>
      <c r="B1047" t="s">
        <v>7</v>
      </c>
      <c r="C1047">
        <v>19</v>
      </c>
      <c r="D1047">
        <v>0</v>
      </c>
      <c r="E1047">
        <v>0</v>
      </c>
      <c r="F1047" t="str">
        <f t="shared" si="50"/>
        <v>Lower Risk</v>
      </c>
      <c r="G1047" t="s">
        <v>13</v>
      </c>
      <c r="H1047" t="s">
        <v>4</v>
      </c>
      <c r="I1047" t="s">
        <v>9</v>
      </c>
      <c r="J1047">
        <v>75.08</v>
      </c>
      <c r="K1047">
        <v>21.7</v>
      </c>
      <c r="L1047" t="s">
        <v>14</v>
      </c>
      <c r="M1047">
        <v>0</v>
      </c>
      <c r="N1047" t="str">
        <f t="shared" si="48"/>
        <v>Under 40</v>
      </c>
      <c r="O1047" t="str">
        <f t="shared" si="49"/>
        <v>Normal</v>
      </c>
    </row>
    <row r="1048" spans="1:15" x14ac:dyDescent="0.3">
      <c r="A1048">
        <v>5077</v>
      </c>
      <c r="B1048" t="s">
        <v>2</v>
      </c>
      <c r="C1048">
        <v>45</v>
      </c>
      <c r="D1048">
        <v>0</v>
      </c>
      <c r="E1048">
        <v>0</v>
      </c>
      <c r="F1048" t="str">
        <f t="shared" si="50"/>
        <v>Lower Risk</v>
      </c>
      <c r="G1048" t="s">
        <v>3</v>
      </c>
      <c r="H1048" t="s">
        <v>4</v>
      </c>
      <c r="I1048" t="s">
        <v>5</v>
      </c>
      <c r="J1048">
        <v>76.72</v>
      </c>
      <c r="K1048">
        <v>29.1</v>
      </c>
      <c r="L1048" t="s">
        <v>14</v>
      </c>
      <c r="M1048">
        <v>0</v>
      </c>
      <c r="N1048" t="str">
        <f t="shared" si="48"/>
        <v>40–59</v>
      </c>
      <c r="O1048" t="str">
        <f t="shared" si="49"/>
        <v>Overweight</v>
      </c>
    </row>
    <row r="1049" spans="1:15" x14ac:dyDescent="0.3">
      <c r="A1049">
        <v>13319</v>
      </c>
      <c r="B1049" t="s">
        <v>7</v>
      </c>
      <c r="C1049">
        <v>5</v>
      </c>
      <c r="D1049">
        <v>0</v>
      </c>
      <c r="E1049">
        <v>0</v>
      </c>
      <c r="F1049" t="str">
        <f t="shared" si="50"/>
        <v>Lower Risk</v>
      </c>
      <c r="G1049" t="s">
        <v>13</v>
      </c>
      <c r="H1049" t="s">
        <v>16</v>
      </c>
      <c r="I1049" t="s">
        <v>9</v>
      </c>
      <c r="J1049">
        <v>84.93</v>
      </c>
      <c r="K1049">
        <v>17.600000000000001</v>
      </c>
      <c r="L1049" t="s">
        <v>14</v>
      </c>
      <c r="M1049">
        <v>0</v>
      </c>
      <c r="N1049" t="str">
        <f t="shared" si="48"/>
        <v>Under 40</v>
      </c>
      <c r="O1049" t="str">
        <f t="shared" si="49"/>
        <v>Underweight</v>
      </c>
    </row>
    <row r="1050" spans="1:15" x14ac:dyDescent="0.3">
      <c r="A1050">
        <v>49279</v>
      </c>
      <c r="B1050" t="s">
        <v>2</v>
      </c>
      <c r="C1050">
        <v>57</v>
      </c>
      <c r="D1050">
        <v>0</v>
      </c>
      <c r="E1050">
        <v>1</v>
      </c>
      <c r="F1050" t="str">
        <f t="shared" si="50"/>
        <v>Lower Risk</v>
      </c>
      <c r="G1050" t="s">
        <v>3</v>
      </c>
      <c r="H1050" t="s">
        <v>4</v>
      </c>
      <c r="I1050" t="s">
        <v>5</v>
      </c>
      <c r="J1050">
        <v>76.5</v>
      </c>
      <c r="K1050">
        <v>29.2</v>
      </c>
      <c r="L1050" t="s">
        <v>6</v>
      </c>
      <c r="M1050">
        <v>0</v>
      </c>
      <c r="N1050" t="str">
        <f t="shared" si="48"/>
        <v>40–59</v>
      </c>
      <c r="O1050" t="str">
        <f t="shared" si="49"/>
        <v>Overweight</v>
      </c>
    </row>
    <row r="1051" spans="1:15" x14ac:dyDescent="0.3">
      <c r="A1051">
        <v>53815</v>
      </c>
      <c r="B1051" t="s">
        <v>7</v>
      </c>
      <c r="C1051">
        <v>31</v>
      </c>
      <c r="D1051">
        <v>0</v>
      </c>
      <c r="E1051">
        <v>0</v>
      </c>
      <c r="F1051" t="str">
        <f t="shared" si="50"/>
        <v>Lower Risk</v>
      </c>
      <c r="G1051" t="s">
        <v>13</v>
      </c>
      <c r="H1051" t="s">
        <v>4</v>
      </c>
      <c r="I1051" t="s">
        <v>5</v>
      </c>
      <c r="J1051">
        <v>65.47</v>
      </c>
      <c r="K1051">
        <v>28.1</v>
      </c>
      <c r="L1051" t="s">
        <v>11</v>
      </c>
      <c r="M1051">
        <v>0</v>
      </c>
      <c r="N1051" t="str">
        <f t="shared" si="48"/>
        <v>Under 40</v>
      </c>
      <c r="O1051" t="str">
        <f t="shared" si="49"/>
        <v>Overweight</v>
      </c>
    </row>
    <row r="1052" spans="1:15" x14ac:dyDescent="0.3">
      <c r="A1052">
        <v>42856</v>
      </c>
      <c r="B1052" t="s">
        <v>2</v>
      </c>
      <c r="C1052">
        <v>61</v>
      </c>
      <c r="D1052">
        <v>0</v>
      </c>
      <c r="E1052">
        <v>0</v>
      </c>
      <c r="F1052" t="str">
        <f t="shared" si="50"/>
        <v>Moderate Risk</v>
      </c>
      <c r="G1052" t="s">
        <v>3</v>
      </c>
      <c r="H1052" t="s">
        <v>4</v>
      </c>
      <c r="I1052" t="s">
        <v>5</v>
      </c>
      <c r="J1052">
        <v>99.16</v>
      </c>
      <c r="K1052">
        <v>26.6</v>
      </c>
      <c r="L1052" t="s">
        <v>12</v>
      </c>
      <c r="M1052">
        <v>0</v>
      </c>
      <c r="N1052" t="str">
        <f t="shared" si="48"/>
        <v>60+</v>
      </c>
      <c r="O1052" t="str">
        <f t="shared" si="49"/>
        <v>Overweight</v>
      </c>
    </row>
    <row r="1053" spans="1:15" x14ac:dyDescent="0.3">
      <c r="A1053">
        <v>51579</v>
      </c>
      <c r="B1053" t="s">
        <v>2</v>
      </c>
      <c r="C1053">
        <v>27</v>
      </c>
      <c r="D1053">
        <v>0</v>
      </c>
      <c r="E1053">
        <v>0</v>
      </c>
      <c r="F1053" t="str">
        <f t="shared" si="50"/>
        <v>Lower Risk</v>
      </c>
      <c r="G1053" t="s">
        <v>13</v>
      </c>
      <c r="H1053" t="s">
        <v>8</v>
      </c>
      <c r="I1053" t="s">
        <v>9</v>
      </c>
      <c r="J1053">
        <v>63.53</v>
      </c>
      <c r="K1053">
        <v>26.9</v>
      </c>
      <c r="L1053" t="s">
        <v>11</v>
      </c>
      <c r="M1053">
        <v>0</v>
      </c>
      <c r="N1053" t="str">
        <f t="shared" si="48"/>
        <v>Under 40</v>
      </c>
      <c r="O1053" t="str">
        <f t="shared" si="49"/>
        <v>Overweight</v>
      </c>
    </row>
    <row r="1054" spans="1:15" x14ac:dyDescent="0.3">
      <c r="A1054">
        <v>10752</v>
      </c>
      <c r="B1054" t="s">
        <v>7</v>
      </c>
      <c r="C1054">
        <v>61</v>
      </c>
      <c r="D1054">
        <v>0</v>
      </c>
      <c r="E1054">
        <v>0</v>
      </c>
      <c r="F1054" t="str">
        <f t="shared" si="50"/>
        <v>Moderate Risk</v>
      </c>
      <c r="G1054" t="s">
        <v>3</v>
      </c>
      <c r="H1054" t="s">
        <v>4</v>
      </c>
      <c r="I1054" t="s">
        <v>9</v>
      </c>
      <c r="J1054">
        <v>78.650000000000006</v>
      </c>
      <c r="K1054">
        <v>36.200000000000003</v>
      </c>
      <c r="L1054" t="s">
        <v>6</v>
      </c>
      <c r="M1054">
        <v>0</v>
      </c>
      <c r="N1054" t="str">
        <f t="shared" si="48"/>
        <v>60+</v>
      </c>
      <c r="O1054" t="str">
        <f t="shared" si="49"/>
        <v>Obese</v>
      </c>
    </row>
    <row r="1055" spans="1:15" x14ac:dyDescent="0.3">
      <c r="A1055">
        <v>42133</v>
      </c>
      <c r="B1055" t="s">
        <v>7</v>
      </c>
      <c r="C1055">
        <v>53</v>
      </c>
      <c r="D1055">
        <v>0</v>
      </c>
      <c r="E1055">
        <v>0</v>
      </c>
      <c r="F1055" t="str">
        <f t="shared" si="50"/>
        <v>Lower Risk</v>
      </c>
      <c r="G1055" t="s">
        <v>3</v>
      </c>
      <c r="H1055" t="s">
        <v>8</v>
      </c>
      <c r="I1055" t="s">
        <v>5</v>
      </c>
      <c r="J1055">
        <v>63.78</v>
      </c>
      <c r="K1055">
        <v>25.9</v>
      </c>
      <c r="L1055" t="s">
        <v>11</v>
      </c>
      <c r="M1055">
        <v>0</v>
      </c>
      <c r="N1055" t="str">
        <f t="shared" si="48"/>
        <v>40–59</v>
      </c>
      <c r="O1055" t="str">
        <f t="shared" si="49"/>
        <v>Overweight</v>
      </c>
    </row>
    <row r="1056" spans="1:15" x14ac:dyDescent="0.3">
      <c r="A1056">
        <v>4842</v>
      </c>
      <c r="B1056" t="s">
        <v>7</v>
      </c>
      <c r="C1056">
        <v>76</v>
      </c>
      <c r="D1056">
        <v>0</v>
      </c>
      <c r="E1056">
        <v>0</v>
      </c>
      <c r="F1056" t="str">
        <f t="shared" si="50"/>
        <v>Moderate Risk</v>
      </c>
      <c r="G1056" t="s">
        <v>13</v>
      </c>
      <c r="H1056" t="s">
        <v>8</v>
      </c>
      <c r="I1056" t="s">
        <v>5</v>
      </c>
      <c r="J1056">
        <v>77.52</v>
      </c>
      <c r="K1056">
        <v>40.9</v>
      </c>
      <c r="L1056" t="s">
        <v>6</v>
      </c>
      <c r="M1056">
        <v>0</v>
      </c>
      <c r="N1056" t="str">
        <f t="shared" si="48"/>
        <v>60+</v>
      </c>
      <c r="O1056" t="str">
        <f t="shared" si="49"/>
        <v>Obese</v>
      </c>
    </row>
    <row r="1057" spans="1:15" x14ac:dyDescent="0.3">
      <c r="A1057">
        <v>58138</v>
      </c>
      <c r="B1057" t="s">
        <v>2</v>
      </c>
      <c r="C1057">
        <v>57</v>
      </c>
      <c r="D1057">
        <v>0</v>
      </c>
      <c r="E1057">
        <v>0</v>
      </c>
      <c r="F1057" t="str">
        <f t="shared" si="50"/>
        <v>Lower Risk</v>
      </c>
      <c r="G1057" t="s">
        <v>3</v>
      </c>
      <c r="H1057" t="s">
        <v>4</v>
      </c>
      <c r="I1057" t="s">
        <v>9</v>
      </c>
      <c r="J1057">
        <v>111.64</v>
      </c>
      <c r="K1057">
        <v>31.5</v>
      </c>
      <c r="L1057" t="s">
        <v>11</v>
      </c>
      <c r="M1057">
        <v>0</v>
      </c>
      <c r="N1057" t="str">
        <f t="shared" si="48"/>
        <v>40–59</v>
      </c>
      <c r="O1057" t="str">
        <f t="shared" si="49"/>
        <v>Obese</v>
      </c>
    </row>
    <row r="1058" spans="1:15" x14ac:dyDescent="0.3">
      <c r="A1058">
        <v>58203</v>
      </c>
      <c r="B1058" t="s">
        <v>2</v>
      </c>
      <c r="C1058">
        <v>9</v>
      </c>
      <c r="D1058">
        <v>0</v>
      </c>
      <c r="E1058">
        <v>0</v>
      </c>
      <c r="F1058" t="str">
        <f t="shared" si="50"/>
        <v>Lower Risk</v>
      </c>
      <c r="G1058" t="s">
        <v>13</v>
      </c>
      <c r="H1058" t="s">
        <v>16</v>
      </c>
      <c r="I1058" t="s">
        <v>5</v>
      </c>
      <c r="J1058">
        <v>97.84</v>
      </c>
      <c r="K1058">
        <v>23.3</v>
      </c>
      <c r="L1058" t="s">
        <v>14</v>
      </c>
      <c r="M1058">
        <v>0</v>
      </c>
      <c r="N1058" t="str">
        <f t="shared" si="48"/>
        <v>Under 40</v>
      </c>
      <c r="O1058" t="str">
        <f t="shared" si="49"/>
        <v>Normal</v>
      </c>
    </row>
    <row r="1059" spans="1:15" x14ac:dyDescent="0.3">
      <c r="A1059">
        <v>65053</v>
      </c>
      <c r="B1059" t="s">
        <v>7</v>
      </c>
      <c r="C1059">
        <v>34</v>
      </c>
      <c r="D1059">
        <v>0</v>
      </c>
      <c r="E1059">
        <v>0</v>
      </c>
      <c r="F1059" t="str">
        <f t="shared" si="50"/>
        <v>Lower Risk</v>
      </c>
      <c r="G1059" t="s">
        <v>3</v>
      </c>
      <c r="H1059" t="s">
        <v>4</v>
      </c>
      <c r="I1059" t="s">
        <v>5</v>
      </c>
      <c r="J1059">
        <v>113.01</v>
      </c>
      <c r="K1059">
        <v>37.6</v>
      </c>
      <c r="L1059" t="s">
        <v>11</v>
      </c>
      <c r="M1059">
        <v>0</v>
      </c>
      <c r="N1059" t="str">
        <f t="shared" si="48"/>
        <v>Under 40</v>
      </c>
      <c r="O1059" t="str">
        <f t="shared" si="49"/>
        <v>Obese</v>
      </c>
    </row>
    <row r="1060" spans="1:15" x14ac:dyDescent="0.3">
      <c r="A1060">
        <v>24168</v>
      </c>
      <c r="B1060" t="s">
        <v>2</v>
      </c>
      <c r="C1060">
        <v>51</v>
      </c>
      <c r="D1060">
        <v>1</v>
      </c>
      <c r="E1060">
        <v>0</v>
      </c>
      <c r="F1060" t="str">
        <f t="shared" si="50"/>
        <v>Lower Risk</v>
      </c>
      <c r="G1060" t="s">
        <v>3</v>
      </c>
      <c r="H1060" t="s">
        <v>4</v>
      </c>
      <c r="I1060" t="s">
        <v>5</v>
      </c>
      <c r="J1060">
        <v>56.48</v>
      </c>
      <c r="K1060">
        <v>39.799999999999997</v>
      </c>
      <c r="L1060" t="s">
        <v>11</v>
      </c>
      <c r="M1060">
        <v>0</v>
      </c>
      <c r="N1060" t="str">
        <f t="shared" si="48"/>
        <v>40–59</v>
      </c>
      <c r="O1060" t="str">
        <f t="shared" si="49"/>
        <v>Obese</v>
      </c>
    </row>
    <row r="1061" spans="1:15" x14ac:dyDescent="0.3">
      <c r="A1061">
        <v>5824</v>
      </c>
      <c r="B1061" t="s">
        <v>2</v>
      </c>
      <c r="C1061">
        <v>61</v>
      </c>
      <c r="D1061">
        <v>0</v>
      </c>
      <c r="E1061">
        <v>0</v>
      </c>
      <c r="F1061" t="str">
        <f t="shared" si="50"/>
        <v>Moderate Risk</v>
      </c>
      <c r="G1061" t="s">
        <v>3</v>
      </c>
      <c r="H1061" t="s">
        <v>4</v>
      </c>
      <c r="I1061" t="s">
        <v>9</v>
      </c>
      <c r="J1061">
        <v>204.5</v>
      </c>
      <c r="K1061">
        <v>35.1</v>
      </c>
      <c r="L1061" t="s">
        <v>6</v>
      </c>
      <c r="M1061">
        <v>0</v>
      </c>
      <c r="N1061" t="str">
        <f t="shared" si="48"/>
        <v>60+</v>
      </c>
      <c r="O1061" t="str">
        <f t="shared" si="49"/>
        <v>Obese</v>
      </c>
    </row>
    <row r="1062" spans="1:15" x14ac:dyDescent="0.3">
      <c r="A1062">
        <v>6965</v>
      </c>
      <c r="B1062" t="s">
        <v>7</v>
      </c>
      <c r="C1062">
        <v>19</v>
      </c>
      <c r="D1062">
        <v>0</v>
      </c>
      <c r="E1062">
        <v>0</v>
      </c>
      <c r="F1062" t="str">
        <f t="shared" si="50"/>
        <v>Lower Risk</v>
      </c>
      <c r="G1062" t="s">
        <v>13</v>
      </c>
      <c r="H1062" t="s">
        <v>4</v>
      </c>
      <c r="I1062" t="s">
        <v>9</v>
      </c>
      <c r="J1062">
        <v>96.02</v>
      </c>
      <c r="K1062">
        <v>21.9</v>
      </c>
      <c r="L1062" t="s">
        <v>11</v>
      </c>
      <c r="M1062">
        <v>0</v>
      </c>
      <c r="N1062" t="str">
        <f t="shared" si="48"/>
        <v>Under 40</v>
      </c>
      <c r="O1062" t="str">
        <f t="shared" si="49"/>
        <v>Normal</v>
      </c>
    </row>
    <row r="1063" spans="1:15" x14ac:dyDescent="0.3">
      <c r="A1063">
        <v>8332</v>
      </c>
      <c r="B1063" t="s">
        <v>7</v>
      </c>
      <c r="C1063">
        <v>50</v>
      </c>
      <c r="D1063">
        <v>0</v>
      </c>
      <c r="E1063">
        <v>0</v>
      </c>
      <c r="F1063" t="str">
        <f t="shared" si="50"/>
        <v>Lower Risk</v>
      </c>
      <c r="G1063" t="s">
        <v>3</v>
      </c>
      <c r="H1063" t="s">
        <v>4</v>
      </c>
      <c r="I1063" t="s">
        <v>9</v>
      </c>
      <c r="J1063">
        <v>206.25</v>
      </c>
      <c r="K1063">
        <v>53.4</v>
      </c>
      <c r="L1063" t="s">
        <v>6</v>
      </c>
      <c r="M1063">
        <v>0</v>
      </c>
      <c r="N1063" t="str">
        <f t="shared" si="48"/>
        <v>40–59</v>
      </c>
      <c r="O1063" t="str">
        <f t="shared" si="49"/>
        <v>Obese</v>
      </c>
    </row>
    <row r="1064" spans="1:15" x14ac:dyDescent="0.3">
      <c r="A1064">
        <v>61973</v>
      </c>
      <c r="B1064" t="s">
        <v>7</v>
      </c>
      <c r="C1064">
        <v>80</v>
      </c>
      <c r="D1064">
        <v>1</v>
      </c>
      <c r="E1064">
        <v>1</v>
      </c>
      <c r="F1064" t="str">
        <f t="shared" si="50"/>
        <v>High Risk</v>
      </c>
      <c r="G1064" t="s">
        <v>3</v>
      </c>
      <c r="H1064" t="s">
        <v>4</v>
      </c>
      <c r="I1064" t="s">
        <v>9</v>
      </c>
      <c r="J1064">
        <v>115.52</v>
      </c>
      <c r="K1064">
        <v>34.4</v>
      </c>
      <c r="L1064" t="s">
        <v>14</v>
      </c>
      <c r="M1064">
        <v>0</v>
      </c>
      <c r="N1064" t="str">
        <f t="shared" si="48"/>
        <v>60+</v>
      </c>
      <c r="O1064" t="str">
        <f t="shared" si="49"/>
        <v>Obese</v>
      </c>
    </row>
    <row r="1065" spans="1:15" x14ac:dyDescent="0.3">
      <c r="A1065">
        <v>42821</v>
      </c>
      <c r="B1065" t="s">
        <v>7</v>
      </c>
      <c r="C1065">
        <v>13</v>
      </c>
      <c r="D1065">
        <v>0</v>
      </c>
      <c r="E1065">
        <v>0</v>
      </c>
      <c r="F1065" t="str">
        <f t="shared" si="50"/>
        <v>Lower Risk</v>
      </c>
      <c r="G1065" t="s">
        <v>13</v>
      </c>
      <c r="H1065" t="s">
        <v>4</v>
      </c>
      <c r="I1065" t="s">
        <v>9</v>
      </c>
      <c r="J1065">
        <v>60.69</v>
      </c>
      <c r="K1065">
        <v>24</v>
      </c>
      <c r="L1065" t="s">
        <v>12</v>
      </c>
      <c r="M1065">
        <v>0</v>
      </c>
      <c r="N1065" t="str">
        <f t="shared" si="48"/>
        <v>Under 40</v>
      </c>
      <c r="O1065" t="str">
        <f t="shared" si="49"/>
        <v>Normal</v>
      </c>
    </row>
    <row r="1066" spans="1:15" x14ac:dyDescent="0.3">
      <c r="A1066">
        <v>18687</v>
      </c>
      <c r="B1066" t="s">
        <v>2</v>
      </c>
      <c r="C1066">
        <v>55</v>
      </c>
      <c r="D1066">
        <v>0</v>
      </c>
      <c r="E1066">
        <v>0</v>
      </c>
      <c r="F1066" t="str">
        <f t="shared" si="50"/>
        <v>Lower Risk</v>
      </c>
      <c r="G1066" t="s">
        <v>3</v>
      </c>
      <c r="H1066" t="s">
        <v>8</v>
      </c>
      <c r="I1066" t="s">
        <v>5</v>
      </c>
      <c r="J1066">
        <v>93.67</v>
      </c>
      <c r="K1066">
        <v>29.3</v>
      </c>
      <c r="L1066" t="s">
        <v>14</v>
      </c>
      <c r="M1066">
        <v>0</v>
      </c>
      <c r="N1066" t="str">
        <f t="shared" si="48"/>
        <v>40–59</v>
      </c>
      <c r="O1066" t="str">
        <f t="shared" si="49"/>
        <v>Overweight</v>
      </c>
    </row>
    <row r="1067" spans="1:15" x14ac:dyDescent="0.3">
      <c r="A1067">
        <v>72642</v>
      </c>
      <c r="B1067" t="s">
        <v>2</v>
      </c>
      <c r="C1067">
        <v>67</v>
      </c>
      <c r="D1067">
        <v>0</v>
      </c>
      <c r="E1067">
        <v>0</v>
      </c>
      <c r="F1067" t="str">
        <f t="shared" si="50"/>
        <v>Moderate Risk</v>
      </c>
      <c r="G1067" t="s">
        <v>3</v>
      </c>
      <c r="H1067" t="s">
        <v>15</v>
      </c>
      <c r="I1067" t="s">
        <v>5</v>
      </c>
      <c r="J1067">
        <v>67.790000000000006</v>
      </c>
      <c r="K1067">
        <v>26</v>
      </c>
      <c r="L1067" t="s">
        <v>6</v>
      </c>
      <c r="M1067">
        <v>0</v>
      </c>
      <c r="N1067" t="str">
        <f t="shared" si="48"/>
        <v>60+</v>
      </c>
      <c r="O1067" t="str">
        <f t="shared" si="49"/>
        <v>Overweight</v>
      </c>
    </row>
    <row r="1068" spans="1:15" x14ac:dyDescent="0.3">
      <c r="A1068">
        <v>54782</v>
      </c>
      <c r="B1068" t="s">
        <v>7</v>
      </c>
      <c r="C1068">
        <v>30</v>
      </c>
      <c r="D1068">
        <v>0</v>
      </c>
      <c r="E1068">
        <v>0</v>
      </c>
      <c r="F1068" t="str">
        <f t="shared" si="50"/>
        <v>Lower Risk</v>
      </c>
      <c r="G1068" t="s">
        <v>13</v>
      </c>
      <c r="H1068" t="s">
        <v>8</v>
      </c>
      <c r="I1068" t="s">
        <v>9</v>
      </c>
      <c r="J1068">
        <v>56.07</v>
      </c>
      <c r="K1068">
        <v>31.3</v>
      </c>
      <c r="L1068" t="s">
        <v>11</v>
      </c>
      <c r="M1068">
        <v>0</v>
      </c>
      <c r="N1068" t="str">
        <f t="shared" si="48"/>
        <v>Under 40</v>
      </c>
      <c r="O1068" t="str">
        <f t="shared" si="49"/>
        <v>Obese</v>
      </c>
    </row>
    <row r="1069" spans="1:15" x14ac:dyDescent="0.3">
      <c r="A1069">
        <v>55862</v>
      </c>
      <c r="B1069" t="s">
        <v>2</v>
      </c>
      <c r="C1069">
        <v>67</v>
      </c>
      <c r="D1069">
        <v>1</v>
      </c>
      <c r="E1069">
        <v>1</v>
      </c>
      <c r="F1069" t="str">
        <f t="shared" si="50"/>
        <v>High Risk</v>
      </c>
      <c r="G1069" t="s">
        <v>3</v>
      </c>
      <c r="H1069" t="s">
        <v>4</v>
      </c>
      <c r="I1069" t="s">
        <v>9</v>
      </c>
      <c r="J1069">
        <v>254.63</v>
      </c>
      <c r="K1069">
        <v>31</v>
      </c>
      <c r="L1069" t="s">
        <v>11</v>
      </c>
      <c r="M1069">
        <v>0</v>
      </c>
      <c r="N1069" t="str">
        <f t="shared" si="48"/>
        <v>60+</v>
      </c>
      <c r="O1069" t="str">
        <f t="shared" si="49"/>
        <v>Obese</v>
      </c>
    </row>
    <row r="1070" spans="1:15" x14ac:dyDescent="0.3">
      <c r="A1070">
        <v>24437</v>
      </c>
      <c r="B1070" t="s">
        <v>7</v>
      </c>
      <c r="C1070">
        <v>82</v>
      </c>
      <c r="D1070">
        <v>0</v>
      </c>
      <c r="E1070">
        <v>0</v>
      </c>
      <c r="F1070" t="str">
        <f t="shared" si="50"/>
        <v>Moderate Risk</v>
      </c>
      <c r="G1070" t="s">
        <v>3</v>
      </c>
      <c r="H1070" t="s">
        <v>4</v>
      </c>
      <c r="I1070" t="s">
        <v>9</v>
      </c>
      <c r="J1070">
        <v>96.63</v>
      </c>
      <c r="K1070">
        <v>26.5</v>
      </c>
      <c r="L1070" t="s">
        <v>14</v>
      </c>
      <c r="M1070">
        <v>0</v>
      </c>
      <c r="N1070" t="str">
        <f t="shared" si="48"/>
        <v>60+</v>
      </c>
      <c r="O1070" t="str">
        <f t="shared" si="49"/>
        <v>Overweight</v>
      </c>
    </row>
    <row r="1071" spans="1:15" x14ac:dyDescent="0.3">
      <c r="A1071">
        <v>10367</v>
      </c>
      <c r="B1071" t="s">
        <v>2</v>
      </c>
      <c r="C1071">
        <v>5</v>
      </c>
      <c r="D1071">
        <v>0</v>
      </c>
      <c r="E1071">
        <v>0</v>
      </c>
      <c r="F1071" t="str">
        <f t="shared" si="50"/>
        <v>Lower Risk</v>
      </c>
      <c r="G1071" t="s">
        <v>13</v>
      </c>
      <c r="H1071" t="s">
        <v>16</v>
      </c>
      <c r="I1071" t="s">
        <v>9</v>
      </c>
      <c r="J1071">
        <v>84.3</v>
      </c>
      <c r="K1071">
        <v>16</v>
      </c>
      <c r="L1071" t="s">
        <v>14</v>
      </c>
      <c r="M1071">
        <v>0</v>
      </c>
      <c r="N1071" t="str">
        <f t="shared" si="48"/>
        <v>Under 40</v>
      </c>
      <c r="O1071" t="str">
        <f t="shared" si="49"/>
        <v>Underweight</v>
      </c>
    </row>
    <row r="1072" spans="1:15" x14ac:dyDescent="0.3">
      <c r="A1072">
        <v>42550</v>
      </c>
      <c r="B1072" t="s">
        <v>7</v>
      </c>
      <c r="C1072">
        <v>81</v>
      </c>
      <c r="D1072">
        <v>0</v>
      </c>
      <c r="E1072">
        <v>0</v>
      </c>
      <c r="F1072" t="str">
        <f t="shared" si="50"/>
        <v>Moderate Risk</v>
      </c>
      <c r="G1072" t="s">
        <v>3</v>
      </c>
      <c r="H1072" t="s">
        <v>8</v>
      </c>
      <c r="I1072" t="s">
        <v>9</v>
      </c>
      <c r="J1072">
        <v>246.34</v>
      </c>
      <c r="K1072">
        <v>21.1</v>
      </c>
      <c r="L1072" t="s">
        <v>11</v>
      </c>
      <c r="M1072">
        <v>0</v>
      </c>
      <c r="N1072" t="str">
        <f t="shared" si="48"/>
        <v>60+</v>
      </c>
      <c r="O1072" t="str">
        <f t="shared" si="49"/>
        <v>Normal</v>
      </c>
    </row>
    <row r="1073" spans="1:15" x14ac:dyDescent="0.3">
      <c r="A1073">
        <v>14178</v>
      </c>
      <c r="B1073" t="s">
        <v>7</v>
      </c>
      <c r="C1073">
        <v>48</v>
      </c>
      <c r="D1073">
        <v>0</v>
      </c>
      <c r="E1073">
        <v>0</v>
      </c>
      <c r="F1073" t="str">
        <f t="shared" si="50"/>
        <v>Lower Risk</v>
      </c>
      <c r="G1073" t="s">
        <v>3</v>
      </c>
      <c r="H1073" t="s">
        <v>4</v>
      </c>
      <c r="I1073" t="s">
        <v>9</v>
      </c>
      <c r="J1073">
        <v>195.16</v>
      </c>
      <c r="K1073">
        <v>42.2</v>
      </c>
      <c r="L1073" t="s">
        <v>14</v>
      </c>
      <c r="M1073">
        <v>0</v>
      </c>
      <c r="N1073" t="str">
        <f t="shared" si="48"/>
        <v>40–59</v>
      </c>
      <c r="O1073" t="str">
        <f t="shared" si="49"/>
        <v>Obese</v>
      </c>
    </row>
    <row r="1074" spans="1:15" x14ac:dyDescent="0.3">
      <c r="A1074">
        <v>65429</v>
      </c>
      <c r="B1074" t="s">
        <v>7</v>
      </c>
      <c r="C1074">
        <v>66</v>
      </c>
      <c r="D1074">
        <v>0</v>
      </c>
      <c r="E1074">
        <v>0</v>
      </c>
      <c r="F1074" t="str">
        <f t="shared" si="50"/>
        <v>Moderate Risk</v>
      </c>
      <c r="G1074" t="s">
        <v>3</v>
      </c>
      <c r="H1074" t="s">
        <v>15</v>
      </c>
      <c r="I1074" t="s">
        <v>9</v>
      </c>
      <c r="J1074">
        <v>93.34</v>
      </c>
      <c r="K1074">
        <v>27.7</v>
      </c>
      <c r="L1074" t="s">
        <v>11</v>
      </c>
      <c r="M1074">
        <v>0</v>
      </c>
      <c r="N1074" t="str">
        <f t="shared" si="48"/>
        <v>60+</v>
      </c>
      <c r="O1074" t="str">
        <f t="shared" si="49"/>
        <v>Overweight</v>
      </c>
    </row>
    <row r="1075" spans="1:15" x14ac:dyDescent="0.3">
      <c r="A1075">
        <v>66530</v>
      </c>
      <c r="B1075" t="s">
        <v>7</v>
      </c>
      <c r="C1075">
        <v>38</v>
      </c>
      <c r="D1075">
        <v>0</v>
      </c>
      <c r="E1075">
        <v>0</v>
      </c>
      <c r="F1075" t="str">
        <f t="shared" si="50"/>
        <v>Lower Risk</v>
      </c>
      <c r="G1075" t="s">
        <v>3</v>
      </c>
      <c r="H1075" t="s">
        <v>4</v>
      </c>
      <c r="I1075" t="s">
        <v>5</v>
      </c>
      <c r="J1075">
        <v>162.30000000000001</v>
      </c>
      <c r="K1075">
        <v>23.6</v>
      </c>
      <c r="L1075" t="s">
        <v>11</v>
      </c>
      <c r="M1075">
        <v>0</v>
      </c>
      <c r="N1075" t="str">
        <f t="shared" si="48"/>
        <v>Under 40</v>
      </c>
      <c r="O1075" t="str">
        <f t="shared" si="49"/>
        <v>Normal</v>
      </c>
    </row>
    <row r="1076" spans="1:15" x14ac:dyDescent="0.3">
      <c r="A1076">
        <v>43146</v>
      </c>
      <c r="B1076" t="s">
        <v>2</v>
      </c>
      <c r="C1076">
        <v>8</v>
      </c>
      <c r="D1076">
        <v>0</v>
      </c>
      <c r="E1076">
        <v>0</v>
      </c>
      <c r="F1076" t="str">
        <f t="shared" si="50"/>
        <v>Lower Risk</v>
      </c>
      <c r="G1076" t="s">
        <v>13</v>
      </c>
      <c r="H1076" t="s">
        <v>16</v>
      </c>
      <c r="I1076" t="s">
        <v>5</v>
      </c>
      <c r="J1076">
        <v>106.4</v>
      </c>
      <c r="K1076">
        <v>18.3</v>
      </c>
      <c r="L1076" t="s">
        <v>14</v>
      </c>
      <c r="M1076">
        <v>0</v>
      </c>
      <c r="N1076" t="str">
        <f t="shared" si="48"/>
        <v>Under 40</v>
      </c>
      <c r="O1076" t="str">
        <f t="shared" si="49"/>
        <v>Underweight</v>
      </c>
    </row>
    <row r="1077" spans="1:15" x14ac:dyDescent="0.3">
      <c r="A1077">
        <v>3509</v>
      </c>
      <c r="B1077" t="s">
        <v>2</v>
      </c>
      <c r="C1077">
        <v>47</v>
      </c>
      <c r="D1077">
        <v>1</v>
      </c>
      <c r="E1077">
        <v>0</v>
      </c>
      <c r="F1077" t="str">
        <f t="shared" si="50"/>
        <v>Lower Risk</v>
      </c>
      <c r="G1077" t="s">
        <v>3</v>
      </c>
      <c r="H1077" t="s">
        <v>4</v>
      </c>
      <c r="I1077" t="s">
        <v>5</v>
      </c>
      <c r="J1077">
        <v>110.25</v>
      </c>
      <c r="K1077">
        <v>44.3</v>
      </c>
      <c r="L1077" t="s">
        <v>11</v>
      </c>
      <c r="M1077">
        <v>0</v>
      </c>
      <c r="N1077" t="str">
        <f t="shared" si="48"/>
        <v>40–59</v>
      </c>
      <c r="O1077" t="str">
        <f t="shared" si="49"/>
        <v>Obese</v>
      </c>
    </row>
    <row r="1078" spans="1:15" x14ac:dyDescent="0.3">
      <c r="A1078">
        <v>57497</v>
      </c>
      <c r="B1078" t="s">
        <v>2</v>
      </c>
      <c r="C1078">
        <v>27</v>
      </c>
      <c r="D1078">
        <v>0</v>
      </c>
      <c r="E1078">
        <v>0</v>
      </c>
      <c r="F1078" t="str">
        <f t="shared" si="50"/>
        <v>Lower Risk</v>
      </c>
      <c r="G1078" t="s">
        <v>13</v>
      </c>
      <c r="H1078" t="s">
        <v>4</v>
      </c>
      <c r="I1078" t="s">
        <v>9</v>
      </c>
      <c r="J1078">
        <v>69.7</v>
      </c>
      <c r="K1078">
        <v>27.3</v>
      </c>
      <c r="L1078" t="s">
        <v>11</v>
      </c>
      <c r="M1078">
        <v>0</v>
      </c>
      <c r="N1078" t="str">
        <f t="shared" si="48"/>
        <v>Under 40</v>
      </c>
      <c r="O1078" t="str">
        <f t="shared" si="49"/>
        <v>Overweight</v>
      </c>
    </row>
    <row r="1079" spans="1:15" x14ac:dyDescent="0.3">
      <c r="A1079">
        <v>15220</v>
      </c>
      <c r="B1079" t="s">
        <v>7</v>
      </c>
      <c r="C1079">
        <v>53</v>
      </c>
      <c r="D1079">
        <v>1</v>
      </c>
      <c r="E1079">
        <v>0</v>
      </c>
      <c r="F1079" t="str">
        <f t="shared" si="50"/>
        <v>Lower Risk</v>
      </c>
      <c r="G1079" t="s">
        <v>3</v>
      </c>
      <c r="H1079" t="s">
        <v>4</v>
      </c>
      <c r="I1079" t="s">
        <v>5</v>
      </c>
      <c r="J1079">
        <v>87.03</v>
      </c>
      <c r="K1079">
        <v>55.2</v>
      </c>
      <c r="L1079" t="s">
        <v>6</v>
      </c>
      <c r="M1079">
        <v>0</v>
      </c>
      <c r="N1079" t="str">
        <f t="shared" si="48"/>
        <v>40–59</v>
      </c>
      <c r="O1079" t="str">
        <f t="shared" si="49"/>
        <v>Obese</v>
      </c>
    </row>
    <row r="1080" spans="1:15" x14ac:dyDescent="0.3">
      <c r="A1080">
        <v>4813</v>
      </c>
      <c r="B1080" t="s">
        <v>2</v>
      </c>
      <c r="C1080">
        <v>27</v>
      </c>
      <c r="D1080">
        <v>0</v>
      </c>
      <c r="E1080">
        <v>0</v>
      </c>
      <c r="F1080" t="str">
        <f t="shared" si="50"/>
        <v>Lower Risk</v>
      </c>
      <c r="G1080" t="s">
        <v>13</v>
      </c>
      <c r="H1080" t="s">
        <v>4</v>
      </c>
      <c r="I1080" t="s">
        <v>5</v>
      </c>
      <c r="J1080">
        <v>112.98</v>
      </c>
      <c r="K1080">
        <v>44.7</v>
      </c>
      <c r="L1080" t="s">
        <v>11</v>
      </c>
      <c r="M1080">
        <v>0</v>
      </c>
      <c r="N1080" t="str">
        <f t="shared" si="48"/>
        <v>Under 40</v>
      </c>
      <c r="O1080" t="str">
        <f t="shared" si="49"/>
        <v>Obese</v>
      </c>
    </row>
    <row r="1081" spans="1:15" x14ac:dyDescent="0.3">
      <c r="A1081">
        <v>31166</v>
      </c>
      <c r="B1081" t="s">
        <v>7</v>
      </c>
      <c r="C1081">
        <v>36</v>
      </c>
      <c r="D1081">
        <v>0</v>
      </c>
      <c r="E1081">
        <v>0</v>
      </c>
      <c r="F1081" t="str">
        <f t="shared" si="50"/>
        <v>Lower Risk</v>
      </c>
      <c r="G1081" t="s">
        <v>3</v>
      </c>
      <c r="H1081" t="s">
        <v>15</v>
      </c>
      <c r="I1081" t="s">
        <v>9</v>
      </c>
      <c r="J1081">
        <v>82.47</v>
      </c>
      <c r="K1081">
        <v>33.1</v>
      </c>
      <c r="L1081" t="s">
        <v>12</v>
      </c>
      <c r="M1081">
        <v>0</v>
      </c>
      <c r="N1081" t="str">
        <f t="shared" si="48"/>
        <v>Under 40</v>
      </c>
      <c r="O1081" t="str">
        <f t="shared" si="49"/>
        <v>Obese</v>
      </c>
    </row>
    <row r="1082" spans="1:15" x14ac:dyDescent="0.3">
      <c r="A1082">
        <v>9051</v>
      </c>
      <c r="B1082" t="s">
        <v>7</v>
      </c>
      <c r="C1082">
        <v>50</v>
      </c>
      <c r="D1082">
        <v>0</v>
      </c>
      <c r="E1082">
        <v>0</v>
      </c>
      <c r="F1082" t="str">
        <f t="shared" si="50"/>
        <v>Lower Risk</v>
      </c>
      <c r="G1082" t="s">
        <v>3</v>
      </c>
      <c r="H1082" t="s">
        <v>4</v>
      </c>
      <c r="I1082" t="s">
        <v>5</v>
      </c>
      <c r="J1082">
        <v>75.88</v>
      </c>
      <c r="K1082">
        <v>30</v>
      </c>
      <c r="L1082" t="s">
        <v>11</v>
      </c>
      <c r="M1082">
        <v>0</v>
      </c>
      <c r="N1082" t="str">
        <f t="shared" si="48"/>
        <v>40–59</v>
      </c>
      <c r="O1082" t="str">
        <f t="shared" si="49"/>
        <v>Obese</v>
      </c>
    </row>
    <row r="1083" spans="1:15" x14ac:dyDescent="0.3">
      <c r="A1083">
        <v>28669</v>
      </c>
      <c r="B1083" t="s">
        <v>7</v>
      </c>
      <c r="C1083">
        <v>32</v>
      </c>
      <c r="D1083">
        <v>0</v>
      </c>
      <c r="E1083">
        <v>0</v>
      </c>
      <c r="F1083" t="str">
        <f t="shared" si="50"/>
        <v>Lower Risk</v>
      </c>
      <c r="G1083" t="s">
        <v>3</v>
      </c>
      <c r="H1083" t="s">
        <v>4</v>
      </c>
      <c r="I1083" t="s">
        <v>5</v>
      </c>
      <c r="J1083">
        <v>84.63</v>
      </c>
      <c r="K1083">
        <v>40.1</v>
      </c>
      <c r="L1083" t="s">
        <v>14</v>
      </c>
      <c r="M1083">
        <v>0</v>
      </c>
      <c r="N1083" t="str">
        <f t="shared" si="48"/>
        <v>Under 40</v>
      </c>
      <c r="O1083" t="str">
        <f t="shared" si="49"/>
        <v>Obese</v>
      </c>
    </row>
    <row r="1084" spans="1:15" x14ac:dyDescent="0.3">
      <c r="A1084">
        <v>59894</v>
      </c>
      <c r="B1084" t="s">
        <v>7</v>
      </c>
      <c r="C1084">
        <v>58</v>
      </c>
      <c r="D1084">
        <v>0</v>
      </c>
      <c r="E1084">
        <v>0</v>
      </c>
      <c r="F1084" t="str">
        <f t="shared" si="50"/>
        <v>Lower Risk</v>
      </c>
      <c r="G1084" t="s">
        <v>3</v>
      </c>
      <c r="H1084" t="s">
        <v>15</v>
      </c>
      <c r="I1084" t="s">
        <v>9</v>
      </c>
      <c r="J1084">
        <v>109.56</v>
      </c>
      <c r="K1084">
        <v>23.1</v>
      </c>
      <c r="L1084" t="s">
        <v>11</v>
      </c>
      <c r="M1084">
        <v>0</v>
      </c>
      <c r="N1084" t="str">
        <f t="shared" si="48"/>
        <v>40–59</v>
      </c>
      <c r="O1084" t="str">
        <f t="shared" si="49"/>
        <v>Normal</v>
      </c>
    </row>
    <row r="1085" spans="1:15" x14ac:dyDescent="0.3">
      <c r="A1085">
        <v>18684</v>
      </c>
      <c r="B1085" t="s">
        <v>7</v>
      </c>
      <c r="C1085">
        <v>73</v>
      </c>
      <c r="D1085">
        <v>0</v>
      </c>
      <c r="E1085">
        <v>0</v>
      </c>
      <c r="F1085" t="str">
        <f t="shared" si="50"/>
        <v>Moderate Risk</v>
      </c>
      <c r="G1085" t="s">
        <v>3</v>
      </c>
      <c r="H1085" t="s">
        <v>8</v>
      </c>
      <c r="I1085" t="s">
        <v>9</v>
      </c>
      <c r="J1085">
        <v>89.45</v>
      </c>
      <c r="K1085">
        <v>30.3</v>
      </c>
      <c r="L1085" t="s">
        <v>6</v>
      </c>
      <c r="M1085">
        <v>0</v>
      </c>
      <c r="N1085" t="str">
        <f t="shared" si="48"/>
        <v>60+</v>
      </c>
      <c r="O1085" t="str">
        <f t="shared" si="49"/>
        <v>Obese</v>
      </c>
    </row>
    <row r="1086" spans="1:15" x14ac:dyDescent="0.3">
      <c r="A1086">
        <v>35866</v>
      </c>
      <c r="B1086" t="s">
        <v>7</v>
      </c>
      <c r="C1086">
        <v>62</v>
      </c>
      <c r="D1086">
        <v>0</v>
      </c>
      <c r="E1086">
        <v>0</v>
      </c>
      <c r="F1086" t="str">
        <f t="shared" si="50"/>
        <v>Moderate Risk</v>
      </c>
      <c r="G1086" t="s">
        <v>3</v>
      </c>
      <c r="H1086" t="s">
        <v>4</v>
      </c>
      <c r="I1086" t="s">
        <v>9</v>
      </c>
      <c r="J1086">
        <v>91.65</v>
      </c>
      <c r="K1086">
        <v>30.5</v>
      </c>
      <c r="L1086" t="s">
        <v>11</v>
      </c>
      <c r="M1086">
        <v>0</v>
      </c>
      <c r="N1086" t="str">
        <f t="shared" si="48"/>
        <v>60+</v>
      </c>
      <c r="O1086" t="str">
        <f t="shared" si="49"/>
        <v>Obese</v>
      </c>
    </row>
    <row r="1087" spans="1:15" x14ac:dyDescent="0.3">
      <c r="A1087">
        <v>51907</v>
      </c>
      <c r="B1087" t="s">
        <v>7</v>
      </c>
      <c r="C1087">
        <v>50</v>
      </c>
      <c r="D1087">
        <v>0</v>
      </c>
      <c r="E1087">
        <v>0</v>
      </c>
      <c r="F1087" t="str">
        <f t="shared" si="50"/>
        <v>Lower Risk</v>
      </c>
      <c r="G1087" t="s">
        <v>3</v>
      </c>
      <c r="H1087" t="s">
        <v>8</v>
      </c>
      <c r="I1087" t="s">
        <v>5</v>
      </c>
      <c r="J1087">
        <v>121.14</v>
      </c>
      <c r="K1087">
        <v>22.8</v>
      </c>
      <c r="L1087" t="s">
        <v>11</v>
      </c>
      <c r="M1087">
        <v>0</v>
      </c>
      <c r="N1087" t="str">
        <f t="shared" si="48"/>
        <v>40–59</v>
      </c>
      <c r="O1087" t="str">
        <f t="shared" si="49"/>
        <v>Normal</v>
      </c>
    </row>
    <row r="1088" spans="1:15" x14ac:dyDescent="0.3">
      <c r="A1088">
        <v>7250</v>
      </c>
      <c r="B1088" t="s">
        <v>7</v>
      </c>
      <c r="C1088">
        <v>51</v>
      </c>
      <c r="D1088">
        <v>0</v>
      </c>
      <c r="E1088">
        <v>0</v>
      </c>
      <c r="F1088" t="str">
        <f t="shared" si="50"/>
        <v>Lower Risk</v>
      </c>
      <c r="G1088" t="s">
        <v>13</v>
      </c>
      <c r="H1088" t="s">
        <v>4</v>
      </c>
      <c r="I1088" t="s">
        <v>9</v>
      </c>
      <c r="J1088">
        <v>87.77</v>
      </c>
      <c r="K1088">
        <v>42</v>
      </c>
      <c r="L1088" t="s">
        <v>14</v>
      </c>
      <c r="M1088">
        <v>0</v>
      </c>
      <c r="N1088" t="str">
        <f t="shared" si="48"/>
        <v>40–59</v>
      </c>
      <c r="O1088" t="str">
        <f t="shared" si="49"/>
        <v>Obese</v>
      </c>
    </row>
    <row r="1089" spans="1:15" x14ac:dyDescent="0.3">
      <c r="A1089">
        <v>16147</v>
      </c>
      <c r="B1089" t="s">
        <v>7</v>
      </c>
      <c r="C1089">
        <v>19</v>
      </c>
      <c r="D1089">
        <v>0</v>
      </c>
      <c r="E1089">
        <v>0</v>
      </c>
      <c r="F1089" t="str">
        <f t="shared" si="50"/>
        <v>Lower Risk</v>
      </c>
      <c r="G1089" t="s">
        <v>13</v>
      </c>
      <c r="H1089" t="s">
        <v>4</v>
      </c>
      <c r="I1089" t="s">
        <v>9</v>
      </c>
      <c r="J1089">
        <v>106.56</v>
      </c>
      <c r="K1089">
        <v>29.9</v>
      </c>
      <c r="L1089" t="s">
        <v>11</v>
      </c>
      <c r="M1089">
        <v>0</v>
      </c>
      <c r="N1089" t="str">
        <f t="shared" si="48"/>
        <v>Under 40</v>
      </c>
      <c r="O1089" t="str">
        <f t="shared" si="49"/>
        <v>Overweight</v>
      </c>
    </row>
    <row r="1090" spans="1:15" x14ac:dyDescent="0.3">
      <c r="A1090">
        <v>18306</v>
      </c>
      <c r="B1090" t="s">
        <v>7</v>
      </c>
      <c r="C1090">
        <v>30</v>
      </c>
      <c r="D1090">
        <v>0</v>
      </c>
      <c r="E1090">
        <v>0</v>
      </c>
      <c r="F1090" t="str">
        <f t="shared" si="50"/>
        <v>Lower Risk</v>
      </c>
      <c r="G1090" t="s">
        <v>13</v>
      </c>
      <c r="H1090" t="s">
        <v>4</v>
      </c>
      <c r="I1090" t="s">
        <v>9</v>
      </c>
      <c r="J1090">
        <v>93.88</v>
      </c>
      <c r="K1090">
        <v>24</v>
      </c>
      <c r="L1090" t="s">
        <v>6</v>
      </c>
      <c r="M1090">
        <v>0</v>
      </c>
      <c r="N1090" t="str">
        <f t="shared" ref="N1090:N1153" si="51">IF(C1090&lt;40,"Under 40",IF(C1090&lt;60,"40–59","60+"))</f>
        <v>Under 40</v>
      </c>
      <c r="O1090" t="str">
        <f t="shared" ref="O1090:O1153" si="52">IF(K1090="N/A","Unknown",
IF(K1090="","Unknown",
IF(K1090&lt;18.5,"Underweight",
IF(K1090&lt;25,"Normal",
IF(K1090&lt;30,"Overweight","Obese")))))</f>
        <v>Normal</v>
      </c>
    </row>
    <row r="1091" spans="1:15" x14ac:dyDescent="0.3">
      <c r="A1091">
        <v>69143</v>
      </c>
      <c r="B1091" t="s">
        <v>7</v>
      </c>
      <c r="C1091">
        <v>45</v>
      </c>
      <c r="D1091">
        <v>0</v>
      </c>
      <c r="E1091">
        <v>0</v>
      </c>
      <c r="F1091" t="str">
        <f t="shared" ref="F1091:F1154" si="53">IF(C1091&gt;=60,
IF(OR(D1091=1,E1091=1),"High Risk","Moderate Risk"),
"Lower Risk")</f>
        <v>Lower Risk</v>
      </c>
      <c r="G1091" t="s">
        <v>13</v>
      </c>
      <c r="H1091" t="s">
        <v>4</v>
      </c>
      <c r="I1091" t="s">
        <v>9</v>
      </c>
      <c r="J1091">
        <v>153.76</v>
      </c>
      <c r="K1091">
        <v>36.700000000000003</v>
      </c>
      <c r="L1091" t="s">
        <v>14</v>
      </c>
      <c r="M1091">
        <v>0</v>
      </c>
      <c r="N1091" t="str">
        <f t="shared" si="51"/>
        <v>40–59</v>
      </c>
      <c r="O1091" t="str">
        <f t="shared" si="52"/>
        <v>Obese</v>
      </c>
    </row>
    <row r="1092" spans="1:15" x14ac:dyDescent="0.3">
      <c r="A1092">
        <v>61769</v>
      </c>
      <c r="B1092" t="s">
        <v>2</v>
      </c>
      <c r="C1092">
        <v>30</v>
      </c>
      <c r="D1092">
        <v>0</v>
      </c>
      <c r="E1092">
        <v>0</v>
      </c>
      <c r="F1092" t="str">
        <f t="shared" si="53"/>
        <v>Lower Risk</v>
      </c>
      <c r="G1092" t="s">
        <v>13</v>
      </c>
      <c r="H1092" t="s">
        <v>4</v>
      </c>
      <c r="I1092" t="s">
        <v>5</v>
      </c>
      <c r="J1092">
        <v>88.65</v>
      </c>
      <c r="K1092">
        <v>22.2</v>
      </c>
      <c r="L1092" t="s">
        <v>11</v>
      </c>
      <c r="M1092">
        <v>0</v>
      </c>
      <c r="N1092" t="str">
        <f t="shared" si="51"/>
        <v>Under 40</v>
      </c>
      <c r="O1092" t="str">
        <f t="shared" si="52"/>
        <v>Normal</v>
      </c>
    </row>
    <row r="1093" spans="1:15" x14ac:dyDescent="0.3">
      <c r="A1093">
        <v>26134</v>
      </c>
      <c r="B1093" t="s">
        <v>7</v>
      </c>
      <c r="C1093">
        <v>28</v>
      </c>
      <c r="D1093">
        <v>0</v>
      </c>
      <c r="E1093">
        <v>0</v>
      </c>
      <c r="F1093" t="str">
        <f t="shared" si="53"/>
        <v>Lower Risk</v>
      </c>
      <c r="G1093" t="s">
        <v>3</v>
      </c>
      <c r="H1093" t="s">
        <v>4</v>
      </c>
      <c r="I1093" t="s">
        <v>5</v>
      </c>
      <c r="J1093">
        <v>111.22</v>
      </c>
      <c r="K1093">
        <v>25.5</v>
      </c>
      <c r="L1093" t="s">
        <v>14</v>
      </c>
      <c r="M1093">
        <v>0</v>
      </c>
      <c r="N1093" t="str">
        <f t="shared" si="51"/>
        <v>Under 40</v>
      </c>
      <c r="O1093" t="str">
        <f t="shared" si="52"/>
        <v>Overweight</v>
      </c>
    </row>
    <row r="1094" spans="1:15" x14ac:dyDescent="0.3">
      <c r="A1094">
        <v>67603</v>
      </c>
      <c r="B1094" t="s">
        <v>2</v>
      </c>
      <c r="C1094">
        <v>70</v>
      </c>
      <c r="D1094">
        <v>0</v>
      </c>
      <c r="E1094">
        <v>0</v>
      </c>
      <c r="F1094" t="str">
        <f t="shared" si="53"/>
        <v>Moderate Risk</v>
      </c>
      <c r="G1094" t="s">
        <v>3</v>
      </c>
      <c r="H1094" t="s">
        <v>8</v>
      </c>
      <c r="I1094" t="s">
        <v>5</v>
      </c>
      <c r="J1094">
        <v>223.68</v>
      </c>
      <c r="K1094">
        <v>34.299999999999997</v>
      </c>
      <c r="L1094" t="s">
        <v>6</v>
      </c>
      <c r="M1094">
        <v>0</v>
      </c>
      <c r="N1094" t="str">
        <f t="shared" si="51"/>
        <v>60+</v>
      </c>
      <c r="O1094" t="str">
        <f t="shared" si="52"/>
        <v>Obese</v>
      </c>
    </row>
    <row r="1095" spans="1:15" x14ac:dyDescent="0.3">
      <c r="A1095">
        <v>66772</v>
      </c>
      <c r="B1095" t="s">
        <v>7</v>
      </c>
      <c r="C1095">
        <v>0.32</v>
      </c>
      <c r="D1095">
        <v>0</v>
      </c>
      <c r="E1095">
        <v>0</v>
      </c>
      <c r="F1095" t="str">
        <f t="shared" si="53"/>
        <v>Lower Risk</v>
      </c>
      <c r="G1095" t="s">
        <v>13</v>
      </c>
      <c r="H1095" t="s">
        <v>16</v>
      </c>
      <c r="I1095" t="s">
        <v>9</v>
      </c>
      <c r="J1095">
        <v>55.86</v>
      </c>
      <c r="K1095">
        <v>16</v>
      </c>
      <c r="L1095" t="s">
        <v>14</v>
      </c>
      <c r="M1095">
        <v>0</v>
      </c>
      <c r="N1095" t="str">
        <f t="shared" si="51"/>
        <v>Under 40</v>
      </c>
      <c r="O1095" t="str">
        <f t="shared" si="52"/>
        <v>Underweight</v>
      </c>
    </row>
    <row r="1096" spans="1:15" x14ac:dyDescent="0.3">
      <c r="A1096">
        <v>41861</v>
      </c>
      <c r="B1096" t="s">
        <v>7</v>
      </c>
      <c r="C1096">
        <v>23</v>
      </c>
      <c r="D1096">
        <v>0</v>
      </c>
      <c r="E1096">
        <v>0</v>
      </c>
      <c r="F1096" t="str">
        <f t="shared" si="53"/>
        <v>Lower Risk</v>
      </c>
      <c r="G1096" t="s">
        <v>13</v>
      </c>
      <c r="H1096" t="s">
        <v>4</v>
      </c>
      <c r="I1096" t="s">
        <v>9</v>
      </c>
      <c r="J1096">
        <v>63.73</v>
      </c>
      <c r="K1096">
        <v>25.6</v>
      </c>
      <c r="L1096" t="s">
        <v>12</v>
      </c>
      <c r="M1096">
        <v>0</v>
      </c>
      <c r="N1096" t="str">
        <f t="shared" si="51"/>
        <v>Under 40</v>
      </c>
      <c r="O1096" t="str">
        <f t="shared" si="52"/>
        <v>Overweight</v>
      </c>
    </row>
    <row r="1097" spans="1:15" x14ac:dyDescent="0.3">
      <c r="A1097">
        <v>954</v>
      </c>
      <c r="B1097" t="s">
        <v>2</v>
      </c>
      <c r="C1097">
        <v>18</v>
      </c>
      <c r="D1097">
        <v>0</v>
      </c>
      <c r="E1097">
        <v>0</v>
      </c>
      <c r="F1097" t="str">
        <f t="shared" si="53"/>
        <v>Lower Risk</v>
      </c>
      <c r="G1097" t="s">
        <v>13</v>
      </c>
      <c r="H1097" t="s">
        <v>4</v>
      </c>
      <c r="I1097" t="s">
        <v>9</v>
      </c>
      <c r="J1097">
        <v>103.94</v>
      </c>
      <c r="K1097">
        <v>23.3</v>
      </c>
      <c r="L1097" t="s">
        <v>11</v>
      </c>
      <c r="M1097">
        <v>0</v>
      </c>
      <c r="N1097" t="str">
        <f t="shared" si="51"/>
        <v>Under 40</v>
      </c>
      <c r="O1097" t="str">
        <f t="shared" si="52"/>
        <v>Normal</v>
      </c>
    </row>
    <row r="1098" spans="1:15" x14ac:dyDescent="0.3">
      <c r="A1098">
        <v>37888</v>
      </c>
      <c r="B1098" t="s">
        <v>2</v>
      </c>
      <c r="C1098">
        <v>41</v>
      </c>
      <c r="D1098">
        <v>0</v>
      </c>
      <c r="E1098">
        <v>0</v>
      </c>
      <c r="F1098" t="str">
        <f t="shared" si="53"/>
        <v>Lower Risk</v>
      </c>
      <c r="G1098" t="s">
        <v>3</v>
      </c>
      <c r="H1098" t="s">
        <v>4</v>
      </c>
      <c r="I1098" t="s">
        <v>9</v>
      </c>
      <c r="J1098">
        <v>92.49</v>
      </c>
      <c r="K1098">
        <v>41.6</v>
      </c>
      <c r="L1098" t="s">
        <v>14</v>
      </c>
      <c r="M1098">
        <v>0</v>
      </c>
      <c r="N1098" t="str">
        <f t="shared" si="51"/>
        <v>40–59</v>
      </c>
      <c r="O1098" t="str">
        <f t="shared" si="52"/>
        <v>Obese</v>
      </c>
    </row>
    <row r="1099" spans="1:15" x14ac:dyDescent="0.3">
      <c r="A1099">
        <v>34326</v>
      </c>
      <c r="B1099" t="s">
        <v>2</v>
      </c>
      <c r="C1099">
        <v>52</v>
      </c>
      <c r="D1099">
        <v>0</v>
      </c>
      <c r="E1099">
        <v>0</v>
      </c>
      <c r="F1099" t="str">
        <f t="shared" si="53"/>
        <v>Lower Risk</v>
      </c>
      <c r="G1099" t="s">
        <v>3</v>
      </c>
      <c r="H1099" t="s">
        <v>4</v>
      </c>
      <c r="I1099" t="s">
        <v>5</v>
      </c>
      <c r="J1099">
        <v>229.2</v>
      </c>
      <c r="K1099">
        <v>35.6</v>
      </c>
      <c r="L1099" t="s">
        <v>6</v>
      </c>
      <c r="M1099">
        <v>0</v>
      </c>
      <c r="N1099" t="str">
        <f t="shared" si="51"/>
        <v>40–59</v>
      </c>
      <c r="O1099" t="str">
        <f t="shared" si="52"/>
        <v>Obese</v>
      </c>
    </row>
    <row r="1100" spans="1:15" x14ac:dyDescent="0.3">
      <c r="A1100">
        <v>42329</v>
      </c>
      <c r="B1100" t="s">
        <v>7</v>
      </c>
      <c r="C1100">
        <v>77</v>
      </c>
      <c r="D1100">
        <v>0</v>
      </c>
      <c r="E1100">
        <v>0</v>
      </c>
      <c r="F1100" t="str">
        <f t="shared" si="53"/>
        <v>Moderate Risk</v>
      </c>
      <c r="G1100" t="s">
        <v>3</v>
      </c>
      <c r="H1100" t="s">
        <v>4</v>
      </c>
      <c r="I1100" t="s">
        <v>9</v>
      </c>
      <c r="J1100">
        <v>75.06</v>
      </c>
      <c r="K1100">
        <v>22</v>
      </c>
      <c r="L1100" t="s">
        <v>14</v>
      </c>
      <c r="M1100">
        <v>0</v>
      </c>
      <c r="N1100" t="str">
        <f t="shared" si="51"/>
        <v>60+</v>
      </c>
      <c r="O1100" t="str">
        <f t="shared" si="52"/>
        <v>Normal</v>
      </c>
    </row>
    <row r="1101" spans="1:15" x14ac:dyDescent="0.3">
      <c r="A1101">
        <v>23565</v>
      </c>
      <c r="B1101" t="s">
        <v>2</v>
      </c>
      <c r="C1101">
        <v>34</v>
      </c>
      <c r="D1101">
        <v>0</v>
      </c>
      <c r="E1101">
        <v>0</v>
      </c>
      <c r="F1101" t="str">
        <f t="shared" si="53"/>
        <v>Lower Risk</v>
      </c>
      <c r="G1101" t="s">
        <v>3</v>
      </c>
      <c r="H1101" t="s">
        <v>4</v>
      </c>
      <c r="I1101" t="s">
        <v>5</v>
      </c>
      <c r="J1101">
        <v>85.57</v>
      </c>
      <c r="K1101">
        <v>26.8</v>
      </c>
      <c r="L1101" t="s">
        <v>14</v>
      </c>
      <c r="M1101">
        <v>0</v>
      </c>
      <c r="N1101" t="str">
        <f t="shared" si="51"/>
        <v>Under 40</v>
      </c>
      <c r="O1101" t="str">
        <f t="shared" si="52"/>
        <v>Overweight</v>
      </c>
    </row>
    <row r="1102" spans="1:15" x14ac:dyDescent="0.3">
      <c r="A1102">
        <v>27323</v>
      </c>
      <c r="B1102" t="s">
        <v>7</v>
      </c>
      <c r="C1102">
        <v>67</v>
      </c>
      <c r="D1102">
        <v>0</v>
      </c>
      <c r="E1102">
        <v>0</v>
      </c>
      <c r="F1102" t="str">
        <f t="shared" si="53"/>
        <v>Moderate Risk</v>
      </c>
      <c r="G1102" t="s">
        <v>3</v>
      </c>
      <c r="H1102" t="s">
        <v>8</v>
      </c>
      <c r="I1102" t="s">
        <v>5</v>
      </c>
      <c r="J1102">
        <v>68.61</v>
      </c>
      <c r="K1102">
        <v>31.9</v>
      </c>
      <c r="L1102" t="s">
        <v>11</v>
      </c>
      <c r="M1102">
        <v>0</v>
      </c>
      <c r="N1102" t="str">
        <f t="shared" si="51"/>
        <v>60+</v>
      </c>
      <c r="O1102" t="str">
        <f t="shared" si="52"/>
        <v>Obese</v>
      </c>
    </row>
    <row r="1103" spans="1:15" x14ac:dyDescent="0.3">
      <c r="A1103">
        <v>57854</v>
      </c>
      <c r="B1103" t="s">
        <v>2</v>
      </c>
      <c r="C1103">
        <v>1.64</v>
      </c>
      <c r="D1103">
        <v>0</v>
      </c>
      <c r="E1103">
        <v>0</v>
      </c>
      <c r="F1103" t="str">
        <f t="shared" si="53"/>
        <v>Lower Risk</v>
      </c>
      <c r="G1103" t="s">
        <v>13</v>
      </c>
      <c r="H1103" t="s">
        <v>16</v>
      </c>
      <c r="I1103" t="s">
        <v>5</v>
      </c>
      <c r="J1103">
        <v>56.3</v>
      </c>
      <c r="K1103">
        <v>19.7</v>
      </c>
      <c r="L1103" t="s">
        <v>14</v>
      </c>
      <c r="M1103">
        <v>0</v>
      </c>
      <c r="N1103" t="str">
        <f t="shared" si="51"/>
        <v>Under 40</v>
      </c>
      <c r="O1103" t="str">
        <f t="shared" si="52"/>
        <v>Normal</v>
      </c>
    </row>
    <row r="1104" spans="1:15" x14ac:dyDescent="0.3">
      <c r="A1104">
        <v>18414</v>
      </c>
      <c r="B1104" t="s">
        <v>7</v>
      </c>
      <c r="C1104">
        <v>23</v>
      </c>
      <c r="D1104">
        <v>0</v>
      </c>
      <c r="E1104">
        <v>0</v>
      </c>
      <c r="F1104" t="str">
        <f t="shared" si="53"/>
        <v>Lower Risk</v>
      </c>
      <c r="G1104" t="s">
        <v>13</v>
      </c>
      <c r="H1104" t="s">
        <v>4</v>
      </c>
      <c r="I1104" t="s">
        <v>9</v>
      </c>
      <c r="J1104">
        <v>193.22</v>
      </c>
      <c r="K1104" t="s">
        <v>10</v>
      </c>
      <c r="L1104" t="s">
        <v>12</v>
      </c>
      <c r="M1104">
        <v>0</v>
      </c>
      <c r="N1104" t="str">
        <f t="shared" si="51"/>
        <v>Under 40</v>
      </c>
      <c r="O1104" t="str">
        <f t="shared" si="52"/>
        <v>Unknown</v>
      </c>
    </row>
    <row r="1105" spans="1:15" x14ac:dyDescent="0.3">
      <c r="A1105">
        <v>72836</v>
      </c>
      <c r="B1105" t="s">
        <v>7</v>
      </c>
      <c r="C1105">
        <v>59</v>
      </c>
      <c r="D1105">
        <v>0</v>
      </c>
      <c r="E1105">
        <v>0</v>
      </c>
      <c r="F1105" t="str">
        <f t="shared" si="53"/>
        <v>Lower Risk</v>
      </c>
      <c r="G1105" t="s">
        <v>3</v>
      </c>
      <c r="H1105" t="s">
        <v>4</v>
      </c>
      <c r="I1105" t="s">
        <v>5</v>
      </c>
      <c r="J1105">
        <v>65.98</v>
      </c>
      <c r="K1105">
        <v>31.1</v>
      </c>
      <c r="L1105" t="s">
        <v>14</v>
      </c>
      <c r="M1105">
        <v>0</v>
      </c>
      <c r="N1105" t="str">
        <f t="shared" si="51"/>
        <v>40–59</v>
      </c>
      <c r="O1105" t="str">
        <f t="shared" si="52"/>
        <v>Obese</v>
      </c>
    </row>
    <row r="1106" spans="1:15" x14ac:dyDescent="0.3">
      <c r="A1106">
        <v>17708</v>
      </c>
      <c r="B1106" t="s">
        <v>2</v>
      </c>
      <c r="C1106">
        <v>62</v>
      </c>
      <c r="D1106">
        <v>0</v>
      </c>
      <c r="E1106">
        <v>0</v>
      </c>
      <c r="F1106" t="str">
        <f t="shared" si="53"/>
        <v>Moderate Risk</v>
      </c>
      <c r="G1106" t="s">
        <v>3</v>
      </c>
      <c r="H1106" t="s">
        <v>15</v>
      </c>
      <c r="I1106" t="s">
        <v>9</v>
      </c>
      <c r="J1106">
        <v>204.57</v>
      </c>
      <c r="K1106">
        <v>34.4</v>
      </c>
      <c r="L1106" t="s">
        <v>14</v>
      </c>
      <c r="M1106">
        <v>0</v>
      </c>
      <c r="N1106" t="str">
        <f t="shared" si="51"/>
        <v>60+</v>
      </c>
      <c r="O1106" t="str">
        <f t="shared" si="52"/>
        <v>Obese</v>
      </c>
    </row>
    <row r="1107" spans="1:15" x14ac:dyDescent="0.3">
      <c r="A1107">
        <v>66321</v>
      </c>
      <c r="B1107" t="s">
        <v>2</v>
      </c>
      <c r="C1107">
        <v>47</v>
      </c>
      <c r="D1107">
        <v>0</v>
      </c>
      <c r="E1107">
        <v>0</v>
      </c>
      <c r="F1107" t="str">
        <f t="shared" si="53"/>
        <v>Lower Risk</v>
      </c>
      <c r="G1107" t="s">
        <v>3</v>
      </c>
      <c r="H1107" t="s">
        <v>15</v>
      </c>
      <c r="I1107" t="s">
        <v>5</v>
      </c>
      <c r="J1107">
        <v>64.989999999999995</v>
      </c>
      <c r="K1107">
        <v>33.200000000000003</v>
      </c>
      <c r="L1107" t="s">
        <v>11</v>
      </c>
      <c r="M1107">
        <v>0</v>
      </c>
      <c r="N1107" t="str">
        <f t="shared" si="51"/>
        <v>40–59</v>
      </c>
      <c r="O1107" t="str">
        <f t="shared" si="52"/>
        <v>Obese</v>
      </c>
    </row>
    <row r="1108" spans="1:15" x14ac:dyDescent="0.3">
      <c r="A1108">
        <v>53817</v>
      </c>
      <c r="B1108" t="s">
        <v>7</v>
      </c>
      <c r="C1108">
        <v>71</v>
      </c>
      <c r="D1108">
        <v>1</v>
      </c>
      <c r="E1108">
        <v>0</v>
      </c>
      <c r="F1108" t="str">
        <f t="shared" si="53"/>
        <v>High Risk</v>
      </c>
      <c r="G1108" t="s">
        <v>3</v>
      </c>
      <c r="H1108" t="s">
        <v>8</v>
      </c>
      <c r="I1108" t="s">
        <v>9</v>
      </c>
      <c r="J1108">
        <v>66.12</v>
      </c>
      <c r="K1108" t="s">
        <v>10</v>
      </c>
      <c r="L1108" t="s">
        <v>11</v>
      </c>
      <c r="M1108">
        <v>0</v>
      </c>
      <c r="N1108" t="str">
        <f t="shared" si="51"/>
        <v>60+</v>
      </c>
      <c r="O1108" t="str">
        <f t="shared" si="52"/>
        <v>Unknown</v>
      </c>
    </row>
    <row r="1109" spans="1:15" x14ac:dyDescent="0.3">
      <c r="A1109">
        <v>66678</v>
      </c>
      <c r="B1109" t="s">
        <v>7</v>
      </c>
      <c r="C1109">
        <v>22</v>
      </c>
      <c r="D1109">
        <v>0</v>
      </c>
      <c r="E1109">
        <v>0</v>
      </c>
      <c r="F1109" t="str">
        <f t="shared" si="53"/>
        <v>Lower Risk</v>
      </c>
      <c r="G1109" t="s">
        <v>13</v>
      </c>
      <c r="H1109" t="s">
        <v>4</v>
      </c>
      <c r="I1109" t="s">
        <v>5</v>
      </c>
      <c r="J1109">
        <v>73.400000000000006</v>
      </c>
      <c r="K1109">
        <v>21.6</v>
      </c>
      <c r="L1109" t="s">
        <v>11</v>
      </c>
      <c r="M1109">
        <v>0</v>
      </c>
      <c r="N1109" t="str">
        <f t="shared" si="51"/>
        <v>Under 40</v>
      </c>
      <c r="O1109" t="str">
        <f t="shared" si="52"/>
        <v>Normal</v>
      </c>
    </row>
    <row r="1110" spans="1:15" x14ac:dyDescent="0.3">
      <c r="A1110">
        <v>56734</v>
      </c>
      <c r="B1110" t="s">
        <v>2</v>
      </c>
      <c r="C1110">
        <v>33</v>
      </c>
      <c r="D1110">
        <v>0</v>
      </c>
      <c r="E1110">
        <v>0</v>
      </c>
      <c r="F1110" t="str">
        <f t="shared" si="53"/>
        <v>Lower Risk</v>
      </c>
      <c r="G1110" t="s">
        <v>3</v>
      </c>
      <c r="H1110" t="s">
        <v>15</v>
      </c>
      <c r="I1110" t="s">
        <v>5</v>
      </c>
      <c r="J1110">
        <v>82.83</v>
      </c>
      <c r="K1110">
        <v>25.4</v>
      </c>
      <c r="L1110" t="s">
        <v>14</v>
      </c>
      <c r="M1110">
        <v>0</v>
      </c>
      <c r="N1110" t="str">
        <f t="shared" si="51"/>
        <v>Under 40</v>
      </c>
      <c r="O1110" t="str">
        <f t="shared" si="52"/>
        <v>Overweight</v>
      </c>
    </row>
    <row r="1111" spans="1:15" x14ac:dyDescent="0.3">
      <c r="A1111">
        <v>32240</v>
      </c>
      <c r="B1111" t="s">
        <v>7</v>
      </c>
      <c r="C1111">
        <v>27</v>
      </c>
      <c r="D1111">
        <v>0</v>
      </c>
      <c r="E1111">
        <v>0</v>
      </c>
      <c r="F1111" t="str">
        <f t="shared" si="53"/>
        <v>Lower Risk</v>
      </c>
      <c r="G1111" t="s">
        <v>13</v>
      </c>
      <c r="H1111" t="s">
        <v>4</v>
      </c>
      <c r="I1111" t="s">
        <v>5</v>
      </c>
      <c r="J1111">
        <v>93.55</v>
      </c>
      <c r="K1111">
        <v>41.6</v>
      </c>
      <c r="L1111" t="s">
        <v>11</v>
      </c>
      <c r="M1111">
        <v>0</v>
      </c>
      <c r="N1111" t="str">
        <f t="shared" si="51"/>
        <v>Under 40</v>
      </c>
      <c r="O1111" t="str">
        <f t="shared" si="52"/>
        <v>Obese</v>
      </c>
    </row>
    <row r="1112" spans="1:15" x14ac:dyDescent="0.3">
      <c r="A1112">
        <v>28127</v>
      </c>
      <c r="B1112" t="s">
        <v>7</v>
      </c>
      <c r="C1112">
        <v>44</v>
      </c>
      <c r="D1112">
        <v>0</v>
      </c>
      <c r="E1112">
        <v>0</v>
      </c>
      <c r="F1112" t="str">
        <f t="shared" si="53"/>
        <v>Lower Risk</v>
      </c>
      <c r="G1112" t="s">
        <v>3</v>
      </c>
      <c r="H1112" t="s">
        <v>4</v>
      </c>
      <c r="I1112" t="s">
        <v>9</v>
      </c>
      <c r="J1112">
        <v>90.4</v>
      </c>
      <c r="K1112">
        <v>33.1</v>
      </c>
      <c r="L1112" t="s">
        <v>6</v>
      </c>
      <c r="M1112">
        <v>0</v>
      </c>
      <c r="N1112" t="str">
        <f t="shared" si="51"/>
        <v>40–59</v>
      </c>
      <c r="O1112" t="str">
        <f t="shared" si="52"/>
        <v>Obese</v>
      </c>
    </row>
    <row r="1113" spans="1:15" x14ac:dyDescent="0.3">
      <c r="A1113">
        <v>20347</v>
      </c>
      <c r="B1113" t="s">
        <v>7</v>
      </c>
      <c r="C1113">
        <v>18</v>
      </c>
      <c r="D1113">
        <v>0</v>
      </c>
      <c r="E1113">
        <v>0</v>
      </c>
      <c r="F1113" t="str">
        <f t="shared" si="53"/>
        <v>Lower Risk</v>
      </c>
      <c r="G1113" t="s">
        <v>13</v>
      </c>
      <c r="H1113" t="s">
        <v>4</v>
      </c>
      <c r="I1113" t="s">
        <v>9</v>
      </c>
      <c r="J1113">
        <v>98.1</v>
      </c>
      <c r="K1113">
        <v>21.8</v>
      </c>
      <c r="L1113" t="s">
        <v>11</v>
      </c>
      <c r="M1113">
        <v>0</v>
      </c>
      <c r="N1113" t="str">
        <f t="shared" si="51"/>
        <v>Under 40</v>
      </c>
      <c r="O1113" t="str">
        <f t="shared" si="52"/>
        <v>Normal</v>
      </c>
    </row>
    <row r="1114" spans="1:15" x14ac:dyDescent="0.3">
      <c r="A1114">
        <v>40824</v>
      </c>
      <c r="B1114" t="s">
        <v>2</v>
      </c>
      <c r="C1114">
        <v>47</v>
      </c>
      <c r="D1114">
        <v>0</v>
      </c>
      <c r="E1114">
        <v>0</v>
      </c>
      <c r="F1114" t="str">
        <f t="shared" si="53"/>
        <v>Lower Risk</v>
      </c>
      <c r="G1114" t="s">
        <v>3</v>
      </c>
      <c r="H1114" t="s">
        <v>4</v>
      </c>
      <c r="I1114" t="s">
        <v>9</v>
      </c>
      <c r="J1114">
        <v>142.02000000000001</v>
      </c>
      <c r="K1114">
        <v>30</v>
      </c>
      <c r="L1114" t="s">
        <v>14</v>
      </c>
      <c r="M1114">
        <v>0</v>
      </c>
      <c r="N1114" t="str">
        <f t="shared" si="51"/>
        <v>40–59</v>
      </c>
      <c r="O1114" t="str">
        <f t="shared" si="52"/>
        <v>Obese</v>
      </c>
    </row>
    <row r="1115" spans="1:15" x14ac:dyDescent="0.3">
      <c r="A1115">
        <v>38678</v>
      </c>
      <c r="B1115" t="s">
        <v>7</v>
      </c>
      <c r="C1115">
        <v>66</v>
      </c>
      <c r="D1115">
        <v>0</v>
      </c>
      <c r="E1115">
        <v>0</v>
      </c>
      <c r="F1115" t="str">
        <f t="shared" si="53"/>
        <v>Moderate Risk</v>
      </c>
      <c r="G1115" t="s">
        <v>3</v>
      </c>
      <c r="H1115" t="s">
        <v>8</v>
      </c>
      <c r="I1115" t="s">
        <v>9</v>
      </c>
      <c r="J1115">
        <v>251.46</v>
      </c>
      <c r="K1115">
        <v>35.200000000000003</v>
      </c>
      <c r="L1115" t="s">
        <v>12</v>
      </c>
      <c r="M1115">
        <v>0</v>
      </c>
      <c r="N1115" t="str">
        <f t="shared" si="51"/>
        <v>60+</v>
      </c>
      <c r="O1115" t="str">
        <f t="shared" si="52"/>
        <v>Obese</v>
      </c>
    </row>
    <row r="1116" spans="1:15" x14ac:dyDescent="0.3">
      <c r="A1116">
        <v>29380</v>
      </c>
      <c r="B1116" t="s">
        <v>7</v>
      </c>
      <c r="C1116">
        <v>42</v>
      </c>
      <c r="D1116">
        <v>1</v>
      </c>
      <c r="E1116">
        <v>0</v>
      </c>
      <c r="F1116" t="str">
        <f t="shared" si="53"/>
        <v>Lower Risk</v>
      </c>
      <c r="G1116" t="s">
        <v>3</v>
      </c>
      <c r="H1116" t="s">
        <v>4</v>
      </c>
      <c r="I1116" t="s">
        <v>9</v>
      </c>
      <c r="J1116">
        <v>89.96</v>
      </c>
      <c r="K1116">
        <v>35.6</v>
      </c>
      <c r="L1116" t="s">
        <v>11</v>
      </c>
      <c r="M1116">
        <v>0</v>
      </c>
      <c r="N1116" t="str">
        <f t="shared" si="51"/>
        <v>40–59</v>
      </c>
      <c r="O1116" t="str">
        <f t="shared" si="52"/>
        <v>Obese</v>
      </c>
    </row>
    <row r="1117" spans="1:15" x14ac:dyDescent="0.3">
      <c r="A1117">
        <v>809</v>
      </c>
      <c r="B1117" t="s">
        <v>2</v>
      </c>
      <c r="C1117">
        <v>13</v>
      </c>
      <c r="D1117">
        <v>0</v>
      </c>
      <c r="E1117">
        <v>0</v>
      </c>
      <c r="F1117" t="str">
        <f t="shared" si="53"/>
        <v>Lower Risk</v>
      </c>
      <c r="G1117" t="s">
        <v>13</v>
      </c>
      <c r="H1117" t="s">
        <v>16</v>
      </c>
      <c r="I1117" t="s">
        <v>5</v>
      </c>
      <c r="J1117">
        <v>71.73</v>
      </c>
      <c r="K1117" t="s">
        <v>10</v>
      </c>
      <c r="L1117" t="s">
        <v>14</v>
      </c>
      <c r="M1117">
        <v>0</v>
      </c>
      <c r="N1117" t="str">
        <f t="shared" si="51"/>
        <v>Under 40</v>
      </c>
      <c r="O1117" t="str">
        <f t="shared" si="52"/>
        <v>Unknown</v>
      </c>
    </row>
    <row r="1118" spans="1:15" x14ac:dyDescent="0.3">
      <c r="A1118">
        <v>65453</v>
      </c>
      <c r="B1118" t="s">
        <v>7</v>
      </c>
      <c r="C1118">
        <v>56</v>
      </c>
      <c r="D1118">
        <v>1</v>
      </c>
      <c r="E1118">
        <v>0</v>
      </c>
      <c r="F1118" t="str">
        <f t="shared" si="53"/>
        <v>Lower Risk</v>
      </c>
      <c r="G1118" t="s">
        <v>3</v>
      </c>
      <c r="H1118" t="s">
        <v>15</v>
      </c>
      <c r="I1118" t="s">
        <v>5</v>
      </c>
      <c r="J1118">
        <v>82.44</v>
      </c>
      <c r="K1118">
        <v>27.8</v>
      </c>
      <c r="L1118" t="s">
        <v>12</v>
      </c>
      <c r="M1118">
        <v>0</v>
      </c>
      <c r="N1118" t="str">
        <f t="shared" si="51"/>
        <v>40–59</v>
      </c>
      <c r="O1118" t="str">
        <f t="shared" si="52"/>
        <v>Overweight</v>
      </c>
    </row>
    <row r="1119" spans="1:15" x14ac:dyDescent="0.3">
      <c r="A1119">
        <v>9415</v>
      </c>
      <c r="B1119" t="s">
        <v>7</v>
      </c>
      <c r="C1119">
        <v>69</v>
      </c>
      <c r="D1119">
        <v>0</v>
      </c>
      <c r="E1119">
        <v>0</v>
      </c>
      <c r="F1119" t="str">
        <f t="shared" si="53"/>
        <v>Moderate Risk</v>
      </c>
      <c r="G1119" t="s">
        <v>3</v>
      </c>
      <c r="H1119" t="s">
        <v>8</v>
      </c>
      <c r="I1119" t="s">
        <v>5</v>
      </c>
      <c r="J1119">
        <v>80.849999999999994</v>
      </c>
      <c r="K1119">
        <v>29.3</v>
      </c>
      <c r="L1119" t="s">
        <v>6</v>
      </c>
      <c r="M1119">
        <v>0</v>
      </c>
      <c r="N1119" t="str">
        <f t="shared" si="51"/>
        <v>60+</v>
      </c>
      <c r="O1119" t="str">
        <f t="shared" si="52"/>
        <v>Overweight</v>
      </c>
    </row>
    <row r="1120" spans="1:15" x14ac:dyDescent="0.3">
      <c r="A1120">
        <v>30989</v>
      </c>
      <c r="B1120" t="s">
        <v>7</v>
      </c>
      <c r="C1120">
        <v>65</v>
      </c>
      <c r="D1120">
        <v>0</v>
      </c>
      <c r="E1120">
        <v>0</v>
      </c>
      <c r="F1120" t="str">
        <f t="shared" si="53"/>
        <v>Moderate Risk</v>
      </c>
      <c r="G1120" t="s">
        <v>3</v>
      </c>
      <c r="H1120" t="s">
        <v>8</v>
      </c>
      <c r="I1120" t="s">
        <v>9</v>
      </c>
      <c r="J1120">
        <v>220.52</v>
      </c>
      <c r="K1120">
        <v>37.200000000000003</v>
      </c>
      <c r="L1120" t="s">
        <v>12</v>
      </c>
      <c r="M1120">
        <v>0</v>
      </c>
      <c r="N1120" t="str">
        <f t="shared" si="51"/>
        <v>60+</v>
      </c>
      <c r="O1120" t="str">
        <f t="shared" si="52"/>
        <v>Obese</v>
      </c>
    </row>
    <row r="1121" spans="1:15" x14ac:dyDescent="0.3">
      <c r="A1121">
        <v>65258</v>
      </c>
      <c r="B1121" t="s">
        <v>2</v>
      </c>
      <c r="C1121">
        <v>53</v>
      </c>
      <c r="D1121">
        <v>0</v>
      </c>
      <c r="E1121">
        <v>0</v>
      </c>
      <c r="F1121" t="str">
        <f t="shared" si="53"/>
        <v>Lower Risk</v>
      </c>
      <c r="G1121" t="s">
        <v>3</v>
      </c>
      <c r="H1121" t="s">
        <v>4</v>
      </c>
      <c r="I1121" t="s">
        <v>5</v>
      </c>
      <c r="J1121">
        <v>86.73</v>
      </c>
      <c r="K1121">
        <v>26.1</v>
      </c>
      <c r="L1121" t="s">
        <v>14</v>
      </c>
      <c r="M1121">
        <v>0</v>
      </c>
      <c r="N1121" t="str">
        <f t="shared" si="51"/>
        <v>40–59</v>
      </c>
      <c r="O1121" t="str">
        <f t="shared" si="52"/>
        <v>Overweight</v>
      </c>
    </row>
    <row r="1122" spans="1:15" x14ac:dyDescent="0.3">
      <c r="A1122">
        <v>67052</v>
      </c>
      <c r="B1122" t="s">
        <v>7</v>
      </c>
      <c r="C1122">
        <v>36</v>
      </c>
      <c r="D1122">
        <v>0</v>
      </c>
      <c r="E1122">
        <v>0</v>
      </c>
      <c r="F1122" t="str">
        <f t="shared" si="53"/>
        <v>Lower Risk</v>
      </c>
      <c r="G1122" t="s">
        <v>3</v>
      </c>
      <c r="H1122" t="s">
        <v>4</v>
      </c>
      <c r="I1122" t="s">
        <v>5</v>
      </c>
      <c r="J1122">
        <v>76.930000000000007</v>
      </c>
      <c r="K1122">
        <v>21.6</v>
      </c>
      <c r="L1122" t="s">
        <v>11</v>
      </c>
      <c r="M1122">
        <v>0</v>
      </c>
      <c r="N1122" t="str">
        <f t="shared" si="51"/>
        <v>Under 40</v>
      </c>
      <c r="O1122" t="str">
        <f t="shared" si="52"/>
        <v>Normal</v>
      </c>
    </row>
    <row r="1123" spans="1:15" x14ac:dyDescent="0.3">
      <c r="A1123">
        <v>62756</v>
      </c>
      <c r="B1123" t="s">
        <v>7</v>
      </c>
      <c r="C1123">
        <v>69</v>
      </c>
      <c r="D1123">
        <v>0</v>
      </c>
      <c r="E1123">
        <v>0</v>
      </c>
      <c r="F1123" t="str">
        <f t="shared" si="53"/>
        <v>Moderate Risk</v>
      </c>
      <c r="G1123" t="s">
        <v>3</v>
      </c>
      <c r="H1123" t="s">
        <v>8</v>
      </c>
      <c r="I1123" t="s">
        <v>5</v>
      </c>
      <c r="J1123">
        <v>113.1</v>
      </c>
      <c r="K1123">
        <v>22.7</v>
      </c>
      <c r="L1123" t="s">
        <v>11</v>
      </c>
      <c r="M1123">
        <v>0</v>
      </c>
      <c r="N1123" t="str">
        <f t="shared" si="51"/>
        <v>60+</v>
      </c>
      <c r="O1123" t="str">
        <f t="shared" si="52"/>
        <v>Normal</v>
      </c>
    </row>
    <row r="1124" spans="1:15" x14ac:dyDescent="0.3">
      <c r="A1124">
        <v>69224</v>
      </c>
      <c r="B1124" t="s">
        <v>2</v>
      </c>
      <c r="C1124">
        <v>19</v>
      </c>
      <c r="D1124">
        <v>0</v>
      </c>
      <c r="E1124">
        <v>0</v>
      </c>
      <c r="F1124" t="str">
        <f t="shared" si="53"/>
        <v>Lower Risk</v>
      </c>
      <c r="G1124" t="s">
        <v>13</v>
      </c>
      <c r="H1124" t="s">
        <v>4</v>
      </c>
      <c r="I1124" t="s">
        <v>9</v>
      </c>
      <c r="J1124">
        <v>96.84</v>
      </c>
      <c r="K1124">
        <v>30.2</v>
      </c>
      <c r="L1124" t="s">
        <v>6</v>
      </c>
      <c r="M1124">
        <v>0</v>
      </c>
      <c r="N1124" t="str">
        <f t="shared" si="51"/>
        <v>Under 40</v>
      </c>
      <c r="O1124" t="str">
        <f t="shared" si="52"/>
        <v>Obese</v>
      </c>
    </row>
    <row r="1125" spans="1:15" x14ac:dyDescent="0.3">
      <c r="A1125">
        <v>13323</v>
      </c>
      <c r="B1125" t="s">
        <v>2</v>
      </c>
      <c r="C1125">
        <v>3</v>
      </c>
      <c r="D1125">
        <v>0</v>
      </c>
      <c r="E1125">
        <v>0</v>
      </c>
      <c r="F1125" t="str">
        <f t="shared" si="53"/>
        <v>Lower Risk</v>
      </c>
      <c r="G1125" t="s">
        <v>13</v>
      </c>
      <c r="H1125" t="s">
        <v>16</v>
      </c>
      <c r="I1125" t="s">
        <v>5</v>
      </c>
      <c r="J1125">
        <v>100.91</v>
      </c>
      <c r="K1125">
        <v>18</v>
      </c>
      <c r="L1125" t="s">
        <v>14</v>
      </c>
      <c r="M1125">
        <v>0</v>
      </c>
      <c r="N1125" t="str">
        <f t="shared" si="51"/>
        <v>Under 40</v>
      </c>
      <c r="O1125" t="str">
        <f t="shared" si="52"/>
        <v>Underweight</v>
      </c>
    </row>
    <row r="1126" spans="1:15" x14ac:dyDescent="0.3">
      <c r="A1126">
        <v>59940</v>
      </c>
      <c r="B1126" t="s">
        <v>2</v>
      </c>
      <c r="C1126">
        <v>15</v>
      </c>
      <c r="D1126">
        <v>0</v>
      </c>
      <c r="E1126">
        <v>0</v>
      </c>
      <c r="F1126" t="str">
        <f t="shared" si="53"/>
        <v>Lower Risk</v>
      </c>
      <c r="G1126" t="s">
        <v>13</v>
      </c>
      <c r="H1126" t="s">
        <v>16</v>
      </c>
      <c r="I1126" t="s">
        <v>5</v>
      </c>
      <c r="J1126">
        <v>116.5</v>
      </c>
      <c r="K1126">
        <v>27.8</v>
      </c>
      <c r="L1126" t="s">
        <v>14</v>
      </c>
      <c r="M1126">
        <v>0</v>
      </c>
      <c r="N1126" t="str">
        <f t="shared" si="51"/>
        <v>Under 40</v>
      </c>
      <c r="O1126" t="str">
        <f t="shared" si="52"/>
        <v>Overweight</v>
      </c>
    </row>
    <row r="1127" spans="1:15" x14ac:dyDescent="0.3">
      <c r="A1127">
        <v>49042</v>
      </c>
      <c r="B1127" t="s">
        <v>7</v>
      </c>
      <c r="C1127">
        <v>59</v>
      </c>
      <c r="D1127">
        <v>1</v>
      </c>
      <c r="E1127">
        <v>0</v>
      </c>
      <c r="F1127" t="str">
        <f t="shared" si="53"/>
        <v>Lower Risk</v>
      </c>
      <c r="G1127" t="s">
        <v>13</v>
      </c>
      <c r="H1127" t="s">
        <v>4</v>
      </c>
      <c r="I1127" t="s">
        <v>9</v>
      </c>
      <c r="J1127">
        <v>57.26</v>
      </c>
      <c r="K1127">
        <v>23.5</v>
      </c>
      <c r="L1127" t="s">
        <v>11</v>
      </c>
      <c r="M1127">
        <v>0</v>
      </c>
      <c r="N1127" t="str">
        <f t="shared" si="51"/>
        <v>40–59</v>
      </c>
      <c r="O1127" t="str">
        <f t="shared" si="52"/>
        <v>Normal</v>
      </c>
    </row>
    <row r="1128" spans="1:15" x14ac:dyDescent="0.3">
      <c r="A1128">
        <v>66362</v>
      </c>
      <c r="B1128" t="s">
        <v>7</v>
      </c>
      <c r="C1128">
        <v>61</v>
      </c>
      <c r="D1128">
        <v>0</v>
      </c>
      <c r="E1128">
        <v>0</v>
      </c>
      <c r="F1128" t="str">
        <f t="shared" si="53"/>
        <v>Moderate Risk</v>
      </c>
      <c r="G1128" t="s">
        <v>3</v>
      </c>
      <c r="H1128" t="s">
        <v>4</v>
      </c>
      <c r="I1128" t="s">
        <v>5</v>
      </c>
      <c r="J1128">
        <v>129.31</v>
      </c>
      <c r="K1128">
        <v>41.2</v>
      </c>
      <c r="L1128" t="s">
        <v>14</v>
      </c>
      <c r="M1128">
        <v>0</v>
      </c>
      <c r="N1128" t="str">
        <f t="shared" si="51"/>
        <v>60+</v>
      </c>
      <c r="O1128" t="str">
        <f t="shared" si="52"/>
        <v>Obese</v>
      </c>
    </row>
    <row r="1129" spans="1:15" x14ac:dyDescent="0.3">
      <c r="A1129">
        <v>46093</v>
      </c>
      <c r="B1129" t="s">
        <v>7</v>
      </c>
      <c r="C1129">
        <v>28</v>
      </c>
      <c r="D1129">
        <v>0</v>
      </c>
      <c r="E1129">
        <v>0</v>
      </c>
      <c r="F1129" t="str">
        <f t="shared" si="53"/>
        <v>Lower Risk</v>
      </c>
      <c r="G1129" t="s">
        <v>3</v>
      </c>
      <c r="H1129" t="s">
        <v>4</v>
      </c>
      <c r="I1129" t="s">
        <v>9</v>
      </c>
      <c r="J1129">
        <v>56.47</v>
      </c>
      <c r="K1129">
        <v>22.7</v>
      </c>
      <c r="L1129" t="s">
        <v>11</v>
      </c>
      <c r="M1129">
        <v>0</v>
      </c>
      <c r="N1129" t="str">
        <f t="shared" si="51"/>
        <v>Under 40</v>
      </c>
      <c r="O1129" t="str">
        <f t="shared" si="52"/>
        <v>Normal</v>
      </c>
    </row>
    <row r="1130" spans="1:15" x14ac:dyDescent="0.3">
      <c r="A1130">
        <v>10370</v>
      </c>
      <c r="B1130" t="s">
        <v>2</v>
      </c>
      <c r="C1130">
        <v>52</v>
      </c>
      <c r="D1130">
        <v>0</v>
      </c>
      <c r="E1130">
        <v>0</v>
      </c>
      <c r="F1130" t="str">
        <f t="shared" si="53"/>
        <v>Lower Risk</v>
      </c>
      <c r="G1130" t="s">
        <v>3</v>
      </c>
      <c r="H1130" t="s">
        <v>15</v>
      </c>
      <c r="I1130" t="s">
        <v>5</v>
      </c>
      <c r="J1130">
        <v>86.06</v>
      </c>
      <c r="K1130">
        <v>29.2</v>
      </c>
      <c r="L1130" t="s">
        <v>6</v>
      </c>
      <c r="M1130">
        <v>0</v>
      </c>
      <c r="N1130" t="str">
        <f t="shared" si="51"/>
        <v>40–59</v>
      </c>
      <c r="O1130" t="str">
        <f t="shared" si="52"/>
        <v>Overweight</v>
      </c>
    </row>
    <row r="1131" spans="1:15" x14ac:dyDescent="0.3">
      <c r="A1131">
        <v>156</v>
      </c>
      <c r="B1131" t="s">
        <v>7</v>
      </c>
      <c r="C1131">
        <v>33</v>
      </c>
      <c r="D1131">
        <v>0</v>
      </c>
      <c r="E1131">
        <v>0</v>
      </c>
      <c r="F1131" t="str">
        <f t="shared" si="53"/>
        <v>Lower Risk</v>
      </c>
      <c r="G1131" t="s">
        <v>3</v>
      </c>
      <c r="H1131" t="s">
        <v>4</v>
      </c>
      <c r="I1131" t="s">
        <v>9</v>
      </c>
      <c r="J1131">
        <v>86.97</v>
      </c>
      <c r="K1131">
        <v>42.2</v>
      </c>
      <c r="L1131" t="s">
        <v>11</v>
      </c>
      <c r="M1131">
        <v>0</v>
      </c>
      <c r="N1131" t="str">
        <f t="shared" si="51"/>
        <v>Under 40</v>
      </c>
      <c r="O1131" t="str">
        <f t="shared" si="52"/>
        <v>Obese</v>
      </c>
    </row>
    <row r="1132" spans="1:15" x14ac:dyDescent="0.3">
      <c r="A1132">
        <v>11105</v>
      </c>
      <c r="B1132" t="s">
        <v>2</v>
      </c>
      <c r="C1132">
        <v>80</v>
      </c>
      <c r="D1132">
        <v>0</v>
      </c>
      <c r="E1132">
        <v>0</v>
      </c>
      <c r="F1132" t="str">
        <f t="shared" si="53"/>
        <v>Moderate Risk</v>
      </c>
      <c r="G1132" t="s">
        <v>3</v>
      </c>
      <c r="H1132" t="s">
        <v>4</v>
      </c>
      <c r="I1132" t="s">
        <v>5</v>
      </c>
      <c r="J1132">
        <v>78.78</v>
      </c>
      <c r="K1132">
        <v>24</v>
      </c>
      <c r="L1132" t="s">
        <v>6</v>
      </c>
      <c r="M1132">
        <v>0</v>
      </c>
      <c r="N1132" t="str">
        <f t="shared" si="51"/>
        <v>60+</v>
      </c>
      <c r="O1132" t="str">
        <f t="shared" si="52"/>
        <v>Normal</v>
      </c>
    </row>
    <row r="1133" spans="1:15" x14ac:dyDescent="0.3">
      <c r="A1133">
        <v>22363</v>
      </c>
      <c r="B1133" t="s">
        <v>7</v>
      </c>
      <c r="C1133">
        <v>47</v>
      </c>
      <c r="D1133">
        <v>0</v>
      </c>
      <c r="E1133">
        <v>0</v>
      </c>
      <c r="F1133" t="str">
        <f t="shared" si="53"/>
        <v>Lower Risk</v>
      </c>
      <c r="G1133" t="s">
        <v>3</v>
      </c>
      <c r="H1133" t="s">
        <v>4</v>
      </c>
      <c r="I1133" t="s">
        <v>9</v>
      </c>
      <c r="J1133">
        <v>195.04</v>
      </c>
      <c r="K1133">
        <v>45.5</v>
      </c>
      <c r="L1133" t="s">
        <v>11</v>
      </c>
      <c r="M1133">
        <v>0</v>
      </c>
      <c r="N1133" t="str">
        <f t="shared" si="51"/>
        <v>40–59</v>
      </c>
      <c r="O1133" t="str">
        <f t="shared" si="52"/>
        <v>Obese</v>
      </c>
    </row>
    <row r="1134" spans="1:15" x14ac:dyDescent="0.3">
      <c r="A1134">
        <v>46072</v>
      </c>
      <c r="B1134" t="s">
        <v>2</v>
      </c>
      <c r="C1134">
        <v>2</v>
      </c>
      <c r="D1134">
        <v>0</v>
      </c>
      <c r="E1134">
        <v>0</v>
      </c>
      <c r="F1134" t="str">
        <f t="shared" si="53"/>
        <v>Lower Risk</v>
      </c>
      <c r="G1134" t="s">
        <v>13</v>
      </c>
      <c r="H1134" t="s">
        <v>16</v>
      </c>
      <c r="I1134" t="s">
        <v>9</v>
      </c>
      <c r="J1134">
        <v>103.25</v>
      </c>
      <c r="K1134">
        <v>19.399999999999999</v>
      </c>
      <c r="L1134" t="s">
        <v>14</v>
      </c>
      <c r="M1134">
        <v>0</v>
      </c>
      <c r="N1134" t="str">
        <f t="shared" si="51"/>
        <v>Under 40</v>
      </c>
      <c r="O1134" t="str">
        <f t="shared" si="52"/>
        <v>Normal</v>
      </c>
    </row>
    <row r="1135" spans="1:15" x14ac:dyDescent="0.3">
      <c r="A1135">
        <v>65667</v>
      </c>
      <c r="B1135" t="s">
        <v>7</v>
      </c>
      <c r="C1135">
        <v>48</v>
      </c>
      <c r="D1135">
        <v>0</v>
      </c>
      <c r="E1135">
        <v>0</v>
      </c>
      <c r="F1135" t="str">
        <f t="shared" si="53"/>
        <v>Lower Risk</v>
      </c>
      <c r="G1135" t="s">
        <v>3</v>
      </c>
      <c r="H1135" t="s">
        <v>4</v>
      </c>
      <c r="I1135" t="s">
        <v>9</v>
      </c>
      <c r="J1135">
        <v>134.59</v>
      </c>
      <c r="K1135">
        <v>28.2</v>
      </c>
      <c r="L1135" t="s">
        <v>12</v>
      </c>
      <c r="M1135">
        <v>0</v>
      </c>
      <c r="N1135" t="str">
        <f t="shared" si="51"/>
        <v>40–59</v>
      </c>
      <c r="O1135" t="str">
        <f t="shared" si="52"/>
        <v>Overweight</v>
      </c>
    </row>
    <row r="1136" spans="1:15" x14ac:dyDescent="0.3">
      <c r="A1136">
        <v>47848</v>
      </c>
      <c r="B1136" t="s">
        <v>2</v>
      </c>
      <c r="C1136">
        <v>1.56</v>
      </c>
      <c r="D1136">
        <v>0</v>
      </c>
      <c r="E1136">
        <v>0</v>
      </c>
      <c r="F1136" t="str">
        <f t="shared" si="53"/>
        <v>Lower Risk</v>
      </c>
      <c r="G1136" t="s">
        <v>13</v>
      </c>
      <c r="H1136" t="s">
        <v>16</v>
      </c>
      <c r="I1136" t="s">
        <v>9</v>
      </c>
      <c r="J1136">
        <v>93.74</v>
      </c>
      <c r="K1136">
        <v>20.100000000000001</v>
      </c>
      <c r="L1136" t="s">
        <v>14</v>
      </c>
      <c r="M1136">
        <v>0</v>
      </c>
      <c r="N1136" t="str">
        <f t="shared" si="51"/>
        <v>Under 40</v>
      </c>
      <c r="O1136" t="str">
        <f t="shared" si="52"/>
        <v>Normal</v>
      </c>
    </row>
    <row r="1137" spans="1:15" x14ac:dyDescent="0.3">
      <c r="A1137">
        <v>71440</v>
      </c>
      <c r="B1137" t="s">
        <v>7</v>
      </c>
      <c r="C1137">
        <v>26</v>
      </c>
      <c r="D1137">
        <v>0</v>
      </c>
      <c r="E1137">
        <v>0</v>
      </c>
      <c r="F1137" t="str">
        <f t="shared" si="53"/>
        <v>Lower Risk</v>
      </c>
      <c r="G1137" t="s">
        <v>3</v>
      </c>
      <c r="H1137" t="s">
        <v>4</v>
      </c>
      <c r="I1137" t="s">
        <v>5</v>
      </c>
      <c r="J1137">
        <v>90.66</v>
      </c>
      <c r="K1137">
        <v>27.2</v>
      </c>
      <c r="L1137" t="s">
        <v>14</v>
      </c>
      <c r="M1137">
        <v>0</v>
      </c>
      <c r="N1137" t="str">
        <f t="shared" si="51"/>
        <v>Under 40</v>
      </c>
      <c r="O1137" t="str">
        <f t="shared" si="52"/>
        <v>Overweight</v>
      </c>
    </row>
    <row r="1138" spans="1:15" x14ac:dyDescent="0.3">
      <c r="A1138">
        <v>35231</v>
      </c>
      <c r="B1138" t="s">
        <v>2</v>
      </c>
      <c r="C1138">
        <v>62</v>
      </c>
      <c r="D1138">
        <v>0</v>
      </c>
      <c r="E1138">
        <v>0</v>
      </c>
      <c r="F1138" t="str">
        <f t="shared" si="53"/>
        <v>Moderate Risk</v>
      </c>
      <c r="G1138" t="s">
        <v>3</v>
      </c>
      <c r="H1138" t="s">
        <v>15</v>
      </c>
      <c r="I1138" t="s">
        <v>5</v>
      </c>
      <c r="J1138">
        <v>91.68</v>
      </c>
      <c r="K1138">
        <v>26.5</v>
      </c>
      <c r="L1138" t="s">
        <v>14</v>
      </c>
      <c r="M1138">
        <v>0</v>
      </c>
      <c r="N1138" t="str">
        <f t="shared" si="51"/>
        <v>60+</v>
      </c>
      <c r="O1138" t="str">
        <f t="shared" si="52"/>
        <v>Overweight</v>
      </c>
    </row>
    <row r="1139" spans="1:15" x14ac:dyDescent="0.3">
      <c r="A1139">
        <v>59734</v>
      </c>
      <c r="B1139" t="s">
        <v>2</v>
      </c>
      <c r="C1139">
        <v>1.72</v>
      </c>
      <c r="D1139">
        <v>0</v>
      </c>
      <c r="E1139">
        <v>0</v>
      </c>
      <c r="F1139" t="str">
        <f t="shared" si="53"/>
        <v>Lower Risk</v>
      </c>
      <c r="G1139" t="s">
        <v>13</v>
      </c>
      <c r="H1139" t="s">
        <v>16</v>
      </c>
      <c r="I1139" t="s">
        <v>5</v>
      </c>
      <c r="J1139">
        <v>75.790000000000006</v>
      </c>
      <c r="K1139">
        <v>17.600000000000001</v>
      </c>
      <c r="L1139" t="s">
        <v>14</v>
      </c>
      <c r="M1139">
        <v>0</v>
      </c>
      <c r="N1139" t="str">
        <f t="shared" si="51"/>
        <v>Under 40</v>
      </c>
      <c r="O1139" t="str">
        <f t="shared" si="52"/>
        <v>Underweight</v>
      </c>
    </row>
    <row r="1140" spans="1:15" x14ac:dyDescent="0.3">
      <c r="A1140">
        <v>1893</v>
      </c>
      <c r="B1140" t="s">
        <v>7</v>
      </c>
      <c r="C1140">
        <v>38</v>
      </c>
      <c r="D1140">
        <v>0</v>
      </c>
      <c r="E1140">
        <v>0</v>
      </c>
      <c r="F1140" t="str">
        <f t="shared" si="53"/>
        <v>Lower Risk</v>
      </c>
      <c r="G1140" t="s">
        <v>3</v>
      </c>
      <c r="H1140" t="s">
        <v>4</v>
      </c>
      <c r="I1140" t="s">
        <v>5</v>
      </c>
      <c r="J1140">
        <v>91.68</v>
      </c>
      <c r="K1140">
        <v>42.8</v>
      </c>
      <c r="L1140" t="s">
        <v>6</v>
      </c>
      <c r="M1140">
        <v>0</v>
      </c>
      <c r="N1140" t="str">
        <f t="shared" si="51"/>
        <v>Under 40</v>
      </c>
      <c r="O1140" t="str">
        <f t="shared" si="52"/>
        <v>Obese</v>
      </c>
    </row>
    <row r="1141" spans="1:15" x14ac:dyDescent="0.3">
      <c r="A1141">
        <v>32733</v>
      </c>
      <c r="B1141" t="s">
        <v>7</v>
      </c>
      <c r="C1141">
        <v>28</v>
      </c>
      <c r="D1141">
        <v>0</v>
      </c>
      <c r="E1141">
        <v>0</v>
      </c>
      <c r="F1141" t="str">
        <f t="shared" si="53"/>
        <v>Lower Risk</v>
      </c>
      <c r="G1141" t="s">
        <v>3</v>
      </c>
      <c r="H1141" t="s">
        <v>4</v>
      </c>
      <c r="I1141" t="s">
        <v>9</v>
      </c>
      <c r="J1141">
        <v>106.68</v>
      </c>
      <c r="K1141">
        <v>29.3</v>
      </c>
      <c r="L1141" t="s">
        <v>11</v>
      </c>
      <c r="M1141">
        <v>0</v>
      </c>
      <c r="N1141" t="str">
        <f t="shared" si="51"/>
        <v>Under 40</v>
      </c>
      <c r="O1141" t="str">
        <f t="shared" si="52"/>
        <v>Overweight</v>
      </c>
    </row>
    <row r="1142" spans="1:15" x14ac:dyDescent="0.3">
      <c r="A1142">
        <v>34728</v>
      </c>
      <c r="B1142" t="s">
        <v>7</v>
      </c>
      <c r="C1142">
        <v>67</v>
      </c>
      <c r="D1142">
        <v>0</v>
      </c>
      <c r="E1142">
        <v>0</v>
      </c>
      <c r="F1142" t="str">
        <f t="shared" si="53"/>
        <v>Moderate Risk</v>
      </c>
      <c r="G1142" t="s">
        <v>3</v>
      </c>
      <c r="H1142" t="s">
        <v>4</v>
      </c>
      <c r="I1142" t="s">
        <v>9</v>
      </c>
      <c r="J1142">
        <v>82.31</v>
      </c>
      <c r="K1142">
        <v>21.3</v>
      </c>
      <c r="L1142" t="s">
        <v>11</v>
      </c>
      <c r="M1142">
        <v>0</v>
      </c>
      <c r="N1142" t="str">
        <f t="shared" si="51"/>
        <v>60+</v>
      </c>
      <c r="O1142" t="str">
        <f t="shared" si="52"/>
        <v>Normal</v>
      </c>
    </row>
    <row r="1143" spans="1:15" x14ac:dyDescent="0.3">
      <c r="A1143">
        <v>30352</v>
      </c>
      <c r="B1143" t="s">
        <v>2</v>
      </c>
      <c r="C1143">
        <v>57</v>
      </c>
      <c r="D1143">
        <v>0</v>
      </c>
      <c r="E1143">
        <v>0</v>
      </c>
      <c r="F1143" t="str">
        <f t="shared" si="53"/>
        <v>Lower Risk</v>
      </c>
      <c r="G1143" t="s">
        <v>3</v>
      </c>
      <c r="H1143" t="s">
        <v>4</v>
      </c>
      <c r="I1143" t="s">
        <v>9</v>
      </c>
      <c r="J1143">
        <v>90.06</v>
      </c>
      <c r="K1143">
        <v>29.8</v>
      </c>
      <c r="L1143" t="s">
        <v>14</v>
      </c>
      <c r="M1143">
        <v>0</v>
      </c>
      <c r="N1143" t="str">
        <f t="shared" si="51"/>
        <v>40–59</v>
      </c>
      <c r="O1143" t="str">
        <f t="shared" si="52"/>
        <v>Overweight</v>
      </c>
    </row>
    <row r="1144" spans="1:15" x14ac:dyDescent="0.3">
      <c r="A1144">
        <v>61338</v>
      </c>
      <c r="B1144" t="s">
        <v>7</v>
      </c>
      <c r="C1144">
        <v>40</v>
      </c>
      <c r="D1144">
        <v>0</v>
      </c>
      <c r="E1144">
        <v>0</v>
      </c>
      <c r="F1144" t="str">
        <f t="shared" si="53"/>
        <v>Lower Risk</v>
      </c>
      <c r="G1144" t="s">
        <v>3</v>
      </c>
      <c r="H1144" t="s">
        <v>4</v>
      </c>
      <c r="I1144" t="s">
        <v>9</v>
      </c>
      <c r="J1144">
        <v>65.47</v>
      </c>
      <c r="K1144">
        <v>24.1</v>
      </c>
      <c r="L1144" t="s">
        <v>12</v>
      </c>
      <c r="M1144">
        <v>0</v>
      </c>
      <c r="N1144" t="str">
        <f t="shared" si="51"/>
        <v>40–59</v>
      </c>
      <c r="O1144" t="str">
        <f t="shared" si="52"/>
        <v>Normal</v>
      </c>
    </row>
    <row r="1145" spans="1:15" x14ac:dyDescent="0.3">
      <c r="A1145">
        <v>59275</v>
      </c>
      <c r="B1145" t="s">
        <v>2</v>
      </c>
      <c r="C1145">
        <v>10</v>
      </c>
      <c r="D1145">
        <v>0</v>
      </c>
      <c r="E1145">
        <v>0</v>
      </c>
      <c r="F1145" t="str">
        <f t="shared" si="53"/>
        <v>Lower Risk</v>
      </c>
      <c r="G1145" t="s">
        <v>13</v>
      </c>
      <c r="H1145" t="s">
        <v>16</v>
      </c>
      <c r="I1145" t="s">
        <v>9</v>
      </c>
      <c r="J1145">
        <v>58.03</v>
      </c>
      <c r="K1145">
        <v>35.200000000000003</v>
      </c>
      <c r="L1145" t="s">
        <v>14</v>
      </c>
      <c r="M1145">
        <v>0</v>
      </c>
      <c r="N1145" t="str">
        <f t="shared" si="51"/>
        <v>Under 40</v>
      </c>
      <c r="O1145" t="str">
        <f t="shared" si="52"/>
        <v>Obese</v>
      </c>
    </row>
    <row r="1146" spans="1:15" x14ac:dyDescent="0.3">
      <c r="A1146">
        <v>45497</v>
      </c>
      <c r="B1146" t="s">
        <v>7</v>
      </c>
      <c r="C1146">
        <v>55</v>
      </c>
      <c r="D1146">
        <v>0</v>
      </c>
      <c r="E1146">
        <v>0</v>
      </c>
      <c r="F1146" t="str">
        <f t="shared" si="53"/>
        <v>Lower Risk</v>
      </c>
      <c r="G1146" t="s">
        <v>13</v>
      </c>
      <c r="H1146" t="s">
        <v>4</v>
      </c>
      <c r="I1146" t="s">
        <v>9</v>
      </c>
      <c r="J1146">
        <v>83.09</v>
      </c>
      <c r="K1146">
        <v>18.8</v>
      </c>
      <c r="L1146" t="s">
        <v>11</v>
      </c>
      <c r="M1146">
        <v>0</v>
      </c>
      <c r="N1146" t="str">
        <f t="shared" si="51"/>
        <v>40–59</v>
      </c>
      <c r="O1146" t="str">
        <f t="shared" si="52"/>
        <v>Normal</v>
      </c>
    </row>
    <row r="1147" spans="1:15" x14ac:dyDescent="0.3">
      <c r="A1147">
        <v>19996</v>
      </c>
      <c r="B1147" t="s">
        <v>7</v>
      </c>
      <c r="C1147">
        <v>7</v>
      </c>
      <c r="D1147">
        <v>0</v>
      </c>
      <c r="E1147">
        <v>0</v>
      </c>
      <c r="F1147" t="str">
        <f t="shared" si="53"/>
        <v>Lower Risk</v>
      </c>
      <c r="G1147" t="s">
        <v>13</v>
      </c>
      <c r="H1147" t="s">
        <v>16</v>
      </c>
      <c r="I1147" t="s">
        <v>5</v>
      </c>
      <c r="J1147">
        <v>88.6</v>
      </c>
      <c r="K1147">
        <v>17.399999999999999</v>
      </c>
      <c r="L1147" t="s">
        <v>14</v>
      </c>
      <c r="M1147">
        <v>0</v>
      </c>
      <c r="N1147" t="str">
        <f t="shared" si="51"/>
        <v>Under 40</v>
      </c>
      <c r="O1147" t="str">
        <f t="shared" si="52"/>
        <v>Underweight</v>
      </c>
    </row>
    <row r="1148" spans="1:15" x14ac:dyDescent="0.3">
      <c r="A1148">
        <v>50371</v>
      </c>
      <c r="B1148" t="s">
        <v>2</v>
      </c>
      <c r="C1148">
        <v>56</v>
      </c>
      <c r="D1148">
        <v>0</v>
      </c>
      <c r="E1148">
        <v>0</v>
      </c>
      <c r="F1148" t="str">
        <f t="shared" si="53"/>
        <v>Lower Risk</v>
      </c>
      <c r="G1148" t="s">
        <v>3</v>
      </c>
      <c r="H1148" t="s">
        <v>4</v>
      </c>
      <c r="I1148" t="s">
        <v>5</v>
      </c>
      <c r="J1148">
        <v>63.18</v>
      </c>
      <c r="K1148">
        <v>31.5</v>
      </c>
      <c r="L1148" t="s">
        <v>14</v>
      </c>
      <c r="M1148">
        <v>0</v>
      </c>
      <c r="N1148" t="str">
        <f t="shared" si="51"/>
        <v>40–59</v>
      </c>
      <c r="O1148" t="str">
        <f t="shared" si="52"/>
        <v>Obese</v>
      </c>
    </row>
    <row r="1149" spans="1:15" x14ac:dyDescent="0.3">
      <c r="A1149">
        <v>32687</v>
      </c>
      <c r="B1149" t="s">
        <v>2</v>
      </c>
      <c r="C1149">
        <v>37</v>
      </c>
      <c r="D1149">
        <v>0</v>
      </c>
      <c r="E1149">
        <v>0</v>
      </c>
      <c r="F1149" t="str">
        <f t="shared" si="53"/>
        <v>Lower Risk</v>
      </c>
      <c r="G1149" t="s">
        <v>3</v>
      </c>
      <c r="H1149" t="s">
        <v>4</v>
      </c>
      <c r="I1149" t="s">
        <v>9</v>
      </c>
      <c r="J1149">
        <v>78.42</v>
      </c>
      <c r="K1149">
        <v>29.9</v>
      </c>
      <c r="L1149" t="s">
        <v>11</v>
      </c>
      <c r="M1149">
        <v>0</v>
      </c>
      <c r="N1149" t="str">
        <f t="shared" si="51"/>
        <v>Under 40</v>
      </c>
      <c r="O1149" t="str">
        <f t="shared" si="52"/>
        <v>Overweight</v>
      </c>
    </row>
    <row r="1150" spans="1:15" x14ac:dyDescent="0.3">
      <c r="A1150">
        <v>35295</v>
      </c>
      <c r="B1150" t="s">
        <v>2</v>
      </c>
      <c r="C1150">
        <v>69</v>
      </c>
      <c r="D1150">
        <v>0</v>
      </c>
      <c r="E1150">
        <v>0</v>
      </c>
      <c r="F1150" t="str">
        <f t="shared" si="53"/>
        <v>Moderate Risk</v>
      </c>
      <c r="G1150" t="s">
        <v>3</v>
      </c>
      <c r="H1150" t="s">
        <v>4</v>
      </c>
      <c r="I1150" t="s">
        <v>5</v>
      </c>
      <c r="J1150">
        <v>65.08</v>
      </c>
      <c r="K1150">
        <v>27.3</v>
      </c>
      <c r="L1150" t="s">
        <v>6</v>
      </c>
      <c r="M1150">
        <v>0</v>
      </c>
      <c r="N1150" t="str">
        <f t="shared" si="51"/>
        <v>60+</v>
      </c>
      <c r="O1150" t="str">
        <f t="shared" si="52"/>
        <v>Overweight</v>
      </c>
    </row>
    <row r="1151" spans="1:15" x14ac:dyDescent="0.3">
      <c r="A1151">
        <v>15746</v>
      </c>
      <c r="B1151" t="s">
        <v>7</v>
      </c>
      <c r="C1151">
        <v>45</v>
      </c>
      <c r="D1151">
        <v>0</v>
      </c>
      <c r="E1151">
        <v>0</v>
      </c>
      <c r="F1151" t="str">
        <f t="shared" si="53"/>
        <v>Lower Risk</v>
      </c>
      <c r="G1151" t="s">
        <v>3</v>
      </c>
      <c r="H1151" t="s">
        <v>15</v>
      </c>
      <c r="I1151" t="s">
        <v>5</v>
      </c>
      <c r="J1151">
        <v>79.47</v>
      </c>
      <c r="K1151">
        <v>28.1</v>
      </c>
      <c r="L1151" t="s">
        <v>11</v>
      </c>
      <c r="M1151">
        <v>0</v>
      </c>
      <c r="N1151" t="str">
        <f t="shared" si="51"/>
        <v>40–59</v>
      </c>
      <c r="O1151" t="str">
        <f t="shared" si="52"/>
        <v>Overweight</v>
      </c>
    </row>
    <row r="1152" spans="1:15" x14ac:dyDescent="0.3">
      <c r="A1152">
        <v>31517</v>
      </c>
      <c r="B1152" t="s">
        <v>7</v>
      </c>
      <c r="C1152">
        <v>28</v>
      </c>
      <c r="D1152">
        <v>0</v>
      </c>
      <c r="E1152">
        <v>0</v>
      </c>
      <c r="F1152" t="str">
        <f t="shared" si="53"/>
        <v>Lower Risk</v>
      </c>
      <c r="G1152" t="s">
        <v>3</v>
      </c>
      <c r="H1152" t="s">
        <v>4</v>
      </c>
      <c r="I1152" t="s">
        <v>9</v>
      </c>
      <c r="J1152">
        <v>95.52</v>
      </c>
      <c r="K1152">
        <v>28.9</v>
      </c>
      <c r="L1152" t="s">
        <v>11</v>
      </c>
      <c r="M1152">
        <v>0</v>
      </c>
      <c r="N1152" t="str">
        <f t="shared" si="51"/>
        <v>Under 40</v>
      </c>
      <c r="O1152" t="str">
        <f t="shared" si="52"/>
        <v>Overweight</v>
      </c>
    </row>
    <row r="1153" spans="1:15" x14ac:dyDescent="0.3">
      <c r="A1153">
        <v>43268</v>
      </c>
      <c r="B1153" t="s">
        <v>7</v>
      </c>
      <c r="C1153">
        <v>52</v>
      </c>
      <c r="D1153">
        <v>1</v>
      </c>
      <c r="E1153">
        <v>0</v>
      </c>
      <c r="F1153" t="str">
        <f t="shared" si="53"/>
        <v>Lower Risk</v>
      </c>
      <c r="G1153" t="s">
        <v>13</v>
      </c>
      <c r="H1153" t="s">
        <v>4</v>
      </c>
      <c r="I1153" t="s">
        <v>5</v>
      </c>
      <c r="J1153">
        <v>73</v>
      </c>
      <c r="K1153">
        <v>25.2</v>
      </c>
      <c r="L1153" t="s">
        <v>12</v>
      </c>
      <c r="M1153">
        <v>0</v>
      </c>
      <c r="N1153" t="str">
        <f t="shared" si="51"/>
        <v>40–59</v>
      </c>
      <c r="O1153" t="str">
        <f t="shared" si="52"/>
        <v>Overweight</v>
      </c>
    </row>
    <row r="1154" spans="1:15" x14ac:dyDescent="0.3">
      <c r="A1154">
        <v>54540</v>
      </c>
      <c r="B1154" t="s">
        <v>2</v>
      </c>
      <c r="C1154">
        <v>46</v>
      </c>
      <c r="D1154">
        <v>0</v>
      </c>
      <c r="E1154">
        <v>0</v>
      </c>
      <c r="F1154" t="str">
        <f t="shared" si="53"/>
        <v>Lower Risk</v>
      </c>
      <c r="G1154" t="s">
        <v>3</v>
      </c>
      <c r="H1154" t="s">
        <v>4</v>
      </c>
      <c r="I1154" t="s">
        <v>9</v>
      </c>
      <c r="J1154">
        <v>138.07</v>
      </c>
      <c r="K1154">
        <v>24.3</v>
      </c>
      <c r="L1154" t="s">
        <v>11</v>
      </c>
      <c r="M1154">
        <v>0</v>
      </c>
      <c r="N1154" t="str">
        <f t="shared" ref="N1154:N1217" si="54">IF(C1154&lt;40,"Under 40",IF(C1154&lt;60,"40–59","60+"))</f>
        <v>40–59</v>
      </c>
      <c r="O1154" t="str">
        <f t="shared" ref="O1154:O1217" si="55">IF(K1154="N/A","Unknown",
IF(K1154="","Unknown",
IF(K1154&lt;18.5,"Underweight",
IF(K1154&lt;25,"Normal",
IF(K1154&lt;30,"Overweight","Obese")))))</f>
        <v>Normal</v>
      </c>
    </row>
    <row r="1155" spans="1:15" x14ac:dyDescent="0.3">
      <c r="A1155">
        <v>20973</v>
      </c>
      <c r="B1155" t="s">
        <v>2</v>
      </c>
      <c r="C1155">
        <v>45</v>
      </c>
      <c r="D1155">
        <v>0</v>
      </c>
      <c r="E1155">
        <v>0</v>
      </c>
      <c r="F1155" t="str">
        <f t="shared" ref="F1155:F1218" si="56">IF(C1155&gt;=60,
IF(OR(D1155=1,E1155=1),"High Risk","Moderate Risk"),
"Lower Risk")</f>
        <v>Lower Risk</v>
      </c>
      <c r="G1155" t="s">
        <v>3</v>
      </c>
      <c r="H1155" t="s">
        <v>15</v>
      </c>
      <c r="I1155" t="s">
        <v>9</v>
      </c>
      <c r="J1155">
        <v>86.99</v>
      </c>
      <c r="K1155">
        <v>37.9</v>
      </c>
      <c r="L1155" t="s">
        <v>11</v>
      </c>
      <c r="M1155">
        <v>0</v>
      </c>
      <c r="N1155" t="str">
        <f t="shared" si="54"/>
        <v>40–59</v>
      </c>
      <c r="O1155" t="str">
        <f t="shared" si="55"/>
        <v>Obese</v>
      </c>
    </row>
    <row r="1156" spans="1:15" x14ac:dyDescent="0.3">
      <c r="A1156">
        <v>56245</v>
      </c>
      <c r="B1156" t="s">
        <v>7</v>
      </c>
      <c r="C1156">
        <v>21</v>
      </c>
      <c r="D1156">
        <v>0</v>
      </c>
      <c r="E1156">
        <v>0</v>
      </c>
      <c r="F1156" t="str">
        <f t="shared" si="56"/>
        <v>Lower Risk</v>
      </c>
      <c r="G1156" t="s">
        <v>13</v>
      </c>
      <c r="H1156" t="s">
        <v>4</v>
      </c>
      <c r="I1156" t="s">
        <v>5</v>
      </c>
      <c r="J1156">
        <v>112.07</v>
      </c>
      <c r="K1156">
        <v>28.2</v>
      </c>
      <c r="L1156" t="s">
        <v>11</v>
      </c>
      <c r="M1156">
        <v>0</v>
      </c>
      <c r="N1156" t="str">
        <f t="shared" si="54"/>
        <v>Under 40</v>
      </c>
      <c r="O1156" t="str">
        <f t="shared" si="55"/>
        <v>Overweight</v>
      </c>
    </row>
    <row r="1157" spans="1:15" x14ac:dyDescent="0.3">
      <c r="A1157">
        <v>9225</v>
      </c>
      <c r="B1157" t="s">
        <v>2</v>
      </c>
      <c r="C1157">
        <v>4</v>
      </c>
      <c r="D1157">
        <v>0</v>
      </c>
      <c r="E1157">
        <v>0</v>
      </c>
      <c r="F1157" t="str">
        <f t="shared" si="56"/>
        <v>Lower Risk</v>
      </c>
      <c r="G1157" t="s">
        <v>13</v>
      </c>
      <c r="H1157" t="s">
        <v>16</v>
      </c>
      <c r="I1157" t="s">
        <v>9</v>
      </c>
      <c r="J1157">
        <v>105.76</v>
      </c>
      <c r="K1157">
        <v>18.399999999999999</v>
      </c>
      <c r="L1157" t="s">
        <v>14</v>
      </c>
      <c r="M1157">
        <v>0</v>
      </c>
      <c r="N1157" t="str">
        <f t="shared" si="54"/>
        <v>Under 40</v>
      </c>
      <c r="O1157" t="str">
        <f t="shared" si="55"/>
        <v>Underweight</v>
      </c>
    </row>
    <row r="1158" spans="1:15" x14ac:dyDescent="0.3">
      <c r="A1158">
        <v>45955</v>
      </c>
      <c r="B1158" t="s">
        <v>7</v>
      </c>
      <c r="C1158">
        <v>45</v>
      </c>
      <c r="D1158">
        <v>0</v>
      </c>
      <c r="E1158">
        <v>0</v>
      </c>
      <c r="F1158" t="str">
        <f t="shared" si="56"/>
        <v>Lower Risk</v>
      </c>
      <c r="G1158" t="s">
        <v>3</v>
      </c>
      <c r="H1158" t="s">
        <v>4</v>
      </c>
      <c r="I1158" t="s">
        <v>5</v>
      </c>
      <c r="J1158">
        <v>55.67</v>
      </c>
      <c r="K1158">
        <v>23.1</v>
      </c>
      <c r="L1158" t="s">
        <v>12</v>
      </c>
      <c r="M1158">
        <v>0</v>
      </c>
      <c r="N1158" t="str">
        <f t="shared" si="54"/>
        <v>40–59</v>
      </c>
      <c r="O1158" t="str">
        <f t="shared" si="55"/>
        <v>Normal</v>
      </c>
    </row>
    <row r="1159" spans="1:15" x14ac:dyDescent="0.3">
      <c r="A1159">
        <v>3532</v>
      </c>
      <c r="B1159" t="s">
        <v>7</v>
      </c>
      <c r="C1159">
        <v>71</v>
      </c>
      <c r="D1159">
        <v>0</v>
      </c>
      <c r="E1159">
        <v>0</v>
      </c>
      <c r="F1159" t="str">
        <f t="shared" si="56"/>
        <v>Moderate Risk</v>
      </c>
      <c r="G1159" t="s">
        <v>3</v>
      </c>
      <c r="H1159" t="s">
        <v>4</v>
      </c>
      <c r="I1159" t="s">
        <v>5</v>
      </c>
      <c r="J1159">
        <v>90.55</v>
      </c>
      <c r="K1159">
        <v>39.4</v>
      </c>
      <c r="L1159" t="s">
        <v>6</v>
      </c>
      <c r="M1159">
        <v>0</v>
      </c>
      <c r="N1159" t="str">
        <f t="shared" si="54"/>
        <v>60+</v>
      </c>
      <c r="O1159" t="str">
        <f t="shared" si="55"/>
        <v>Obese</v>
      </c>
    </row>
    <row r="1160" spans="1:15" x14ac:dyDescent="0.3">
      <c r="A1160">
        <v>41291</v>
      </c>
      <c r="B1160" t="s">
        <v>7</v>
      </c>
      <c r="C1160">
        <v>46</v>
      </c>
      <c r="D1160">
        <v>0</v>
      </c>
      <c r="E1160">
        <v>0</v>
      </c>
      <c r="F1160" t="str">
        <f t="shared" si="56"/>
        <v>Lower Risk</v>
      </c>
      <c r="G1160" t="s">
        <v>3</v>
      </c>
      <c r="H1160" t="s">
        <v>4</v>
      </c>
      <c r="I1160" t="s">
        <v>9</v>
      </c>
      <c r="J1160">
        <v>218.65</v>
      </c>
      <c r="K1160">
        <v>29.5</v>
      </c>
      <c r="L1160" t="s">
        <v>11</v>
      </c>
      <c r="M1160">
        <v>0</v>
      </c>
      <c r="N1160" t="str">
        <f t="shared" si="54"/>
        <v>40–59</v>
      </c>
      <c r="O1160" t="str">
        <f t="shared" si="55"/>
        <v>Overweight</v>
      </c>
    </row>
    <row r="1161" spans="1:15" x14ac:dyDescent="0.3">
      <c r="A1161">
        <v>53943</v>
      </c>
      <c r="B1161" t="s">
        <v>7</v>
      </c>
      <c r="C1161">
        <v>3</v>
      </c>
      <c r="D1161">
        <v>0</v>
      </c>
      <c r="E1161">
        <v>0</v>
      </c>
      <c r="F1161" t="str">
        <f t="shared" si="56"/>
        <v>Lower Risk</v>
      </c>
      <c r="G1161" t="s">
        <v>13</v>
      </c>
      <c r="H1161" t="s">
        <v>16</v>
      </c>
      <c r="I1161" t="s">
        <v>9</v>
      </c>
      <c r="J1161">
        <v>111.21</v>
      </c>
      <c r="K1161">
        <v>18.3</v>
      </c>
      <c r="L1161" t="s">
        <v>14</v>
      </c>
      <c r="M1161">
        <v>0</v>
      </c>
      <c r="N1161" t="str">
        <f t="shared" si="54"/>
        <v>Under 40</v>
      </c>
      <c r="O1161" t="str">
        <f t="shared" si="55"/>
        <v>Underweight</v>
      </c>
    </row>
    <row r="1162" spans="1:15" x14ac:dyDescent="0.3">
      <c r="A1162">
        <v>52550</v>
      </c>
      <c r="B1162" t="s">
        <v>7</v>
      </c>
      <c r="C1162">
        <v>79</v>
      </c>
      <c r="D1162">
        <v>0</v>
      </c>
      <c r="E1162">
        <v>0</v>
      </c>
      <c r="F1162" t="str">
        <f t="shared" si="56"/>
        <v>Moderate Risk</v>
      </c>
      <c r="G1162" t="s">
        <v>3</v>
      </c>
      <c r="H1162" t="s">
        <v>15</v>
      </c>
      <c r="I1162" t="s">
        <v>5</v>
      </c>
      <c r="J1162">
        <v>83.56</v>
      </c>
      <c r="K1162">
        <v>28.7</v>
      </c>
      <c r="L1162" t="s">
        <v>12</v>
      </c>
      <c r="M1162">
        <v>0</v>
      </c>
      <c r="N1162" t="str">
        <f t="shared" si="54"/>
        <v>60+</v>
      </c>
      <c r="O1162" t="str">
        <f t="shared" si="55"/>
        <v>Overweight</v>
      </c>
    </row>
    <row r="1163" spans="1:15" x14ac:dyDescent="0.3">
      <c r="A1163">
        <v>47414</v>
      </c>
      <c r="B1163" t="s">
        <v>7</v>
      </c>
      <c r="C1163">
        <v>71</v>
      </c>
      <c r="D1163">
        <v>1</v>
      </c>
      <c r="E1163">
        <v>0</v>
      </c>
      <c r="F1163" t="str">
        <f t="shared" si="56"/>
        <v>High Risk</v>
      </c>
      <c r="G1163" t="s">
        <v>3</v>
      </c>
      <c r="H1163" t="s">
        <v>4</v>
      </c>
      <c r="I1163" t="s">
        <v>5</v>
      </c>
      <c r="J1163">
        <v>116.76</v>
      </c>
      <c r="K1163">
        <v>32.9</v>
      </c>
      <c r="L1163" t="s">
        <v>6</v>
      </c>
      <c r="M1163">
        <v>0</v>
      </c>
      <c r="N1163" t="str">
        <f t="shared" si="54"/>
        <v>60+</v>
      </c>
      <c r="O1163" t="str">
        <f t="shared" si="55"/>
        <v>Obese</v>
      </c>
    </row>
    <row r="1164" spans="1:15" x14ac:dyDescent="0.3">
      <c r="A1164">
        <v>38804</v>
      </c>
      <c r="B1164" t="s">
        <v>2</v>
      </c>
      <c r="C1164">
        <v>74</v>
      </c>
      <c r="D1164">
        <v>0</v>
      </c>
      <c r="E1164">
        <v>0</v>
      </c>
      <c r="F1164" t="str">
        <f t="shared" si="56"/>
        <v>Moderate Risk</v>
      </c>
      <c r="G1164" t="s">
        <v>3</v>
      </c>
      <c r="H1164" t="s">
        <v>4</v>
      </c>
      <c r="I1164" t="s">
        <v>9</v>
      </c>
      <c r="J1164">
        <v>83.5</v>
      </c>
      <c r="K1164">
        <v>26.7</v>
      </c>
      <c r="L1164" t="s">
        <v>14</v>
      </c>
      <c r="M1164">
        <v>0</v>
      </c>
      <c r="N1164" t="str">
        <f t="shared" si="54"/>
        <v>60+</v>
      </c>
      <c r="O1164" t="str">
        <f t="shared" si="55"/>
        <v>Overweight</v>
      </c>
    </row>
    <row r="1165" spans="1:15" x14ac:dyDescent="0.3">
      <c r="A1165">
        <v>72861</v>
      </c>
      <c r="B1165" t="s">
        <v>7</v>
      </c>
      <c r="C1165">
        <v>52</v>
      </c>
      <c r="D1165">
        <v>0</v>
      </c>
      <c r="E1165">
        <v>0</v>
      </c>
      <c r="F1165" t="str">
        <f t="shared" si="56"/>
        <v>Lower Risk</v>
      </c>
      <c r="G1165" t="s">
        <v>3</v>
      </c>
      <c r="H1165" t="s">
        <v>4</v>
      </c>
      <c r="I1165" t="s">
        <v>5</v>
      </c>
      <c r="J1165">
        <v>69.3</v>
      </c>
      <c r="K1165">
        <v>20.100000000000001</v>
      </c>
      <c r="L1165" t="s">
        <v>11</v>
      </c>
      <c r="M1165">
        <v>0</v>
      </c>
      <c r="N1165" t="str">
        <f t="shared" si="54"/>
        <v>40–59</v>
      </c>
      <c r="O1165" t="str">
        <f t="shared" si="55"/>
        <v>Normal</v>
      </c>
    </row>
    <row r="1166" spans="1:15" x14ac:dyDescent="0.3">
      <c r="A1166">
        <v>53276</v>
      </c>
      <c r="B1166" t="s">
        <v>7</v>
      </c>
      <c r="C1166">
        <v>49</v>
      </c>
      <c r="D1166">
        <v>0</v>
      </c>
      <c r="E1166">
        <v>0</v>
      </c>
      <c r="F1166" t="str">
        <f t="shared" si="56"/>
        <v>Lower Risk</v>
      </c>
      <c r="G1166" t="s">
        <v>3</v>
      </c>
      <c r="H1166" t="s">
        <v>4</v>
      </c>
      <c r="I1166" t="s">
        <v>5</v>
      </c>
      <c r="J1166">
        <v>67.55</v>
      </c>
      <c r="K1166">
        <v>17.600000000000001</v>
      </c>
      <c r="L1166" t="s">
        <v>6</v>
      </c>
      <c r="M1166">
        <v>0</v>
      </c>
      <c r="N1166" t="str">
        <f t="shared" si="54"/>
        <v>40–59</v>
      </c>
      <c r="O1166" t="str">
        <f t="shared" si="55"/>
        <v>Underweight</v>
      </c>
    </row>
    <row r="1167" spans="1:15" x14ac:dyDescent="0.3">
      <c r="A1167">
        <v>30944</v>
      </c>
      <c r="B1167" t="s">
        <v>7</v>
      </c>
      <c r="C1167">
        <v>32</v>
      </c>
      <c r="D1167">
        <v>0</v>
      </c>
      <c r="E1167">
        <v>0</v>
      </c>
      <c r="F1167" t="str">
        <f t="shared" si="56"/>
        <v>Lower Risk</v>
      </c>
      <c r="G1167" t="s">
        <v>3</v>
      </c>
      <c r="H1167" t="s">
        <v>4</v>
      </c>
      <c r="I1167" t="s">
        <v>9</v>
      </c>
      <c r="J1167">
        <v>80.28</v>
      </c>
      <c r="K1167">
        <v>43.7</v>
      </c>
      <c r="L1167" t="s">
        <v>11</v>
      </c>
      <c r="M1167">
        <v>0</v>
      </c>
      <c r="N1167" t="str">
        <f t="shared" si="54"/>
        <v>Under 40</v>
      </c>
      <c r="O1167" t="str">
        <f t="shared" si="55"/>
        <v>Obese</v>
      </c>
    </row>
    <row r="1168" spans="1:15" x14ac:dyDescent="0.3">
      <c r="A1168">
        <v>33622</v>
      </c>
      <c r="B1168" t="s">
        <v>2</v>
      </c>
      <c r="C1168">
        <v>62</v>
      </c>
      <c r="D1168">
        <v>1</v>
      </c>
      <c r="E1168">
        <v>0</v>
      </c>
      <c r="F1168" t="str">
        <f t="shared" si="56"/>
        <v>High Risk</v>
      </c>
      <c r="G1168" t="s">
        <v>3</v>
      </c>
      <c r="H1168" t="s">
        <v>4</v>
      </c>
      <c r="I1168" t="s">
        <v>5</v>
      </c>
      <c r="J1168">
        <v>211.49</v>
      </c>
      <c r="K1168">
        <v>41.1</v>
      </c>
      <c r="L1168" t="s">
        <v>14</v>
      </c>
      <c r="M1168">
        <v>0</v>
      </c>
      <c r="N1168" t="str">
        <f t="shared" si="54"/>
        <v>60+</v>
      </c>
      <c r="O1168" t="str">
        <f t="shared" si="55"/>
        <v>Obese</v>
      </c>
    </row>
    <row r="1169" spans="1:15" x14ac:dyDescent="0.3">
      <c r="A1169">
        <v>26191</v>
      </c>
      <c r="B1169" t="s">
        <v>7</v>
      </c>
      <c r="C1169">
        <v>78</v>
      </c>
      <c r="D1169">
        <v>0</v>
      </c>
      <c r="E1169">
        <v>0</v>
      </c>
      <c r="F1169" t="str">
        <f t="shared" si="56"/>
        <v>Moderate Risk</v>
      </c>
      <c r="G1169" t="s">
        <v>13</v>
      </c>
      <c r="H1169" t="s">
        <v>4</v>
      </c>
      <c r="I1169" t="s">
        <v>5</v>
      </c>
      <c r="J1169">
        <v>67.959999999999994</v>
      </c>
      <c r="K1169">
        <v>26.8</v>
      </c>
      <c r="L1169" t="s">
        <v>14</v>
      </c>
      <c r="M1169">
        <v>0</v>
      </c>
      <c r="N1169" t="str">
        <f t="shared" si="54"/>
        <v>60+</v>
      </c>
      <c r="O1169" t="str">
        <f t="shared" si="55"/>
        <v>Overweight</v>
      </c>
    </row>
    <row r="1170" spans="1:15" x14ac:dyDescent="0.3">
      <c r="A1170">
        <v>69312</v>
      </c>
      <c r="B1170" t="s">
        <v>7</v>
      </c>
      <c r="C1170">
        <v>48</v>
      </c>
      <c r="D1170">
        <v>0</v>
      </c>
      <c r="E1170">
        <v>0</v>
      </c>
      <c r="F1170" t="str">
        <f t="shared" si="56"/>
        <v>Lower Risk</v>
      </c>
      <c r="G1170" t="s">
        <v>3</v>
      </c>
      <c r="H1170" t="s">
        <v>8</v>
      </c>
      <c r="I1170" t="s">
        <v>5</v>
      </c>
      <c r="J1170">
        <v>99.29</v>
      </c>
      <c r="K1170">
        <v>31.2</v>
      </c>
      <c r="L1170" t="s">
        <v>11</v>
      </c>
      <c r="M1170">
        <v>0</v>
      </c>
      <c r="N1170" t="str">
        <f t="shared" si="54"/>
        <v>40–59</v>
      </c>
      <c r="O1170" t="str">
        <f t="shared" si="55"/>
        <v>Obese</v>
      </c>
    </row>
    <row r="1171" spans="1:15" x14ac:dyDescent="0.3">
      <c r="A1171">
        <v>39661</v>
      </c>
      <c r="B1171" t="s">
        <v>2</v>
      </c>
      <c r="C1171">
        <v>18</v>
      </c>
      <c r="D1171">
        <v>0</v>
      </c>
      <c r="E1171">
        <v>0</v>
      </c>
      <c r="F1171" t="str">
        <f t="shared" si="56"/>
        <v>Lower Risk</v>
      </c>
      <c r="G1171" t="s">
        <v>3</v>
      </c>
      <c r="H1171" t="s">
        <v>4</v>
      </c>
      <c r="I1171" t="s">
        <v>9</v>
      </c>
      <c r="J1171">
        <v>140.52000000000001</v>
      </c>
      <c r="K1171">
        <v>27.4</v>
      </c>
      <c r="L1171" t="s">
        <v>11</v>
      </c>
      <c r="M1171">
        <v>0</v>
      </c>
      <c r="N1171" t="str">
        <f t="shared" si="54"/>
        <v>Under 40</v>
      </c>
      <c r="O1171" t="str">
        <f t="shared" si="55"/>
        <v>Overweight</v>
      </c>
    </row>
    <row r="1172" spans="1:15" x14ac:dyDescent="0.3">
      <c r="A1172">
        <v>20162</v>
      </c>
      <c r="B1172" t="s">
        <v>7</v>
      </c>
      <c r="C1172">
        <v>80</v>
      </c>
      <c r="D1172">
        <v>0</v>
      </c>
      <c r="E1172">
        <v>0</v>
      </c>
      <c r="F1172" t="str">
        <f t="shared" si="56"/>
        <v>Moderate Risk</v>
      </c>
      <c r="G1172" t="s">
        <v>3</v>
      </c>
      <c r="H1172" t="s">
        <v>4</v>
      </c>
      <c r="I1172" t="s">
        <v>9</v>
      </c>
      <c r="J1172">
        <v>75.62</v>
      </c>
      <c r="K1172">
        <v>25.1</v>
      </c>
      <c r="L1172" t="s">
        <v>12</v>
      </c>
      <c r="M1172">
        <v>0</v>
      </c>
      <c r="N1172" t="str">
        <f t="shared" si="54"/>
        <v>60+</v>
      </c>
      <c r="O1172" t="str">
        <f t="shared" si="55"/>
        <v>Overweight</v>
      </c>
    </row>
    <row r="1173" spans="1:15" x14ac:dyDescent="0.3">
      <c r="A1173">
        <v>48989</v>
      </c>
      <c r="B1173" t="s">
        <v>7</v>
      </c>
      <c r="C1173">
        <v>34</v>
      </c>
      <c r="D1173">
        <v>0</v>
      </c>
      <c r="E1173">
        <v>0</v>
      </c>
      <c r="F1173" t="str">
        <f t="shared" si="56"/>
        <v>Lower Risk</v>
      </c>
      <c r="G1173" t="s">
        <v>13</v>
      </c>
      <c r="H1173" t="s">
        <v>15</v>
      </c>
      <c r="I1173" t="s">
        <v>9</v>
      </c>
      <c r="J1173">
        <v>120.06</v>
      </c>
      <c r="K1173">
        <v>33</v>
      </c>
      <c r="L1173" t="s">
        <v>11</v>
      </c>
      <c r="M1173">
        <v>0</v>
      </c>
      <c r="N1173" t="str">
        <f t="shared" si="54"/>
        <v>Under 40</v>
      </c>
      <c r="O1173" t="str">
        <f t="shared" si="55"/>
        <v>Obese</v>
      </c>
    </row>
    <row r="1174" spans="1:15" x14ac:dyDescent="0.3">
      <c r="A1174">
        <v>30411</v>
      </c>
      <c r="B1174" t="s">
        <v>7</v>
      </c>
      <c r="C1174">
        <v>40</v>
      </c>
      <c r="D1174">
        <v>0</v>
      </c>
      <c r="E1174">
        <v>0</v>
      </c>
      <c r="F1174" t="str">
        <f t="shared" si="56"/>
        <v>Lower Risk</v>
      </c>
      <c r="G1174" t="s">
        <v>13</v>
      </c>
      <c r="H1174" t="s">
        <v>4</v>
      </c>
      <c r="I1174" t="s">
        <v>9</v>
      </c>
      <c r="J1174">
        <v>117.45</v>
      </c>
      <c r="K1174">
        <v>30.7</v>
      </c>
      <c r="L1174" t="s">
        <v>12</v>
      </c>
      <c r="M1174">
        <v>0</v>
      </c>
      <c r="N1174" t="str">
        <f t="shared" si="54"/>
        <v>40–59</v>
      </c>
      <c r="O1174" t="str">
        <f t="shared" si="55"/>
        <v>Obese</v>
      </c>
    </row>
    <row r="1175" spans="1:15" x14ac:dyDescent="0.3">
      <c r="A1175">
        <v>47735</v>
      </c>
      <c r="B1175" t="s">
        <v>7</v>
      </c>
      <c r="C1175">
        <v>59</v>
      </c>
      <c r="D1175">
        <v>0</v>
      </c>
      <c r="E1175">
        <v>0</v>
      </c>
      <c r="F1175" t="str">
        <f t="shared" si="56"/>
        <v>Lower Risk</v>
      </c>
      <c r="G1175" t="s">
        <v>3</v>
      </c>
      <c r="H1175" t="s">
        <v>4</v>
      </c>
      <c r="I1175" t="s">
        <v>9</v>
      </c>
      <c r="J1175">
        <v>224.71</v>
      </c>
      <c r="K1175">
        <v>42.9</v>
      </c>
      <c r="L1175" t="s">
        <v>11</v>
      </c>
      <c r="M1175">
        <v>0</v>
      </c>
      <c r="N1175" t="str">
        <f t="shared" si="54"/>
        <v>40–59</v>
      </c>
      <c r="O1175" t="str">
        <f t="shared" si="55"/>
        <v>Obese</v>
      </c>
    </row>
    <row r="1176" spans="1:15" x14ac:dyDescent="0.3">
      <c r="A1176">
        <v>51162</v>
      </c>
      <c r="B1176" t="s">
        <v>7</v>
      </c>
      <c r="C1176">
        <v>11</v>
      </c>
      <c r="D1176">
        <v>0</v>
      </c>
      <c r="E1176">
        <v>0</v>
      </c>
      <c r="F1176" t="str">
        <f t="shared" si="56"/>
        <v>Lower Risk</v>
      </c>
      <c r="G1176" t="s">
        <v>13</v>
      </c>
      <c r="H1176" t="s">
        <v>16</v>
      </c>
      <c r="I1176" t="s">
        <v>9</v>
      </c>
      <c r="J1176">
        <v>122.75</v>
      </c>
      <c r="K1176">
        <v>14.3</v>
      </c>
      <c r="L1176" t="s">
        <v>14</v>
      </c>
      <c r="M1176">
        <v>0</v>
      </c>
      <c r="N1176" t="str">
        <f t="shared" si="54"/>
        <v>Under 40</v>
      </c>
      <c r="O1176" t="str">
        <f t="shared" si="55"/>
        <v>Underweight</v>
      </c>
    </row>
    <row r="1177" spans="1:15" x14ac:dyDescent="0.3">
      <c r="A1177">
        <v>8598</v>
      </c>
      <c r="B1177" t="s">
        <v>7</v>
      </c>
      <c r="C1177">
        <v>35</v>
      </c>
      <c r="D1177">
        <v>0</v>
      </c>
      <c r="E1177">
        <v>0</v>
      </c>
      <c r="F1177" t="str">
        <f t="shared" si="56"/>
        <v>Lower Risk</v>
      </c>
      <c r="G1177" t="s">
        <v>3</v>
      </c>
      <c r="H1177" t="s">
        <v>15</v>
      </c>
      <c r="I1177" t="s">
        <v>5</v>
      </c>
      <c r="J1177">
        <v>82.39</v>
      </c>
      <c r="K1177">
        <v>33.200000000000003</v>
      </c>
      <c r="L1177" t="s">
        <v>11</v>
      </c>
      <c r="M1177">
        <v>0</v>
      </c>
      <c r="N1177" t="str">
        <f t="shared" si="54"/>
        <v>Under 40</v>
      </c>
      <c r="O1177" t="str">
        <f t="shared" si="55"/>
        <v>Obese</v>
      </c>
    </row>
    <row r="1178" spans="1:15" x14ac:dyDescent="0.3">
      <c r="A1178">
        <v>57347</v>
      </c>
      <c r="B1178" t="s">
        <v>7</v>
      </c>
      <c r="C1178">
        <v>29</v>
      </c>
      <c r="D1178">
        <v>0</v>
      </c>
      <c r="E1178">
        <v>0</v>
      </c>
      <c r="F1178" t="str">
        <f t="shared" si="56"/>
        <v>Lower Risk</v>
      </c>
      <c r="G1178" t="s">
        <v>13</v>
      </c>
      <c r="H1178" t="s">
        <v>15</v>
      </c>
      <c r="I1178" t="s">
        <v>9</v>
      </c>
      <c r="J1178">
        <v>57.02</v>
      </c>
      <c r="K1178">
        <v>43</v>
      </c>
      <c r="L1178" t="s">
        <v>6</v>
      </c>
      <c r="M1178">
        <v>0</v>
      </c>
      <c r="N1178" t="str">
        <f t="shared" si="54"/>
        <v>Under 40</v>
      </c>
      <c r="O1178" t="str">
        <f t="shared" si="55"/>
        <v>Obese</v>
      </c>
    </row>
    <row r="1179" spans="1:15" x14ac:dyDescent="0.3">
      <c r="A1179">
        <v>4683</v>
      </c>
      <c r="B1179" t="s">
        <v>2</v>
      </c>
      <c r="C1179">
        <v>23</v>
      </c>
      <c r="D1179">
        <v>0</v>
      </c>
      <c r="E1179">
        <v>0</v>
      </c>
      <c r="F1179" t="str">
        <f t="shared" si="56"/>
        <v>Lower Risk</v>
      </c>
      <c r="G1179" t="s">
        <v>13</v>
      </c>
      <c r="H1179" t="s">
        <v>4</v>
      </c>
      <c r="I1179" t="s">
        <v>5</v>
      </c>
      <c r="J1179">
        <v>115.98</v>
      </c>
      <c r="K1179">
        <v>22.3</v>
      </c>
      <c r="L1179" t="s">
        <v>11</v>
      </c>
      <c r="M1179">
        <v>0</v>
      </c>
      <c r="N1179" t="str">
        <f t="shared" si="54"/>
        <v>Under 40</v>
      </c>
      <c r="O1179" t="str">
        <f t="shared" si="55"/>
        <v>Normal</v>
      </c>
    </row>
    <row r="1180" spans="1:15" x14ac:dyDescent="0.3">
      <c r="A1180">
        <v>55775</v>
      </c>
      <c r="B1180" t="s">
        <v>7</v>
      </c>
      <c r="C1180">
        <v>59</v>
      </c>
      <c r="D1180">
        <v>0</v>
      </c>
      <c r="E1180">
        <v>0</v>
      </c>
      <c r="F1180" t="str">
        <f t="shared" si="56"/>
        <v>Lower Risk</v>
      </c>
      <c r="G1180" t="s">
        <v>3</v>
      </c>
      <c r="H1180" t="s">
        <v>4</v>
      </c>
      <c r="I1180" t="s">
        <v>9</v>
      </c>
      <c r="J1180">
        <v>226.11</v>
      </c>
      <c r="K1180">
        <v>32.799999999999997</v>
      </c>
      <c r="L1180" t="s">
        <v>6</v>
      </c>
      <c r="M1180">
        <v>0</v>
      </c>
      <c r="N1180" t="str">
        <f t="shared" si="54"/>
        <v>40–59</v>
      </c>
      <c r="O1180" t="str">
        <f t="shared" si="55"/>
        <v>Obese</v>
      </c>
    </row>
    <row r="1181" spans="1:15" x14ac:dyDescent="0.3">
      <c r="A1181">
        <v>32645</v>
      </c>
      <c r="B1181" t="s">
        <v>7</v>
      </c>
      <c r="C1181">
        <v>44</v>
      </c>
      <c r="D1181">
        <v>0</v>
      </c>
      <c r="E1181">
        <v>0</v>
      </c>
      <c r="F1181" t="str">
        <f t="shared" si="56"/>
        <v>Lower Risk</v>
      </c>
      <c r="G1181" t="s">
        <v>3</v>
      </c>
      <c r="H1181" t="s">
        <v>4</v>
      </c>
      <c r="I1181" t="s">
        <v>9</v>
      </c>
      <c r="J1181">
        <v>97.59</v>
      </c>
      <c r="K1181">
        <v>30.5</v>
      </c>
      <c r="L1181" t="s">
        <v>12</v>
      </c>
      <c r="M1181">
        <v>0</v>
      </c>
      <c r="N1181" t="str">
        <f t="shared" si="54"/>
        <v>40–59</v>
      </c>
      <c r="O1181" t="str">
        <f t="shared" si="55"/>
        <v>Obese</v>
      </c>
    </row>
    <row r="1182" spans="1:15" x14ac:dyDescent="0.3">
      <c r="A1182">
        <v>46643</v>
      </c>
      <c r="B1182" t="s">
        <v>7</v>
      </c>
      <c r="C1182">
        <v>62</v>
      </c>
      <c r="D1182">
        <v>0</v>
      </c>
      <c r="E1182">
        <v>0</v>
      </c>
      <c r="F1182" t="str">
        <f t="shared" si="56"/>
        <v>Moderate Risk</v>
      </c>
      <c r="G1182" t="s">
        <v>3</v>
      </c>
      <c r="H1182" t="s">
        <v>4</v>
      </c>
      <c r="I1182" t="s">
        <v>9</v>
      </c>
      <c r="J1182">
        <v>82.57</v>
      </c>
      <c r="K1182">
        <v>36</v>
      </c>
      <c r="L1182" t="s">
        <v>6</v>
      </c>
      <c r="M1182">
        <v>0</v>
      </c>
      <c r="N1182" t="str">
        <f t="shared" si="54"/>
        <v>60+</v>
      </c>
      <c r="O1182" t="str">
        <f t="shared" si="55"/>
        <v>Obese</v>
      </c>
    </row>
    <row r="1183" spans="1:15" x14ac:dyDescent="0.3">
      <c r="A1183">
        <v>782</v>
      </c>
      <c r="B1183" t="s">
        <v>7</v>
      </c>
      <c r="C1183">
        <v>32</v>
      </c>
      <c r="D1183">
        <v>0</v>
      </c>
      <c r="E1183">
        <v>0</v>
      </c>
      <c r="F1183" t="str">
        <f t="shared" si="56"/>
        <v>Lower Risk</v>
      </c>
      <c r="G1183" t="s">
        <v>13</v>
      </c>
      <c r="H1183" t="s">
        <v>4</v>
      </c>
      <c r="I1183" t="s">
        <v>5</v>
      </c>
      <c r="J1183">
        <v>79.34</v>
      </c>
      <c r="K1183">
        <v>26.5</v>
      </c>
      <c r="L1183" t="s">
        <v>6</v>
      </c>
      <c r="M1183">
        <v>0</v>
      </c>
      <c r="N1183" t="str">
        <f t="shared" si="54"/>
        <v>Under 40</v>
      </c>
      <c r="O1183" t="str">
        <f t="shared" si="55"/>
        <v>Overweight</v>
      </c>
    </row>
    <row r="1184" spans="1:15" x14ac:dyDescent="0.3">
      <c r="A1184">
        <v>63565</v>
      </c>
      <c r="B1184" t="s">
        <v>7</v>
      </c>
      <c r="C1184">
        <v>2</v>
      </c>
      <c r="D1184">
        <v>0</v>
      </c>
      <c r="E1184">
        <v>0</v>
      </c>
      <c r="F1184" t="str">
        <f t="shared" si="56"/>
        <v>Lower Risk</v>
      </c>
      <c r="G1184" t="s">
        <v>13</v>
      </c>
      <c r="H1184" t="s">
        <v>16</v>
      </c>
      <c r="I1184" t="s">
        <v>9</v>
      </c>
      <c r="J1184">
        <v>125.68</v>
      </c>
      <c r="K1184">
        <v>20.100000000000001</v>
      </c>
      <c r="L1184" t="s">
        <v>14</v>
      </c>
      <c r="M1184">
        <v>0</v>
      </c>
      <c r="N1184" t="str">
        <f t="shared" si="54"/>
        <v>Under 40</v>
      </c>
      <c r="O1184" t="str">
        <f t="shared" si="55"/>
        <v>Normal</v>
      </c>
    </row>
    <row r="1185" spans="1:15" x14ac:dyDescent="0.3">
      <c r="A1185">
        <v>13602</v>
      </c>
      <c r="B1185" t="s">
        <v>2</v>
      </c>
      <c r="C1185">
        <v>73</v>
      </c>
      <c r="D1185">
        <v>1</v>
      </c>
      <c r="E1185">
        <v>0</v>
      </c>
      <c r="F1185" t="str">
        <f t="shared" si="56"/>
        <v>High Risk</v>
      </c>
      <c r="G1185" t="s">
        <v>3</v>
      </c>
      <c r="H1185" t="s">
        <v>8</v>
      </c>
      <c r="I1185" t="s">
        <v>9</v>
      </c>
      <c r="J1185">
        <v>102.06</v>
      </c>
      <c r="K1185" t="s">
        <v>10</v>
      </c>
      <c r="L1185" t="s">
        <v>14</v>
      </c>
      <c r="M1185">
        <v>0</v>
      </c>
      <c r="N1185" t="str">
        <f t="shared" si="54"/>
        <v>60+</v>
      </c>
      <c r="O1185" t="str">
        <f t="shared" si="55"/>
        <v>Unknown</v>
      </c>
    </row>
    <row r="1186" spans="1:15" x14ac:dyDescent="0.3">
      <c r="A1186">
        <v>28326</v>
      </c>
      <c r="B1186" t="s">
        <v>7</v>
      </c>
      <c r="C1186">
        <v>79</v>
      </c>
      <c r="D1186">
        <v>0</v>
      </c>
      <c r="E1186">
        <v>0</v>
      </c>
      <c r="F1186" t="str">
        <f t="shared" si="56"/>
        <v>Moderate Risk</v>
      </c>
      <c r="G1186" t="s">
        <v>3</v>
      </c>
      <c r="H1186" t="s">
        <v>4</v>
      </c>
      <c r="I1186" t="s">
        <v>5</v>
      </c>
      <c r="J1186">
        <v>65.59</v>
      </c>
      <c r="K1186">
        <v>28.1</v>
      </c>
      <c r="L1186" t="s">
        <v>11</v>
      </c>
      <c r="M1186">
        <v>0</v>
      </c>
      <c r="N1186" t="str">
        <f t="shared" si="54"/>
        <v>60+</v>
      </c>
      <c r="O1186" t="str">
        <f t="shared" si="55"/>
        <v>Overweight</v>
      </c>
    </row>
    <row r="1187" spans="1:15" x14ac:dyDescent="0.3">
      <c r="A1187">
        <v>26389</v>
      </c>
      <c r="B1187" t="s">
        <v>7</v>
      </c>
      <c r="C1187">
        <v>2</v>
      </c>
      <c r="D1187">
        <v>0</v>
      </c>
      <c r="E1187">
        <v>0</v>
      </c>
      <c r="F1187" t="str">
        <f t="shared" si="56"/>
        <v>Lower Risk</v>
      </c>
      <c r="G1187" t="s">
        <v>13</v>
      </c>
      <c r="H1187" t="s">
        <v>16</v>
      </c>
      <c r="I1187" t="s">
        <v>5</v>
      </c>
      <c r="J1187">
        <v>120.85</v>
      </c>
      <c r="K1187">
        <v>16.2</v>
      </c>
      <c r="L1187" t="s">
        <v>14</v>
      </c>
      <c r="M1187">
        <v>0</v>
      </c>
      <c r="N1187" t="str">
        <f t="shared" si="54"/>
        <v>Under 40</v>
      </c>
      <c r="O1187" t="str">
        <f t="shared" si="55"/>
        <v>Underweight</v>
      </c>
    </row>
    <row r="1188" spans="1:15" x14ac:dyDescent="0.3">
      <c r="A1188">
        <v>16906</v>
      </c>
      <c r="B1188" t="s">
        <v>2</v>
      </c>
      <c r="C1188">
        <v>43</v>
      </c>
      <c r="D1188">
        <v>0</v>
      </c>
      <c r="E1188">
        <v>0</v>
      </c>
      <c r="F1188" t="str">
        <f t="shared" si="56"/>
        <v>Lower Risk</v>
      </c>
      <c r="G1188" t="s">
        <v>3</v>
      </c>
      <c r="H1188" t="s">
        <v>15</v>
      </c>
      <c r="I1188" t="s">
        <v>5</v>
      </c>
      <c r="J1188">
        <v>101.65</v>
      </c>
      <c r="K1188">
        <v>30</v>
      </c>
      <c r="L1188" t="s">
        <v>11</v>
      </c>
      <c r="M1188">
        <v>0</v>
      </c>
      <c r="N1188" t="str">
        <f t="shared" si="54"/>
        <v>40–59</v>
      </c>
      <c r="O1188" t="str">
        <f t="shared" si="55"/>
        <v>Obese</v>
      </c>
    </row>
    <row r="1189" spans="1:15" x14ac:dyDescent="0.3">
      <c r="A1189">
        <v>35140</v>
      </c>
      <c r="B1189" t="s">
        <v>2</v>
      </c>
      <c r="C1189">
        <v>43</v>
      </c>
      <c r="D1189">
        <v>0</v>
      </c>
      <c r="E1189">
        <v>0</v>
      </c>
      <c r="F1189" t="str">
        <f t="shared" si="56"/>
        <v>Lower Risk</v>
      </c>
      <c r="G1189" t="s">
        <v>3</v>
      </c>
      <c r="H1189" t="s">
        <v>15</v>
      </c>
      <c r="I1189" t="s">
        <v>5</v>
      </c>
      <c r="J1189">
        <v>210.94</v>
      </c>
      <c r="K1189">
        <v>31.3</v>
      </c>
      <c r="L1189" t="s">
        <v>11</v>
      </c>
      <c r="M1189">
        <v>0</v>
      </c>
      <c r="N1189" t="str">
        <f t="shared" si="54"/>
        <v>40–59</v>
      </c>
      <c r="O1189" t="str">
        <f t="shared" si="55"/>
        <v>Obese</v>
      </c>
    </row>
    <row r="1190" spans="1:15" x14ac:dyDescent="0.3">
      <c r="A1190">
        <v>16837</v>
      </c>
      <c r="B1190" t="s">
        <v>2</v>
      </c>
      <c r="C1190">
        <v>62</v>
      </c>
      <c r="D1190">
        <v>1</v>
      </c>
      <c r="E1190">
        <v>0</v>
      </c>
      <c r="F1190" t="str">
        <f t="shared" si="56"/>
        <v>High Risk</v>
      </c>
      <c r="G1190" t="s">
        <v>3</v>
      </c>
      <c r="H1190" t="s">
        <v>4</v>
      </c>
      <c r="I1190" t="s">
        <v>9</v>
      </c>
      <c r="J1190">
        <v>77.92</v>
      </c>
      <c r="K1190">
        <v>26.7</v>
      </c>
      <c r="L1190" t="s">
        <v>11</v>
      </c>
      <c r="M1190">
        <v>0</v>
      </c>
      <c r="N1190" t="str">
        <f t="shared" si="54"/>
        <v>60+</v>
      </c>
      <c r="O1190" t="str">
        <f t="shared" si="55"/>
        <v>Overweight</v>
      </c>
    </row>
    <row r="1191" spans="1:15" x14ac:dyDescent="0.3">
      <c r="A1191">
        <v>2750</v>
      </c>
      <c r="B1191" t="s">
        <v>2</v>
      </c>
      <c r="C1191">
        <v>73</v>
      </c>
      <c r="D1191">
        <v>1</v>
      </c>
      <c r="E1191">
        <v>1</v>
      </c>
      <c r="F1191" t="str">
        <f t="shared" si="56"/>
        <v>High Risk</v>
      </c>
      <c r="G1191" t="s">
        <v>3</v>
      </c>
      <c r="H1191" t="s">
        <v>8</v>
      </c>
      <c r="I1191" t="s">
        <v>9</v>
      </c>
      <c r="J1191">
        <v>230.68</v>
      </c>
      <c r="K1191">
        <v>37.700000000000003</v>
      </c>
      <c r="L1191" t="s">
        <v>14</v>
      </c>
      <c r="M1191">
        <v>0</v>
      </c>
      <c r="N1191" t="str">
        <f t="shared" si="54"/>
        <v>60+</v>
      </c>
      <c r="O1191" t="str">
        <f t="shared" si="55"/>
        <v>Obese</v>
      </c>
    </row>
    <row r="1192" spans="1:15" x14ac:dyDescent="0.3">
      <c r="A1192">
        <v>47585</v>
      </c>
      <c r="B1192" t="s">
        <v>7</v>
      </c>
      <c r="C1192">
        <v>31</v>
      </c>
      <c r="D1192">
        <v>0</v>
      </c>
      <c r="E1192">
        <v>0</v>
      </c>
      <c r="F1192" t="str">
        <f t="shared" si="56"/>
        <v>Lower Risk</v>
      </c>
      <c r="G1192" t="s">
        <v>13</v>
      </c>
      <c r="H1192" t="s">
        <v>8</v>
      </c>
      <c r="I1192" t="s">
        <v>5</v>
      </c>
      <c r="J1192">
        <v>62.68</v>
      </c>
      <c r="K1192">
        <v>35.799999999999997</v>
      </c>
      <c r="L1192" t="s">
        <v>11</v>
      </c>
      <c r="M1192">
        <v>0</v>
      </c>
      <c r="N1192" t="str">
        <f t="shared" si="54"/>
        <v>Under 40</v>
      </c>
      <c r="O1192" t="str">
        <f t="shared" si="55"/>
        <v>Obese</v>
      </c>
    </row>
    <row r="1193" spans="1:15" x14ac:dyDescent="0.3">
      <c r="A1193">
        <v>37404</v>
      </c>
      <c r="B1193" t="s">
        <v>2</v>
      </c>
      <c r="C1193">
        <v>42</v>
      </c>
      <c r="D1193">
        <v>0</v>
      </c>
      <c r="E1193">
        <v>0</v>
      </c>
      <c r="F1193" t="str">
        <f t="shared" si="56"/>
        <v>Lower Risk</v>
      </c>
      <c r="G1193" t="s">
        <v>3</v>
      </c>
      <c r="H1193" t="s">
        <v>4</v>
      </c>
      <c r="I1193" t="s">
        <v>5</v>
      </c>
      <c r="J1193">
        <v>55.22</v>
      </c>
      <c r="K1193">
        <v>27</v>
      </c>
      <c r="L1193" t="s">
        <v>11</v>
      </c>
      <c r="M1193">
        <v>0</v>
      </c>
      <c r="N1193" t="str">
        <f t="shared" si="54"/>
        <v>40–59</v>
      </c>
      <c r="O1193" t="str">
        <f t="shared" si="55"/>
        <v>Overweight</v>
      </c>
    </row>
    <row r="1194" spans="1:15" x14ac:dyDescent="0.3">
      <c r="A1194">
        <v>39518</v>
      </c>
      <c r="B1194" t="s">
        <v>7</v>
      </c>
      <c r="C1194">
        <v>20</v>
      </c>
      <c r="D1194">
        <v>0</v>
      </c>
      <c r="E1194">
        <v>0</v>
      </c>
      <c r="F1194" t="str">
        <f t="shared" si="56"/>
        <v>Lower Risk</v>
      </c>
      <c r="G1194" t="s">
        <v>13</v>
      </c>
      <c r="H1194" t="s">
        <v>4</v>
      </c>
      <c r="I1194" t="s">
        <v>9</v>
      </c>
      <c r="J1194">
        <v>78.94</v>
      </c>
      <c r="K1194">
        <v>20.7</v>
      </c>
      <c r="L1194" t="s">
        <v>11</v>
      </c>
      <c r="M1194">
        <v>0</v>
      </c>
      <c r="N1194" t="str">
        <f t="shared" si="54"/>
        <v>Under 40</v>
      </c>
      <c r="O1194" t="str">
        <f t="shared" si="55"/>
        <v>Normal</v>
      </c>
    </row>
    <row r="1195" spans="1:15" x14ac:dyDescent="0.3">
      <c r="A1195">
        <v>70678</v>
      </c>
      <c r="B1195" t="s">
        <v>7</v>
      </c>
      <c r="C1195">
        <v>55</v>
      </c>
      <c r="D1195">
        <v>0</v>
      </c>
      <c r="E1195">
        <v>1</v>
      </c>
      <c r="F1195" t="str">
        <f t="shared" si="56"/>
        <v>Lower Risk</v>
      </c>
      <c r="G1195" t="s">
        <v>13</v>
      </c>
      <c r="H1195" t="s">
        <v>4</v>
      </c>
      <c r="I1195" t="s">
        <v>9</v>
      </c>
      <c r="J1195">
        <v>109.69</v>
      </c>
      <c r="K1195">
        <v>22.2</v>
      </c>
      <c r="L1195" t="s">
        <v>12</v>
      </c>
      <c r="M1195">
        <v>0</v>
      </c>
      <c r="N1195" t="str">
        <f t="shared" si="54"/>
        <v>40–59</v>
      </c>
      <c r="O1195" t="str">
        <f t="shared" si="55"/>
        <v>Normal</v>
      </c>
    </row>
    <row r="1196" spans="1:15" x14ac:dyDescent="0.3">
      <c r="A1196">
        <v>542</v>
      </c>
      <c r="B1196" t="s">
        <v>7</v>
      </c>
      <c r="C1196">
        <v>3</v>
      </c>
      <c r="D1196">
        <v>0</v>
      </c>
      <c r="E1196">
        <v>0</v>
      </c>
      <c r="F1196" t="str">
        <f t="shared" si="56"/>
        <v>Lower Risk</v>
      </c>
      <c r="G1196" t="s">
        <v>13</v>
      </c>
      <c r="H1196" t="s">
        <v>16</v>
      </c>
      <c r="I1196" t="s">
        <v>5</v>
      </c>
      <c r="J1196">
        <v>79.63</v>
      </c>
      <c r="K1196" t="s">
        <v>10</v>
      </c>
      <c r="L1196" t="s">
        <v>14</v>
      </c>
      <c r="M1196">
        <v>0</v>
      </c>
      <c r="N1196" t="str">
        <f t="shared" si="54"/>
        <v>Under 40</v>
      </c>
      <c r="O1196" t="str">
        <f t="shared" si="55"/>
        <v>Unknown</v>
      </c>
    </row>
    <row r="1197" spans="1:15" x14ac:dyDescent="0.3">
      <c r="A1197">
        <v>38649</v>
      </c>
      <c r="B1197" t="s">
        <v>7</v>
      </c>
      <c r="C1197">
        <v>23</v>
      </c>
      <c r="D1197">
        <v>0</v>
      </c>
      <c r="E1197">
        <v>0</v>
      </c>
      <c r="F1197" t="str">
        <f t="shared" si="56"/>
        <v>Lower Risk</v>
      </c>
      <c r="G1197" t="s">
        <v>13</v>
      </c>
      <c r="H1197" t="s">
        <v>4</v>
      </c>
      <c r="I1197" t="s">
        <v>9</v>
      </c>
      <c r="J1197">
        <v>79.33</v>
      </c>
      <c r="K1197">
        <v>41.5</v>
      </c>
      <c r="L1197" t="s">
        <v>11</v>
      </c>
      <c r="M1197">
        <v>0</v>
      </c>
      <c r="N1197" t="str">
        <f t="shared" si="54"/>
        <v>Under 40</v>
      </c>
      <c r="O1197" t="str">
        <f t="shared" si="55"/>
        <v>Obese</v>
      </c>
    </row>
    <row r="1198" spans="1:15" x14ac:dyDescent="0.3">
      <c r="A1198">
        <v>53266</v>
      </c>
      <c r="B1198" t="s">
        <v>7</v>
      </c>
      <c r="C1198">
        <v>33</v>
      </c>
      <c r="D1198">
        <v>0</v>
      </c>
      <c r="E1198">
        <v>0</v>
      </c>
      <c r="F1198" t="str">
        <f t="shared" si="56"/>
        <v>Lower Risk</v>
      </c>
      <c r="G1198" t="s">
        <v>3</v>
      </c>
      <c r="H1198" t="s">
        <v>4</v>
      </c>
      <c r="I1198" t="s">
        <v>5</v>
      </c>
      <c r="J1198">
        <v>79.91</v>
      </c>
      <c r="K1198">
        <v>33.5</v>
      </c>
      <c r="L1198" t="s">
        <v>11</v>
      </c>
      <c r="M1198">
        <v>0</v>
      </c>
      <c r="N1198" t="str">
        <f t="shared" si="54"/>
        <v>Under 40</v>
      </c>
      <c r="O1198" t="str">
        <f t="shared" si="55"/>
        <v>Obese</v>
      </c>
    </row>
    <row r="1199" spans="1:15" x14ac:dyDescent="0.3">
      <c r="A1199">
        <v>26031</v>
      </c>
      <c r="B1199" t="s">
        <v>7</v>
      </c>
      <c r="C1199">
        <v>14</v>
      </c>
      <c r="D1199">
        <v>0</v>
      </c>
      <c r="E1199">
        <v>0</v>
      </c>
      <c r="F1199" t="str">
        <f t="shared" si="56"/>
        <v>Lower Risk</v>
      </c>
      <c r="G1199" t="s">
        <v>13</v>
      </c>
      <c r="H1199" t="s">
        <v>4</v>
      </c>
      <c r="I1199" t="s">
        <v>9</v>
      </c>
      <c r="J1199">
        <v>84.46</v>
      </c>
      <c r="K1199">
        <v>21.8</v>
      </c>
      <c r="L1199" t="s">
        <v>14</v>
      </c>
      <c r="M1199">
        <v>0</v>
      </c>
      <c r="N1199" t="str">
        <f t="shared" si="54"/>
        <v>Under 40</v>
      </c>
      <c r="O1199" t="str">
        <f t="shared" si="55"/>
        <v>Normal</v>
      </c>
    </row>
    <row r="1200" spans="1:15" x14ac:dyDescent="0.3">
      <c r="A1200">
        <v>1191</v>
      </c>
      <c r="B1200" t="s">
        <v>7</v>
      </c>
      <c r="C1200">
        <v>79</v>
      </c>
      <c r="D1200">
        <v>0</v>
      </c>
      <c r="E1200">
        <v>1</v>
      </c>
      <c r="F1200" t="str">
        <f t="shared" si="56"/>
        <v>High Risk</v>
      </c>
      <c r="G1200" t="s">
        <v>3</v>
      </c>
      <c r="H1200" t="s">
        <v>4</v>
      </c>
      <c r="I1200" t="s">
        <v>5</v>
      </c>
      <c r="J1200">
        <v>68.400000000000006</v>
      </c>
      <c r="K1200">
        <v>22.1</v>
      </c>
      <c r="L1200" t="s">
        <v>6</v>
      </c>
      <c r="M1200">
        <v>0</v>
      </c>
      <c r="N1200" t="str">
        <f t="shared" si="54"/>
        <v>60+</v>
      </c>
      <c r="O1200" t="str">
        <f t="shared" si="55"/>
        <v>Normal</v>
      </c>
    </row>
    <row r="1201" spans="1:15" x14ac:dyDescent="0.3">
      <c r="A1201">
        <v>36820</v>
      </c>
      <c r="B1201" t="s">
        <v>2</v>
      </c>
      <c r="C1201">
        <v>64</v>
      </c>
      <c r="D1201">
        <v>1</v>
      </c>
      <c r="E1201">
        <v>0</v>
      </c>
      <c r="F1201" t="str">
        <f t="shared" si="56"/>
        <v>High Risk</v>
      </c>
      <c r="G1201" t="s">
        <v>3</v>
      </c>
      <c r="H1201" t="s">
        <v>4</v>
      </c>
      <c r="I1201" t="s">
        <v>9</v>
      </c>
      <c r="J1201">
        <v>78.430000000000007</v>
      </c>
      <c r="K1201">
        <v>30.2</v>
      </c>
      <c r="L1201" t="s">
        <v>12</v>
      </c>
      <c r="M1201">
        <v>0</v>
      </c>
      <c r="N1201" t="str">
        <f t="shared" si="54"/>
        <v>60+</v>
      </c>
      <c r="O1201" t="str">
        <f t="shared" si="55"/>
        <v>Obese</v>
      </c>
    </row>
    <row r="1202" spans="1:15" x14ac:dyDescent="0.3">
      <c r="A1202">
        <v>62783</v>
      </c>
      <c r="B1202" t="s">
        <v>7</v>
      </c>
      <c r="C1202">
        <v>76</v>
      </c>
      <c r="D1202">
        <v>0</v>
      </c>
      <c r="E1202">
        <v>0</v>
      </c>
      <c r="F1202" t="str">
        <f t="shared" si="56"/>
        <v>Moderate Risk</v>
      </c>
      <c r="G1202" t="s">
        <v>3</v>
      </c>
      <c r="H1202" t="s">
        <v>4</v>
      </c>
      <c r="I1202" t="s">
        <v>5</v>
      </c>
      <c r="J1202">
        <v>198.02</v>
      </c>
      <c r="K1202">
        <v>38.700000000000003</v>
      </c>
      <c r="L1202" t="s">
        <v>14</v>
      </c>
      <c r="M1202">
        <v>0</v>
      </c>
      <c r="N1202" t="str">
        <f t="shared" si="54"/>
        <v>60+</v>
      </c>
      <c r="O1202" t="str">
        <f t="shared" si="55"/>
        <v>Obese</v>
      </c>
    </row>
    <row r="1203" spans="1:15" x14ac:dyDescent="0.3">
      <c r="A1203">
        <v>10133</v>
      </c>
      <c r="B1203" t="s">
        <v>2</v>
      </c>
      <c r="C1203">
        <v>46</v>
      </c>
      <c r="D1203">
        <v>0</v>
      </c>
      <c r="E1203">
        <v>0</v>
      </c>
      <c r="F1203" t="str">
        <f t="shared" si="56"/>
        <v>Lower Risk</v>
      </c>
      <c r="G1203" t="s">
        <v>3</v>
      </c>
      <c r="H1203" t="s">
        <v>4</v>
      </c>
      <c r="I1203" t="s">
        <v>5</v>
      </c>
      <c r="J1203">
        <v>85.35</v>
      </c>
      <c r="K1203">
        <v>32.1</v>
      </c>
      <c r="L1203" t="s">
        <v>12</v>
      </c>
      <c r="M1203">
        <v>0</v>
      </c>
      <c r="N1203" t="str">
        <f t="shared" si="54"/>
        <v>40–59</v>
      </c>
      <c r="O1203" t="str">
        <f t="shared" si="55"/>
        <v>Obese</v>
      </c>
    </row>
    <row r="1204" spans="1:15" x14ac:dyDescent="0.3">
      <c r="A1204">
        <v>19778</v>
      </c>
      <c r="B1204" t="s">
        <v>2</v>
      </c>
      <c r="C1204">
        <v>80</v>
      </c>
      <c r="D1204">
        <v>0</v>
      </c>
      <c r="E1204">
        <v>0</v>
      </c>
      <c r="F1204" t="str">
        <f t="shared" si="56"/>
        <v>Moderate Risk</v>
      </c>
      <c r="G1204" t="s">
        <v>13</v>
      </c>
      <c r="H1204" t="s">
        <v>8</v>
      </c>
      <c r="I1204" t="s">
        <v>9</v>
      </c>
      <c r="J1204">
        <v>204.17</v>
      </c>
      <c r="K1204">
        <v>41.3</v>
      </c>
      <c r="L1204" t="s">
        <v>6</v>
      </c>
      <c r="M1204">
        <v>0</v>
      </c>
      <c r="N1204" t="str">
        <f t="shared" si="54"/>
        <v>60+</v>
      </c>
      <c r="O1204" t="str">
        <f t="shared" si="55"/>
        <v>Obese</v>
      </c>
    </row>
    <row r="1205" spans="1:15" x14ac:dyDescent="0.3">
      <c r="A1205">
        <v>38255</v>
      </c>
      <c r="B1205" t="s">
        <v>2</v>
      </c>
      <c r="C1205">
        <v>21</v>
      </c>
      <c r="D1205">
        <v>0</v>
      </c>
      <c r="E1205">
        <v>0</v>
      </c>
      <c r="F1205" t="str">
        <f t="shared" si="56"/>
        <v>Lower Risk</v>
      </c>
      <c r="G1205" t="s">
        <v>13</v>
      </c>
      <c r="H1205" t="s">
        <v>4</v>
      </c>
      <c r="I1205" t="s">
        <v>5</v>
      </c>
      <c r="J1205">
        <v>82.71</v>
      </c>
      <c r="K1205">
        <v>20.100000000000001</v>
      </c>
      <c r="L1205" t="s">
        <v>6</v>
      </c>
      <c r="M1205">
        <v>0</v>
      </c>
      <c r="N1205" t="str">
        <f t="shared" si="54"/>
        <v>Under 40</v>
      </c>
      <c r="O1205" t="str">
        <f t="shared" si="55"/>
        <v>Normal</v>
      </c>
    </row>
    <row r="1206" spans="1:15" x14ac:dyDescent="0.3">
      <c r="A1206">
        <v>41565</v>
      </c>
      <c r="B1206" t="s">
        <v>7</v>
      </c>
      <c r="C1206">
        <v>33</v>
      </c>
      <c r="D1206">
        <v>0</v>
      </c>
      <c r="E1206">
        <v>0</v>
      </c>
      <c r="F1206" t="str">
        <f t="shared" si="56"/>
        <v>Lower Risk</v>
      </c>
      <c r="G1206" t="s">
        <v>13</v>
      </c>
      <c r="H1206" t="s">
        <v>4</v>
      </c>
      <c r="I1206" t="s">
        <v>5</v>
      </c>
      <c r="J1206">
        <v>121.19</v>
      </c>
      <c r="K1206">
        <v>22.1</v>
      </c>
      <c r="L1206" t="s">
        <v>11</v>
      </c>
      <c r="M1206">
        <v>0</v>
      </c>
      <c r="N1206" t="str">
        <f t="shared" si="54"/>
        <v>Under 40</v>
      </c>
      <c r="O1206" t="str">
        <f t="shared" si="55"/>
        <v>Normal</v>
      </c>
    </row>
    <row r="1207" spans="1:15" x14ac:dyDescent="0.3">
      <c r="A1207">
        <v>39423</v>
      </c>
      <c r="B1207" t="s">
        <v>7</v>
      </c>
      <c r="C1207">
        <v>32</v>
      </c>
      <c r="D1207">
        <v>0</v>
      </c>
      <c r="E1207">
        <v>0</v>
      </c>
      <c r="F1207" t="str">
        <f t="shared" si="56"/>
        <v>Lower Risk</v>
      </c>
      <c r="G1207" t="s">
        <v>3</v>
      </c>
      <c r="H1207" t="s">
        <v>4</v>
      </c>
      <c r="I1207" t="s">
        <v>9</v>
      </c>
      <c r="J1207">
        <v>106.02</v>
      </c>
      <c r="K1207">
        <v>24.9</v>
      </c>
      <c r="L1207" t="s">
        <v>12</v>
      </c>
      <c r="M1207">
        <v>0</v>
      </c>
      <c r="N1207" t="str">
        <f t="shared" si="54"/>
        <v>Under 40</v>
      </c>
      <c r="O1207" t="str">
        <f t="shared" si="55"/>
        <v>Normal</v>
      </c>
    </row>
    <row r="1208" spans="1:15" x14ac:dyDescent="0.3">
      <c r="A1208">
        <v>68908</v>
      </c>
      <c r="B1208" t="s">
        <v>7</v>
      </c>
      <c r="C1208">
        <v>0.72</v>
      </c>
      <c r="D1208">
        <v>0</v>
      </c>
      <c r="E1208">
        <v>0</v>
      </c>
      <c r="F1208" t="str">
        <f t="shared" si="56"/>
        <v>Lower Risk</v>
      </c>
      <c r="G1208" t="s">
        <v>13</v>
      </c>
      <c r="H1208" t="s">
        <v>16</v>
      </c>
      <c r="I1208" t="s">
        <v>5</v>
      </c>
      <c r="J1208">
        <v>66.36</v>
      </c>
      <c r="K1208">
        <v>23</v>
      </c>
      <c r="L1208" t="s">
        <v>14</v>
      </c>
      <c r="M1208">
        <v>0</v>
      </c>
      <c r="N1208" t="str">
        <f t="shared" si="54"/>
        <v>Under 40</v>
      </c>
      <c r="O1208" t="str">
        <f t="shared" si="55"/>
        <v>Normal</v>
      </c>
    </row>
    <row r="1209" spans="1:15" x14ac:dyDescent="0.3">
      <c r="A1209">
        <v>22440</v>
      </c>
      <c r="B1209" t="s">
        <v>7</v>
      </c>
      <c r="C1209">
        <v>49</v>
      </c>
      <c r="D1209">
        <v>0</v>
      </c>
      <c r="E1209">
        <v>0</v>
      </c>
      <c r="F1209" t="str">
        <f t="shared" si="56"/>
        <v>Lower Risk</v>
      </c>
      <c r="G1209" t="s">
        <v>3</v>
      </c>
      <c r="H1209" t="s">
        <v>4</v>
      </c>
      <c r="I1209" t="s">
        <v>5</v>
      </c>
      <c r="J1209">
        <v>267.76</v>
      </c>
      <c r="K1209">
        <v>29.3</v>
      </c>
      <c r="L1209" t="s">
        <v>6</v>
      </c>
      <c r="M1209">
        <v>0</v>
      </c>
      <c r="N1209" t="str">
        <f t="shared" si="54"/>
        <v>40–59</v>
      </c>
      <c r="O1209" t="str">
        <f t="shared" si="55"/>
        <v>Overweight</v>
      </c>
    </row>
    <row r="1210" spans="1:15" x14ac:dyDescent="0.3">
      <c r="A1210">
        <v>28418</v>
      </c>
      <c r="B1210" t="s">
        <v>7</v>
      </c>
      <c r="C1210">
        <v>41</v>
      </c>
      <c r="D1210">
        <v>0</v>
      </c>
      <c r="E1210">
        <v>0</v>
      </c>
      <c r="F1210" t="str">
        <f t="shared" si="56"/>
        <v>Lower Risk</v>
      </c>
      <c r="G1210" t="s">
        <v>3</v>
      </c>
      <c r="H1210" t="s">
        <v>4</v>
      </c>
      <c r="I1210" t="s">
        <v>9</v>
      </c>
      <c r="J1210">
        <v>107.18</v>
      </c>
      <c r="K1210">
        <v>22.8</v>
      </c>
      <c r="L1210" t="s">
        <v>11</v>
      </c>
      <c r="M1210">
        <v>0</v>
      </c>
      <c r="N1210" t="str">
        <f t="shared" si="54"/>
        <v>40–59</v>
      </c>
      <c r="O1210" t="str">
        <f t="shared" si="55"/>
        <v>Normal</v>
      </c>
    </row>
    <row r="1211" spans="1:15" x14ac:dyDescent="0.3">
      <c r="A1211">
        <v>22566</v>
      </c>
      <c r="B1211" t="s">
        <v>2</v>
      </c>
      <c r="C1211">
        <v>37</v>
      </c>
      <c r="D1211">
        <v>0</v>
      </c>
      <c r="E1211">
        <v>0</v>
      </c>
      <c r="F1211" t="str">
        <f t="shared" si="56"/>
        <v>Lower Risk</v>
      </c>
      <c r="G1211" t="s">
        <v>3</v>
      </c>
      <c r="H1211" t="s">
        <v>4</v>
      </c>
      <c r="I1211" t="s">
        <v>9</v>
      </c>
      <c r="J1211">
        <v>74.58</v>
      </c>
      <c r="K1211">
        <v>31.6</v>
      </c>
      <c r="L1211" t="s">
        <v>14</v>
      </c>
      <c r="M1211">
        <v>0</v>
      </c>
      <c r="N1211" t="str">
        <f t="shared" si="54"/>
        <v>Under 40</v>
      </c>
      <c r="O1211" t="str">
        <f t="shared" si="55"/>
        <v>Obese</v>
      </c>
    </row>
    <row r="1212" spans="1:15" x14ac:dyDescent="0.3">
      <c r="A1212">
        <v>7055</v>
      </c>
      <c r="B1212" t="s">
        <v>7</v>
      </c>
      <c r="C1212">
        <v>58</v>
      </c>
      <c r="D1212">
        <v>0</v>
      </c>
      <c r="E1212">
        <v>0</v>
      </c>
      <c r="F1212" t="str">
        <f t="shared" si="56"/>
        <v>Lower Risk</v>
      </c>
      <c r="G1212" t="s">
        <v>3</v>
      </c>
      <c r="H1212" t="s">
        <v>4</v>
      </c>
      <c r="I1212" t="s">
        <v>5</v>
      </c>
      <c r="J1212">
        <v>80.92</v>
      </c>
      <c r="K1212">
        <v>19.399999999999999</v>
      </c>
      <c r="L1212" t="s">
        <v>14</v>
      </c>
      <c r="M1212">
        <v>0</v>
      </c>
      <c r="N1212" t="str">
        <f t="shared" si="54"/>
        <v>40–59</v>
      </c>
      <c r="O1212" t="str">
        <f t="shared" si="55"/>
        <v>Normal</v>
      </c>
    </row>
    <row r="1213" spans="1:15" x14ac:dyDescent="0.3">
      <c r="A1213">
        <v>69177</v>
      </c>
      <c r="B1213" t="s">
        <v>7</v>
      </c>
      <c r="C1213">
        <v>79</v>
      </c>
      <c r="D1213">
        <v>0</v>
      </c>
      <c r="E1213">
        <v>0</v>
      </c>
      <c r="F1213" t="str">
        <f t="shared" si="56"/>
        <v>Moderate Risk</v>
      </c>
      <c r="G1213" t="s">
        <v>3</v>
      </c>
      <c r="H1213" t="s">
        <v>4</v>
      </c>
      <c r="I1213" t="s">
        <v>9</v>
      </c>
      <c r="J1213">
        <v>90.77</v>
      </c>
      <c r="K1213">
        <v>22.5</v>
      </c>
      <c r="L1213" t="s">
        <v>11</v>
      </c>
      <c r="M1213">
        <v>0</v>
      </c>
      <c r="N1213" t="str">
        <f t="shared" si="54"/>
        <v>60+</v>
      </c>
      <c r="O1213" t="str">
        <f t="shared" si="55"/>
        <v>Normal</v>
      </c>
    </row>
    <row r="1214" spans="1:15" x14ac:dyDescent="0.3">
      <c r="A1214">
        <v>33162</v>
      </c>
      <c r="B1214" t="s">
        <v>7</v>
      </c>
      <c r="C1214">
        <v>23</v>
      </c>
      <c r="D1214">
        <v>0</v>
      </c>
      <c r="E1214">
        <v>0</v>
      </c>
      <c r="F1214" t="str">
        <f t="shared" si="56"/>
        <v>Lower Risk</v>
      </c>
      <c r="G1214" t="s">
        <v>13</v>
      </c>
      <c r="H1214" t="s">
        <v>4</v>
      </c>
      <c r="I1214" t="s">
        <v>9</v>
      </c>
      <c r="J1214">
        <v>90.84</v>
      </c>
      <c r="K1214">
        <v>31.6</v>
      </c>
      <c r="L1214" t="s">
        <v>11</v>
      </c>
      <c r="M1214">
        <v>0</v>
      </c>
      <c r="N1214" t="str">
        <f t="shared" si="54"/>
        <v>Under 40</v>
      </c>
      <c r="O1214" t="str">
        <f t="shared" si="55"/>
        <v>Obese</v>
      </c>
    </row>
    <row r="1215" spans="1:15" x14ac:dyDescent="0.3">
      <c r="A1215">
        <v>44764</v>
      </c>
      <c r="B1215" t="s">
        <v>7</v>
      </c>
      <c r="C1215">
        <v>78</v>
      </c>
      <c r="D1215">
        <v>1</v>
      </c>
      <c r="E1215">
        <v>0</v>
      </c>
      <c r="F1215" t="str">
        <f t="shared" si="56"/>
        <v>High Risk</v>
      </c>
      <c r="G1215" t="s">
        <v>3</v>
      </c>
      <c r="H1215" t="s">
        <v>8</v>
      </c>
      <c r="I1215" t="s">
        <v>9</v>
      </c>
      <c r="J1215">
        <v>59.2</v>
      </c>
      <c r="K1215">
        <v>29.1</v>
      </c>
      <c r="L1215" t="s">
        <v>14</v>
      </c>
      <c r="M1215">
        <v>0</v>
      </c>
      <c r="N1215" t="str">
        <f t="shared" si="54"/>
        <v>60+</v>
      </c>
      <c r="O1215" t="str">
        <f t="shared" si="55"/>
        <v>Overweight</v>
      </c>
    </row>
    <row r="1216" spans="1:15" x14ac:dyDescent="0.3">
      <c r="A1216">
        <v>32157</v>
      </c>
      <c r="B1216" t="s">
        <v>2</v>
      </c>
      <c r="C1216">
        <v>51</v>
      </c>
      <c r="D1216">
        <v>0</v>
      </c>
      <c r="E1216">
        <v>0</v>
      </c>
      <c r="F1216" t="str">
        <f t="shared" si="56"/>
        <v>Lower Risk</v>
      </c>
      <c r="G1216" t="s">
        <v>3</v>
      </c>
      <c r="H1216" t="s">
        <v>4</v>
      </c>
      <c r="I1216" t="s">
        <v>9</v>
      </c>
      <c r="J1216">
        <v>217.71</v>
      </c>
      <c r="K1216" t="s">
        <v>10</v>
      </c>
      <c r="L1216" t="s">
        <v>6</v>
      </c>
      <c r="M1216">
        <v>0</v>
      </c>
      <c r="N1216" t="str">
        <f t="shared" si="54"/>
        <v>40–59</v>
      </c>
      <c r="O1216" t="str">
        <f t="shared" si="55"/>
        <v>Unknown</v>
      </c>
    </row>
    <row r="1217" spans="1:15" x14ac:dyDescent="0.3">
      <c r="A1217">
        <v>61983</v>
      </c>
      <c r="B1217" t="s">
        <v>7</v>
      </c>
      <c r="C1217">
        <v>41</v>
      </c>
      <c r="D1217">
        <v>0</v>
      </c>
      <c r="E1217">
        <v>0</v>
      </c>
      <c r="F1217" t="str">
        <f t="shared" si="56"/>
        <v>Lower Risk</v>
      </c>
      <c r="G1217" t="s">
        <v>3</v>
      </c>
      <c r="H1217" t="s">
        <v>4</v>
      </c>
      <c r="I1217" t="s">
        <v>5</v>
      </c>
      <c r="J1217">
        <v>133.76</v>
      </c>
      <c r="K1217">
        <v>43.4</v>
      </c>
      <c r="L1217" t="s">
        <v>12</v>
      </c>
      <c r="M1217">
        <v>0</v>
      </c>
      <c r="N1217" t="str">
        <f t="shared" si="54"/>
        <v>40–59</v>
      </c>
      <c r="O1217" t="str">
        <f t="shared" si="55"/>
        <v>Obese</v>
      </c>
    </row>
    <row r="1218" spans="1:15" x14ac:dyDescent="0.3">
      <c r="A1218">
        <v>72268</v>
      </c>
      <c r="B1218" t="s">
        <v>2</v>
      </c>
      <c r="C1218">
        <v>68</v>
      </c>
      <c r="D1218">
        <v>0</v>
      </c>
      <c r="E1218">
        <v>0</v>
      </c>
      <c r="F1218" t="str">
        <f t="shared" si="56"/>
        <v>Moderate Risk</v>
      </c>
      <c r="G1218" t="s">
        <v>3</v>
      </c>
      <c r="H1218" t="s">
        <v>8</v>
      </c>
      <c r="I1218" t="s">
        <v>5</v>
      </c>
      <c r="J1218">
        <v>61.36</v>
      </c>
      <c r="K1218">
        <v>26.5</v>
      </c>
      <c r="L1218" t="s">
        <v>6</v>
      </c>
      <c r="M1218">
        <v>0</v>
      </c>
      <c r="N1218" t="str">
        <f t="shared" ref="N1218:N1281" si="57">IF(C1218&lt;40,"Under 40",IF(C1218&lt;60,"40–59","60+"))</f>
        <v>60+</v>
      </c>
      <c r="O1218" t="str">
        <f t="shared" ref="O1218:O1281" si="58">IF(K1218="N/A","Unknown",
IF(K1218="","Unknown",
IF(K1218&lt;18.5,"Underweight",
IF(K1218&lt;25,"Normal",
IF(K1218&lt;30,"Overweight","Obese")))))</f>
        <v>Overweight</v>
      </c>
    </row>
    <row r="1219" spans="1:15" x14ac:dyDescent="0.3">
      <c r="A1219">
        <v>39467</v>
      </c>
      <c r="B1219" t="s">
        <v>7</v>
      </c>
      <c r="C1219">
        <v>30</v>
      </c>
      <c r="D1219">
        <v>0</v>
      </c>
      <c r="E1219">
        <v>0</v>
      </c>
      <c r="F1219" t="str">
        <f t="shared" ref="F1219:F1282" si="59">IF(C1219&gt;=60,
IF(OR(D1219=1,E1219=1),"High Risk","Moderate Risk"),
"Lower Risk")</f>
        <v>Lower Risk</v>
      </c>
      <c r="G1219" t="s">
        <v>13</v>
      </c>
      <c r="H1219" t="s">
        <v>4</v>
      </c>
      <c r="I1219" t="s">
        <v>9</v>
      </c>
      <c r="J1219">
        <v>118.62</v>
      </c>
      <c r="K1219">
        <v>29.7</v>
      </c>
      <c r="L1219" t="s">
        <v>14</v>
      </c>
      <c r="M1219">
        <v>0</v>
      </c>
      <c r="N1219" t="str">
        <f t="shared" si="57"/>
        <v>Under 40</v>
      </c>
      <c r="O1219" t="str">
        <f t="shared" si="58"/>
        <v>Overweight</v>
      </c>
    </row>
    <row r="1220" spans="1:15" x14ac:dyDescent="0.3">
      <c r="A1220">
        <v>20282</v>
      </c>
      <c r="B1220" t="s">
        <v>2</v>
      </c>
      <c r="C1220">
        <v>1.88</v>
      </c>
      <c r="D1220">
        <v>0</v>
      </c>
      <c r="E1220">
        <v>0</v>
      </c>
      <c r="F1220" t="str">
        <f t="shared" si="59"/>
        <v>Lower Risk</v>
      </c>
      <c r="G1220" t="s">
        <v>13</v>
      </c>
      <c r="H1220" t="s">
        <v>16</v>
      </c>
      <c r="I1220" t="s">
        <v>9</v>
      </c>
      <c r="J1220">
        <v>77.91</v>
      </c>
      <c r="K1220">
        <v>21.8</v>
      </c>
      <c r="L1220" t="s">
        <v>14</v>
      </c>
      <c r="M1220">
        <v>0</v>
      </c>
      <c r="N1220" t="str">
        <f t="shared" si="57"/>
        <v>Under 40</v>
      </c>
      <c r="O1220" t="str">
        <f t="shared" si="58"/>
        <v>Normal</v>
      </c>
    </row>
    <row r="1221" spans="1:15" x14ac:dyDescent="0.3">
      <c r="A1221">
        <v>51159</v>
      </c>
      <c r="B1221" t="s">
        <v>7</v>
      </c>
      <c r="C1221">
        <v>32</v>
      </c>
      <c r="D1221">
        <v>0</v>
      </c>
      <c r="E1221">
        <v>0</v>
      </c>
      <c r="F1221" t="str">
        <f t="shared" si="59"/>
        <v>Lower Risk</v>
      </c>
      <c r="G1221" t="s">
        <v>13</v>
      </c>
      <c r="H1221" t="s">
        <v>15</v>
      </c>
      <c r="I1221" t="s">
        <v>5</v>
      </c>
      <c r="J1221">
        <v>68.98</v>
      </c>
      <c r="K1221">
        <v>23.4</v>
      </c>
      <c r="L1221" t="s">
        <v>6</v>
      </c>
      <c r="M1221">
        <v>0</v>
      </c>
      <c r="N1221" t="str">
        <f t="shared" si="57"/>
        <v>Under 40</v>
      </c>
      <c r="O1221" t="str">
        <f t="shared" si="58"/>
        <v>Normal</v>
      </c>
    </row>
    <row r="1222" spans="1:15" x14ac:dyDescent="0.3">
      <c r="A1222">
        <v>7167</v>
      </c>
      <c r="B1222" t="s">
        <v>7</v>
      </c>
      <c r="C1222">
        <v>20</v>
      </c>
      <c r="D1222">
        <v>0</v>
      </c>
      <c r="E1222">
        <v>0</v>
      </c>
      <c r="F1222" t="str">
        <f t="shared" si="59"/>
        <v>Lower Risk</v>
      </c>
      <c r="G1222" t="s">
        <v>13</v>
      </c>
      <c r="H1222" t="s">
        <v>4</v>
      </c>
      <c r="I1222" t="s">
        <v>9</v>
      </c>
      <c r="J1222">
        <v>112.08</v>
      </c>
      <c r="K1222">
        <v>23</v>
      </c>
      <c r="L1222" t="s">
        <v>11</v>
      </c>
      <c r="M1222">
        <v>0</v>
      </c>
      <c r="N1222" t="str">
        <f t="shared" si="57"/>
        <v>Under 40</v>
      </c>
      <c r="O1222" t="str">
        <f t="shared" si="58"/>
        <v>Normal</v>
      </c>
    </row>
    <row r="1223" spans="1:15" x14ac:dyDescent="0.3">
      <c r="A1223">
        <v>59147</v>
      </c>
      <c r="B1223" t="s">
        <v>2</v>
      </c>
      <c r="C1223">
        <v>20</v>
      </c>
      <c r="D1223">
        <v>0</v>
      </c>
      <c r="E1223">
        <v>0</v>
      </c>
      <c r="F1223" t="str">
        <f t="shared" si="59"/>
        <v>Lower Risk</v>
      </c>
      <c r="G1223" t="s">
        <v>13</v>
      </c>
      <c r="H1223" t="s">
        <v>4</v>
      </c>
      <c r="I1223" t="s">
        <v>5</v>
      </c>
      <c r="J1223">
        <v>96.2</v>
      </c>
      <c r="K1223">
        <v>21.5</v>
      </c>
      <c r="L1223" t="s">
        <v>11</v>
      </c>
      <c r="M1223">
        <v>0</v>
      </c>
      <c r="N1223" t="str">
        <f t="shared" si="57"/>
        <v>Under 40</v>
      </c>
      <c r="O1223" t="str">
        <f t="shared" si="58"/>
        <v>Normal</v>
      </c>
    </row>
    <row r="1224" spans="1:15" x14ac:dyDescent="0.3">
      <c r="A1224">
        <v>18192</v>
      </c>
      <c r="B1224" t="s">
        <v>2</v>
      </c>
      <c r="C1224">
        <v>10</v>
      </c>
      <c r="D1224">
        <v>0</v>
      </c>
      <c r="E1224">
        <v>0</v>
      </c>
      <c r="F1224" t="str">
        <f t="shared" si="59"/>
        <v>Lower Risk</v>
      </c>
      <c r="G1224" t="s">
        <v>13</v>
      </c>
      <c r="H1224" t="s">
        <v>16</v>
      </c>
      <c r="I1224" t="s">
        <v>9</v>
      </c>
      <c r="J1224">
        <v>93.11</v>
      </c>
      <c r="K1224">
        <v>14.6</v>
      </c>
      <c r="L1224" t="s">
        <v>14</v>
      </c>
      <c r="M1224">
        <v>0</v>
      </c>
      <c r="N1224" t="str">
        <f t="shared" si="57"/>
        <v>Under 40</v>
      </c>
      <c r="O1224" t="str">
        <f t="shared" si="58"/>
        <v>Underweight</v>
      </c>
    </row>
    <row r="1225" spans="1:15" x14ac:dyDescent="0.3">
      <c r="A1225">
        <v>14049</v>
      </c>
      <c r="B1225" t="s">
        <v>2</v>
      </c>
      <c r="C1225">
        <v>8</v>
      </c>
      <c r="D1225">
        <v>0</v>
      </c>
      <c r="E1225">
        <v>0</v>
      </c>
      <c r="F1225" t="str">
        <f t="shared" si="59"/>
        <v>Lower Risk</v>
      </c>
      <c r="G1225" t="s">
        <v>13</v>
      </c>
      <c r="H1225" t="s">
        <v>16</v>
      </c>
      <c r="I1225" t="s">
        <v>9</v>
      </c>
      <c r="J1225">
        <v>115.54</v>
      </c>
      <c r="K1225">
        <v>28.5</v>
      </c>
      <c r="L1225" t="s">
        <v>14</v>
      </c>
      <c r="M1225">
        <v>0</v>
      </c>
      <c r="N1225" t="str">
        <f t="shared" si="57"/>
        <v>Under 40</v>
      </c>
      <c r="O1225" t="str">
        <f t="shared" si="58"/>
        <v>Overweight</v>
      </c>
    </row>
    <row r="1226" spans="1:15" x14ac:dyDescent="0.3">
      <c r="A1226">
        <v>35927</v>
      </c>
      <c r="B1226" t="s">
        <v>2</v>
      </c>
      <c r="C1226">
        <v>65</v>
      </c>
      <c r="D1226">
        <v>0</v>
      </c>
      <c r="E1226">
        <v>0</v>
      </c>
      <c r="F1226" t="str">
        <f t="shared" si="59"/>
        <v>Moderate Risk</v>
      </c>
      <c r="G1226" t="s">
        <v>3</v>
      </c>
      <c r="H1226" t="s">
        <v>4</v>
      </c>
      <c r="I1226" t="s">
        <v>5</v>
      </c>
      <c r="J1226">
        <v>88.57</v>
      </c>
      <c r="K1226">
        <v>29</v>
      </c>
      <c r="L1226" t="s">
        <v>12</v>
      </c>
      <c r="M1226">
        <v>0</v>
      </c>
      <c r="N1226" t="str">
        <f t="shared" si="57"/>
        <v>60+</v>
      </c>
      <c r="O1226" t="str">
        <f t="shared" si="58"/>
        <v>Overweight</v>
      </c>
    </row>
    <row r="1227" spans="1:15" x14ac:dyDescent="0.3">
      <c r="A1227">
        <v>28150</v>
      </c>
      <c r="B1227" t="s">
        <v>7</v>
      </c>
      <c r="C1227">
        <v>65</v>
      </c>
      <c r="D1227">
        <v>1</v>
      </c>
      <c r="E1227">
        <v>0</v>
      </c>
      <c r="F1227" t="str">
        <f t="shared" si="59"/>
        <v>High Risk</v>
      </c>
      <c r="G1227" t="s">
        <v>3</v>
      </c>
      <c r="H1227" t="s">
        <v>4</v>
      </c>
      <c r="I1227" t="s">
        <v>5</v>
      </c>
      <c r="J1227">
        <v>180.76</v>
      </c>
      <c r="K1227">
        <v>26.9</v>
      </c>
      <c r="L1227" t="s">
        <v>14</v>
      </c>
      <c r="M1227">
        <v>0</v>
      </c>
      <c r="N1227" t="str">
        <f t="shared" si="57"/>
        <v>60+</v>
      </c>
      <c r="O1227" t="str">
        <f t="shared" si="58"/>
        <v>Overweight</v>
      </c>
    </row>
    <row r="1228" spans="1:15" x14ac:dyDescent="0.3">
      <c r="A1228">
        <v>8727</v>
      </c>
      <c r="B1228" t="s">
        <v>2</v>
      </c>
      <c r="C1228">
        <v>46</v>
      </c>
      <c r="D1228">
        <v>0</v>
      </c>
      <c r="E1228">
        <v>0</v>
      </c>
      <c r="F1228" t="str">
        <f t="shared" si="59"/>
        <v>Lower Risk</v>
      </c>
      <c r="G1228" t="s">
        <v>3</v>
      </c>
      <c r="H1228" t="s">
        <v>8</v>
      </c>
      <c r="I1228" t="s">
        <v>5</v>
      </c>
      <c r="J1228">
        <v>83.12</v>
      </c>
      <c r="K1228">
        <v>29.6</v>
      </c>
      <c r="L1228" t="s">
        <v>6</v>
      </c>
      <c r="M1228">
        <v>0</v>
      </c>
      <c r="N1228" t="str">
        <f t="shared" si="57"/>
        <v>40–59</v>
      </c>
      <c r="O1228" t="str">
        <f t="shared" si="58"/>
        <v>Overweight</v>
      </c>
    </row>
    <row r="1229" spans="1:15" x14ac:dyDescent="0.3">
      <c r="A1229">
        <v>7516</v>
      </c>
      <c r="B1229" t="s">
        <v>2</v>
      </c>
      <c r="C1229">
        <v>53</v>
      </c>
      <c r="D1229">
        <v>0</v>
      </c>
      <c r="E1229">
        <v>0</v>
      </c>
      <c r="F1229" t="str">
        <f t="shared" si="59"/>
        <v>Lower Risk</v>
      </c>
      <c r="G1229" t="s">
        <v>3</v>
      </c>
      <c r="H1229" t="s">
        <v>8</v>
      </c>
      <c r="I1229" t="s">
        <v>5</v>
      </c>
      <c r="J1229">
        <v>94.89</v>
      </c>
      <c r="K1229">
        <v>28.5</v>
      </c>
      <c r="L1229" t="s">
        <v>11</v>
      </c>
      <c r="M1229">
        <v>0</v>
      </c>
      <c r="N1229" t="str">
        <f t="shared" si="57"/>
        <v>40–59</v>
      </c>
      <c r="O1229" t="str">
        <f t="shared" si="58"/>
        <v>Overweight</v>
      </c>
    </row>
    <row r="1230" spans="1:15" x14ac:dyDescent="0.3">
      <c r="A1230">
        <v>6419</v>
      </c>
      <c r="B1230" t="s">
        <v>7</v>
      </c>
      <c r="C1230">
        <v>79</v>
      </c>
      <c r="D1230">
        <v>0</v>
      </c>
      <c r="E1230">
        <v>0</v>
      </c>
      <c r="F1230" t="str">
        <f t="shared" si="59"/>
        <v>Moderate Risk</v>
      </c>
      <c r="G1230" t="s">
        <v>13</v>
      </c>
      <c r="H1230" t="s">
        <v>4</v>
      </c>
      <c r="I1230" t="s">
        <v>9</v>
      </c>
      <c r="J1230">
        <v>239.52</v>
      </c>
      <c r="K1230">
        <v>25.5</v>
      </c>
      <c r="L1230" t="s">
        <v>11</v>
      </c>
      <c r="M1230">
        <v>0</v>
      </c>
      <c r="N1230" t="str">
        <f t="shared" si="57"/>
        <v>60+</v>
      </c>
      <c r="O1230" t="str">
        <f t="shared" si="58"/>
        <v>Overweight</v>
      </c>
    </row>
    <row r="1231" spans="1:15" x14ac:dyDescent="0.3">
      <c r="A1231">
        <v>20425</v>
      </c>
      <c r="B1231" t="s">
        <v>2</v>
      </c>
      <c r="C1231">
        <v>43</v>
      </c>
      <c r="D1231">
        <v>0</v>
      </c>
      <c r="E1231">
        <v>0</v>
      </c>
      <c r="F1231" t="str">
        <f t="shared" si="59"/>
        <v>Lower Risk</v>
      </c>
      <c r="G1231" t="s">
        <v>3</v>
      </c>
      <c r="H1231" t="s">
        <v>8</v>
      </c>
      <c r="I1231" t="s">
        <v>9</v>
      </c>
      <c r="J1231">
        <v>99.15</v>
      </c>
      <c r="K1231">
        <v>30.5</v>
      </c>
      <c r="L1231" t="s">
        <v>6</v>
      </c>
      <c r="M1231">
        <v>0</v>
      </c>
      <c r="N1231" t="str">
        <f t="shared" si="57"/>
        <v>40–59</v>
      </c>
      <c r="O1231" t="str">
        <f t="shared" si="58"/>
        <v>Obese</v>
      </c>
    </row>
    <row r="1232" spans="1:15" x14ac:dyDescent="0.3">
      <c r="A1232">
        <v>59878</v>
      </c>
      <c r="B1232" t="s">
        <v>7</v>
      </c>
      <c r="C1232">
        <v>56</v>
      </c>
      <c r="D1232">
        <v>0</v>
      </c>
      <c r="E1232">
        <v>0</v>
      </c>
      <c r="F1232" t="str">
        <f t="shared" si="59"/>
        <v>Lower Risk</v>
      </c>
      <c r="G1232" t="s">
        <v>3</v>
      </c>
      <c r="H1232" t="s">
        <v>8</v>
      </c>
      <c r="I1232" t="s">
        <v>5</v>
      </c>
      <c r="J1232">
        <v>124.16</v>
      </c>
      <c r="K1232">
        <v>23</v>
      </c>
      <c r="L1232" t="s">
        <v>11</v>
      </c>
      <c r="M1232">
        <v>0</v>
      </c>
      <c r="N1232" t="str">
        <f t="shared" si="57"/>
        <v>40–59</v>
      </c>
      <c r="O1232" t="str">
        <f t="shared" si="58"/>
        <v>Normal</v>
      </c>
    </row>
    <row r="1233" spans="1:15" x14ac:dyDescent="0.3">
      <c r="A1233">
        <v>69355</v>
      </c>
      <c r="B1233" t="s">
        <v>2</v>
      </c>
      <c r="C1233">
        <v>3</v>
      </c>
      <c r="D1233">
        <v>0</v>
      </c>
      <c r="E1233">
        <v>0</v>
      </c>
      <c r="F1233" t="str">
        <f t="shared" si="59"/>
        <v>Lower Risk</v>
      </c>
      <c r="G1233" t="s">
        <v>13</v>
      </c>
      <c r="H1233" t="s">
        <v>16</v>
      </c>
      <c r="I1233" t="s">
        <v>9</v>
      </c>
      <c r="J1233">
        <v>86.38</v>
      </c>
      <c r="K1233">
        <v>22.8</v>
      </c>
      <c r="L1233" t="s">
        <v>14</v>
      </c>
      <c r="M1233">
        <v>0</v>
      </c>
      <c r="N1233" t="str">
        <f t="shared" si="57"/>
        <v>Under 40</v>
      </c>
      <c r="O1233" t="str">
        <f t="shared" si="58"/>
        <v>Normal</v>
      </c>
    </row>
    <row r="1234" spans="1:15" x14ac:dyDescent="0.3">
      <c r="A1234">
        <v>5858</v>
      </c>
      <c r="B1234" t="s">
        <v>2</v>
      </c>
      <c r="C1234">
        <v>32</v>
      </c>
      <c r="D1234">
        <v>0</v>
      </c>
      <c r="E1234">
        <v>0</v>
      </c>
      <c r="F1234" t="str">
        <f t="shared" si="59"/>
        <v>Lower Risk</v>
      </c>
      <c r="G1234" t="s">
        <v>13</v>
      </c>
      <c r="H1234" t="s">
        <v>4</v>
      </c>
      <c r="I1234" t="s">
        <v>9</v>
      </c>
      <c r="J1234">
        <v>93.68</v>
      </c>
      <c r="K1234">
        <v>31.4</v>
      </c>
      <c r="L1234" t="s">
        <v>11</v>
      </c>
      <c r="M1234">
        <v>0</v>
      </c>
      <c r="N1234" t="str">
        <f t="shared" si="57"/>
        <v>Under 40</v>
      </c>
      <c r="O1234" t="str">
        <f t="shared" si="58"/>
        <v>Obese</v>
      </c>
    </row>
    <row r="1235" spans="1:15" x14ac:dyDescent="0.3">
      <c r="A1235">
        <v>39823</v>
      </c>
      <c r="B1235" t="s">
        <v>7</v>
      </c>
      <c r="C1235">
        <v>41</v>
      </c>
      <c r="D1235">
        <v>0</v>
      </c>
      <c r="E1235">
        <v>0</v>
      </c>
      <c r="F1235" t="str">
        <f t="shared" si="59"/>
        <v>Lower Risk</v>
      </c>
      <c r="G1235" t="s">
        <v>3</v>
      </c>
      <c r="H1235" t="s">
        <v>15</v>
      </c>
      <c r="I1235" t="s">
        <v>9</v>
      </c>
      <c r="J1235">
        <v>229.86</v>
      </c>
      <c r="K1235">
        <v>35.200000000000003</v>
      </c>
      <c r="L1235" t="s">
        <v>12</v>
      </c>
      <c r="M1235">
        <v>0</v>
      </c>
      <c r="N1235" t="str">
        <f t="shared" si="57"/>
        <v>40–59</v>
      </c>
      <c r="O1235" t="str">
        <f t="shared" si="58"/>
        <v>Obese</v>
      </c>
    </row>
    <row r="1236" spans="1:15" x14ac:dyDescent="0.3">
      <c r="A1236">
        <v>37053</v>
      </c>
      <c r="B1236" t="s">
        <v>2</v>
      </c>
      <c r="C1236">
        <v>53</v>
      </c>
      <c r="D1236">
        <v>0</v>
      </c>
      <c r="E1236">
        <v>0</v>
      </c>
      <c r="F1236" t="str">
        <f t="shared" si="59"/>
        <v>Lower Risk</v>
      </c>
      <c r="G1236" t="s">
        <v>3</v>
      </c>
      <c r="H1236" t="s">
        <v>15</v>
      </c>
      <c r="I1236" t="s">
        <v>9</v>
      </c>
      <c r="J1236">
        <v>78.73</v>
      </c>
      <c r="K1236">
        <v>23.3</v>
      </c>
      <c r="L1236" t="s">
        <v>11</v>
      </c>
      <c r="M1236">
        <v>0</v>
      </c>
      <c r="N1236" t="str">
        <f t="shared" si="57"/>
        <v>40–59</v>
      </c>
      <c r="O1236" t="str">
        <f t="shared" si="58"/>
        <v>Normal</v>
      </c>
    </row>
    <row r="1237" spans="1:15" x14ac:dyDescent="0.3">
      <c r="A1237">
        <v>2082</v>
      </c>
      <c r="B1237" t="s">
        <v>2</v>
      </c>
      <c r="C1237">
        <v>35</v>
      </c>
      <c r="D1237">
        <v>0</v>
      </c>
      <c r="E1237">
        <v>0</v>
      </c>
      <c r="F1237" t="str">
        <f t="shared" si="59"/>
        <v>Lower Risk</v>
      </c>
      <c r="G1237" t="s">
        <v>3</v>
      </c>
      <c r="H1237" t="s">
        <v>4</v>
      </c>
      <c r="I1237" t="s">
        <v>9</v>
      </c>
      <c r="J1237">
        <v>115.92</v>
      </c>
      <c r="K1237" t="s">
        <v>10</v>
      </c>
      <c r="L1237" t="s">
        <v>6</v>
      </c>
      <c r="M1237">
        <v>0</v>
      </c>
      <c r="N1237" t="str">
        <f t="shared" si="57"/>
        <v>Under 40</v>
      </c>
      <c r="O1237" t="str">
        <f t="shared" si="58"/>
        <v>Unknown</v>
      </c>
    </row>
    <row r="1238" spans="1:15" x14ac:dyDescent="0.3">
      <c r="A1238">
        <v>48073</v>
      </c>
      <c r="B1238" t="s">
        <v>2</v>
      </c>
      <c r="C1238">
        <v>67</v>
      </c>
      <c r="D1238">
        <v>0</v>
      </c>
      <c r="E1238">
        <v>0</v>
      </c>
      <c r="F1238" t="str">
        <f t="shared" si="59"/>
        <v>Moderate Risk</v>
      </c>
      <c r="G1238" t="s">
        <v>3</v>
      </c>
      <c r="H1238" t="s">
        <v>15</v>
      </c>
      <c r="I1238" t="s">
        <v>9</v>
      </c>
      <c r="J1238">
        <v>93.71</v>
      </c>
      <c r="K1238">
        <v>31.2</v>
      </c>
      <c r="L1238" t="s">
        <v>6</v>
      </c>
      <c r="M1238">
        <v>0</v>
      </c>
      <c r="N1238" t="str">
        <f t="shared" si="57"/>
        <v>60+</v>
      </c>
      <c r="O1238" t="str">
        <f t="shared" si="58"/>
        <v>Obese</v>
      </c>
    </row>
    <row r="1239" spans="1:15" x14ac:dyDescent="0.3">
      <c r="A1239">
        <v>16449</v>
      </c>
      <c r="B1239" t="s">
        <v>7</v>
      </c>
      <c r="C1239">
        <v>33</v>
      </c>
      <c r="D1239">
        <v>0</v>
      </c>
      <c r="E1239">
        <v>0</v>
      </c>
      <c r="F1239" t="str">
        <f t="shared" si="59"/>
        <v>Lower Risk</v>
      </c>
      <c r="G1239" t="s">
        <v>3</v>
      </c>
      <c r="H1239" t="s">
        <v>15</v>
      </c>
      <c r="I1239" t="s">
        <v>9</v>
      </c>
      <c r="J1239">
        <v>76.66</v>
      </c>
      <c r="K1239">
        <v>24.8</v>
      </c>
      <c r="L1239" t="s">
        <v>11</v>
      </c>
      <c r="M1239">
        <v>0</v>
      </c>
      <c r="N1239" t="str">
        <f t="shared" si="57"/>
        <v>Under 40</v>
      </c>
      <c r="O1239" t="str">
        <f t="shared" si="58"/>
        <v>Normal</v>
      </c>
    </row>
    <row r="1240" spans="1:15" x14ac:dyDescent="0.3">
      <c r="A1240">
        <v>5447</v>
      </c>
      <c r="B1240" t="s">
        <v>7</v>
      </c>
      <c r="C1240">
        <v>21</v>
      </c>
      <c r="D1240">
        <v>0</v>
      </c>
      <c r="E1240">
        <v>0</v>
      </c>
      <c r="F1240" t="str">
        <f t="shared" si="59"/>
        <v>Lower Risk</v>
      </c>
      <c r="G1240" t="s">
        <v>13</v>
      </c>
      <c r="H1240" t="s">
        <v>4</v>
      </c>
      <c r="I1240" t="s">
        <v>9</v>
      </c>
      <c r="J1240">
        <v>112.38</v>
      </c>
      <c r="K1240">
        <v>25.8</v>
      </c>
      <c r="L1240" t="s">
        <v>14</v>
      </c>
      <c r="M1240">
        <v>0</v>
      </c>
      <c r="N1240" t="str">
        <f t="shared" si="57"/>
        <v>Under 40</v>
      </c>
      <c r="O1240" t="str">
        <f t="shared" si="58"/>
        <v>Overweight</v>
      </c>
    </row>
    <row r="1241" spans="1:15" x14ac:dyDescent="0.3">
      <c r="A1241">
        <v>27145</v>
      </c>
      <c r="B1241" t="s">
        <v>7</v>
      </c>
      <c r="C1241">
        <v>26</v>
      </c>
      <c r="D1241">
        <v>0</v>
      </c>
      <c r="E1241">
        <v>0</v>
      </c>
      <c r="F1241" t="str">
        <f t="shared" si="59"/>
        <v>Lower Risk</v>
      </c>
      <c r="G1241" t="s">
        <v>13</v>
      </c>
      <c r="H1241" t="s">
        <v>4</v>
      </c>
      <c r="I1241" t="s">
        <v>9</v>
      </c>
      <c r="J1241">
        <v>89.3</v>
      </c>
      <c r="K1241">
        <v>48.4</v>
      </c>
      <c r="L1241" t="s">
        <v>12</v>
      </c>
      <c r="M1241">
        <v>0</v>
      </c>
      <c r="N1241" t="str">
        <f t="shared" si="57"/>
        <v>Under 40</v>
      </c>
      <c r="O1241" t="str">
        <f t="shared" si="58"/>
        <v>Obese</v>
      </c>
    </row>
    <row r="1242" spans="1:15" x14ac:dyDescent="0.3">
      <c r="A1242">
        <v>30328</v>
      </c>
      <c r="B1242" t="s">
        <v>7</v>
      </c>
      <c r="C1242">
        <v>69</v>
      </c>
      <c r="D1242">
        <v>1</v>
      </c>
      <c r="E1242">
        <v>0</v>
      </c>
      <c r="F1242" t="str">
        <f t="shared" si="59"/>
        <v>High Risk</v>
      </c>
      <c r="G1242" t="s">
        <v>3</v>
      </c>
      <c r="H1242" t="s">
        <v>15</v>
      </c>
      <c r="I1242" t="s">
        <v>9</v>
      </c>
      <c r="J1242">
        <v>103.44</v>
      </c>
      <c r="K1242">
        <v>43.1</v>
      </c>
      <c r="L1242" t="s">
        <v>6</v>
      </c>
      <c r="M1242">
        <v>0</v>
      </c>
      <c r="N1242" t="str">
        <f t="shared" si="57"/>
        <v>60+</v>
      </c>
      <c r="O1242" t="str">
        <f t="shared" si="58"/>
        <v>Obese</v>
      </c>
    </row>
    <row r="1243" spans="1:15" x14ac:dyDescent="0.3">
      <c r="A1243">
        <v>739</v>
      </c>
      <c r="B1243" t="s">
        <v>7</v>
      </c>
      <c r="C1243">
        <v>73</v>
      </c>
      <c r="D1243">
        <v>0</v>
      </c>
      <c r="E1243">
        <v>0</v>
      </c>
      <c r="F1243" t="str">
        <f t="shared" si="59"/>
        <v>Moderate Risk</v>
      </c>
      <c r="G1243" t="s">
        <v>3</v>
      </c>
      <c r="H1243" t="s">
        <v>8</v>
      </c>
      <c r="I1243" t="s">
        <v>9</v>
      </c>
      <c r="J1243">
        <v>79.69</v>
      </c>
      <c r="K1243" t="s">
        <v>10</v>
      </c>
      <c r="L1243" t="s">
        <v>6</v>
      </c>
      <c r="M1243">
        <v>0</v>
      </c>
      <c r="N1243" t="str">
        <f t="shared" si="57"/>
        <v>60+</v>
      </c>
      <c r="O1243" t="str">
        <f t="shared" si="58"/>
        <v>Unknown</v>
      </c>
    </row>
    <row r="1244" spans="1:15" x14ac:dyDescent="0.3">
      <c r="A1244">
        <v>44224</v>
      </c>
      <c r="B1244" t="s">
        <v>2</v>
      </c>
      <c r="C1244">
        <v>15</v>
      </c>
      <c r="D1244">
        <v>0</v>
      </c>
      <c r="E1244">
        <v>0</v>
      </c>
      <c r="F1244" t="str">
        <f t="shared" si="59"/>
        <v>Lower Risk</v>
      </c>
      <c r="G1244" t="s">
        <v>13</v>
      </c>
      <c r="H1244" t="s">
        <v>4</v>
      </c>
      <c r="I1244" t="s">
        <v>9</v>
      </c>
      <c r="J1244">
        <v>61.61</v>
      </c>
      <c r="K1244">
        <v>27.8</v>
      </c>
      <c r="L1244" t="s">
        <v>11</v>
      </c>
      <c r="M1244">
        <v>0</v>
      </c>
      <c r="N1244" t="str">
        <f t="shared" si="57"/>
        <v>Under 40</v>
      </c>
      <c r="O1244" t="str">
        <f t="shared" si="58"/>
        <v>Overweight</v>
      </c>
    </row>
    <row r="1245" spans="1:15" x14ac:dyDescent="0.3">
      <c r="A1245">
        <v>533</v>
      </c>
      <c r="B1245" t="s">
        <v>7</v>
      </c>
      <c r="C1245">
        <v>3</v>
      </c>
      <c r="D1245">
        <v>0</v>
      </c>
      <c r="E1245">
        <v>0</v>
      </c>
      <c r="F1245" t="str">
        <f t="shared" si="59"/>
        <v>Lower Risk</v>
      </c>
      <c r="G1245" t="s">
        <v>13</v>
      </c>
      <c r="H1245" t="s">
        <v>16</v>
      </c>
      <c r="I1245" t="s">
        <v>9</v>
      </c>
      <c r="J1245">
        <v>94.12</v>
      </c>
      <c r="K1245">
        <v>21.4</v>
      </c>
      <c r="L1245" t="s">
        <v>14</v>
      </c>
      <c r="M1245">
        <v>0</v>
      </c>
      <c r="N1245" t="str">
        <f t="shared" si="57"/>
        <v>Under 40</v>
      </c>
      <c r="O1245" t="str">
        <f t="shared" si="58"/>
        <v>Normal</v>
      </c>
    </row>
    <row r="1246" spans="1:15" x14ac:dyDescent="0.3">
      <c r="A1246">
        <v>45554</v>
      </c>
      <c r="B1246" t="s">
        <v>7</v>
      </c>
      <c r="C1246">
        <v>1.24</v>
      </c>
      <c r="D1246">
        <v>0</v>
      </c>
      <c r="E1246">
        <v>0</v>
      </c>
      <c r="F1246" t="str">
        <f t="shared" si="59"/>
        <v>Lower Risk</v>
      </c>
      <c r="G1246" t="s">
        <v>13</v>
      </c>
      <c r="H1246" t="s">
        <v>16</v>
      </c>
      <c r="I1246" t="s">
        <v>5</v>
      </c>
      <c r="J1246">
        <v>62.4</v>
      </c>
      <c r="K1246">
        <v>22.1</v>
      </c>
      <c r="L1246" t="s">
        <v>14</v>
      </c>
      <c r="M1246">
        <v>0</v>
      </c>
      <c r="N1246" t="str">
        <f t="shared" si="57"/>
        <v>Under 40</v>
      </c>
      <c r="O1246" t="str">
        <f t="shared" si="58"/>
        <v>Normal</v>
      </c>
    </row>
    <row r="1247" spans="1:15" x14ac:dyDescent="0.3">
      <c r="A1247">
        <v>32884</v>
      </c>
      <c r="B1247" t="s">
        <v>7</v>
      </c>
      <c r="C1247">
        <v>80</v>
      </c>
      <c r="D1247">
        <v>1</v>
      </c>
      <c r="E1247">
        <v>0</v>
      </c>
      <c r="F1247" t="str">
        <f t="shared" si="59"/>
        <v>High Risk</v>
      </c>
      <c r="G1247" t="s">
        <v>3</v>
      </c>
      <c r="H1247" t="s">
        <v>4</v>
      </c>
      <c r="I1247" t="s">
        <v>5</v>
      </c>
      <c r="J1247">
        <v>210.96</v>
      </c>
      <c r="K1247">
        <v>31.8</v>
      </c>
      <c r="L1247" t="s">
        <v>11</v>
      </c>
      <c r="M1247">
        <v>0</v>
      </c>
      <c r="N1247" t="str">
        <f t="shared" si="57"/>
        <v>60+</v>
      </c>
      <c r="O1247" t="str">
        <f t="shared" si="58"/>
        <v>Obese</v>
      </c>
    </row>
    <row r="1248" spans="1:15" x14ac:dyDescent="0.3">
      <c r="A1248">
        <v>55744</v>
      </c>
      <c r="B1248" t="s">
        <v>2</v>
      </c>
      <c r="C1248">
        <v>2</v>
      </c>
      <c r="D1248">
        <v>0</v>
      </c>
      <c r="E1248">
        <v>0</v>
      </c>
      <c r="F1248" t="str">
        <f t="shared" si="59"/>
        <v>Lower Risk</v>
      </c>
      <c r="G1248" t="s">
        <v>13</v>
      </c>
      <c r="H1248" t="s">
        <v>16</v>
      </c>
      <c r="I1248" t="s">
        <v>5</v>
      </c>
      <c r="J1248">
        <v>76.25</v>
      </c>
      <c r="K1248">
        <v>20.100000000000001</v>
      </c>
      <c r="L1248" t="s">
        <v>14</v>
      </c>
      <c r="M1248">
        <v>0</v>
      </c>
      <c r="N1248" t="str">
        <f t="shared" si="57"/>
        <v>Under 40</v>
      </c>
      <c r="O1248" t="str">
        <f t="shared" si="58"/>
        <v>Normal</v>
      </c>
    </row>
    <row r="1249" spans="1:15" x14ac:dyDescent="0.3">
      <c r="A1249">
        <v>28414</v>
      </c>
      <c r="B1249" t="s">
        <v>2</v>
      </c>
      <c r="C1249">
        <v>50</v>
      </c>
      <c r="D1249">
        <v>0</v>
      </c>
      <c r="E1249">
        <v>0</v>
      </c>
      <c r="F1249" t="str">
        <f t="shared" si="59"/>
        <v>Lower Risk</v>
      </c>
      <c r="G1249" t="s">
        <v>3</v>
      </c>
      <c r="H1249" t="s">
        <v>4</v>
      </c>
      <c r="I1249" t="s">
        <v>5</v>
      </c>
      <c r="J1249">
        <v>103.48</v>
      </c>
      <c r="K1249">
        <v>29.1</v>
      </c>
      <c r="L1249" t="s">
        <v>12</v>
      </c>
      <c r="M1249">
        <v>0</v>
      </c>
      <c r="N1249" t="str">
        <f t="shared" si="57"/>
        <v>40–59</v>
      </c>
      <c r="O1249" t="str">
        <f t="shared" si="58"/>
        <v>Overweight</v>
      </c>
    </row>
    <row r="1250" spans="1:15" x14ac:dyDescent="0.3">
      <c r="A1250">
        <v>25767</v>
      </c>
      <c r="B1250" t="s">
        <v>7</v>
      </c>
      <c r="C1250">
        <v>30</v>
      </c>
      <c r="D1250">
        <v>0</v>
      </c>
      <c r="E1250">
        <v>0</v>
      </c>
      <c r="F1250" t="str">
        <f t="shared" si="59"/>
        <v>Lower Risk</v>
      </c>
      <c r="G1250" t="s">
        <v>13</v>
      </c>
      <c r="H1250" t="s">
        <v>4</v>
      </c>
      <c r="I1250" t="s">
        <v>5</v>
      </c>
      <c r="J1250">
        <v>96.42</v>
      </c>
      <c r="K1250">
        <v>22.6</v>
      </c>
      <c r="L1250" t="s">
        <v>14</v>
      </c>
      <c r="M1250">
        <v>0</v>
      </c>
      <c r="N1250" t="str">
        <f t="shared" si="57"/>
        <v>Under 40</v>
      </c>
      <c r="O1250" t="str">
        <f t="shared" si="58"/>
        <v>Normal</v>
      </c>
    </row>
    <row r="1251" spans="1:15" x14ac:dyDescent="0.3">
      <c r="A1251">
        <v>71319</v>
      </c>
      <c r="B1251" t="s">
        <v>2</v>
      </c>
      <c r="C1251">
        <v>15</v>
      </c>
      <c r="D1251">
        <v>0</v>
      </c>
      <c r="E1251">
        <v>0</v>
      </c>
      <c r="F1251" t="str">
        <f t="shared" si="59"/>
        <v>Lower Risk</v>
      </c>
      <c r="G1251" t="s">
        <v>13</v>
      </c>
      <c r="H1251" t="s">
        <v>4</v>
      </c>
      <c r="I1251" t="s">
        <v>9</v>
      </c>
      <c r="J1251">
        <v>78.59</v>
      </c>
      <c r="K1251">
        <v>25.1</v>
      </c>
      <c r="L1251" t="s">
        <v>14</v>
      </c>
      <c r="M1251">
        <v>0</v>
      </c>
      <c r="N1251" t="str">
        <f t="shared" si="57"/>
        <v>Under 40</v>
      </c>
      <c r="O1251" t="str">
        <f t="shared" si="58"/>
        <v>Overweight</v>
      </c>
    </row>
    <row r="1252" spans="1:15" x14ac:dyDescent="0.3">
      <c r="A1252">
        <v>70031</v>
      </c>
      <c r="B1252" t="s">
        <v>7</v>
      </c>
      <c r="C1252">
        <v>71</v>
      </c>
      <c r="D1252">
        <v>1</v>
      </c>
      <c r="E1252">
        <v>0</v>
      </c>
      <c r="F1252" t="str">
        <f t="shared" si="59"/>
        <v>High Risk</v>
      </c>
      <c r="G1252" t="s">
        <v>3</v>
      </c>
      <c r="H1252" t="s">
        <v>4</v>
      </c>
      <c r="I1252" t="s">
        <v>9</v>
      </c>
      <c r="J1252">
        <v>195.25</v>
      </c>
      <c r="K1252">
        <v>33.299999999999997</v>
      </c>
      <c r="L1252" t="s">
        <v>11</v>
      </c>
      <c r="M1252">
        <v>0</v>
      </c>
      <c r="N1252" t="str">
        <f t="shared" si="57"/>
        <v>60+</v>
      </c>
      <c r="O1252" t="str">
        <f t="shared" si="58"/>
        <v>Obese</v>
      </c>
    </row>
    <row r="1253" spans="1:15" x14ac:dyDescent="0.3">
      <c r="A1253">
        <v>23604</v>
      </c>
      <c r="B1253" t="s">
        <v>2</v>
      </c>
      <c r="C1253">
        <v>4</v>
      </c>
      <c r="D1253">
        <v>0</v>
      </c>
      <c r="E1253">
        <v>0</v>
      </c>
      <c r="F1253" t="str">
        <f t="shared" si="59"/>
        <v>Lower Risk</v>
      </c>
      <c r="G1253" t="s">
        <v>13</v>
      </c>
      <c r="H1253" t="s">
        <v>16</v>
      </c>
      <c r="I1253" t="s">
        <v>9</v>
      </c>
      <c r="J1253">
        <v>103.76</v>
      </c>
      <c r="K1253">
        <v>15.9</v>
      </c>
      <c r="L1253" t="s">
        <v>14</v>
      </c>
      <c r="M1253">
        <v>0</v>
      </c>
      <c r="N1253" t="str">
        <f t="shared" si="57"/>
        <v>Under 40</v>
      </c>
      <c r="O1253" t="str">
        <f t="shared" si="58"/>
        <v>Underweight</v>
      </c>
    </row>
    <row r="1254" spans="1:15" x14ac:dyDescent="0.3">
      <c r="A1254">
        <v>46576</v>
      </c>
      <c r="B1254" t="s">
        <v>2</v>
      </c>
      <c r="C1254">
        <v>2</v>
      </c>
      <c r="D1254">
        <v>0</v>
      </c>
      <c r="E1254">
        <v>0</v>
      </c>
      <c r="F1254" t="str">
        <f t="shared" si="59"/>
        <v>Lower Risk</v>
      </c>
      <c r="G1254" t="s">
        <v>13</v>
      </c>
      <c r="H1254" t="s">
        <v>16</v>
      </c>
      <c r="I1254" t="s">
        <v>9</v>
      </c>
      <c r="J1254">
        <v>68.52</v>
      </c>
      <c r="K1254">
        <v>20.8</v>
      </c>
      <c r="L1254" t="s">
        <v>14</v>
      </c>
      <c r="M1254">
        <v>0</v>
      </c>
      <c r="N1254" t="str">
        <f t="shared" si="57"/>
        <v>Under 40</v>
      </c>
      <c r="O1254" t="str">
        <f t="shared" si="58"/>
        <v>Normal</v>
      </c>
    </row>
    <row r="1255" spans="1:15" x14ac:dyDescent="0.3">
      <c r="A1255">
        <v>31293</v>
      </c>
      <c r="B1255" t="s">
        <v>2</v>
      </c>
      <c r="C1255">
        <v>11</v>
      </c>
      <c r="D1255">
        <v>0</v>
      </c>
      <c r="E1255">
        <v>0</v>
      </c>
      <c r="F1255" t="str">
        <f t="shared" si="59"/>
        <v>Lower Risk</v>
      </c>
      <c r="G1255" t="s">
        <v>13</v>
      </c>
      <c r="H1255" t="s">
        <v>16</v>
      </c>
      <c r="I1255" t="s">
        <v>5</v>
      </c>
      <c r="J1255">
        <v>92.17</v>
      </c>
      <c r="K1255">
        <v>19.5</v>
      </c>
      <c r="L1255" t="s">
        <v>14</v>
      </c>
      <c r="M1255">
        <v>0</v>
      </c>
      <c r="N1255" t="str">
        <f t="shared" si="57"/>
        <v>Under 40</v>
      </c>
      <c r="O1255" t="str">
        <f t="shared" si="58"/>
        <v>Normal</v>
      </c>
    </row>
    <row r="1256" spans="1:15" x14ac:dyDescent="0.3">
      <c r="A1256">
        <v>70610</v>
      </c>
      <c r="B1256" t="s">
        <v>7</v>
      </c>
      <c r="C1256">
        <v>45</v>
      </c>
      <c r="D1256">
        <v>0</v>
      </c>
      <c r="E1256">
        <v>0</v>
      </c>
      <c r="F1256" t="str">
        <f t="shared" si="59"/>
        <v>Lower Risk</v>
      </c>
      <c r="G1256" t="s">
        <v>3</v>
      </c>
      <c r="H1256" t="s">
        <v>4</v>
      </c>
      <c r="I1256" t="s">
        <v>9</v>
      </c>
      <c r="J1256">
        <v>81.02</v>
      </c>
      <c r="K1256">
        <v>39</v>
      </c>
      <c r="L1256" t="s">
        <v>11</v>
      </c>
      <c r="M1256">
        <v>0</v>
      </c>
      <c r="N1256" t="str">
        <f t="shared" si="57"/>
        <v>40–59</v>
      </c>
      <c r="O1256" t="str">
        <f t="shared" si="58"/>
        <v>Obese</v>
      </c>
    </row>
    <row r="1257" spans="1:15" x14ac:dyDescent="0.3">
      <c r="A1257">
        <v>6044</v>
      </c>
      <c r="B1257" t="s">
        <v>2</v>
      </c>
      <c r="C1257">
        <v>22</v>
      </c>
      <c r="D1257">
        <v>0</v>
      </c>
      <c r="E1257">
        <v>0</v>
      </c>
      <c r="F1257" t="str">
        <f t="shared" si="59"/>
        <v>Lower Risk</v>
      </c>
      <c r="G1257" t="s">
        <v>13</v>
      </c>
      <c r="H1257" t="s">
        <v>15</v>
      </c>
      <c r="I1257" t="s">
        <v>9</v>
      </c>
      <c r="J1257">
        <v>94.33</v>
      </c>
      <c r="K1257">
        <v>23.1</v>
      </c>
      <c r="L1257" t="s">
        <v>11</v>
      </c>
      <c r="M1257">
        <v>0</v>
      </c>
      <c r="N1257" t="str">
        <f t="shared" si="57"/>
        <v>Under 40</v>
      </c>
      <c r="O1257" t="str">
        <f t="shared" si="58"/>
        <v>Normal</v>
      </c>
    </row>
    <row r="1258" spans="1:15" x14ac:dyDescent="0.3">
      <c r="A1258">
        <v>62284</v>
      </c>
      <c r="B1258" t="s">
        <v>2</v>
      </c>
      <c r="C1258">
        <v>63</v>
      </c>
      <c r="D1258">
        <v>0</v>
      </c>
      <c r="E1258">
        <v>0</v>
      </c>
      <c r="F1258" t="str">
        <f t="shared" si="59"/>
        <v>Moderate Risk</v>
      </c>
      <c r="G1258" t="s">
        <v>3</v>
      </c>
      <c r="H1258" t="s">
        <v>8</v>
      </c>
      <c r="I1258" t="s">
        <v>9</v>
      </c>
      <c r="J1258">
        <v>78.430000000000007</v>
      </c>
      <c r="K1258">
        <v>18.8</v>
      </c>
      <c r="L1258" t="s">
        <v>11</v>
      </c>
      <c r="M1258">
        <v>0</v>
      </c>
      <c r="N1258" t="str">
        <f t="shared" si="57"/>
        <v>60+</v>
      </c>
      <c r="O1258" t="str">
        <f t="shared" si="58"/>
        <v>Normal</v>
      </c>
    </row>
    <row r="1259" spans="1:15" x14ac:dyDescent="0.3">
      <c r="A1259">
        <v>5821</v>
      </c>
      <c r="B1259" t="s">
        <v>7</v>
      </c>
      <c r="C1259">
        <v>50</v>
      </c>
      <c r="D1259">
        <v>0</v>
      </c>
      <c r="E1259">
        <v>0</v>
      </c>
      <c r="F1259" t="str">
        <f t="shared" si="59"/>
        <v>Lower Risk</v>
      </c>
      <c r="G1259" t="s">
        <v>3</v>
      </c>
      <c r="H1259" t="s">
        <v>4</v>
      </c>
      <c r="I1259" t="s">
        <v>9</v>
      </c>
      <c r="J1259">
        <v>217.39</v>
      </c>
      <c r="K1259">
        <v>50.6</v>
      </c>
      <c r="L1259" t="s">
        <v>14</v>
      </c>
      <c r="M1259">
        <v>0</v>
      </c>
      <c r="N1259" t="str">
        <f t="shared" si="57"/>
        <v>40–59</v>
      </c>
      <c r="O1259" t="str">
        <f t="shared" si="58"/>
        <v>Obese</v>
      </c>
    </row>
    <row r="1260" spans="1:15" x14ac:dyDescent="0.3">
      <c r="A1260">
        <v>22295</v>
      </c>
      <c r="B1260" t="s">
        <v>7</v>
      </c>
      <c r="C1260">
        <v>25</v>
      </c>
      <c r="D1260">
        <v>0</v>
      </c>
      <c r="E1260">
        <v>0</v>
      </c>
      <c r="F1260" t="str">
        <f t="shared" si="59"/>
        <v>Lower Risk</v>
      </c>
      <c r="G1260" t="s">
        <v>13</v>
      </c>
      <c r="H1260" t="s">
        <v>4</v>
      </c>
      <c r="I1260" t="s">
        <v>5</v>
      </c>
      <c r="J1260">
        <v>82.77</v>
      </c>
      <c r="K1260">
        <v>36.299999999999997</v>
      </c>
      <c r="L1260" t="s">
        <v>14</v>
      </c>
      <c r="M1260">
        <v>0</v>
      </c>
      <c r="N1260" t="str">
        <f t="shared" si="57"/>
        <v>Under 40</v>
      </c>
      <c r="O1260" t="str">
        <f t="shared" si="58"/>
        <v>Obese</v>
      </c>
    </row>
    <row r="1261" spans="1:15" x14ac:dyDescent="0.3">
      <c r="A1261">
        <v>27583</v>
      </c>
      <c r="B1261" t="s">
        <v>2</v>
      </c>
      <c r="C1261">
        <v>49</v>
      </c>
      <c r="D1261">
        <v>0</v>
      </c>
      <c r="E1261">
        <v>0</v>
      </c>
      <c r="F1261" t="str">
        <f t="shared" si="59"/>
        <v>Lower Risk</v>
      </c>
      <c r="G1261" t="s">
        <v>3</v>
      </c>
      <c r="H1261" t="s">
        <v>4</v>
      </c>
      <c r="I1261" t="s">
        <v>9</v>
      </c>
      <c r="J1261">
        <v>88.13</v>
      </c>
      <c r="K1261">
        <v>32.799999999999997</v>
      </c>
      <c r="L1261" t="s">
        <v>11</v>
      </c>
      <c r="M1261">
        <v>0</v>
      </c>
      <c r="N1261" t="str">
        <f t="shared" si="57"/>
        <v>40–59</v>
      </c>
      <c r="O1261" t="str">
        <f t="shared" si="58"/>
        <v>Obese</v>
      </c>
    </row>
    <row r="1262" spans="1:15" x14ac:dyDescent="0.3">
      <c r="A1262">
        <v>9696</v>
      </c>
      <c r="B1262" t="s">
        <v>2</v>
      </c>
      <c r="C1262">
        <v>39</v>
      </c>
      <c r="D1262">
        <v>0</v>
      </c>
      <c r="E1262">
        <v>0</v>
      </c>
      <c r="F1262" t="str">
        <f t="shared" si="59"/>
        <v>Lower Risk</v>
      </c>
      <c r="G1262" t="s">
        <v>3</v>
      </c>
      <c r="H1262" t="s">
        <v>4</v>
      </c>
      <c r="I1262" t="s">
        <v>5</v>
      </c>
      <c r="J1262">
        <v>102.77</v>
      </c>
      <c r="K1262">
        <v>35.799999999999997</v>
      </c>
      <c r="L1262" t="s">
        <v>12</v>
      </c>
      <c r="M1262">
        <v>0</v>
      </c>
      <c r="N1262" t="str">
        <f t="shared" si="57"/>
        <v>Under 40</v>
      </c>
      <c r="O1262" t="str">
        <f t="shared" si="58"/>
        <v>Obese</v>
      </c>
    </row>
    <row r="1263" spans="1:15" x14ac:dyDescent="0.3">
      <c r="A1263">
        <v>1164</v>
      </c>
      <c r="B1263" t="s">
        <v>7</v>
      </c>
      <c r="C1263">
        <v>43</v>
      </c>
      <c r="D1263">
        <v>0</v>
      </c>
      <c r="E1263">
        <v>0</v>
      </c>
      <c r="F1263" t="str">
        <f t="shared" si="59"/>
        <v>Lower Risk</v>
      </c>
      <c r="G1263" t="s">
        <v>13</v>
      </c>
      <c r="H1263" t="s">
        <v>4</v>
      </c>
      <c r="I1263" t="s">
        <v>9</v>
      </c>
      <c r="J1263">
        <v>101.75</v>
      </c>
      <c r="K1263">
        <v>26.7</v>
      </c>
      <c r="L1263" t="s">
        <v>12</v>
      </c>
      <c r="M1263">
        <v>0</v>
      </c>
      <c r="N1263" t="str">
        <f t="shared" si="57"/>
        <v>40–59</v>
      </c>
      <c r="O1263" t="str">
        <f t="shared" si="58"/>
        <v>Overweight</v>
      </c>
    </row>
    <row r="1264" spans="1:15" x14ac:dyDescent="0.3">
      <c r="A1264">
        <v>48781</v>
      </c>
      <c r="B1264" t="s">
        <v>2</v>
      </c>
      <c r="C1264">
        <v>67</v>
      </c>
      <c r="D1264">
        <v>0</v>
      </c>
      <c r="E1264">
        <v>0</v>
      </c>
      <c r="F1264" t="str">
        <f t="shared" si="59"/>
        <v>Moderate Risk</v>
      </c>
      <c r="G1264" t="s">
        <v>3</v>
      </c>
      <c r="H1264" t="s">
        <v>4</v>
      </c>
      <c r="I1264" t="s">
        <v>9</v>
      </c>
      <c r="J1264">
        <v>113.34</v>
      </c>
      <c r="K1264">
        <v>26.3</v>
      </c>
      <c r="L1264" t="s">
        <v>6</v>
      </c>
      <c r="M1264">
        <v>0</v>
      </c>
      <c r="N1264" t="str">
        <f t="shared" si="57"/>
        <v>60+</v>
      </c>
      <c r="O1264" t="str">
        <f t="shared" si="58"/>
        <v>Overweight</v>
      </c>
    </row>
    <row r="1265" spans="1:15" x14ac:dyDescent="0.3">
      <c r="A1265">
        <v>50947</v>
      </c>
      <c r="B1265" t="s">
        <v>2</v>
      </c>
      <c r="C1265">
        <v>48</v>
      </c>
      <c r="D1265">
        <v>0</v>
      </c>
      <c r="E1265">
        <v>0</v>
      </c>
      <c r="F1265" t="str">
        <f t="shared" si="59"/>
        <v>Lower Risk</v>
      </c>
      <c r="G1265" t="s">
        <v>3</v>
      </c>
      <c r="H1265" t="s">
        <v>4</v>
      </c>
      <c r="I1265" t="s">
        <v>5</v>
      </c>
      <c r="J1265">
        <v>63.33</v>
      </c>
      <c r="K1265">
        <v>26.5</v>
      </c>
      <c r="L1265" t="s">
        <v>12</v>
      </c>
      <c r="M1265">
        <v>0</v>
      </c>
      <c r="N1265" t="str">
        <f t="shared" si="57"/>
        <v>40–59</v>
      </c>
      <c r="O1265" t="str">
        <f t="shared" si="58"/>
        <v>Overweight</v>
      </c>
    </row>
    <row r="1266" spans="1:15" x14ac:dyDescent="0.3">
      <c r="A1266">
        <v>47844</v>
      </c>
      <c r="B1266" t="s">
        <v>7</v>
      </c>
      <c r="C1266">
        <v>38</v>
      </c>
      <c r="D1266">
        <v>0</v>
      </c>
      <c r="E1266">
        <v>0</v>
      </c>
      <c r="F1266" t="str">
        <f t="shared" si="59"/>
        <v>Lower Risk</v>
      </c>
      <c r="G1266" t="s">
        <v>3</v>
      </c>
      <c r="H1266" t="s">
        <v>4</v>
      </c>
      <c r="I1266" t="s">
        <v>5</v>
      </c>
      <c r="J1266">
        <v>69.34</v>
      </c>
      <c r="K1266">
        <v>43.7</v>
      </c>
      <c r="L1266" t="s">
        <v>11</v>
      </c>
      <c r="M1266">
        <v>0</v>
      </c>
      <c r="N1266" t="str">
        <f t="shared" si="57"/>
        <v>Under 40</v>
      </c>
      <c r="O1266" t="str">
        <f t="shared" si="58"/>
        <v>Obese</v>
      </c>
    </row>
    <row r="1267" spans="1:15" x14ac:dyDescent="0.3">
      <c r="A1267">
        <v>45209</v>
      </c>
      <c r="B1267" t="s">
        <v>7</v>
      </c>
      <c r="C1267">
        <v>14</v>
      </c>
      <c r="D1267">
        <v>0</v>
      </c>
      <c r="E1267">
        <v>0</v>
      </c>
      <c r="F1267" t="str">
        <f t="shared" si="59"/>
        <v>Lower Risk</v>
      </c>
      <c r="G1267" t="s">
        <v>13</v>
      </c>
      <c r="H1267" t="s">
        <v>4</v>
      </c>
      <c r="I1267" t="s">
        <v>9</v>
      </c>
      <c r="J1267">
        <v>118.81</v>
      </c>
      <c r="K1267">
        <v>24.7</v>
      </c>
      <c r="L1267" t="s">
        <v>14</v>
      </c>
      <c r="M1267">
        <v>0</v>
      </c>
      <c r="N1267" t="str">
        <f t="shared" si="57"/>
        <v>Under 40</v>
      </c>
      <c r="O1267" t="str">
        <f t="shared" si="58"/>
        <v>Normal</v>
      </c>
    </row>
    <row r="1268" spans="1:15" x14ac:dyDescent="0.3">
      <c r="A1268">
        <v>49412</v>
      </c>
      <c r="B1268" t="s">
        <v>2</v>
      </c>
      <c r="C1268">
        <v>63</v>
      </c>
      <c r="D1268">
        <v>0</v>
      </c>
      <c r="E1268">
        <v>0</v>
      </c>
      <c r="F1268" t="str">
        <f t="shared" si="59"/>
        <v>Moderate Risk</v>
      </c>
      <c r="G1268" t="s">
        <v>3</v>
      </c>
      <c r="H1268" t="s">
        <v>15</v>
      </c>
      <c r="I1268" t="s">
        <v>5</v>
      </c>
      <c r="J1268">
        <v>66.13</v>
      </c>
      <c r="K1268">
        <v>46.2</v>
      </c>
      <c r="L1268" t="s">
        <v>11</v>
      </c>
      <c r="M1268">
        <v>0</v>
      </c>
      <c r="N1268" t="str">
        <f t="shared" si="57"/>
        <v>60+</v>
      </c>
      <c r="O1268" t="str">
        <f t="shared" si="58"/>
        <v>Obese</v>
      </c>
    </row>
    <row r="1269" spans="1:15" x14ac:dyDescent="0.3">
      <c r="A1269">
        <v>43088</v>
      </c>
      <c r="B1269" t="s">
        <v>2</v>
      </c>
      <c r="C1269">
        <v>37</v>
      </c>
      <c r="D1269">
        <v>0</v>
      </c>
      <c r="E1269">
        <v>0</v>
      </c>
      <c r="F1269" t="str">
        <f t="shared" si="59"/>
        <v>Lower Risk</v>
      </c>
      <c r="G1269" t="s">
        <v>13</v>
      </c>
      <c r="H1269" t="s">
        <v>4</v>
      </c>
      <c r="I1269" t="s">
        <v>5</v>
      </c>
      <c r="J1269">
        <v>67.53</v>
      </c>
      <c r="K1269">
        <v>49.5</v>
      </c>
      <c r="L1269" t="s">
        <v>6</v>
      </c>
      <c r="M1269">
        <v>0</v>
      </c>
      <c r="N1269" t="str">
        <f t="shared" si="57"/>
        <v>Under 40</v>
      </c>
      <c r="O1269" t="str">
        <f t="shared" si="58"/>
        <v>Obese</v>
      </c>
    </row>
    <row r="1270" spans="1:15" x14ac:dyDescent="0.3">
      <c r="A1270">
        <v>16355</v>
      </c>
      <c r="B1270" t="s">
        <v>2</v>
      </c>
      <c r="C1270">
        <v>20</v>
      </c>
      <c r="D1270">
        <v>0</v>
      </c>
      <c r="E1270">
        <v>0</v>
      </c>
      <c r="F1270" t="str">
        <f t="shared" si="59"/>
        <v>Lower Risk</v>
      </c>
      <c r="G1270" t="s">
        <v>13</v>
      </c>
      <c r="H1270" t="s">
        <v>4</v>
      </c>
      <c r="I1270" t="s">
        <v>5</v>
      </c>
      <c r="J1270">
        <v>96.58</v>
      </c>
      <c r="K1270">
        <v>43.3</v>
      </c>
      <c r="L1270" t="s">
        <v>11</v>
      </c>
      <c r="M1270">
        <v>0</v>
      </c>
      <c r="N1270" t="str">
        <f t="shared" si="57"/>
        <v>Under 40</v>
      </c>
      <c r="O1270" t="str">
        <f t="shared" si="58"/>
        <v>Obese</v>
      </c>
    </row>
    <row r="1271" spans="1:15" x14ac:dyDescent="0.3">
      <c r="A1271">
        <v>43172</v>
      </c>
      <c r="B1271" t="s">
        <v>7</v>
      </c>
      <c r="C1271">
        <v>60</v>
      </c>
      <c r="D1271">
        <v>0</v>
      </c>
      <c r="E1271">
        <v>0</v>
      </c>
      <c r="F1271" t="str">
        <f t="shared" si="59"/>
        <v>Moderate Risk</v>
      </c>
      <c r="G1271" t="s">
        <v>3</v>
      </c>
      <c r="H1271" t="s">
        <v>4</v>
      </c>
      <c r="I1271" t="s">
        <v>5</v>
      </c>
      <c r="J1271">
        <v>57.89</v>
      </c>
      <c r="K1271">
        <v>30.9</v>
      </c>
      <c r="L1271" t="s">
        <v>6</v>
      </c>
      <c r="M1271">
        <v>0</v>
      </c>
      <c r="N1271" t="str">
        <f t="shared" si="57"/>
        <v>60+</v>
      </c>
      <c r="O1271" t="str">
        <f t="shared" si="58"/>
        <v>Obese</v>
      </c>
    </row>
    <row r="1272" spans="1:15" x14ac:dyDescent="0.3">
      <c r="A1272">
        <v>43155</v>
      </c>
      <c r="B1272" t="s">
        <v>7</v>
      </c>
      <c r="C1272">
        <v>13</v>
      </c>
      <c r="D1272">
        <v>0</v>
      </c>
      <c r="E1272">
        <v>0</v>
      </c>
      <c r="F1272" t="str">
        <f t="shared" si="59"/>
        <v>Lower Risk</v>
      </c>
      <c r="G1272" t="s">
        <v>13</v>
      </c>
      <c r="H1272" t="s">
        <v>16</v>
      </c>
      <c r="I1272" t="s">
        <v>9</v>
      </c>
      <c r="J1272">
        <v>78.38</v>
      </c>
      <c r="K1272">
        <v>38.700000000000003</v>
      </c>
      <c r="L1272" t="s">
        <v>14</v>
      </c>
      <c r="M1272">
        <v>0</v>
      </c>
      <c r="N1272" t="str">
        <f t="shared" si="57"/>
        <v>Under 40</v>
      </c>
      <c r="O1272" t="str">
        <f t="shared" si="58"/>
        <v>Obese</v>
      </c>
    </row>
    <row r="1273" spans="1:15" x14ac:dyDescent="0.3">
      <c r="A1273">
        <v>11882</v>
      </c>
      <c r="B1273" t="s">
        <v>2</v>
      </c>
      <c r="C1273">
        <v>34</v>
      </c>
      <c r="D1273">
        <v>0</v>
      </c>
      <c r="E1273">
        <v>0</v>
      </c>
      <c r="F1273" t="str">
        <f t="shared" si="59"/>
        <v>Lower Risk</v>
      </c>
      <c r="G1273" t="s">
        <v>13</v>
      </c>
      <c r="H1273" t="s">
        <v>4</v>
      </c>
      <c r="I1273" t="s">
        <v>5</v>
      </c>
      <c r="J1273">
        <v>94.15</v>
      </c>
      <c r="K1273">
        <v>28.6</v>
      </c>
      <c r="L1273" t="s">
        <v>11</v>
      </c>
      <c r="M1273">
        <v>0</v>
      </c>
      <c r="N1273" t="str">
        <f t="shared" si="57"/>
        <v>Under 40</v>
      </c>
      <c r="O1273" t="str">
        <f t="shared" si="58"/>
        <v>Overweight</v>
      </c>
    </row>
    <row r="1274" spans="1:15" x14ac:dyDescent="0.3">
      <c r="A1274">
        <v>45669</v>
      </c>
      <c r="B1274" t="s">
        <v>2</v>
      </c>
      <c r="C1274">
        <v>22</v>
      </c>
      <c r="D1274">
        <v>0</v>
      </c>
      <c r="E1274">
        <v>0</v>
      </c>
      <c r="F1274" t="str">
        <f t="shared" si="59"/>
        <v>Lower Risk</v>
      </c>
      <c r="G1274" t="s">
        <v>13</v>
      </c>
      <c r="H1274" t="s">
        <v>4</v>
      </c>
      <c r="I1274" t="s">
        <v>5</v>
      </c>
      <c r="J1274">
        <v>89.53</v>
      </c>
      <c r="K1274">
        <v>30.2</v>
      </c>
      <c r="L1274" t="s">
        <v>14</v>
      </c>
      <c r="M1274">
        <v>0</v>
      </c>
      <c r="N1274" t="str">
        <f t="shared" si="57"/>
        <v>Under 40</v>
      </c>
      <c r="O1274" t="str">
        <f t="shared" si="58"/>
        <v>Obese</v>
      </c>
    </row>
    <row r="1275" spans="1:15" x14ac:dyDescent="0.3">
      <c r="A1275">
        <v>65339</v>
      </c>
      <c r="B1275" t="s">
        <v>7</v>
      </c>
      <c r="C1275">
        <v>46</v>
      </c>
      <c r="D1275">
        <v>0</v>
      </c>
      <c r="E1275">
        <v>0</v>
      </c>
      <c r="F1275" t="str">
        <f t="shared" si="59"/>
        <v>Lower Risk</v>
      </c>
      <c r="G1275" t="s">
        <v>3</v>
      </c>
      <c r="H1275" t="s">
        <v>4</v>
      </c>
      <c r="I1275" t="s">
        <v>5</v>
      </c>
      <c r="J1275">
        <v>127.75</v>
      </c>
      <c r="K1275">
        <v>30.5</v>
      </c>
      <c r="L1275" t="s">
        <v>11</v>
      </c>
      <c r="M1275">
        <v>0</v>
      </c>
      <c r="N1275" t="str">
        <f t="shared" si="57"/>
        <v>40–59</v>
      </c>
      <c r="O1275" t="str">
        <f t="shared" si="58"/>
        <v>Obese</v>
      </c>
    </row>
    <row r="1276" spans="1:15" x14ac:dyDescent="0.3">
      <c r="A1276">
        <v>60399</v>
      </c>
      <c r="B1276" t="s">
        <v>2</v>
      </c>
      <c r="C1276">
        <v>53</v>
      </c>
      <c r="D1276">
        <v>0</v>
      </c>
      <c r="E1276">
        <v>0</v>
      </c>
      <c r="F1276" t="str">
        <f t="shared" si="59"/>
        <v>Lower Risk</v>
      </c>
      <c r="G1276" t="s">
        <v>3</v>
      </c>
      <c r="H1276" t="s">
        <v>8</v>
      </c>
      <c r="I1276" t="s">
        <v>9</v>
      </c>
      <c r="J1276">
        <v>76.790000000000006</v>
      </c>
      <c r="K1276">
        <v>33.9</v>
      </c>
      <c r="L1276" t="s">
        <v>14</v>
      </c>
      <c r="M1276">
        <v>0</v>
      </c>
      <c r="N1276" t="str">
        <f t="shared" si="57"/>
        <v>40–59</v>
      </c>
      <c r="O1276" t="str">
        <f t="shared" si="58"/>
        <v>Obese</v>
      </c>
    </row>
    <row r="1277" spans="1:15" x14ac:dyDescent="0.3">
      <c r="A1277">
        <v>59604</v>
      </c>
      <c r="B1277" t="s">
        <v>7</v>
      </c>
      <c r="C1277">
        <v>28</v>
      </c>
      <c r="D1277">
        <v>0</v>
      </c>
      <c r="E1277">
        <v>0</v>
      </c>
      <c r="F1277" t="str">
        <f t="shared" si="59"/>
        <v>Lower Risk</v>
      </c>
      <c r="G1277" t="s">
        <v>3</v>
      </c>
      <c r="H1277" t="s">
        <v>4</v>
      </c>
      <c r="I1277" t="s">
        <v>9</v>
      </c>
      <c r="J1277">
        <v>141.15</v>
      </c>
      <c r="K1277">
        <v>28.6</v>
      </c>
      <c r="L1277" t="s">
        <v>11</v>
      </c>
      <c r="M1277">
        <v>0</v>
      </c>
      <c r="N1277" t="str">
        <f t="shared" si="57"/>
        <v>Under 40</v>
      </c>
      <c r="O1277" t="str">
        <f t="shared" si="58"/>
        <v>Overweight</v>
      </c>
    </row>
    <row r="1278" spans="1:15" x14ac:dyDescent="0.3">
      <c r="A1278">
        <v>22488</v>
      </c>
      <c r="B1278" t="s">
        <v>7</v>
      </c>
      <c r="C1278">
        <v>62</v>
      </c>
      <c r="D1278">
        <v>0</v>
      </c>
      <c r="E1278">
        <v>0</v>
      </c>
      <c r="F1278" t="str">
        <f t="shared" si="59"/>
        <v>Moderate Risk</v>
      </c>
      <c r="G1278" t="s">
        <v>3</v>
      </c>
      <c r="H1278" t="s">
        <v>15</v>
      </c>
      <c r="I1278" t="s">
        <v>5</v>
      </c>
      <c r="J1278">
        <v>88.63</v>
      </c>
      <c r="K1278">
        <v>24.5</v>
      </c>
      <c r="L1278" t="s">
        <v>11</v>
      </c>
      <c r="M1278">
        <v>0</v>
      </c>
      <c r="N1278" t="str">
        <f t="shared" si="57"/>
        <v>60+</v>
      </c>
      <c r="O1278" t="str">
        <f t="shared" si="58"/>
        <v>Normal</v>
      </c>
    </row>
    <row r="1279" spans="1:15" x14ac:dyDescent="0.3">
      <c r="A1279">
        <v>33187</v>
      </c>
      <c r="B1279" t="s">
        <v>7</v>
      </c>
      <c r="C1279">
        <v>6</v>
      </c>
      <c r="D1279">
        <v>0</v>
      </c>
      <c r="E1279">
        <v>0</v>
      </c>
      <c r="F1279" t="str">
        <f t="shared" si="59"/>
        <v>Lower Risk</v>
      </c>
      <c r="G1279" t="s">
        <v>13</v>
      </c>
      <c r="H1279" t="s">
        <v>16</v>
      </c>
      <c r="I1279" t="s">
        <v>5</v>
      </c>
      <c r="J1279">
        <v>201.25</v>
      </c>
      <c r="K1279" t="s">
        <v>10</v>
      </c>
      <c r="L1279" t="s">
        <v>14</v>
      </c>
      <c r="M1279">
        <v>0</v>
      </c>
      <c r="N1279" t="str">
        <f t="shared" si="57"/>
        <v>Under 40</v>
      </c>
      <c r="O1279" t="str">
        <f t="shared" si="58"/>
        <v>Unknown</v>
      </c>
    </row>
    <row r="1280" spans="1:15" x14ac:dyDescent="0.3">
      <c r="A1280">
        <v>44192</v>
      </c>
      <c r="B1280" t="s">
        <v>7</v>
      </c>
      <c r="C1280">
        <v>11</v>
      </c>
      <c r="D1280">
        <v>0</v>
      </c>
      <c r="E1280">
        <v>0</v>
      </c>
      <c r="F1280" t="str">
        <f t="shared" si="59"/>
        <v>Lower Risk</v>
      </c>
      <c r="G1280" t="s">
        <v>13</v>
      </c>
      <c r="H1280" t="s">
        <v>16</v>
      </c>
      <c r="I1280" t="s">
        <v>5</v>
      </c>
      <c r="J1280">
        <v>130.15</v>
      </c>
      <c r="K1280">
        <v>17.2</v>
      </c>
      <c r="L1280" t="s">
        <v>14</v>
      </c>
      <c r="M1280">
        <v>0</v>
      </c>
      <c r="N1280" t="str">
        <f t="shared" si="57"/>
        <v>Under 40</v>
      </c>
      <c r="O1280" t="str">
        <f t="shared" si="58"/>
        <v>Underweight</v>
      </c>
    </row>
    <row r="1281" spans="1:15" x14ac:dyDescent="0.3">
      <c r="A1281">
        <v>16114</v>
      </c>
      <c r="B1281" t="s">
        <v>2</v>
      </c>
      <c r="C1281">
        <v>66</v>
      </c>
      <c r="D1281">
        <v>0</v>
      </c>
      <c r="E1281">
        <v>0</v>
      </c>
      <c r="F1281" t="str">
        <f t="shared" si="59"/>
        <v>Moderate Risk</v>
      </c>
      <c r="G1281" t="s">
        <v>13</v>
      </c>
      <c r="H1281" t="s">
        <v>4</v>
      </c>
      <c r="I1281" t="s">
        <v>5</v>
      </c>
      <c r="J1281">
        <v>108.03</v>
      </c>
      <c r="K1281">
        <v>27.2</v>
      </c>
      <c r="L1281" t="s">
        <v>11</v>
      </c>
      <c r="M1281">
        <v>0</v>
      </c>
      <c r="N1281" t="str">
        <f t="shared" si="57"/>
        <v>60+</v>
      </c>
      <c r="O1281" t="str">
        <f t="shared" si="58"/>
        <v>Overweight</v>
      </c>
    </row>
    <row r="1282" spans="1:15" x14ac:dyDescent="0.3">
      <c r="A1282">
        <v>35293</v>
      </c>
      <c r="B1282" t="s">
        <v>7</v>
      </c>
      <c r="C1282">
        <v>80</v>
      </c>
      <c r="D1282">
        <v>0</v>
      </c>
      <c r="E1282">
        <v>0</v>
      </c>
      <c r="F1282" t="str">
        <f t="shared" si="59"/>
        <v>Moderate Risk</v>
      </c>
      <c r="G1282" t="s">
        <v>3</v>
      </c>
      <c r="H1282" t="s">
        <v>8</v>
      </c>
      <c r="I1282" t="s">
        <v>9</v>
      </c>
      <c r="J1282">
        <v>104.07</v>
      </c>
      <c r="K1282">
        <v>19.3</v>
      </c>
      <c r="L1282" t="s">
        <v>6</v>
      </c>
      <c r="M1282">
        <v>0</v>
      </c>
      <c r="N1282" t="str">
        <f t="shared" ref="N1282:N1345" si="60">IF(C1282&lt;40,"Under 40",IF(C1282&lt;60,"40–59","60+"))</f>
        <v>60+</v>
      </c>
      <c r="O1282" t="str">
        <f t="shared" ref="O1282:O1345" si="61">IF(K1282="N/A","Unknown",
IF(K1282="","Unknown",
IF(K1282&lt;18.5,"Underweight",
IF(K1282&lt;25,"Normal",
IF(K1282&lt;30,"Overweight","Obese")))))</f>
        <v>Normal</v>
      </c>
    </row>
    <row r="1283" spans="1:15" x14ac:dyDescent="0.3">
      <c r="A1283">
        <v>728</v>
      </c>
      <c r="B1283" t="s">
        <v>2</v>
      </c>
      <c r="C1283">
        <v>8</v>
      </c>
      <c r="D1283">
        <v>0</v>
      </c>
      <c r="E1283">
        <v>0</v>
      </c>
      <c r="F1283" t="str">
        <f t="shared" ref="F1283:F1346" si="62">IF(C1283&gt;=60,
IF(OR(D1283=1,E1283=1),"High Risk","Moderate Risk"),
"Lower Risk")</f>
        <v>Lower Risk</v>
      </c>
      <c r="G1283" t="s">
        <v>13</v>
      </c>
      <c r="H1283" t="s">
        <v>16</v>
      </c>
      <c r="I1283" t="s">
        <v>5</v>
      </c>
      <c r="J1283">
        <v>88.83</v>
      </c>
      <c r="K1283">
        <v>18.5</v>
      </c>
      <c r="L1283" t="s">
        <v>14</v>
      </c>
      <c r="M1283">
        <v>0</v>
      </c>
      <c r="N1283" t="str">
        <f t="shared" si="60"/>
        <v>Under 40</v>
      </c>
      <c r="O1283" t="str">
        <f t="shared" si="61"/>
        <v>Normal</v>
      </c>
    </row>
    <row r="1284" spans="1:15" x14ac:dyDescent="0.3">
      <c r="A1284">
        <v>45788</v>
      </c>
      <c r="B1284" t="s">
        <v>2</v>
      </c>
      <c r="C1284">
        <v>53</v>
      </c>
      <c r="D1284">
        <v>0</v>
      </c>
      <c r="E1284">
        <v>1</v>
      </c>
      <c r="F1284" t="str">
        <f t="shared" si="62"/>
        <v>Lower Risk</v>
      </c>
      <c r="G1284" t="s">
        <v>3</v>
      </c>
      <c r="H1284" t="s">
        <v>4</v>
      </c>
      <c r="I1284" t="s">
        <v>9</v>
      </c>
      <c r="J1284">
        <v>197.79</v>
      </c>
      <c r="K1284">
        <v>32</v>
      </c>
      <c r="L1284" t="s">
        <v>14</v>
      </c>
      <c r="M1284">
        <v>0</v>
      </c>
      <c r="N1284" t="str">
        <f t="shared" si="60"/>
        <v>40–59</v>
      </c>
      <c r="O1284" t="str">
        <f t="shared" si="61"/>
        <v>Obese</v>
      </c>
    </row>
    <row r="1285" spans="1:15" x14ac:dyDescent="0.3">
      <c r="A1285">
        <v>52150</v>
      </c>
      <c r="B1285" t="s">
        <v>2</v>
      </c>
      <c r="C1285">
        <v>63</v>
      </c>
      <c r="D1285">
        <v>1</v>
      </c>
      <c r="E1285">
        <v>1</v>
      </c>
      <c r="F1285" t="str">
        <f t="shared" si="62"/>
        <v>High Risk</v>
      </c>
      <c r="G1285" t="s">
        <v>3</v>
      </c>
      <c r="H1285" t="s">
        <v>4</v>
      </c>
      <c r="I1285" t="s">
        <v>5</v>
      </c>
      <c r="J1285">
        <v>150.44999999999999</v>
      </c>
      <c r="K1285">
        <v>44.5</v>
      </c>
      <c r="L1285" t="s">
        <v>6</v>
      </c>
      <c r="M1285">
        <v>0</v>
      </c>
      <c r="N1285" t="str">
        <f t="shared" si="60"/>
        <v>60+</v>
      </c>
      <c r="O1285" t="str">
        <f t="shared" si="61"/>
        <v>Obese</v>
      </c>
    </row>
    <row r="1286" spans="1:15" x14ac:dyDescent="0.3">
      <c r="A1286">
        <v>26172</v>
      </c>
      <c r="B1286" t="s">
        <v>2</v>
      </c>
      <c r="C1286">
        <v>31</v>
      </c>
      <c r="D1286">
        <v>0</v>
      </c>
      <c r="E1286">
        <v>0</v>
      </c>
      <c r="F1286" t="str">
        <f t="shared" si="62"/>
        <v>Lower Risk</v>
      </c>
      <c r="G1286" t="s">
        <v>3</v>
      </c>
      <c r="H1286" t="s">
        <v>4</v>
      </c>
      <c r="I1286" t="s">
        <v>9</v>
      </c>
      <c r="J1286">
        <v>100.39</v>
      </c>
      <c r="K1286">
        <v>37</v>
      </c>
      <c r="L1286" t="s">
        <v>11</v>
      </c>
      <c r="M1286">
        <v>0</v>
      </c>
      <c r="N1286" t="str">
        <f t="shared" si="60"/>
        <v>Under 40</v>
      </c>
      <c r="O1286" t="str">
        <f t="shared" si="61"/>
        <v>Obese</v>
      </c>
    </row>
    <row r="1287" spans="1:15" x14ac:dyDescent="0.3">
      <c r="A1287">
        <v>67814</v>
      </c>
      <c r="B1287" t="s">
        <v>2</v>
      </c>
      <c r="C1287">
        <v>43</v>
      </c>
      <c r="D1287">
        <v>0</v>
      </c>
      <c r="E1287">
        <v>0</v>
      </c>
      <c r="F1287" t="str">
        <f t="shared" si="62"/>
        <v>Lower Risk</v>
      </c>
      <c r="G1287" t="s">
        <v>3</v>
      </c>
      <c r="H1287" t="s">
        <v>15</v>
      </c>
      <c r="I1287" t="s">
        <v>9</v>
      </c>
      <c r="J1287">
        <v>79.92</v>
      </c>
      <c r="K1287">
        <v>30.8</v>
      </c>
      <c r="L1287" t="s">
        <v>6</v>
      </c>
      <c r="M1287">
        <v>0</v>
      </c>
      <c r="N1287" t="str">
        <f t="shared" si="60"/>
        <v>40–59</v>
      </c>
      <c r="O1287" t="str">
        <f t="shared" si="61"/>
        <v>Obese</v>
      </c>
    </row>
    <row r="1288" spans="1:15" x14ac:dyDescent="0.3">
      <c r="A1288">
        <v>12618</v>
      </c>
      <c r="B1288" t="s">
        <v>2</v>
      </c>
      <c r="C1288">
        <v>79</v>
      </c>
      <c r="D1288">
        <v>0</v>
      </c>
      <c r="E1288">
        <v>1</v>
      </c>
      <c r="F1288" t="str">
        <f t="shared" si="62"/>
        <v>High Risk</v>
      </c>
      <c r="G1288" t="s">
        <v>3</v>
      </c>
      <c r="H1288" t="s">
        <v>8</v>
      </c>
      <c r="I1288" t="s">
        <v>5</v>
      </c>
      <c r="J1288">
        <v>96.79</v>
      </c>
      <c r="K1288">
        <v>24.7</v>
      </c>
      <c r="L1288" t="s">
        <v>14</v>
      </c>
      <c r="M1288">
        <v>0</v>
      </c>
      <c r="N1288" t="str">
        <f t="shared" si="60"/>
        <v>60+</v>
      </c>
      <c r="O1288" t="str">
        <f t="shared" si="61"/>
        <v>Normal</v>
      </c>
    </row>
    <row r="1289" spans="1:15" x14ac:dyDescent="0.3">
      <c r="A1289">
        <v>28952</v>
      </c>
      <c r="B1289" t="s">
        <v>2</v>
      </c>
      <c r="C1289">
        <v>8</v>
      </c>
      <c r="D1289">
        <v>0</v>
      </c>
      <c r="E1289">
        <v>0</v>
      </c>
      <c r="F1289" t="str">
        <f t="shared" si="62"/>
        <v>Lower Risk</v>
      </c>
      <c r="G1289" t="s">
        <v>13</v>
      </c>
      <c r="H1289" t="s">
        <v>16</v>
      </c>
      <c r="I1289" t="s">
        <v>9</v>
      </c>
      <c r="J1289">
        <v>86.84</v>
      </c>
      <c r="K1289">
        <v>18.3</v>
      </c>
      <c r="L1289" t="s">
        <v>14</v>
      </c>
      <c r="M1289">
        <v>0</v>
      </c>
      <c r="N1289" t="str">
        <f t="shared" si="60"/>
        <v>Under 40</v>
      </c>
      <c r="O1289" t="str">
        <f t="shared" si="61"/>
        <v>Underweight</v>
      </c>
    </row>
    <row r="1290" spans="1:15" x14ac:dyDescent="0.3">
      <c r="A1290">
        <v>39123</v>
      </c>
      <c r="B1290" t="s">
        <v>2</v>
      </c>
      <c r="C1290">
        <v>38</v>
      </c>
      <c r="D1290">
        <v>0</v>
      </c>
      <c r="E1290">
        <v>0</v>
      </c>
      <c r="F1290" t="str">
        <f t="shared" si="62"/>
        <v>Lower Risk</v>
      </c>
      <c r="G1290" t="s">
        <v>3</v>
      </c>
      <c r="H1290" t="s">
        <v>4</v>
      </c>
      <c r="I1290" t="s">
        <v>9</v>
      </c>
      <c r="J1290">
        <v>61.27</v>
      </c>
      <c r="K1290">
        <v>44</v>
      </c>
      <c r="L1290" t="s">
        <v>14</v>
      </c>
      <c r="M1290">
        <v>0</v>
      </c>
      <c r="N1290" t="str">
        <f t="shared" si="60"/>
        <v>Under 40</v>
      </c>
      <c r="O1290" t="str">
        <f t="shared" si="61"/>
        <v>Obese</v>
      </c>
    </row>
    <row r="1291" spans="1:15" x14ac:dyDescent="0.3">
      <c r="A1291">
        <v>53967</v>
      </c>
      <c r="B1291" t="s">
        <v>7</v>
      </c>
      <c r="C1291">
        <v>80</v>
      </c>
      <c r="D1291">
        <v>0</v>
      </c>
      <c r="E1291">
        <v>0</v>
      </c>
      <c r="F1291" t="str">
        <f t="shared" si="62"/>
        <v>Moderate Risk</v>
      </c>
      <c r="G1291" t="s">
        <v>3</v>
      </c>
      <c r="H1291" t="s">
        <v>8</v>
      </c>
      <c r="I1291" t="s">
        <v>9</v>
      </c>
      <c r="J1291">
        <v>72.61</v>
      </c>
      <c r="K1291">
        <v>27.6</v>
      </c>
      <c r="L1291" t="s">
        <v>11</v>
      </c>
      <c r="M1291">
        <v>0</v>
      </c>
      <c r="N1291" t="str">
        <f t="shared" si="60"/>
        <v>60+</v>
      </c>
      <c r="O1291" t="str">
        <f t="shared" si="61"/>
        <v>Overweight</v>
      </c>
    </row>
    <row r="1292" spans="1:15" x14ac:dyDescent="0.3">
      <c r="A1292">
        <v>34772</v>
      </c>
      <c r="B1292" t="s">
        <v>7</v>
      </c>
      <c r="C1292">
        <v>49</v>
      </c>
      <c r="D1292">
        <v>0</v>
      </c>
      <c r="E1292">
        <v>0</v>
      </c>
      <c r="F1292" t="str">
        <f t="shared" si="62"/>
        <v>Lower Risk</v>
      </c>
      <c r="G1292" t="s">
        <v>3</v>
      </c>
      <c r="H1292" t="s">
        <v>4</v>
      </c>
      <c r="I1292" t="s">
        <v>9</v>
      </c>
      <c r="J1292">
        <v>82.41</v>
      </c>
      <c r="K1292">
        <v>45.4</v>
      </c>
      <c r="L1292" t="s">
        <v>12</v>
      </c>
      <c r="M1292">
        <v>0</v>
      </c>
      <c r="N1292" t="str">
        <f t="shared" si="60"/>
        <v>40–59</v>
      </c>
      <c r="O1292" t="str">
        <f t="shared" si="61"/>
        <v>Obese</v>
      </c>
    </row>
    <row r="1293" spans="1:15" x14ac:dyDescent="0.3">
      <c r="A1293">
        <v>43124</v>
      </c>
      <c r="B1293" t="s">
        <v>7</v>
      </c>
      <c r="C1293">
        <v>50</v>
      </c>
      <c r="D1293">
        <v>0</v>
      </c>
      <c r="E1293">
        <v>0</v>
      </c>
      <c r="F1293" t="str">
        <f t="shared" si="62"/>
        <v>Lower Risk</v>
      </c>
      <c r="G1293" t="s">
        <v>3</v>
      </c>
      <c r="H1293" t="s">
        <v>15</v>
      </c>
      <c r="I1293" t="s">
        <v>5</v>
      </c>
      <c r="J1293">
        <v>74.72</v>
      </c>
      <c r="K1293">
        <v>28.5</v>
      </c>
      <c r="L1293" t="s">
        <v>11</v>
      </c>
      <c r="M1293">
        <v>0</v>
      </c>
      <c r="N1293" t="str">
        <f t="shared" si="60"/>
        <v>40–59</v>
      </c>
      <c r="O1293" t="str">
        <f t="shared" si="61"/>
        <v>Overweight</v>
      </c>
    </row>
    <row r="1294" spans="1:15" x14ac:dyDescent="0.3">
      <c r="A1294">
        <v>51916</v>
      </c>
      <c r="B1294" t="s">
        <v>2</v>
      </c>
      <c r="C1294">
        <v>13</v>
      </c>
      <c r="D1294">
        <v>0</v>
      </c>
      <c r="E1294">
        <v>0</v>
      </c>
      <c r="F1294" t="str">
        <f t="shared" si="62"/>
        <v>Lower Risk</v>
      </c>
      <c r="G1294" t="s">
        <v>13</v>
      </c>
      <c r="H1294" t="s">
        <v>16</v>
      </c>
      <c r="I1294" t="s">
        <v>9</v>
      </c>
      <c r="J1294">
        <v>57.37</v>
      </c>
      <c r="K1294">
        <v>17.600000000000001</v>
      </c>
      <c r="L1294" t="s">
        <v>14</v>
      </c>
      <c r="M1294">
        <v>0</v>
      </c>
      <c r="N1294" t="str">
        <f t="shared" si="60"/>
        <v>Under 40</v>
      </c>
      <c r="O1294" t="str">
        <f t="shared" si="61"/>
        <v>Underweight</v>
      </c>
    </row>
    <row r="1295" spans="1:15" x14ac:dyDescent="0.3">
      <c r="A1295">
        <v>68003</v>
      </c>
      <c r="B1295" t="s">
        <v>2</v>
      </c>
      <c r="C1295">
        <v>46</v>
      </c>
      <c r="D1295">
        <v>1</v>
      </c>
      <c r="E1295">
        <v>0</v>
      </c>
      <c r="F1295" t="str">
        <f t="shared" si="62"/>
        <v>Lower Risk</v>
      </c>
      <c r="G1295" t="s">
        <v>3</v>
      </c>
      <c r="H1295" t="s">
        <v>4</v>
      </c>
      <c r="I1295" t="s">
        <v>9</v>
      </c>
      <c r="J1295">
        <v>73.72</v>
      </c>
      <c r="K1295" t="s">
        <v>10</v>
      </c>
      <c r="L1295" t="s">
        <v>12</v>
      </c>
      <c r="M1295">
        <v>0</v>
      </c>
      <c r="N1295" t="str">
        <f t="shared" si="60"/>
        <v>40–59</v>
      </c>
      <c r="O1295" t="str">
        <f t="shared" si="61"/>
        <v>Unknown</v>
      </c>
    </row>
    <row r="1296" spans="1:15" x14ac:dyDescent="0.3">
      <c r="A1296">
        <v>59157</v>
      </c>
      <c r="B1296" t="s">
        <v>2</v>
      </c>
      <c r="C1296">
        <v>73</v>
      </c>
      <c r="D1296">
        <v>1</v>
      </c>
      <c r="E1296">
        <v>0</v>
      </c>
      <c r="F1296" t="str">
        <f t="shared" si="62"/>
        <v>High Risk</v>
      </c>
      <c r="G1296" t="s">
        <v>3</v>
      </c>
      <c r="H1296" t="s">
        <v>4</v>
      </c>
      <c r="I1296" t="s">
        <v>5</v>
      </c>
      <c r="J1296">
        <v>88.34</v>
      </c>
      <c r="K1296">
        <v>27.5</v>
      </c>
      <c r="L1296" t="s">
        <v>11</v>
      </c>
      <c r="M1296">
        <v>0</v>
      </c>
      <c r="N1296" t="str">
        <f t="shared" si="60"/>
        <v>60+</v>
      </c>
      <c r="O1296" t="str">
        <f t="shared" si="61"/>
        <v>Overweight</v>
      </c>
    </row>
    <row r="1297" spans="1:15" x14ac:dyDescent="0.3">
      <c r="A1297">
        <v>54383</v>
      </c>
      <c r="B1297" t="s">
        <v>2</v>
      </c>
      <c r="C1297">
        <v>60</v>
      </c>
      <c r="D1297">
        <v>0</v>
      </c>
      <c r="E1297">
        <v>0</v>
      </c>
      <c r="F1297" t="str">
        <f t="shared" si="62"/>
        <v>Moderate Risk</v>
      </c>
      <c r="G1297" t="s">
        <v>3</v>
      </c>
      <c r="H1297" t="s">
        <v>4</v>
      </c>
      <c r="I1297" t="s">
        <v>9</v>
      </c>
      <c r="J1297">
        <v>101.34</v>
      </c>
      <c r="K1297">
        <v>32.799999999999997</v>
      </c>
      <c r="L1297" t="s">
        <v>11</v>
      </c>
      <c r="M1297">
        <v>0</v>
      </c>
      <c r="N1297" t="str">
        <f t="shared" si="60"/>
        <v>60+</v>
      </c>
      <c r="O1297" t="str">
        <f t="shared" si="61"/>
        <v>Obese</v>
      </c>
    </row>
    <row r="1298" spans="1:15" x14ac:dyDescent="0.3">
      <c r="A1298">
        <v>6928</v>
      </c>
      <c r="B1298" t="s">
        <v>2</v>
      </c>
      <c r="C1298">
        <v>44</v>
      </c>
      <c r="D1298">
        <v>0</v>
      </c>
      <c r="E1298">
        <v>0</v>
      </c>
      <c r="F1298" t="str">
        <f t="shared" si="62"/>
        <v>Lower Risk</v>
      </c>
      <c r="G1298" t="s">
        <v>3</v>
      </c>
      <c r="H1298" t="s">
        <v>4</v>
      </c>
      <c r="I1298" t="s">
        <v>9</v>
      </c>
      <c r="J1298">
        <v>119.01</v>
      </c>
      <c r="K1298">
        <v>29.5</v>
      </c>
      <c r="L1298" t="s">
        <v>11</v>
      </c>
      <c r="M1298">
        <v>0</v>
      </c>
      <c r="N1298" t="str">
        <f t="shared" si="60"/>
        <v>40–59</v>
      </c>
      <c r="O1298" t="str">
        <f t="shared" si="61"/>
        <v>Overweight</v>
      </c>
    </row>
    <row r="1299" spans="1:15" x14ac:dyDescent="0.3">
      <c r="A1299">
        <v>321</v>
      </c>
      <c r="B1299" t="s">
        <v>7</v>
      </c>
      <c r="C1299">
        <v>79</v>
      </c>
      <c r="D1299">
        <v>0</v>
      </c>
      <c r="E1299">
        <v>0</v>
      </c>
      <c r="F1299" t="str">
        <f t="shared" si="62"/>
        <v>Moderate Risk</v>
      </c>
      <c r="G1299" t="s">
        <v>13</v>
      </c>
      <c r="H1299" t="s">
        <v>8</v>
      </c>
      <c r="I1299" t="s">
        <v>9</v>
      </c>
      <c r="J1299">
        <v>71.98</v>
      </c>
      <c r="K1299">
        <v>36.4</v>
      </c>
      <c r="L1299" t="s">
        <v>11</v>
      </c>
      <c r="M1299">
        <v>0</v>
      </c>
      <c r="N1299" t="str">
        <f t="shared" si="60"/>
        <v>60+</v>
      </c>
      <c r="O1299" t="str">
        <f t="shared" si="61"/>
        <v>Obese</v>
      </c>
    </row>
    <row r="1300" spans="1:15" x14ac:dyDescent="0.3">
      <c r="A1300">
        <v>21857</v>
      </c>
      <c r="B1300" t="s">
        <v>7</v>
      </c>
      <c r="C1300">
        <v>5</v>
      </c>
      <c r="D1300">
        <v>0</v>
      </c>
      <c r="E1300">
        <v>0</v>
      </c>
      <c r="F1300" t="str">
        <f t="shared" si="62"/>
        <v>Lower Risk</v>
      </c>
      <c r="G1300" t="s">
        <v>13</v>
      </c>
      <c r="H1300" t="s">
        <v>16</v>
      </c>
      <c r="I1300" t="s">
        <v>5</v>
      </c>
      <c r="J1300">
        <v>84.91</v>
      </c>
      <c r="K1300">
        <v>26.1</v>
      </c>
      <c r="L1300" t="s">
        <v>14</v>
      </c>
      <c r="M1300">
        <v>0</v>
      </c>
      <c r="N1300" t="str">
        <f t="shared" si="60"/>
        <v>Under 40</v>
      </c>
      <c r="O1300" t="str">
        <f t="shared" si="61"/>
        <v>Overweight</v>
      </c>
    </row>
    <row r="1301" spans="1:15" x14ac:dyDescent="0.3">
      <c r="A1301">
        <v>33526</v>
      </c>
      <c r="B1301" t="s">
        <v>7</v>
      </c>
      <c r="C1301">
        <v>51</v>
      </c>
      <c r="D1301">
        <v>0</v>
      </c>
      <c r="E1301">
        <v>0</v>
      </c>
      <c r="F1301" t="str">
        <f t="shared" si="62"/>
        <v>Lower Risk</v>
      </c>
      <c r="G1301" t="s">
        <v>3</v>
      </c>
      <c r="H1301" t="s">
        <v>8</v>
      </c>
      <c r="I1301" t="s">
        <v>9</v>
      </c>
      <c r="J1301">
        <v>91.63</v>
      </c>
      <c r="K1301">
        <v>35.299999999999997</v>
      </c>
      <c r="L1301" t="s">
        <v>14</v>
      </c>
      <c r="M1301">
        <v>0</v>
      </c>
      <c r="N1301" t="str">
        <f t="shared" si="60"/>
        <v>40–59</v>
      </c>
      <c r="O1301" t="str">
        <f t="shared" si="61"/>
        <v>Obese</v>
      </c>
    </row>
    <row r="1302" spans="1:15" x14ac:dyDescent="0.3">
      <c r="A1302">
        <v>37327</v>
      </c>
      <c r="B1302" t="s">
        <v>7</v>
      </c>
      <c r="C1302">
        <v>71</v>
      </c>
      <c r="D1302">
        <v>0</v>
      </c>
      <c r="E1302">
        <v>0</v>
      </c>
      <c r="F1302" t="str">
        <f t="shared" si="62"/>
        <v>Moderate Risk</v>
      </c>
      <c r="G1302" t="s">
        <v>3</v>
      </c>
      <c r="H1302" t="s">
        <v>4</v>
      </c>
      <c r="I1302" t="s">
        <v>5</v>
      </c>
      <c r="J1302">
        <v>214.77</v>
      </c>
      <c r="K1302" t="s">
        <v>10</v>
      </c>
      <c r="L1302" t="s">
        <v>14</v>
      </c>
      <c r="M1302">
        <v>0</v>
      </c>
      <c r="N1302" t="str">
        <f t="shared" si="60"/>
        <v>60+</v>
      </c>
      <c r="O1302" t="str">
        <f t="shared" si="61"/>
        <v>Unknown</v>
      </c>
    </row>
    <row r="1303" spans="1:15" x14ac:dyDescent="0.3">
      <c r="A1303">
        <v>55976</v>
      </c>
      <c r="B1303" t="s">
        <v>2</v>
      </c>
      <c r="C1303">
        <v>5</v>
      </c>
      <c r="D1303">
        <v>0</v>
      </c>
      <c r="E1303">
        <v>0</v>
      </c>
      <c r="F1303" t="str">
        <f t="shared" si="62"/>
        <v>Lower Risk</v>
      </c>
      <c r="G1303" t="s">
        <v>13</v>
      </c>
      <c r="H1303" t="s">
        <v>16</v>
      </c>
      <c r="I1303" t="s">
        <v>9</v>
      </c>
      <c r="J1303">
        <v>145.71</v>
      </c>
      <c r="K1303">
        <v>18.100000000000001</v>
      </c>
      <c r="L1303" t="s">
        <v>14</v>
      </c>
      <c r="M1303">
        <v>0</v>
      </c>
      <c r="N1303" t="str">
        <f t="shared" si="60"/>
        <v>Under 40</v>
      </c>
      <c r="O1303" t="str">
        <f t="shared" si="61"/>
        <v>Underweight</v>
      </c>
    </row>
    <row r="1304" spans="1:15" x14ac:dyDescent="0.3">
      <c r="A1304">
        <v>56090</v>
      </c>
      <c r="B1304" t="s">
        <v>7</v>
      </c>
      <c r="C1304">
        <v>65</v>
      </c>
      <c r="D1304">
        <v>0</v>
      </c>
      <c r="E1304">
        <v>0</v>
      </c>
      <c r="F1304" t="str">
        <f t="shared" si="62"/>
        <v>Moderate Risk</v>
      </c>
      <c r="G1304" t="s">
        <v>3</v>
      </c>
      <c r="H1304" t="s">
        <v>8</v>
      </c>
      <c r="I1304" t="s">
        <v>9</v>
      </c>
      <c r="J1304">
        <v>167.31</v>
      </c>
      <c r="K1304">
        <v>27.1</v>
      </c>
      <c r="L1304" t="s">
        <v>11</v>
      </c>
      <c r="M1304">
        <v>0</v>
      </c>
      <c r="N1304" t="str">
        <f t="shared" si="60"/>
        <v>60+</v>
      </c>
      <c r="O1304" t="str">
        <f t="shared" si="61"/>
        <v>Overweight</v>
      </c>
    </row>
    <row r="1305" spans="1:15" x14ac:dyDescent="0.3">
      <c r="A1305">
        <v>38350</v>
      </c>
      <c r="B1305" t="s">
        <v>7</v>
      </c>
      <c r="C1305">
        <v>81</v>
      </c>
      <c r="D1305">
        <v>0</v>
      </c>
      <c r="E1305">
        <v>0</v>
      </c>
      <c r="F1305" t="str">
        <f t="shared" si="62"/>
        <v>Moderate Risk</v>
      </c>
      <c r="G1305" t="s">
        <v>3</v>
      </c>
      <c r="H1305" t="s">
        <v>8</v>
      </c>
      <c r="I1305" t="s">
        <v>5</v>
      </c>
      <c r="J1305">
        <v>63.65</v>
      </c>
      <c r="K1305">
        <v>23</v>
      </c>
      <c r="L1305" t="s">
        <v>14</v>
      </c>
      <c r="M1305">
        <v>0</v>
      </c>
      <c r="N1305" t="str">
        <f t="shared" si="60"/>
        <v>60+</v>
      </c>
      <c r="O1305" t="str">
        <f t="shared" si="61"/>
        <v>Normal</v>
      </c>
    </row>
    <row r="1306" spans="1:15" x14ac:dyDescent="0.3">
      <c r="A1306">
        <v>6040</v>
      </c>
      <c r="B1306" t="s">
        <v>7</v>
      </c>
      <c r="C1306">
        <v>46</v>
      </c>
      <c r="D1306">
        <v>0</v>
      </c>
      <c r="E1306">
        <v>0</v>
      </c>
      <c r="F1306" t="str">
        <f t="shared" si="62"/>
        <v>Lower Risk</v>
      </c>
      <c r="G1306" t="s">
        <v>13</v>
      </c>
      <c r="H1306" t="s">
        <v>4</v>
      </c>
      <c r="I1306" t="s">
        <v>9</v>
      </c>
      <c r="J1306">
        <v>79.63</v>
      </c>
      <c r="K1306">
        <v>55</v>
      </c>
      <c r="L1306" t="s">
        <v>14</v>
      </c>
      <c r="M1306">
        <v>0</v>
      </c>
      <c r="N1306" t="str">
        <f t="shared" si="60"/>
        <v>40–59</v>
      </c>
      <c r="O1306" t="str">
        <f t="shared" si="61"/>
        <v>Obese</v>
      </c>
    </row>
    <row r="1307" spans="1:15" x14ac:dyDescent="0.3">
      <c r="A1307">
        <v>17639</v>
      </c>
      <c r="B1307" t="s">
        <v>2</v>
      </c>
      <c r="C1307">
        <v>44</v>
      </c>
      <c r="D1307">
        <v>0</v>
      </c>
      <c r="E1307">
        <v>0</v>
      </c>
      <c r="F1307" t="str">
        <f t="shared" si="62"/>
        <v>Lower Risk</v>
      </c>
      <c r="G1307" t="s">
        <v>3</v>
      </c>
      <c r="H1307" t="s">
        <v>15</v>
      </c>
      <c r="I1307" t="s">
        <v>9</v>
      </c>
      <c r="J1307">
        <v>87.49</v>
      </c>
      <c r="K1307">
        <v>26.6</v>
      </c>
      <c r="L1307" t="s">
        <v>11</v>
      </c>
      <c r="M1307">
        <v>0</v>
      </c>
      <c r="N1307" t="str">
        <f t="shared" si="60"/>
        <v>40–59</v>
      </c>
      <c r="O1307" t="str">
        <f t="shared" si="61"/>
        <v>Overweight</v>
      </c>
    </row>
    <row r="1308" spans="1:15" x14ac:dyDescent="0.3">
      <c r="A1308">
        <v>1678</v>
      </c>
      <c r="B1308" t="s">
        <v>7</v>
      </c>
      <c r="C1308">
        <v>54</v>
      </c>
      <c r="D1308">
        <v>1</v>
      </c>
      <c r="E1308">
        <v>0</v>
      </c>
      <c r="F1308" t="str">
        <f t="shared" si="62"/>
        <v>Lower Risk</v>
      </c>
      <c r="G1308" t="s">
        <v>3</v>
      </c>
      <c r="H1308" t="s">
        <v>4</v>
      </c>
      <c r="I1308" t="s">
        <v>9</v>
      </c>
      <c r="J1308">
        <v>98.74</v>
      </c>
      <c r="K1308" t="s">
        <v>10</v>
      </c>
      <c r="L1308" t="s">
        <v>11</v>
      </c>
      <c r="M1308">
        <v>0</v>
      </c>
      <c r="N1308" t="str">
        <f t="shared" si="60"/>
        <v>40–59</v>
      </c>
      <c r="O1308" t="str">
        <f t="shared" si="61"/>
        <v>Unknown</v>
      </c>
    </row>
    <row r="1309" spans="1:15" x14ac:dyDescent="0.3">
      <c r="A1309">
        <v>27572</v>
      </c>
      <c r="B1309" t="s">
        <v>7</v>
      </c>
      <c r="C1309">
        <v>25</v>
      </c>
      <c r="D1309">
        <v>0</v>
      </c>
      <c r="E1309">
        <v>0</v>
      </c>
      <c r="F1309" t="str">
        <f t="shared" si="62"/>
        <v>Lower Risk</v>
      </c>
      <c r="G1309" t="s">
        <v>13</v>
      </c>
      <c r="H1309" t="s">
        <v>4</v>
      </c>
      <c r="I1309" t="s">
        <v>9</v>
      </c>
      <c r="J1309">
        <v>92.82</v>
      </c>
      <c r="K1309">
        <v>24.1</v>
      </c>
      <c r="L1309" t="s">
        <v>11</v>
      </c>
      <c r="M1309">
        <v>0</v>
      </c>
      <c r="N1309" t="str">
        <f t="shared" si="60"/>
        <v>Under 40</v>
      </c>
      <c r="O1309" t="str">
        <f t="shared" si="61"/>
        <v>Normal</v>
      </c>
    </row>
    <row r="1310" spans="1:15" x14ac:dyDescent="0.3">
      <c r="A1310">
        <v>57668</v>
      </c>
      <c r="B1310" t="s">
        <v>2</v>
      </c>
      <c r="C1310">
        <v>49</v>
      </c>
      <c r="D1310">
        <v>0</v>
      </c>
      <c r="E1310">
        <v>0</v>
      </c>
      <c r="F1310" t="str">
        <f t="shared" si="62"/>
        <v>Lower Risk</v>
      </c>
      <c r="G1310" t="s">
        <v>3</v>
      </c>
      <c r="H1310" t="s">
        <v>15</v>
      </c>
      <c r="I1310" t="s">
        <v>5</v>
      </c>
      <c r="J1310">
        <v>72.2</v>
      </c>
      <c r="K1310">
        <v>30.3</v>
      </c>
      <c r="L1310" t="s">
        <v>6</v>
      </c>
      <c r="M1310">
        <v>0</v>
      </c>
      <c r="N1310" t="str">
        <f t="shared" si="60"/>
        <v>40–59</v>
      </c>
      <c r="O1310" t="str">
        <f t="shared" si="61"/>
        <v>Obese</v>
      </c>
    </row>
    <row r="1311" spans="1:15" x14ac:dyDescent="0.3">
      <c r="A1311">
        <v>22001</v>
      </c>
      <c r="B1311" t="s">
        <v>2</v>
      </c>
      <c r="C1311">
        <v>80</v>
      </c>
      <c r="D1311">
        <v>0</v>
      </c>
      <c r="E1311">
        <v>1</v>
      </c>
      <c r="F1311" t="str">
        <f t="shared" si="62"/>
        <v>High Risk</v>
      </c>
      <c r="G1311" t="s">
        <v>3</v>
      </c>
      <c r="H1311" t="s">
        <v>15</v>
      </c>
      <c r="I1311" t="s">
        <v>9</v>
      </c>
      <c r="J1311">
        <v>181.23</v>
      </c>
      <c r="K1311">
        <v>32.200000000000003</v>
      </c>
      <c r="L1311" t="s">
        <v>6</v>
      </c>
      <c r="M1311">
        <v>0</v>
      </c>
      <c r="N1311" t="str">
        <f t="shared" si="60"/>
        <v>60+</v>
      </c>
      <c r="O1311" t="str">
        <f t="shared" si="61"/>
        <v>Obese</v>
      </c>
    </row>
    <row r="1312" spans="1:15" x14ac:dyDescent="0.3">
      <c r="A1312">
        <v>54184</v>
      </c>
      <c r="B1312" t="s">
        <v>7</v>
      </c>
      <c r="C1312">
        <v>22</v>
      </c>
      <c r="D1312">
        <v>0</v>
      </c>
      <c r="E1312">
        <v>0</v>
      </c>
      <c r="F1312" t="str">
        <f t="shared" si="62"/>
        <v>Lower Risk</v>
      </c>
      <c r="G1312" t="s">
        <v>13</v>
      </c>
      <c r="H1312" t="s">
        <v>4</v>
      </c>
      <c r="I1312" t="s">
        <v>5</v>
      </c>
      <c r="J1312">
        <v>63.37</v>
      </c>
      <c r="K1312">
        <v>26.5</v>
      </c>
      <c r="L1312" t="s">
        <v>11</v>
      </c>
      <c r="M1312">
        <v>0</v>
      </c>
      <c r="N1312" t="str">
        <f t="shared" si="60"/>
        <v>Under 40</v>
      </c>
      <c r="O1312" t="str">
        <f t="shared" si="61"/>
        <v>Overweight</v>
      </c>
    </row>
    <row r="1313" spans="1:15" x14ac:dyDescent="0.3">
      <c r="A1313">
        <v>27966</v>
      </c>
      <c r="B1313" t="s">
        <v>7</v>
      </c>
      <c r="C1313">
        <v>61</v>
      </c>
      <c r="D1313">
        <v>0</v>
      </c>
      <c r="E1313">
        <v>0</v>
      </c>
      <c r="F1313" t="str">
        <f t="shared" si="62"/>
        <v>Moderate Risk</v>
      </c>
      <c r="G1313" t="s">
        <v>3</v>
      </c>
      <c r="H1313" t="s">
        <v>4</v>
      </c>
      <c r="I1313" t="s">
        <v>5</v>
      </c>
      <c r="J1313">
        <v>74.819999999999993</v>
      </c>
      <c r="K1313">
        <v>30.6</v>
      </c>
      <c r="L1313" t="s">
        <v>11</v>
      </c>
      <c r="M1313">
        <v>0</v>
      </c>
      <c r="N1313" t="str">
        <f t="shared" si="60"/>
        <v>60+</v>
      </c>
      <c r="O1313" t="str">
        <f t="shared" si="61"/>
        <v>Obese</v>
      </c>
    </row>
    <row r="1314" spans="1:15" x14ac:dyDescent="0.3">
      <c r="A1314">
        <v>4702</v>
      </c>
      <c r="B1314" t="s">
        <v>7</v>
      </c>
      <c r="C1314">
        <v>3</v>
      </c>
      <c r="D1314">
        <v>0</v>
      </c>
      <c r="E1314">
        <v>0</v>
      </c>
      <c r="F1314" t="str">
        <f t="shared" si="62"/>
        <v>Lower Risk</v>
      </c>
      <c r="G1314" t="s">
        <v>13</v>
      </c>
      <c r="H1314" t="s">
        <v>16</v>
      </c>
      <c r="I1314" t="s">
        <v>9</v>
      </c>
      <c r="J1314">
        <v>97.6</v>
      </c>
      <c r="K1314">
        <v>25.8</v>
      </c>
      <c r="L1314" t="s">
        <v>14</v>
      </c>
      <c r="M1314">
        <v>0</v>
      </c>
      <c r="N1314" t="str">
        <f t="shared" si="60"/>
        <v>Under 40</v>
      </c>
      <c r="O1314" t="str">
        <f t="shared" si="61"/>
        <v>Overweight</v>
      </c>
    </row>
    <row r="1315" spans="1:15" x14ac:dyDescent="0.3">
      <c r="A1315">
        <v>38123</v>
      </c>
      <c r="B1315" t="s">
        <v>2</v>
      </c>
      <c r="C1315">
        <v>50</v>
      </c>
      <c r="D1315">
        <v>0</v>
      </c>
      <c r="E1315">
        <v>0</v>
      </c>
      <c r="F1315" t="str">
        <f t="shared" si="62"/>
        <v>Lower Risk</v>
      </c>
      <c r="G1315" t="s">
        <v>3</v>
      </c>
      <c r="H1315" t="s">
        <v>4</v>
      </c>
      <c r="I1315" t="s">
        <v>9</v>
      </c>
      <c r="J1315">
        <v>93.04</v>
      </c>
      <c r="K1315">
        <v>41.9</v>
      </c>
      <c r="L1315" t="s">
        <v>12</v>
      </c>
      <c r="M1315">
        <v>0</v>
      </c>
      <c r="N1315" t="str">
        <f t="shared" si="60"/>
        <v>40–59</v>
      </c>
      <c r="O1315" t="str">
        <f t="shared" si="61"/>
        <v>Obese</v>
      </c>
    </row>
    <row r="1316" spans="1:15" x14ac:dyDescent="0.3">
      <c r="A1316">
        <v>47345</v>
      </c>
      <c r="B1316" t="s">
        <v>2</v>
      </c>
      <c r="C1316">
        <v>45</v>
      </c>
      <c r="D1316">
        <v>0</v>
      </c>
      <c r="E1316">
        <v>0</v>
      </c>
      <c r="F1316" t="str">
        <f t="shared" si="62"/>
        <v>Lower Risk</v>
      </c>
      <c r="G1316" t="s">
        <v>3</v>
      </c>
      <c r="H1316" t="s">
        <v>4</v>
      </c>
      <c r="I1316" t="s">
        <v>9</v>
      </c>
      <c r="J1316">
        <v>97.12</v>
      </c>
      <c r="K1316">
        <v>29.2</v>
      </c>
      <c r="L1316" t="s">
        <v>11</v>
      </c>
      <c r="M1316">
        <v>0</v>
      </c>
      <c r="N1316" t="str">
        <f t="shared" si="60"/>
        <v>40–59</v>
      </c>
      <c r="O1316" t="str">
        <f t="shared" si="61"/>
        <v>Overweight</v>
      </c>
    </row>
    <row r="1317" spans="1:15" x14ac:dyDescent="0.3">
      <c r="A1317">
        <v>17222</v>
      </c>
      <c r="B1317" t="s">
        <v>2</v>
      </c>
      <c r="C1317">
        <v>55</v>
      </c>
      <c r="D1317">
        <v>1</v>
      </c>
      <c r="E1317">
        <v>0</v>
      </c>
      <c r="F1317" t="str">
        <f t="shared" si="62"/>
        <v>Lower Risk</v>
      </c>
      <c r="G1317" t="s">
        <v>3</v>
      </c>
      <c r="H1317" t="s">
        <v>8</v>
      </c>
      <c r="I1317" t="s">
        <v>9</v>
      </c>
      <c r="J1317">
        <v>82.81</v>
      </c>
      <c r="K1317">
        <v>44.3</v>
      </c>
      <c r="L1317" t="s">
        <v>11</v>
      </c>
      <c r="M1317">
        <v>0</v>
      </c>
      <c r="N1317" t="str">
        <f t="shared" si="60"/>
        <v>40–59</v>
      </c>
      <c r="O1317" t="str">
        <f t="shared" si="61"/>
        <v>Obese</v>
      </c>
    </row>
    <row r="1318" spans="1:15" x14ac:dyDescent="0.3">
      <c r="A1318">
        <v>45048</v>
      </c>
      <c r="B1318" t="s">
        <v>7</v>
      </c>
      <c r="C1318">
        <v>21</v>
      </c>
      <c r="D1318">
        <v>0</v>
      </c>
      <c r="E1318">
        <v>0</v>
      </c>
      <c r="F1318" t="str">
        <f t="shared" si="62"/>
        <v>Lower Risk</v>
      </c>
      <c r="G1318" t="s">
        <v>13</v>
      </c>
      <c r="H1318" t="s">
        <v>4</v>
      </c>
      <c r="I1318" t="s">
        <v>5</v>
      </c>
      <c r="J1318">
        <v>134.44999999999999</v>
      </c>
      <c r="K1318">
        <v>29.1</v>
      </c>
      <c r="L1318" t="s">
        <v>11</v>
      </c>
      <c r="M1318">
        <v>0</v>
      </c>
      <c r="N1318" t="str">
        <f t="shared" si="60"/>
        <v>Under 40</v>
      </c>
      <c r="O1318" t="str">
        <f t="shared" si="61"/>
        <v>Overweight</v>
      </c>
    </row>
    <row r="1319" spans="1:15" x14ac:dyDescent="0.3">
      <c r="A1319">
        <v>30084</v>
      </c>
      <c r="B1319" t="s">
        <v>2</v>
      </c>
      <c r="C1319">
        <v>0.8</v>
      </c>
      <c r="D1319">
        <v>0</v>
      </c>
      <c r="E1319">
        <v>0</v>
      </c>
      <c r="F1319" t="str">
        <f t="shared" si="62"/>
        <v>Lower Risk</v>
      </c>
      <c r="G1319" t="s">
        <v>13</v>
      </c>
      <c r="H1319" t="s">
        <v>16</v>
      </c>
      <c r="I1319" t="s">
        <v>9</v>
      </c>
      <c r="J1319">
        <v>98.67</v>
      </c>
      <c r="K1319">
        <v>17.5</v>
      </c>
      <c r="L1319" t="s">
        <v>14</v>
      </c>
      <c r="M1319">
        <v>0</v>
      </c>
      <c r="N1319" t="str">
        <f t="shared" si="60"/>
        <v>Under 40</v>
      </c>
      <c r="O1319" t="str">
        <f t="shared" si="61"/>
        <v>Underweight</v>
      </c>
    </row>
    <row r="1320" spans="1:15" x14ac:dyDescent="0.3">
      <c r="A1320">
        <v>7195</v>
      </c>
      <c r="B1320" t="s">
        <v>2</v>
      </c>
      <c r="C1320">
        <v>50</v>
      </c>
      <c r="D1320">
        <v>0</v>
      </c>
      <c r="E1320">
        <v>1</v>
      </c>
      <c r="F1320" t="str">
        <f t="shared" si="62"/>
        <v>Lower Risk</v>
      </c>
      <c r="G1320" t="s">
        <v>13</v>
      </c>
      <c r="H1320" t="s">
        <v>4</v>
      </c>
      <c r="I1320" t="s">
        <v>5</v>
      </c>
      <c r="J1320">
        <v>85.82</v>
      </c>
      <c r="K1320">
        <v>31.9</v>
      </c>
      <c r="L1320" t="s">
        <v>11</v>
      </c>
      <c r="M1320">
        <v>0</v>
      </c>
      <c r="N1320" t="str">
        <f t="shared" si="60"/>
        <v>40–59</v>
      </c>
      <c r="O1320" t="str">
        <f t="shared" si="61"/>
        <v>Obese</v>
      </c>
    </row>
    <row r="1321" spans="1:15" x14ac:dyDescent="0.3">
      <c r="A1321">
        <v>16260</v>
      </c>
      <c r="B1321" t="s">
        <v>2</v>
      </c>
      <c r="C1321">
        <v>73</v>
      </c>
      <c r="D1321">
        <v>0</v>
      </c>
      <c r="E1321">
        <v>1</v>
      </c>
      <c r="F1321" t="str">
        <f t="shared" si="62"/>
        <v>High Risk</v>
      </c>
      <c r="G1321" t="s">
        <v>3</v>
      </c>
      <c r="H1321" t="s">
        <v>8</v>
      </c>
      <c r="I1321" t="s">
        <v>9</v>
      </c>
      <c r="J1321">
        <v>189.45</v>
      </c>
      <c r="K1321">
        <v>32.200000000000003</v>
      </c>
      <c r="L1321" t="s">
        <v>11</v>
      </c>
      <c r="M1321">
        <v>0</v>
      </c>
      <c r="N1321" t="str">
        <f t="shared" si="60"/>
        <v>60+</v>
      </c>
      <c r="O1321" t="str">
        <f t="shared" si="61"/>
        <v>Obese</v>
      </c>
    </row>
    <row r="1322" spans="1:15" x14ac:dyDescent="0.3">
      <c r="A1322">
        <v>52457</v>
      </c>
      <c r="B1322" t="s">
        <v>7</v>
      </c>
      <c r="C1322">
        <v>58</v>
      </c>
      <c r="D1322">
        <v>0</v>
      </c>
      <c r="E1322">
        <v>1</v>
      </c>
      <c r="F1322" t="str">
        <f t="shared" si="62"/>
        <v>Lower Risk</v>
      </c>
      <c r="G1322" t="s">
        <v>3</v>
      </c>
      <c r="H1322" t="s">
        <v>4</v>
      </c>
      <c r="I1322" t="s">
        <v>9</v>
      </c>
      <c r="J1322">
        <v>144.16</v>
      </c>
      <c r="K1322">
        <v>26</v>
      </c>
      <c r="L1322" t="s">
        <v>12</v>
      </c>
      <c r="M1322">
        <v>0</v>
      </c>
      <c r="N1322" t="str">
        <f t="shared" si="60"/>
        <v>40–59</v>
      </c>
      <c r="O1322" t="str">
        <f t="shared" si="61"/>
        <v>Overweight</v>
      </c>
    </row>
    <row r="1323" spans="1:15" x14ac:dyDescent="0.3">
      <c r="A1323">
        <v>50650</v>
      </c>
      <c r="B1323" t="s">
        <v>2</v>
      </c>
      <c r="C1323">
        <v>30</v>
      </c>
      <c r="D1323">
        <v>0</v>
      </c>
      <c r="E1323">
        <v>0</v>
      </c>
      <c r="F1323" t="str">
        <f t="shared" si="62"/>
        <v>Lower Risk</v>
      </c>
      <c r="G1323" t="s">
        <v>13</v>
      </c>
      <c r="H1323" t="s">
        <v>4</v>
      </c>
      <c r="I1323" t="s">
        <v>9</v>
      </c>
      <c r="J1323">
        <v>82.56</v>
      </c>
      <c r="K1323">
        <v>25.4</v>
      </c>
      <c r="L1323" t="s">
        <v>6</v>
      </c>
      <c r="M1323">
        <v>0</v>
      </c>
      <c r="N1323" t="str">
        <f t="shared" si="60"/>
        <v>Under 40</v>
      </c>
      <c r="O1323" t="str">
        <f t="shared" si="61"/>
        <v>Overweight</v>
      </c>
    </row>
    <row r="1324" spans="1:15" x14ac:dyDescent="0.3">
      <c r="A1324">
        <v>35913</v>
      </c>
      <c r="B1324" t="s">
        <v>7</v>
      </c>
      <c r="C1324">
        <v>55</v>
      </c>
      <c r="D1324">
        <v>1</v>
      </c>
      <c r="E1324">
        <v>0</v>
      </c>
      <c r="F1324" t="str">
        <f t="shared" si="62"/>
        <v>Lower Risk</v>
      </c>
      <c r="G1324" t="s">
        <v>3</v>
      </c>
      <c r="H1324" t="s">
        <v>4</v>
      </c>
      <c r="I1324" t="s">
        <v>5</v>
      </c>
      <c r="J1324">
        <v>206.4</v>
      </c>
      <c r="K1324">
        <v>54.8</v>
      </c>
      <c r="L1324" t="s">
        <v>11</v>
      </c>
      <c r="M1324">
        <v>0</v>
      </c>
      <c r="N1324" t="str">
        <f t="shared" si="60"/>
        <v>40–59</v>
      </c>
      <c r="O1324" t="str">
        <f t="shared" si="61"/>
        <v>Obese</v>
      </c>
    </row>
    <row r="1325" spans="1:15" x14ac:dyDescent="0.3">
      <c r="A1325">
        <v>52306</v>
      </c>
      <c r="B1325" t="s">
        <v>2</v>
      </c>
      <c r="C1325">
        <v>57</v>
      </c>
      <c r="D1325">
        <v>0</v>
      </c>
      <c r="E1325">
        <v>0</v>
      </c>
      <c r="F1325" t="str">
        <f t="shared" si="62"/>
        <v>Lower Risk</v>
      </c>
      <c r="G1325" t="s">
        <v>3</v>
      </c>
      <c r="H1325" t="s">
        <v>8</v>
      </c>
      <c r="I1325" t="s">
        <v>5</v>
      </c>
      <c r="J1325">
        <v>67.97</v>
      </c>
      <c r="K1325">
        <v>27.9</v>
      </c>
      <c r="L1325" t="s">
        <v>11</v>
      </c>
      <c r="M1325">
        <v>0</v>
      </c>
      <c r="N1325" t="str">
        <f t="shared" si="60"/>
        <v>40–59</v>
      </c>
      <c r="O1325" t="str">
        <f t="shared" si="61"/>
        <v>Overweight</v>
      </c>
    </row>
    <row r="1326" spans="1:15" x14ac:dyDescent="0.3">
      <c r="A1326">
        <v>132</v>
      </c>
      <c r="B1326" t="s">
        <v>7</v>
      </c>
      <c r="C1326">
        <v>80</v>
      </c>
      <c r="D1326">
        <v>0</v>
      </c>
      <c r="E1326">
        <v>0</v>
      </c>
      <c r="F1326" t="str">
        <f t="shared" si="62"/>
        <v>Moderate Risk</v>
      </c>
      <c r="G1326" t="s">
        <v>3</v>
      </c>
      <c r="H1326" t="s">
        <v>15</v>
      </c>
      <c r="I1326" t="s">
        <v>5</v>
      </c>
      <c r="J1326">
        <v>84.86</v>
      </c>
      <c r="K1326" t="s">
        <v>10</v>
      </c>
      <c r="L1326" t="s">
        <v>14</v>
      </c>
      <c r="M1326">
        <v>0</v>
      </c>
      <c r="N1326" t="str">
        <f t="shared" si="60"/>
        <v>60+</v>
      </c>
      <c r="O1326" t="str">
        <f t="shared" si="61"/>
        <v>Unknown</v>
      </c>
    </row>
    <row r="1327" spans="1:15" x14ac:dyDescent="0.3">
      <c r="A1327">
        <v>8951</v>
      </c>
      <c r="B1327" t="s">
        <v>7</v>
      </c>
      <c r="C1327">
        <v>77</v>
      </c>
      <c r="D1327">
        <v>1</v>
      </c>
      <c r="E1327">
        <v>0</v>
      </c>
      <c r="F1327" t="str">
        <f t="shared" si="62"/>
        <v>High Risk</v>
      </c>
      <c r="G1327" t="s">
        <v>3</v>
      </c>
      <c r="H1327" t="s">
        <v>8</v>
      </c>
      <c r="I1327" t="s">
        <v>5</v>
      </c>
      <c r="J1327">
        <v>71.7</v>
      </c>
      <c r="K1327">
        <v>32.799999999999997</v>
      </c>
      <c r="L1327" t="s">
        <v>11</v>
      </c>
      <c r="M1327">
        <v>0</v>
      </c>
      <c r="N1327" t="str">
        <f t="shared" si="60"/>
        <v>60+</v>
      </c>
      <c r="O1327" t="str">
        <f t="shared" si="61"/>
        <v>Obese</v>
      </c>
    </row>
    <row r="1328" spans="1:15" x14ac:dyDescent="0.3">
      <c r="A1328">
        <v>64752</v>
      </c>
      <c r="B1328" t="s">
        <v>7</v>
      </c>
      <c r="C1328">
        <v>29</v>
      </c>
      <c r="D1328">
        <v>0</v>
      </c>
      <c r="E1328">
        <v>0</v>
      </c>
      <c r="F1328" t="str">
        <f t="shared" si="62"/>
        <v>Lower Risk</v>
      </c>
      <c r="G1328" t="s">
        <v>13</v>
      </c>
      <c r="H1328" t="s">
        <v>4</v>
      </c>
      <c r="I1328" t="s">
        <v>5</v>
      </c>
      <c r="J1328">
        <v>72.02</v>
      </c>
      <c r="K1328">
        <v>34</v>
      </c>
      <c r="L1328" t="s">
        <v>6</v>
      </c>
      <c r="M1328">
        <v>0</v>
      </c>
      <c r="N1328" t="str">
        <f t="shared" si="60"/>
        <v>Under 40</v>
      </c>
      <c r="O1328" t="str">
        <f t="shared" si="61"/>
        <v>Obese</v>
      </c>
    </row>
    <row r="1329" spans="1:15" x14ac:dyDescent="0.3">
      <c r="A1329">
        <v>51285</v>
      </c>
      <c r="B1329" t="s">
        <v>7</v>
      </c>
      <c r="C1329">
        <v>46</v>
      </c>
      <c r="D1329">
        <v>0</v>
      </c>
      <c r="E1329">
        <v>0</v>
      </c>
      <c r="F1329" t="str">
        <f t="shared" si="62"/>
        <v>Lower Risk</v>
      </c>
      <c r="G1329" t="s">
        <v>3</v>
      </c>
      <c r="H1329" t="s">
        <v>4</v>
      </c>
      <c r="I1329" t="s">
        <v>5</v>
      </c>
      <c r="J1329">
        <v>61.81</v>
      </c>
      <c r="K1329">
        <v>25.5</v>
      </c>
      <c r="L1329" t="s">
        <v>14</v>
      </c>
      <c r="M1329">
        <v>0</v>
      </c>
      <c r="N1329" t="str">
        <f t="shared" si="60"/>
        <v>40–59</v>
      </c>
      <c r="O1329" t="str">
        <f t="shared" si="61"/>
        <v>Overweight</v>
      </c>
    </row>
    <row r="1330" spans="1:15" x14ac:dyDescent="0.3">
      <c r="A1330">
        <v>14349</v>
      </c>
      <c r="B1330" t="s">
        <v>7</v>
      </c>
      <c r="C1330">
        <v>40</v>
      </c>
      <c r="D1330">
        <v>0</v>
      </c>
      <c r="E1330">
        <v>0</v>
      </c>
      <c r="F1330" t="str">
        <f t="shared" si="62"/>
        <v>Lower Risk</v>
      </c>
      <c r="G1330" t="s">
        <v>3</v>
      </c>
      <c r="H1330" t="s">
        <v>4</v>
      </c>
      <c r="I1330" t="s">
        <v>5</v>
      </c>
      <c r="J1330">
        <v>103.09</v>
      </c>
      <c r="K1330">
        <v>35.6</v>
      </c>
      <c r="L1330" t="s">
        <v>14</v>
      </c>
      <c r="M1330">
        <v>0</v>
      </c>
      <c r="N1330" t="str">
        <f t="shared" si="60"/>
        <v>40–59</v>
      </c>
      <c r="O1330" t="str">
        <f t="shared" si="61"/>
        <v>Obese</v>
      </c>
    </row>
    <row r="1331" spans="1:15" x14ac:dyDescent="0.3">
      <c r="A1331">
        <v>40571</v>
      </c>
      <c r="B1331" t="s">
        <v>2</v>
      </c>
      <c r="C1331">
        <v>29</v>
      </c>
      <c r="D1331">
        <v>0</v>
      </c>
      <c r="E1331">
        <v>0</v>
      </c>
      <c r="F1331" t="str">
        <f t="shared" si="62"/>
        <v>Lower Risk</v>
      </c>
      <c r="G1331" t="s">
        <v>13</v>
      </c>
      <c r="H1331" t="s">
        <v>4</v>
      </c>
      <c r="I1331" t="s">
        <v>5</v>
      </c>
      <c r="J1331">
        <v>73.75</v>
      </c>
      <c r="K1331">
        <v>28.3</v>
      </c>
      <c r="L1331" t="s">
        <v>11</v>
      </c>
      <c r="M1331">
        <v>0</v>
      </c>
      <c r="N1331" t="str">
        <f t="shared" si="60"/>
        <v>Under 40</v>
      </c>
      <c r="O1331" t="str">
        <f t="shared" si="61"/>
        <v>Overweight</v>
      </c>
    </row>
    <row r="1332" spans="1:15" x14ac:dyDescent="0.3">
      <c r="A1332">
        <v>40624</v>
      </c>
      <c r="B1332" t="s">
        <v>7</v>
      </c>
      <c r="C1332">
        <v>37</v>
      </c>
      <c r="D1332">
        <v>0</v>
      </c>
      <c r="E1332">
        <v>0</v>
      </c>
      <c r="F1332" t="str">
        <f t="shared" si="62"/>
        <v>Lower Risk</v>
      </c>
      <c r="G1332" t="s">
        <v>3</v>
      </c>
      <c r="H1332" t="s">
        <v>4</v>
      </c>
      <c r="I1332" t="s">
        <v>9</v>
      </c>
      <c r="J1332">
        <v>156.69999999999999</v>
      </c>
      <c r="K1332">
        <v>36.9</v>
      </c>
      <c r="L1332" t="s">
        <v>11</v>
      </c>
      <c r="M1332">
        <v>0</v>
      </c>
      <c r="N1332" t="str">
        <f t="shared" si="60"/>
        <v>Under 40</v>
      </c>
      <c r="O1332" t="str">
        <f t="shared" si="61"/>
        <v>Obese</v>
      </c>
    </row>
    <row r="1333" spans="1:15" x14ac:dyDescent="0.3">
      <c r="A1333">
        <v>13072</v>
      </c>
      <c r="B1333" t="s">
        <v>7</v>
      </c>
      <c r="C1333">
        <v>35</v>
      </c>
      <c r="D1333">
        <v>0</v>
      </c>
      <c r="E1333">
        <v>0</v>
      </c>
      <c r="F1333" t="str">
        <f t="shared" si="62"/>
        <v>Lower Risk</v>
      </c>
      <c r="G1333" t="s">
        <v>3</v>
      </c>
      <c r="H1333" t="s">
        <v>8</v>
      </c>
      <c r="I1333" t="s">
        <v>5</v>
      </c>
      <c r="J1333">
        <v>70.87</v>
      </c>
      <c r="K1333">
        <v>22.1</v>
      </c>
      <c r="L1333" t="s">
        <v>6</v>
      </c>
      <c r="M1333">
        <v>0</v>
      </c>
      <c r="N1333" t="str">
        <f t="shared" si="60"/>
        <v>Under 40</v>
      </c>
      <c r="O1333" t="str">
        <f t="shared" si="61"/>
        <v>Normal</v>
      </c>
    </row>
    <row r="1334" spans="1:15" x14ac:dyDescent="0.3">
      <c r="A1334">
        <v>66310</v>
      </c>
      <c r="B1334" t="s">
        <v>2</v>
      </c>
      <c r="C1334">
        <v>54</v>
      </c>
      <c r="D1334">
        <v>0</v>
      </c>
      <c r="E1334">
        <v>0</v>
      </c>
      <c r="F1334" t="str">
        <f t="shared" si="62"/>
        <v>Lower Risk</v>
      </c>
      <c r="G1334" t="s">
        <v>3</v>
      </c>
      <c r="H1334" t="s">
        <v>8</v>
      </c>
      <c r="I1334" t="s">
        <v>9</v>
      </c>
      <c r="J1334">
        <v>138.47</v>
      </c>
      <c r="K1334">
        <v>31.5</v>
      </c>
      <c r="L1334" t="s">
        <v>11</v>
      </c>
      <c r="M1334">
        <v>0</v>
      </c>
      <c r="N1334" t="str">
        <f t="shared" si="60"/>
        <v>40–59</v>
      </c>
      <c r="O1334" t="str">
        <f t="shared" si="61"/>
        <v>Obese</v>
      </c>
    </row>
    <row r="1335" spans="1:15" x14ac:dyDescent="0.3">
      <c r="A1335">
        <v>58101</v>
      </c>
      <c r="B1335" t="s">
        <v>7</v>
      </c>
      <c r="C1335">
        <v>56</v>
      </c>
      <c r="D1335">
        <v>0</v>
      </c>
      <c r="E1335">
        <v>1</v>
      </c>
      <c r="F1335" t="str">
        <f t="shared" si="62"/>
        <v>Lower Risk</v>
      </c>
      <c r="G1335" t="s">
        <v>3</v>
      </c>
      <c r="H1335" t="s">
        <v>4</v>
      </c>
      <c r="I1335" t="s">
        <v>9</v>
      </c>
      <c r="J1335">
        <v>64.66</v>
      </c>
      <c r="K1335">
        <v>26.7</v>
      </c>
      <c r="L1335" t="s">
        <v>6</v>
      </c>
      <c r="M1335">
        <v>0</v>
      </c>
      <c r="N1335" t="str">
        <f t="shared" si="60"/>
        <v>40–59</v>
      </c>
      <c r="O1335" t="str">
        <f t="shared" si="61"/>
        <v>Overweight</v>
      </c>
    </row>
    <row r="1336" spans="1:15" x14ac:dyDescent="0.3">
      <c r="A1336">
        <v>22969</v>
      </c>
      <c r="B1336" t="s">
        <v>7</v>
      </c>
      <c r="C1336">
        <v>26</v>
      </c>
      <c r="D1336">
        <v>0</v>
      </c>
      <c r="E1336">
        <v>0</v>
      </c>
      <c r="F1336" t="str">
        <f t="shared" si="62"/>
        <v>Lower Risk</v>
      </c>
      <c r="G1336" t="s">
        <v>3</v>
      </c>
      <c r="H1336" t="s">
        <v>4</v>
      </c>
      <c r="I1336" t="s">
        <v>9</v>
      </c>
      <c r="J1336">
        <v>91.88</v>
      </c>
      <c r="K1336">
        <v>24.9</v>
      </c>
      <c r="L1336" t="s">
        <v>6</v>
      </c>
      <c r="M1336">
        <v>0</v>
      </c>
      <c r="N1336" t="str">
        <f t="shared" si="60"/>
        <v>Under 40</v>
      </c>
      <c r="O1336" t="str">
        <f t="shared" si="61"/>
        <v>Normal</v>
      </c>
    </row>
    <row r="1337" spans="1:15" x14ac:dyDescent="0.3">
      <c r="A1337">
        <v>28904</v>
      </c>
      <c r="B1337" t="s">
        <v>7</v>
      </c>
      <c r="C1337">
        <v>75</v>
      </c>
      <c r="D1337">
        <v>0</v>
      </c>
      <c r="E1337">
        <v>0</v>
      </c>
      <c r="F1337" t="str">
        <f t="shared" si="62"/>
        <v>Moderate Risk</v>
      </c>
      <c r="G1337" t="s">
        <v>3</v>
      </c>
      <c r="H1337" t="s">
        <v>8</v>
      </c>
      <c r="I1337" t="s">
        <v>9</v>
      </c>
      <c r="J1337">
        <v>74.790000000000006</v>
      </c>
      <c r="K1337">
        <v>32.4</v>
      </c>
      <c r="L1337" t="s">
        <v>11</v>
      </c>
      <c r="M1337">
        <v>0</v>
      </c>
      <c r="N1337" t="str">
        <f t="shared" si="60"/>
        <v>60+</v>
      </c>
      <c r="O1337" t="str">
        <f t="shared" si="61"/>
        <v>Obese</v>
      </c>
    </row>
    <row r="1338" spans="1:15" x14ac:dyDescent="0.3">
      <c r="A1338">
        <v>6563</v>
      </c>
      <c r="B1338" t="s">
        <v>7</v>
      </c>
      <c r="C1338">
        <v>44</v>
      </c>
      <c r="D1338">
        <v>0</v>
      </c>
      <c r="E1338">
        <v>0</v>
      </c>
      <c r="F1338" t="str">
        <f t="shared" si="62"/>
        <v>Lower Risk</v>
      </c>
      <c r="G1338" t="s">
        <v>13</v>
      </c>
      <c r="H1338" t="s">
        <v>4</v>
      </c>
      <c r="I1338" t="s">
        <v>9</v>
      </c>
      <c r="J1338">
        <v>78.180000000000007</v>
      </c>
      <c r="K1338">
        <v>32.200000000000003</v>
      </c>
      <c r="L1338" t="s">
        <v>11</v>
      </c>
      <c r="M1338">
        <v>0</v>
      </c>
      <c r="N1338" t="str">
        <f t="shared" si="60"/>
        <v>40–59</v>
      </c>
      <c r="O1338" t="str">
        <f t="shared" si="61"/>
        <v>Obese</v>
      </c>
    </row>
    <row r="1339" spans="1:15" x14ac:dyDescent="0.3">
      <c r="A1339">
        <v>55315</v>
      </c>
      <c r="B1339" t="s">
        <v>2</v>
      </c>
      <c r="C1339">
        <v>63</v>
      </c>
      <c r="D1339">
        <v>0</v>
      </c>
      <c r="E1339">
        <v>0</v>
      </c>
      <c r="F1339" t="str">
        <f t="shared" si="62"/>
        <v>Moderate Risk</v>
      </c>
      <c r="G1339" t="s">
        <v>3</v>
      </c>
      <c r="H1339" t="s">
        <v>4</v>
      </c>
      <c r="I1339" t="s">
        <v>9</v>
      </c>
      <c r="J1339">
        <v>77.819999999999993</v>
      </c>
      <c r="K1339">
        <v>30.3</v>
      </c>
      <c r="L1339" t="s">
        <v>14</v>
      </c>
      <c r="M1339">
        <v>0</v>
      </c>
      <c r="N1339" t="str">
        <f t="shared" si="60"/>
        <v>60+</v>
      </c>
      <c r="O1339" t="str">
        <f t="shared" si="61"/>
        <v>Obese</v>
      </c>
    </row>
    <row r="1340" spans="1:15" x14ac:dyDescent="0.3">
      <c r="A1340">
        <v>47537</v>
      </c>
      <c r="B1340" t="s">
        <v>7</v>
      </c>
      <c r="C1340">
        <v>17</v>
      </c>
      <c r="D1340">
        <v>0</v>
      </c>
      <c r="E1340">
        <v>0</v>
      </c>
      <c r="F1340" t="str">
        <f t="shared" si="62"/>
        <v>Lower Risk</v>
      </c>
      <c r="G1340" t="s">
        <v>13</v>
      </c>
      <c r="H1340" t="s">
        <v>4</v>
      </c>
      <c r="I1340" t="s">
        <v>9</v>
      </c>
      <c r="J1340">
        <v>112.23</v>
      </c>
      <c r="K1340">
        <v>28.7</v>
      </c>
      <c r="L1340" t="s">
        <v>11</v>
      </c>
      <c r="M1340">
        <v>0</v>
      </c>
      <c r="N1340" t="str">
        <f t="shared" si="60"/>
        <v>Under 40</v>
      </c>
      <c r="O1340" t="str">
        <f t="shared" si="61"/>
        <v>Overweight</v>
      </c>
    </row>
    <row r="1341" spans="1:15" x14ac:dyDescent="0.3">
      <c r="A1341">
        <v>45945</v>
      </c>
      <c r="B1341" t="s">
        <v>2</v>
      </c>
      <c r="C1341">
        <v>46</v>
      </c>
      <c r="D1341">
        <v>0</v>
      </c>
      <c r="E1341">
        <v>1</v>
      </c>
      <c r="F1341" t="str">
        <f t="shared" si="62"/>
        <v>Lower Risk</v>
      </c>
      <c r="G1341" t="s">
        <v>3</v>
      </c>
      <c r="H1341" t="s">
        <v>4</v>
      </c>
      <c r="I1341" t="s">
        <v>5</v>
      </c>
      <c r="J1341">
        <v>178.76</v>
      </c>
      <c r="K1341">
        <v>24.1</v>
      </c>
      <c r="L1341" t="s">
        <v>11</v>
      </c>
      <c r="M1341">
        <v>0</v>
      </c>
      <c r="N1341" t="str">
        <f t="shared" si="60"/>
        <v>40–59</v>
      </c>
      <c r="O1341" t="str">
        <f t="shared" si="61"/>
        <v>Normal</v>
      </c>
    </row>
    <row r="1342" spans="1:15" x14ac:dyDescent="0.3">
      <c r="A1342">
        <v>65849</v>
      </c>
      <c r="B1342" t="s">
        <v>7</v>
      </c>
      <c r="C1342">
        <v>47</v>
      </c>
      <c r="D1342">
        <v>0</v>
      </c>
      <c r="E1342">
        <v>0</v>
      </c>
      <c r="F1342" t="str">
        <f t="shared" si="62"/>
        <v>Lower Risk</v>
      </c>
      <c r="G1342" t="s">
        <v>3</v>
      </c>
      <c r="H1342" t="s">
        <v>4</v>
      </c>
      <c r="I1342" t="s">
        <v>9</v>
      </c>
      <c r="J1342">
        <v>121.43</v>
      </c>
      <c r="K1342">
        <v>25.3</v>
      </c>
      <c r="L1342" t="s">
        <v>11</v>
      </c>
      <c r="M1342">
        <v>0</v>
      </c>
      <c r="N1342" t="str">
        <f t="shared" si="60"/>
        <v>40–59</v>
      </c>
      <c r="O1342" t="str">
        <f t="shared" si="61"/>
        <v>Overweight</v>
      </c>
    </row>
    <row r="1343" spans="1:15" x14ac:dyDescent="0.3">
      <c r="A1343">
        <v>31125</v>
      </c>
      <c r="B1343" t="s">
        <v>7</v>
      </c>
      <c r="C1343">
        <v>50</v>
      </c>
      <c r="D1343">
        <v>0</v>
      </c>
      <c r="E1343">
        <v>0</v>
      </c>
      <c r="F1343" t="str">
        <f t="shared" si="62"/>
        <v>Lower Risk</v>
      </c>
      <c r="G1343" t="s">
        <v>3</v>
      </c>
      <c r="H1343" t="s">
        <v>4</v>
      </c>
      <c r="I1343" t="s">
        <v>9</v>
      </c>
      <c r="J1343">
        <v>94.22</v>
      </c>
      <c r="K1343">
        <v>24.8</v>
      </c>
      <c r="L1343" t="s">
        <v>11</v>
      </c>
      <c r="M1343">
        <v>0</v>
      </c>
      <c r="N1343" t="str">
        <f t="shared" si="60"/>
        <v>40–59</v>
      </c>
      <c r="O1343" t="str">
        <f t="shared" si="61"/>
        <v>Normal</v>
      </c>
    </row>
    <row r="1344" spans="1:15" x14ac:dyDescent="0.3">
      <c r="A1344">
        <v>5103</v>
      </c>
      <c r="B1344" t="s">
        <v>7</v>
      </c>
      <c r="C1344">
        <v>49</v>
      </c>
      <c r="D1344">
        <v>0</v>
      </c>
      <c r="E1344">
        <v>0</v>
      </c>
      <c r="F1344" t="str">
        <f t="shared" si="62"/>
        <v>Lower Risk</v>
      </c>
      <c r="G1344" t="s">
        <v>3</v>
      </c>
      <c r="H1344" t="s">
        <v>4</v>
      </c>
      <c r="I1344" t="s">
        <v>9</v>
      </c>
      <c r="J1344">
        <v>67.27</v>
      </c>
      <c r="K1344" t="s">
        <v>10</v>
      </c>
      <c r="L1344" t="s">
        <v>6</v>
      </c>
      <c r="M1344">
        <v>0</v>
      </c>
      <c r="N1344" t="str">
        <f t="shared" si="60"/>
        <v>40–59</v>
      </c>
      <c r="O1344" t="str">
        <f t="shared" si="61"/>
        <v>Unknown</v>
      </c>
    </row>
    <row r="1345" spans="1:15" x14ac:dyDescent="0.3">
      <c r="A1345">
        <v>54526</v>
      </c>
      <c r="B1345" t="s">
        <v>2</v>
      </c>
      <c r="C1345">
        <v>76</v>
      </c>
      <c r="D1345">
        <v>1</v>
      </c>
      <c r="E1345">
        <v>0</v>
      </c>
      <c r="F1345" t="str">
        <f t="shared" si="62"/>
        <v>High Risk</v>
      </c>
      <c r="G1345" t="s">
        <v>3</v>
      </c>
      <c r="H1345" t="s">
        <v>8</v>
      </c>
      <c r="I1345" t="s">
        <v>9</v>
      </c>
      <c r="J1345">
        <v>197.58</v>
      </c>
      <c r="K1345">
        <v>34.799999999999997</v>
      </c>
      <c r="L1345" t="s">
        <v>6</v>
      </c>
      <c r="M1345">
        <v>0</v>
      </c>
      <c r="N1345" t="str">
        <f t="shared" si="60"/>
        <v>60+</v>
      </c>
      <c r="O1345" t="str">
        <f t="shared" si="61"/>
        <v>Obese</v>
      </c>
    </row>
    <row r="1346" spans="1:15" x14ac:dyDescent="0.3">
      <c r="A1346">
        <v>67309</v>
      </c>
      <c r="B1346" t="s">
        <v>2</v>
      </c>
      <c r="C1346">
        <v>47</v>
      </c>
      <c r="D1346">
        <v>0</v>
      </c>
      <c r="E1346">
        <v>0</v>
      </c>
      <c r="F1346" t="str">
        <f t="shared" si="62"/>
        <v>Lower Risk</v>
      </c>
      <c r="G1346" t="s">
        <v>3</v>
      </c>
      <c r="H1346" t="s">
        <v>4</v>
      </c>
      <c r="I1346" t="s">
        <v>9</v>
      </c>
      <c r="J1346">
        <v>86.37</v>
      </c>
      <c r="K1346">
        <v>39.200000000000003</v>
      </c>
      <c r="L1346" t="s">
        <v>12</v>
      </c>
      <c r="M1346">
        <v>0</v>
      </c>
      <c r="N1346" t="str">
        <f t="shared" ref="N1346:N1409" si="63">IF(C1346&lt;40,"Under 40",IF(C1346&lt;60,"40–59","60+"))</f>
        <v>40–59</v>
      </c>
      <c r="O1346" t="str">
        <f t="shared" ref="O1346:O1409" si="64">IF(K1346="N/A","Unknown",
IF(K1346="","Unknown",
IF(K1346&lt;18.5,"Underweight",
IF(K1346&lt;25,"Normal",
IF(K1346&lt;30,"Overweight","Obese")))))</f>
        <v>Obese</v>
      </c>
    </row>
    <row r="1347" spans="1:15" x14ac:dyDescent="0.3">
      <c r="A1347">
        <v>2275</v>
      </c>
      <c r="B1347" t="s">
        <v>7</v>
      </c>
      <c r="C1347">
        <v>47</v>
      </c>
      <c r="D1347">
        <v>0</v>
      </c>
      <c r="E1347">
        <v>0</v>
      </c>
      <c r="F1347" t="str">
        <f t="shared" ref="F1347:F1410" si="65">IF(C1347&gt;=60,
IF(OR(D1347=1,E1347=1),"High Risk","Moderate Risk"),
"Lower Risk")</f>
        <v>Lower Risk</v>
      </c>
      <c r="G1347" t="s">
        <v>3</v>
      </c>
      <c r="H1347" t="s">
        <v>4</v>
      </c>
      <c r="I1347" t="s">
        <v>5</v>
      </c>
      <c r="J1347">
        <v>112.09</v>
      </c>
      <c r="K1347">
        <v>24.7</v>
      </c>
      <c r="L1347" t="s">
        <v>12</v>
      </c>
      <c r="M1347">
        <v>0</v>
      </c>
      <c r="N1347" t="str">
        <f t="shared" si="63"/>
        <v>40–59</v>
      </c>
      <c r="O1347" t="str">
        <f t="shared" si="64"/>
        <v>Normal</v>
      </c>
    </row>
    <row r="1348" spans="1:15" x14ac:dyDescent="0.3">
      <c r="A1348">
        <v>29869</v>
      </c>
      <c r="B1348" t="s">
        <v>2</v>
      </c>
      <c r="C1348">
        <v>49</v>
      </c>
      <c r="D1348">
        <v>0</v>
      </c>
      <c r="E1348">
        <v>0</v>
      </c>
      <c r="F1348" t="str">
        <f t="shared" si="65"/>
        <v>Lower Risk</v>
      </c>
      <c r="G1348" t="s">
        <v>3</v>
      </c>
      <c r="H1348" t="s">
        <v>4</v>
      </c>
      <c r="I1348" t="s">
        <v>5</v>
      </c>
      <c r="J1348">
        <v>199.96</v>
      </c>
      <c r="K1348">
        <v>28.6</v>
      </c>
      <c r="L1348" t="s">
        <v>11</v>
      </c>
      <c r="M1348">
        <v>0</v>
      </c>
      <c r="N1348" t="str">
        <f t="shared" si="63"/>
        <v>40–59</v>
      </c>
      <c r="O1348" t="str">
        <f t="shared" si="64"/>
        <v>Overweight</v>
      </c>
    </row>
    <row r="1349" spans="1:15" x14ac:dyDescent="0.3">
      <c r="A1349">
        <v>15757</v>
      </c>
      <c r="B1349" t="s">
        <v>2</v>
      </c>
      <c r="C1349">
        <v>71</v>
      </c>
      <c r="D1349">
        <v>0</v>
      </c>
      <c r="E1349">
        <v>0</v>
      </c>
      <c r="F1349" t="str">
        <f t="shared" si="65"/>
        <v>Moderate Risk</v>
      </c>
      <c r="G1349" t="s">
        <v>3</v>
      </c>
      <c r="H1349" t="s">
        <v>4</v>
      </c>
      <c r="I1349" t="s">
        <v>5</v>
      </c>
      <c r="J1349">
        <v>85.33</v>
      </c>
      <c r="K1349">
        <v>27.7</v>
      </c>
      <c r="L1349" t="s">
        <v>11</v>
      </c>
      <c r="M1349">
        <v>0</v>
      </c>
      <c r="N1349" t="str">
        <f t="shared" si="63"/>
        <v>60+</v>
      </c>
      <c r="O1349" t="str">
        <f t="shared" si="64"/>
        <v>Overweight</v>
      </c>
    </row>
    <row r="1350" spans="1:15" x14ac:dyDescent="0.3">
      <c r="A1350">
        <v>38523</v>
      </c>
      <c r="B1350" t="s">
        <v>7</v>
      </c>
      <c r="C1350">
        <v>65</v>
      </c>
      <c r="D1350">
        <v>0</v>
      </c>
      <c r="E1350">
        <v>0</v>
      </c>
      <c r="F1350" t="str">
        <f t="shared" si="65"/>
        <v>Moderate Risk</v>
      </c>
      <c r="G1350" t="s">
        <v>13</v>
      </c>
      <c r="H1350" t="s">
        <v>8</v>
      </c>
      <c r="I1350" t="s">
        <v>9</v>
      </c>
      <c r="J1350">
        <v>86.33</v>
      </c>
      <c r="K1350">
        <v>33.1</v>
      </c>
      <c r="L1350" t="s">
        <v>11</v>
      </c>
      <c r="M1350">
        <v>0</v>
      </c>
      <c r="N1350" t="str">
        <f t="shared" si="63"/>
        <v>60+</v>
      </c>
      <c r="O1350" t="str">
        <f t="shared" si="64"/>
        <v>Obese</v>
      </c>
    </row>
    <row r="1351" spans="1:15" x14ac:dyDescent="0.3">
      <c r="A1351">
        <v>65388</v>
      </c>
      <c r="B1351" t="s">
        <v>7</v>
      </c>
      <c r="C1351">
        <v>40</v>
      </c>
      <c r="D1351">
        <v>0</v>
      </c>
      <c r="E1351">
        <v>0</v>
      </c>
      <c r="F1351" t="str">
        <f t="shared" si="65"/>
        <v>Lower Risk</v>
      </c>
      <c r="G1351" t="s">
        <v>13</v>
      </c>
      <c r="H1351" t="s">
        <v>4</v>
      </c>
      <c r="I1351" t="s">
        <v>5</v>
      </c>
      <c r="J1351">
        <v>80.47</v>
      </c>
      <c r="K1351">
        <v>27.3</v>
      </c>
      <c r="L1351" t="s">
        <v>12</v>
      </c>
      <c r="M1351">
        <v>0</v>
      </c>
      <c r="N1351" t="str">
        <f t="shared" si="63"/>
        <v>40–59</v>
      </c>
      <c r="O1351" t="str">
        <f t="shared" si="64"/>
        <v>Overweight</v>
      </c>
    </row>
    <row r="1352" spans="1:15" x14ac:dyDescent="0.3">
      <c r="A1352">
        <v>60816</v>
      </c>
      <c r="B1352" t="s">
        <v>7</v>
      </c>
      <c r="C1352">
        <v>82</v>
      </c>
      <c r="D1352">
        <v>1</v>
      </c>
      <c r="E1352">
        <v>0</v>
      </c>
      <c r="F1352" t="str">
        <f t="shared" si="65"/>
        <v>High Risk</v>
      </c>
      <c r="G1352" t="s">
        <v>3</v>
      </c>
      <c r="H1352" t="s">
        <v>4</v>
      </c>
      <c r="I1352" t="s">
        <v>5</v>
      </c>
      <c r="J1352">
        <v>62.46</v>
      </c>
      <c r="K1352">
        <v>20.3</v>
      </c>
      <c r="L1352" t="s">
        <v>6</v>
      </c>
      <c r="M1352">
        <v>0</v>
      </c>
      <c r="N1352" t="str">
        <f t="shared" si="63"/>
        <v>60+</v>
      </c>
      <c r="O1352" t="str">
        <f t="shared" si="64"/>
        <v>Normal</v>
      </c>
    </row>
    <row r="1353" spans="1:15" x14ac:dyDescent="0.3">
      <c r="A1353">
        <v>67350</v>
      </c>
      <c r="B1353" t="s">
        <v>7</v>
      </c>
      <c r="C1353">
        <v>64</v>
      </c>
      <c r="D1353">
        <v>0</v>
      </c>
      <c r="E1353">
        <v>0</v>
      </c>
      <c r="F1353" t="str">
        <f t="shared" si="65"/>
        <v>Moderate Risk</v>
      </c>
      <c r="G1353" t="s">
        <v>3</v>
      </c>
      <c r="H1353" t="s">
        <v>15</v>
      </c>
      <c r="I1353" t="s">
        <v>9</v>
      </c>
      <c r="J1353">
        <v>78.849999999999994</v>
      </c>
      <c r="K1353">
        <v>33.9</v>
      </c>
      <c r="L1353" t="s">
        <v>11</v>
      </c>
      <c r="M1353">
        <v>0</v>
      </c>
      <c r="N1353" t="str">
        <f t="shared" si="63"/>
        <v>60+</v>
      </c>
      <c r="O1353" t="str">
        <f t="shared" si="64"/>
        <v>Obese</v>
      </c>
    </row>
    <row r="1354" spans="1:15" x14ac:dyDescent="0.3">
      <c r="A1354">
        <v>40124</v>
      </c>
      <c r="B1354" t="s">
        <v>2</v>
      </c>
      <c r="C1354">
        <v>72</v>
      </c>
      <c r="D1354">
        <v>0</v>
      </c>
      <c r="E1354">
        <v>0</v>
      </c>
      <c r="F1354" t="str">
        <f t="shared" si="65"/>
        <v>Moderate Risk</v>
      </c>
      <c r="G1354" t="s">
        <v>3</v>
      </c>
      <c r="H1354" t="s">
        <v>8</v>
      </c>
      <c r="I1354" t="s">
        <v>9</v>
      </c>
      <c r="J1354">
        <v>72.09</v>
      </c>
      <c r="K1354" t="s">
        <v>10</v>
      </c>
      <c r="L1354" t="s">
        <v>12</v>
      </c>
      <c r="M1354">
        <v>0</v>
      </c>
      <c r="N1354" t="str">
        <f t="shared" si="63"/>
        <v>60+</v>
      </c>
      <c r="O1354" t="str">
        <f t="shared" si="64"/>
        <v>Unknown</v>
      </c>
    </row>
    <row r="1355" spans="1:15" x14ac:dyDescent="0.3">
      <c r="A1355">
        <v>20370</v>
      </c>
      <c r="B1355" t="s">
        <v>7</v>
      </c>
      <c r="C1355">
        <v>50</v>
      </c>
      <c r="D1355">
        <v>0</v>
      </c>
      <c r="E1355">
        <v>0</v>
      </c>
      <c r="F1355" t="str">
        <f t="shared" si="65"/>
        <v>Lower Risk</v>
      </c>
      <c r="G1355" t="s">
        <v>3</v>
      </c>
      <c r="H1355" t="s">
        <v>8</v>
      </c>
      <c r="I1355" t="s">
        <v>9</v>
      </c>
      <c r="J1355">
        <v>103.81</v>
      </c>
      <c r="K1355">
        <v>28.3</v>
      </c>
      <c r="L1355" t="s">
        <v>11</v>
      </c>
      <c r="M1355">
        <v>0</v>
      </c>
      <c r="N1355" t="str">
        <f t="shared" si="63"/>
        <v>40–59</v>
      </c>
      <c r="O1355" t="str">
        <f t="shared" si="64"/>
        <v>Overweight</v>
      </c>
    </row>
    <row r="1356" spans="1:15" x14ac:dyDescent="0.3">
      <c r="A1356">
        <v>35188</v>
      </c>
      <c r="B1356" t="s">
        <v>7</v>
      </c>
      <c r="C1356">
        <v>40</v>
      </c>
      <c r="D1356">
        <v>0</v>
      </c>
      <c r="E1356">
        <v>0</v>
      </c>
      <c r="F1356" t="str">
        <f t="shared" si="65"/>
        <v>Lower Risk</v>
      </c>
      <c r="G1356" t="s">
        <v>13</v>
      </c>
      <c r="H1356" t="s">
        <v>4</v>
      </c>
      <c r="I1356" t="s">
        <v>5</v>
      </c>
      <c r="J1356">
        <v>78.040000000000006</v>
      </c>
      <c r="K1356">
        <v>32.4</v>
      </c>
      <c r="L1356" t="s">
        <v>12</v>
      </c>
      <c r="M1356">
        <v>0</v>
      </c>
      <c r="N1356" t="str">
        <f t="shared" si="63"/>
        <v>40–59</v>
      </c>
      <c r="O1356" t="str">
        <f t="shared" si="64"/>
        <v>Obese</v>
      </c>
    </row>
    <row r="1357" spans="1:15" x14ac:dyDescent="0.3">
      <c r="A1357">
        <v>28716</v>
      </c>
      <c r="B1357" t="s">
        <v>7</v>
      </c>
      <c r="C1357">
        <v>74</v>
      </c>
      <c r="D1357">
        <v>0</v>
      </c>
      <c r="E1357">
        <v>0</v>
      </c>
      <c r="F1357" t="str">
        <f t="shared" si="65"/>
        <v>Moderate Risk</v>
      </c>
      <c r="G1357" t="s">
        <v>3</v>
      </c>
      <c r="H1357" t="s">
        <v>8</v>
      </c>
      <c r="I1357" t="s">
        <v>9</v>
      </c>
      <c r="J1357">
        <v>94.67</v>
      </c>
      <c r="K1357">
        <v>19.7</v>
      </c>
      <c r="L1357" t="s">
        <v>14</v>
      </c>
      <c r="M1357">
        <v>0</v>
      </c>
      <c r="N1357" t="str">
        <f t="shared" si="63"/>
        <v>60+</v>
      </c>
      <c r="O1357" t="str">
        <f t="shared" si="64"/>
        <v>Normal</v>
      </c>
    </row>
    <row r="1358" spans="1:15" x14ac:dyDescent="0.3">
      <c r="A1358">
        <v>56166</v>
      </c>
      <c r="B1358" t="s">
        <v>7</v>
      </c>
      <c r="C1358">
        <v>30</v>
      </c>
      <c r="D1358">
        <v>0</v>
      </c>
      <c r="E1358">
        <v>0</v>
      </c>
      <c r="F1358" t="str">
        <f t="shared" si="65"/>
        <v>Lower Risk</v>
      </c>
      <c r="G1358" t="s">
        <v>3</v>
      </c>
      <c r="H1358" t="s">
        <v>15</v>
      </c>
      <c r="I1358" t="s">
        <v>9</v>
      </c>
      <c r="J1358">
        <v>62.25</v>
      </c>
      <c r="K1358">
        <v>33.700000000000003</v>
      </c>
      <c r="L1358" t="s">
        <v>11</v>
      </c>
      <c r="M1358">
        <v>0</v>
      </c>
      <c r="N1358" t="str">
        <f t="shared" si="63"/>
        <v>Under 40</v>
      </c>
      <c r="O1358" t="str">
        <f t="shared" si="64"/>
        <v>Obese</v>
      </c>
    </row>
    <row r="1359" spans="1:15" x14ac:dyDescent="0.3">
      <c r="A1359">
        <v>47159</v>
      </c>
      <c r="B1359" t="s">
        <v>2</v>
      </c>
      <c r="C1359">
        <v>68</v>
      </c>
      <c r="D1359">
        <v>0</v>
      </c>
      <c r="E1359">
        <v>0</v>
      </c>
      <c r="F1359" t="str">
        <f t="shared" si="65"/>
        <v>Moderate Risk</v>
      </c>
      <c r="G1359" t="s">
        <v>3</v>
      </c>
      <c r="H1359" t="s">
        <v>4</v>
      </c>
      <c r="I1359" t="s">
        <v>5</v>
      </c>
      <c r="J1359">
        <v>155.16999999999999</v>
      </c>
      <c r="K1359">
        <v>35.5</v>
      </c>
      <c r="L1359" t="s">
        <v>11</v>
      </c>
      <c r="M1359">
        <v>0</v>
      </c>
      <c r="N1359" t="str">
        <f t="shared" si="63"/>
        <v>60+</v>
      </c>
      <c r="O1359" t="str">
        <f t="shared" si="64"/>
        <v>Obese</v>
      </c>
    </row>
    <row r="1360" spans="1:15" x14ac:dyDescent="0.3">
      <c r="A1360">
        <v>26242</v>
      </c>
      <c r="B1360" t="s">
        <v>2</v>
      </c>
      <c r="C1360">
        <v>6</v>
      </c>
      <c r="D1360">
        <v>0</v>
      </c>
      <c r="E1360">
        <v>0</v>
      </c>
      <c r="F1360" t="str">
        <f t="shared" si="65"/>
        <v>Lower Risk</v>
      </c>
      <c r="G1360" t="s">
        <v>13</v>
      </c>
      <c r="H1360" t="s">
        <v>16</v>
      </c>
      <c r="I1360" t="s">
        <v>5</v>
      </c>
      <c r="J1360">
        <v>83.28</v>
      </c>
      <c r="K1360">
        <v>20</v>
      </c>
      <c r="L1360" t="s">
        <v>14</v>
      </c>
      <c r="M1360">
        <v>0</v>
      </c>
      <c r="N1360" t="str">
        <f t="shared" si="63"/>
        <v>Under 40</v>
      </c>
      <c r="O1360" t="str">
        <f t="shared" si="64"/>
        <v>Normal</v>
      </c>
    </row>
    <row r="1361" spans="1:15" x14ac:dyDescent="0.3">
      <c r="A1361">
        <v>36226</v>
      </c>
      <c r="B1361" t="s">
        <v>2</v>
      </c>
      <c r="C1361">
        <v>4</v>
      </c>
      <c r="D1361">
        <v>0</v>
      </c>
      <c r="E1361">
        <v>0</v>
      </c>
      <c r="F1361" t="str">
        <f t="shared" si="65"/>
        <v>Lower Risk</v>
      </c>
      <c r="G1361" t="s">
        <v>13</v>
      </c>
      <c r="H1361" t="s">
        <v>16</v>
      </c>
      <c r="I1361" t="s">
        <v>5</v>
      </c>
      <c r="J1361">
        <v>132.41</v>
      </c>
      <c r="K1361">
        <v>16.3</v>
      </c>
      <c r="L1361" t="s">
        <v>14</v>
      </c>
      <c r="M1361">
        <v>0</v>
      </c>
      <c r="N1361" t="str">
        <f t="shared" si="63"/>
        <v>Under 40</v>
      </c>
      <c r="O1361" t="str">
        <f t="shared" si="64"/>
        <v>Underweight</v>
      </c>
    </row>
    <row r="1362" spans="1:15" x14ac:dyDescent="0.3">
      <c r="A1362">
        <v>47357</v>
      </c>
      <c r="B1362" t="s">
        <v>7</v>
      </c>
      <c r="C1362">
        <v>60</v>
      </c>
      <c r="D1362">
        <v>0</v>
      </c>
      <c r="E1362">
        <v>0</v>
      </c>
      <c r="F1362" t="str">
        <f t="shared" si="65"/>
        <v>Moderate Risk</v>
      </c>
      <c r="G1362" t="s">
        <v>3</v>
      </c>
      <c r="H1362" t="s">
        <v>4</v>
      </c>
      <c r="I1362" t="s">
        <v>9</v>
      </c>
      <c r="J1362">
        <v>62.78</v>
      </c>
      <c r="K1362">
        <v>36.4</v>
      </c>
      <c r="L1362" t="s">
        <v>14</v>
      </c>
      <c r="M1362">
        <v>0</v>
      </c>
      <c r="N1362" t="str">
        <f t="shared" si="63"/>
        <v>60+</v>
      </c>
      <c r="O1362" t="str">
        <f t="shared" si="64"/>
        <v>Obese</v>
      </c>
    </row>
    <row r="1363" spans="1:15" x14ac:dyDescent="0.3">
      <c r="A1363">
        <v>33167</v>
      </c>
      <c r="B1363" t="s">
        <v>7</v>
      </c>
      <c r="C1363">
        <v>59</v>
      </c>
      <c r="D1363">
        <v>0</v>
      </c>
      <c r="E1363">
        <v>0</v>
      </c>
      <c r="F1363" t="str">
        <f t="shared" si="65"/>
        <v>Lower Risk</v>
      </c>
      <c r="G1363" t="s">
        <v>3</v>
      </c>
      <c r="H1363" t="s">
        <v>4</v>
      </c>
      <c r="I1363" t="s">
        <v>5</v>
      </c>
      <c r="J1363">
        <v>89.96</v>
      </c>
      <c r="K1363">
        <v>28.1</v>
      </c>
      <c r="L1363" t="s">
        <v>14</v>
      </c>
      <c r="M1363">
        <v>0</v>
      </c>
      <c r="N1363" t="str">
        <f t="shared" si="63"/>
        <v>40–59</v>
      </c>
      <c r="O1363" t="str">
        <f t="shared" si="64"/>
        <v>Overweight</v>
      </c>
    </row>
    <row r="1364" spans="1:15" x14ac:dyDescent="0.3">
      <c r="A1364">
        <v>21042</v>
      </c>
      <c r="B1364" t="s">
        <v>7</v>
      </c>
      <c r="C1364">
        <v>72</v>
      </c>
      <c r="D1364">
        <v>0</v>
      </c>
      <c r="E1364">
        <v>0</v>
      </c>
      <c r="F1364" t="str">
        <f t="shared" si="65"/>
        <v>Moderate Risk</v>
      </c>
      <c r="G1364" t="s">
        <v>3</v>
      </c>
      <c r="H1364" t="s">
        <v>8</v>
      </c>
      <c r="I1364" t="s">
        <v>9</v>
      </c>
      <c r="J1364">
        <v>103.25</v>
      </c>
      <c r="K1364">
        <v>26.9</v>
      </c>
      <c r="L1364" t="s">
        <v>6</v>
      </c>
      <c r="M1364">
        <v>0</v>
      </c>
      <c r="N1364" t="str">
        <f t="shared" si="63"/>
        <v>60+</v>
      </c>
      <c r="O1364" t="str">
        <f t="shared" si="64"/>
        <v>Overweight</v>
      </c>
    </row>
    <row r="1365" spans="1:15" x14ac:dyDescent="0.3">
      <c r="A1365">
        <v>71062</v>
      </c>
      <c r="B1365" t="s">
        <v>7</v>
      </c>
      <c r="C1365">
        <v>62</v>
      </c>
      <c r="D1365">
        <v>0</v>
      </c>
      <c r="E1365">
        <v>0</v>
      </c>
      <c r="F1365" t="str">
        <f t="shared" si="65"/>
        <v>Moderate Risk</v>
      </c>
      <c r="G1365" t="s">
        <v>3</v>
      </c>
      <c r="H1365" t="s">
        <v>4</v>
      </c>
      <c r="I1365" t="s">
        <v>9</v>
      </c>
      <c r="J1365">
        <v>126.99</v>
      </c>
      <c r="K1365">
        <v>29.4</v>
      </c>
      <c r="L1365" t="s">
        <v>6</v>
      </c>
      <c r="M1365">
        <v>0</v>
      </c>
      <c r="N1365" t="str">
        <f t="shared" si="63"/>
        <v>60+</v>
      </c>
      <c r="O1365" t="str">
        <f t="shared" si="64"/>
        <v>Overweight</v>
      </c>
    </row>
    <row r="1366" spans="1:15" x14ac:dyDescent="0.3">
      <c r="A1366">
        <v>32723</v>
      </c>
      <c r="B1366" t="s">
        <v>7</v>
      </c>
      <c r="C1366">
        <v>13</v>
      </c>
      <c r="D1366">
        <v>0</v>
      </c>
      <c r="E1366">
        <v>0</v>
      </c>
      <c r="F1366" t="str">
        <f t="shared" si="65"/>
        <v>Lower Risk</v>
      </c>
      <c r="G1366" t="s">
        <v>13</v>
      </c>
      <c r="H1366" t="s">
        <v>16</v>
      </c>
      <c r="I1366" t="s">
        <v>9</v>
      </c>
      <c r="J1366">
        <v>102.27</v>
      </c>
      <c r="K1366">
        <v>17.2</v>
      </c>
      <c r="L1366" t="s">
        <v>11</v>
      </c>
      <c r="M1366">
        <v>0</v>
      </c>
      <c r="N1366" t="str">
        <f t="shared" si="63"/>
        <v>Under 40</v>
      </c>
      <c r="O1366" t="str">
        <f t="shared" si="64"/>
        <v>Underweight</v>
      </c>
    </row>
    <row r="1367" spans="1:15" x14ac:dyDescent="0.3">
      <c r="A1367">
        <v>49646</v>
      </c>
      <c r="B1367" t="s">
        <v>2</v>
      </c>
      <c r="C1367">
        <v>72</v>
      </c>
      <c r="D1367">
        <v>0</v>
      </c>
      <c r="E1367">
        <v>1</v>
      </c>
      <c r="F1367" t="str">
        <f t="shared" si="65"/>
        <v>High Risk</v>
      </c>
      <c r="G1367" t="s">
        <v>3</v>
      </c>
      <c r="H1367" t="s">
        <v>8</v>
      </c>
      <c r="I1367" t="s">
        <v>9</v>
      </c>
      <c r="J1367">
        <v>113.63</v>
      </c>
      <c r="K1367">
        <v>26.5</v>
      </c>
      <c r="L1367" t="s">
        <v>14</v>
      </c>
      <c r="M1367">
        <v>0</v>
      </c>
      <c r="N1367" t="str">
        <f t="shared" si="63"/>
        <v>60+</v>
      </c>
      <c r="O1367" t="str">
        <f t="shared" si="64"/>
        <v>Overweight</v>
      </c>
    </row>
    <row r="1368" spans="1:15" x14ac:dyDescent="0.3">
      <c r="A1368">
        <v>35737</v>
      </c>
      <c r="B1368" t="s">
        <v>2</v>
      </c>
      <c r="C1368">
        <v>1.08</v>
      </c>
      <c r="D1368">
        <v>0</v>
      </c>
      <c r="E1368">
        <v>0</v>
      </c>
      <c r="F1368" t="str">
        <f t="shared" si="65"/>
        <v>Lower Risk</v>
      </c>
      <c r="G1368" t="s">
        <v>13</v>
      </c>
      <c r="H1368" t="s">
        <v>16</v>
      </c>
      <c r="I1368" t="s">
        <v>5</v>
      </c>
      <c r="J1368">
        <v>86.09</v>
      </c>
      <c r="K1368">
        <v>19.5</v>
      </c>
      <c r="L1368" t="s">
        <v>14</v>
      </c>
      <c r="M1368">
        <v>0</v>
      </c>
      <c r="N1368" t="str">
        <f t="shared" si="63"/>
        <v>Under 40</v>
      </c>
      <c r="O1368" t="str">
        <f t="shared" si="64"/>
        <v>Normal</v>
      </c>
    </row>
    <row r="1369" spans="1:15" x14ac:dyDescent="0.3">
      <c r="A1369">
        <v>24256</v>
      </c>
      <c r="B1369" t="s">
        <v>2</v>
      </c>
      <c r="C1369">
        <v>35</v>
      </c>
      <c r="D1369">
        <v>0</v>
      </c>
      <c r="E1369">
        <v>0</v>
      </c>
      <c r="F1369" t="str">
        <f t="shared" si="65"/>
        <v>Lower Risk</v>
      </c>
      <c r="G1369" t="s">
        <v>3</v>
      </c>
      <c r="H1369" t="s">
        <v>4</v>
      </c>
      <c r="I1369" t="s">
        <v>9</v>
      </c>
      <c r="J1369">
        <v>108.08</v>
      </c>
      <c r="K1369">
        <v>30.6</v>
      </c>
      <c r="L1369" t="s">
        <v>6</v>
      </c>
      <c r="M1369">
        <v>0</v>
      </c>
      <c r="N1369" t="str">
        <f t="shared" si="63"/>
        <v>Under 40</v>
      </c>
      <c r="O1369" t="str">
        <f t="shared" si="64"/>
        <v>Obese</v>
      </c>
    </row>
    <row r="1370" spans="1:15" x14ac:dyDescent="0.3">
      <c r="A1370">
        <v>62340</v>
      </c>
      <c r="B1370" t="s">
        <v>2</v>
      </c>
      <c r="C1370">
        <v>54</v>
      </c>
      <c r="D1370">
        <v>0</v>
      </c>
      <c r="E1370">
        <v>0</v>
      </c>
      <c r="F1370" t="str">
        <f t="shared" si="65"/>
        <v>Lower Risk</v>
      </c>
      <c r="G1370" t="s">
        <v>3</v>
      </c>
      <c r="H1370" t="s">
        <v>4</v>
      </c>
      <c r="I1370" t="s">
        <v>5</v>
      </c>
      <c r="J1370">
        <v>108.34</v>
      </c>
      <c r="K1370">
        <v>31.9</v>
      </c>
      <c r="L1370" t="s">
        <v>11</v>
      </c>
      <c r="M1370">
        <v>0</v>
      </c>
      <c r="N1370" t="str">
        <f t="shared" si="63"/>
        <v>40–59</v>
      </c>
      <c r="O1370" t="str">
        <f t="shared" si="64"/>
        <v>Obese</v>
      </c>
    </row>
    <row r="1371" spans="1:15" x14ac:dyDescent="0.3">
      <c r="A1371">
        <v>39927</v>
      </c>
      <c r="B1371" t="s">
        <v>2</v>
      </c>
      <c r="C1371">
        <v>40</v>
      </c>
      <c r="D1371">
        <v>0</v>
      </c>
      <c r="E1371">
        <v>0</v>
      </c>
      <c r="F1371" t="str">
        <f t="shared" si="65"/>
        <v>Lower Risk</v>
      </c>
      <c r="G1371" t="s">
        <v>3</v>
      </c>
      <c r="H1371" t="s">
        <v>4</v>
      </c>
      <c r="I1371" t="s">
        <v>9</v>
      </c>
      <c r="J1371">
        <v>56.07</v>
      </c>
      <c r="K1371">
        <v>26.6</v>
      </c>
      <c r="L1371" t="s">
        <v>11</v>
      </c>
      <c r="M1371">
        <v>0</v>
      </c>
      <c r="N1371" t="str">
        <f t="shared" si="63"/>
        <v>40–59</v>
      </c>
      <c r="O1371" t="str">
        <f t="shared" si="64"/>
        <v>Overweight</v>
      </c>
    </row>
    <row r="1372" spans="1:15" x14ac:dyDescent="0.3">
      <c r="A1372">
        <v>30677</v>
      </c>
      <c r="B1372" t="s">
        <v>7</v>
      </c>
      <c r="C1372">
        <v>3</v>
      </c>
      <c r="D1372">
        <v>0</v>
      </c>
      <c r="E1372">
        <v>0</v>
      </c>
      <c r="F1372" t="str">
        <f t="shared" si="65"/>
        <v>Lower Risk</v>
      </c>
      <c r="G1372" t="s">
        <v>13</v>
      </c>
      <c r="H1372" t="s">
        <v>16</v>
      </c>
      <c r="I1372" t="s">
        <v>5</v>
      </c>
      <c r="J1372">
        <v>82.91</v>
      </c>
      <c r="K1372">
        <v>19.899999999999999</v>
      </c>
      <c r="L1372" t="s">
        <v>14</v>
      </c>
      <c r="M1372">
        <v>0</v>
      </c>
      <c r="N1372" t="str">
        <f t="shared" si="63"/>
        <v>Under 40</v>
      </c>
      <c r="O1372" t="str">
        <f t="shared" si="64"/>
        <v>Normal</v>
      </c>
    </row>
    <row r="1373" spans="1:15" x14ac:dyDescent="0.3">
      <c r="A1373">
        <v>50453</v>
      </c>
      <c r="B1373" t="s">
        <v>2</v>
      </c>
      <c r="C1373">
        <v>2</v>
      </c>
      <c r="D1373">
        <v>0</v>
      </c>
      <c r="E1373">
        <v>0</v>
      </c>
      <c r="F1373" t="str">
        <f t="shared" si="65"/>
        <v>Lower Risk</v>
      </c>
      <c r="G1373" t="s">
        <v>13</v>
      </c>
      <c r="H1373" t="s">
        <v>16</v>
      </c>
      <c r="I1373" t="s">
        <v>5</v>
      </c>
      <c r="J1373">
        <v>94.75</v>
      </c>
      <c r="K1373">
        <v>18</v>
      </c>
      <c r="L1373" t="s">
        <v>14</v>
      </c>
      <c r="M1373">
        <v>0</v>
      </c>
      <c r="N1373" t="str">
        <f t="shared" si="63"/>
        <v>Under 40</v>
      </c>
      <c r="O1373" t="str">
        <f t="shared" si="64"/>
        <v>Underweight</v>
      </c>
    </row>
    <row r="1374" spans="1:15" x14ac:dyDescent="0.3">
      <c r="A1374">
        <v>17398</v>
      </c>
      <c r="B1374" t="s">
        <v>2</v>
      </c>
      <c r="C1374">
        <v>41</v>
      </c>
      <c r="D1374">
        <v>0</v>
      </c>
      <c r="E1374">
        <v>0</v>
      </c>
      <c r="F1374" t="str">
        <f t="shared" si="65"/>
        <v>Lower Risk</v>
      </c>
      <c r="G1374" t="s">
        <v>3</v>
      </c>
      <c r="H1374" t="s">
        <v>4</v>
      </c>
      <c r="I1374" t="s">
        <v>9</v>
      </c>
      <c r="J1374">
        <v>101.79</v>
      </c>
      <c r="K1374">
        <v>26.7</v>
      </c>
      <c r="L1374" t="s">
        <v>14</v>
      </c>
      <c r="M1374">
        <v>0</v>
      </c>
      <c r="N1374" t="str">
        <f t="shared" si="63"/>
        <v>40–59</v>
      </c>
      <c r="O1374" t="str">
        <f t="shared" si="64"/>
        <v>Overweight</v>
      </c>
    </row>
    <row r="1375" spans="1:15" x14ac:dyDescent="0.3">
      <c r="A1375">
        <v>20938</v>
      </c>
      <c r="B1375" t="s">
        <v>7</v>
      </c>
      <c r="C1375">
        <v>61</v>
      </c>
      <c r="D1375">
        <v>0</v>
      </c>
      <c r="E1375">
        <v>0</v>
      </c>
      <c r="F1375" t="str">
        <f t="shared" si="65"/>
        <v>Moderate Risk</v>
      </c>
      <c r="G1375" t="s">
        <v>3</v>
      </c>
      <c r="H1375" t="s">
        <v>4</v>
      </c>
      <c r="I1375" t="s">
        <v>9</v>
      </c>
      <c r="J1375">
        <v>88.41</v>
      </c>
      <c r="K1375">
        <v>25.3</v>
      </c>
      <c r="L1375" t="s">
        <v>6</v>
      </c>
      <c r="M1375">
        <v>0</v>
      </c>
      <c r="N1375" t="str">
        <f t="shared" si="63"/>
        <v>60+</v>
      </c>
      <c r="O1375" t="str">
        <f t="shared" si="64"/>
        <v>Overweight</v>
      </c>
    </row>
    <row r="1376" spans="1:15" x14ac:dyDescent="0.3">
      <c r="A1376">
        <v>21850</v>
      </c>
      <c r="B1376" t="s">
        <v>2</v>
      </c>
      <c r="C1376">
        <v>58</v>
      </c>
      <c r="D1376">
        <v>0</v>
      </c>
      <c r="E1376">
        <v>0</v>
      </c>
      <c r="F1376" t="str">
        <f t="shared" si="65"/>
        <v>Lower Risk</v>
      </c>
      <c r="G1376" t="s">
        <v>3</v>
      </c>
      <c r="H1376" t="s">
        <v>15</v>
      </c>
      <c r="I1376" t="s">
        <v>5</v>
      </c>
      <c r="J1376">
        <v>101.05</v>
      </c>
      <c r="K1376">
        <v>31.4</v>
      </c>
      <c r="L1376" t="s">
        <v>14</v>
      </c>
      <c r="M1376">
        <v>0</v>
      </c>
      <c r="N1376" t="str">
        <f t="shared" si="63"/>
        <v>40–59</v>
      </c>
      <c r="O1376" t="str">
        <f t="shared" si="64"/>
        <v>Obese</v>
      </c>
    </row>
    <row r="1377" spans="1:15" x14ac:dyDescent="0.3">
      <c r="A1377">
        <v>14241</v>
      </c>
      <c r="B1377" t="s">
        <v>2</v>
      </c>
      <c r="C1377">
        <v>17</v>
      </c>
      <c r="D1377">
        <v>0</v>
      </c>
      <c r="E1377">
        <v>0</v>
      </c>
      <c r="F1377" t="str">
        <f t="shared" si="65"/>
        <v>Lower Risk</v>
      </c>
      <c r="G1377" t="s">
        <v>13</v>
      </c>
      <c r="H1377" t="s">
        <v>4</v>
      </c>
      <c r="I1377" t="s">
        <v>5</v>
      </c>
      <c r="J1377">
        <v>85.07</v>
      </c>
      <c r="K1377">
        <v>21.1</v>
      </c>
      <c r="L1377" t="s">
        <v>11</v>
      </c>
      <c r="M1377">
        <v>0</v>
      </c>
      <c r="N1377" t="str">
        <f t="shared" si="63"/>
        <v>Under 40</v>
      </c>
      <c r="O1377" t="str">
        <f t="shared" si="64"/>
        <v>Normal</v>
      </c>
    </row>
    <row r="1378" spans="1:15" x14ac:dyDescent="0.3">
      <c r="A1378">
        <v>43905</v>
      </c>
      <c r="B1378" t="s">
        <v>7</v>
      </c>
      <c r="C1378">
        <v>64</v>
      </c>
      <c r="D1378">
        <v>0</v>
      </c>
      <c r="E1378">
        <v>0</v>
      </c>
      <c r="F1378" t="str">
        <f t="shared" si="65"/>
        <v>Moderate Risk</v>
      </c>
      <c r="G1378" t="s">
        <v>13</v>
      </c>
      <c r="H1378" t="s">
        <v>15</v>
      </c>
      <c r="I1378" t="s">
        <v>9</v>
      </c>
      <c r="J1378">
        <v>108.1</v>
      </c>
      <c r="K1378">
        <v>17.899999999999999</v>
      </c>
      <c r="L1378" t="s">
        <v>11</v>
      </c>
      <c r="M1378">
        <v>0</v>
      </c>
      <c r="N1378" t="str">
        <f t="shared" si="63"/>
        <v>60+</v>
      </c>
      <c r="O1378" t="str">
        <f t="shared" si="64"/>
        <v>Underweight</v>
      </c>
    </row>
    <row r="1379" spans="1:15" x14ac:dyDescent="0.3">
      <c r="A1379">
        <v>40144</v>
      </c>
      <c r="B1379" t="s">
        <v>7</v>
      </c>
      <c r="C1379">
        <v>32</v>
      </c>
      <c r="D1379">
        <v>0</v>
      </c>
      <c r="E1379">
        <v>0</v>
      </c>
      <c r="F1379" t="str">
        <f t="shared" si="65"/>
        <v>Lower Risk</v>
      </c>
      <c r="G1379" t="s">
        <v>13</v>
      </c>
      <c r="H1379" t="s">
        <v>8</v>
      </c>
      <c r="I1379" t="s">
        <v>9</v>
      </c>
      <c r="J1379">
        <v>93.17</v>
      </c>
      <c r="K1379">
        <v>27.5</v>
      </c>
      <c r="L1379" t="s">
        <v>12</v>
      </c>
      <c r="M1379">
        <v>0</v>
      </c>
      <c r="N1379" t="str">
        <f t="shared" si="63"/>
        <v>Under 40</v>
      </c>
      <c r="O1379" t="str">
        <f t="shared" si="64"/>
        <v>Overweight</v>
      </c>
    </row>
    <row r="1380" spans="1:15" x14ac:dyDescent="0.3">
      <c r="A1380">
        <v>7806</v>
      </c>
      <c r="B1380" t="s">
        <v>7</v>
      </c>
      <c r="C1380">
        <v>42</v>
      </c>
      <c r="D1380">
        <v>0</v>
      </c>
      <c r="E1380">
        <v>0</v>
      </c>
      <c r="F1380" t="str">
        <f t="shared" si="65"/>
        <v>Lower Risk</v>
      </c>
      <c r="G1380" t="s">
        <v>3</v>
      </c>
      <c r="H1380" t="s">
        <v>4</v>
      </c>
      <c r="I1380" t="s">
        <v>5</v>
      </c>
      <c r="J1380">
        <v>158.88999999999999</v>
      </c>
      <c r="K1380">
        <v>37.6</v>
      </c>
      <c r="L1380" t="s">
        <v>12</v>
      </c>
      <c r="M1380">
        <v>0</v>
      </c>
      <c r="N1380" t="str">
        <f t="shared" si="63"/>
        <v>40–59</v>
      </c>
      <c r="O1380" t="str">
        <f t="shared" si="64"/>
        <v>Obese</v>
      </c>
    </row>
    <row r="1381" spans="1:15" x14ac:dyDescent="0.3">
      <c r="A1381">
        <v>63984</v>
      </c>
      <c r="B1381" t="s">
        <v>2</v>
      </c>
      <c r="C1381">
        <v>39</v>
      </c>
      <c r="D1381">
        <v>0</v>
      </c>
      <c r="E1381">
        <v>0</v>
      </c>
      <c r="F1381" t="str">
        <f t="shared" si="65"/>
        <v>Lower Risk</v>
      </c>
      <c r="G1381" t="s">
        <v>3</v>
      </c>
      <c r="H1381" t="s">
        <v>4</v>
      </c>
      <c r="I1381" t="s">
        <v>9</v>
      </c>
      <c r="J1381">
        <v>205.77</v>
      </c>
      <c r="K1381">
        <v>24.1</v>
      </c>
      <c r="L1381" t="s">
        <v>11</v>
      </c>
      <c r="M1381">
        <v>0</v>
      </c>
      <c r="N1381" t="str">
        <f t="shared" si="63"/>
        <v>Under 40</v>
      </c>
      <c r="O1381" t="str">
        <f t="shared" si="64"/>
        <v>Normal</v>
      </c>
    </row>
    <row r="1382" spans="1:15" x14ac:dyDescent="0.3">
      <c r="A1382">
        <v>13504</v>
      </c>
      <c r="B1382" t="s">
        <v>7</v>
      </c>
      <c r="C1382">
        <v>10</v>
      </c>
      <c r="D1382">
        <v>0</v>
      </c>
      <c r="E1382">
        <v>0</v>
      </c>
      <c r="F1382" t="str">
        <f t="shared" si="65"/>
        <v>Lower Risk</v>
      </c>
      <c r="G1382" t="s">
        <v>13</v>
      </c>
      <c r="H1382" t="s">
        <v>16</v>
      </c>
      <c r="I1382" t="s">
        <v>5</v>
      </c>
      <c r="J1382">
        <v>112.34</v>
      </c>
      <c r="K1382">
        <v>18.100000000000001</v>
      </c>
      <c r="L1382" t="s">
        <v>14</v>
      </c>
      <c r="M1382">
        <v>0</v>
      </c>
      <c r="N1382" t="str">
        <f t="shared" si="63"/>
        <v>Under 40</v>
      </c>
      <c r="O1382" t="str">
        <f t="shared" si="64"/>
        <v>Underweight</v>
      </c>
    </row>
    <row r="1383" spans="1:15" x14ac:dyDescent="0.3">
      <c r="A1383">
        <v>62272</v>
      </c>
      <c r="B1383" t="s">
        <v>7</v>
      </c>
      <c r="C1383">
        <v>78</v>
      </c>
      <c r="D1383">
        <v>0</v>
      </c>
      <c r="E1383">
        <v>0</v>
      </c>
      <c r="F1383" t="str">
        <f t="shared" si="65"/>
        <v>Moderate Risk</v>
      </c>
      <c r="G1383" t="s">
        <v>3</v>
      </c>
      <c r="H1383" t="s">
        <v>4</v>
      </c>
      <c r="I1383" t="s">
        <v>5</v>
      </c>
      <c r="J1383">
        <v>119.03</v>
      </c>
      <c r="K1383">
        <v>31</v>
      </c>
      <c r="L1383" t="s">
        <v>11</v>
      </c>
      <c r="M1383">
        <v>0</v>
      </c>
      <c r="N1383" t="str">
        <f t="shared" si="63"/>
        <v>60+</v>
      </c>
      <c r="O1383" t="str">
        <f t="shared" si="64"/>
        <v>Obese</v>
      </c>
    </row>
    <row r="1384" spans="1:15" x14ac:dyDescent="0.3">
      <c r="A1384">
        <v>5878</v>
      </c>
      <c r="B1384" t="s">
        <v>7</v>
      </c>
      <c r="C1384">
        <v>68</v>
      </c>
      <c r="D1384">
        <v>0</v>
      </c>
      <c r="E1384">
        <v>0</v>
      </c>
      <c r="F1384" t="str">
        <f t="shared" si="65"/>
        <v>Moderate Risk</v>
      </c>
      <c r="G1384" t="s">
        <v>3</v>
      </c>
      <c r="H1384" t="s">
        <v>4</v>
      </c>
      <c r="I1384" t="s">
        <v>5</v>
      </c>
      <c r="J1384">
        <v>237.21</v>
      </c>
      <c r="K1384">
        <v>26.6</v>
      </c>
      <c r="L1384" t="s">
        <v>12</v>
      </c>
      <c r="M1384">
        <v>0</v>
      </c>
      <c r="N1384" t="str">
        <f t="shared" si="63"/>
        <v>60+</v>
      </c>
      <c r="O1384" t="str">
        <f t="shared" si="64"/>
        <v>Overweight</v>
      </c>
    </row>
    <row r="1385" spans="1:15" x14ac:dyDescent="0.3">
      <c r="A1385">
        <v>62767</v>
      </c>
      <c r="B1385" t="s">
        <v>7</v>
      </c>
      <c r="C1385">
        <v>24</v>
      </c>
      <c r="D1385">
        <v>0</v>
      </c>
      <c r="E1385">
        <v>0</v>
      </c>
      <c r="F1385" t="str">
        <f t="shared" si="65"/>
        <v>Lower Risk</v>
      </c>
      <c r="G1385" t="s">
        <v>3</v>
      </c>
      <c r="H1385" t="s">
        <v>4</v>
      </c>
      <c r="I1385" t="s">
        <v>5</v>
      </c>
      <c r="J1385">
        <v>89.68</v>
      </c>
      <c r="K1385">
        <v>38.700000000000003</v>
      </c>
      <c r="L1385" t="s">
        <v>11</v>
      </c>
      <c r="M1385">
        <v>0</v>
      </c>
      <c r="N1385" t="str">
        <f t="shared" si="63"/>
        <v>Under 40</v>
      </c>
      <c r="O1385" t="str">
        <f t="shared" si="64"/>
        <v>Obese</v>
      </c>
    </row>
    <row r="1386" spans="1:15" x14ac:dyDescent="0.3">
      <c r="A1386">
        <v>239</v>
      </c>
      <c r="B1386" t="s">
        <v>2</v>
      </c>
      <c r="C1386">
        <v>59</v>
      </c>
      <c r="D1386">
        <v>1</v>
      </c>
      <c r="E1386">
        <v>1</v>
      </c>
      <c r="F1386" t="str">
        <f t="shared" si="65"/>
        <v>Lower Risk</v>
      </c>
      <c r="G1386" t="s">
        <v>3</v>
      </c>
      <c r="H1386" t="s">
        <v>4</v>
      </c>
      <c r="I1386" t="s">
        <v>9</v>
      </c>
      <c r="J1386">
        <v>246.53</v>
      </c>
      <c r="K1386">
        <v>27.2</v>
      </c>
      <c r="L1386" t="s">
        <v>6</v>
      </c>
      <c r="M1386">
        <v>0</v>
      </c>
      <c r="N1386" t="str">
        <f t="shared" si="63"/>
        <v>40–59</v>
      </c>
      <c r="O1386" t="str">
        <f t="shared" si="64"/>
        <v>Overweight</v>
      </c>
    </row>
    <row r="1387" spans="1:15" x14ac:dyDescent="0.3">
      <c r="A1387">
        <v>3184</v>
      </c>
      <c r="B1387" t="s">
        <v>7</v>
      </c>
      <c r="C1387">
        <v>45</v>
      </c>
      <c r="D1387">
        <v>0</v>
      </c>
      <c r="E1387">
        <v>0</v>
      </c>
      <c r="F1387" t="str">
        <f t="shared" si="65"/>
        <v>Lower Risk</v>
      </c>
      <c r="G1387" t="s">
        <v>3</v>
      </c>
      <c r="H1387" t="s">
        <v>4</v>
      </c>
      <c r="I1387" t="s">
        <v>5</v>
      </c>
      <c r="J1387">
        <v>89.05</v>
      </c>
      <c r="K1387">
        <v>27.8</v>
      </c>
      <c r="L1387" t="s">
        <v>6</v>
      </c>
      <c r="M1387">
        <v>0</v>
      </c>
      <c r="N1387" t="str">
        <f t="shared" si="63"/>
        <v>40–59</v>
      </c>
      <c r="O1387" t="str">
        <f t="shared" si="64"/>
        <v>Overweight</v>
      </c>
    </row>
    <row r="1388" spans="1:15" x14ac:dyDescent="0.3">
      <c r="A1388">
        <v>51959</v>
      </c>
      <c r="B1388" t="s">
        <v>2</v>
      </c>
      <c r="C1388">
        <v>12</v>
      </c>
      <c r="D1388">
        <v>0</v>
      </c>
      <c r="E1388">
        <v>0</v>
      </c>
      <c r="F1388" t="str">
        <f t="shared" si="65"/>
        <v>Lower Risk</v>
      </c>
      <c r="G1388" t="s">
        <v>13</v>
      </c>
      <c r="H1388" t="s">
        <v>16</v>
      </c>
      <c r="I1388" t="s">
        <v>9</v>
      </c>
      <c r="J1388">
        <v>81.739999999999995</v>
      </c>
      <c r="K1388">
        <v>28.3</v>
      </c>
      <c r="L1388" t="s">
        <v>14</v>
      </c>
      <c r="M1388">
        <v>0</v>
      </c>
      <c r="N1388" t="str">
        <f t="shared" si="63"/>
        <v>Under 40</v>
      </c>
      <c r="O1388" t="str">
        <f t="shared" si="64"/>
        <v>Overweight</v>
      </c>
    </row>
    <row r="1389" spans="1:15" x14ac:dyDescent="0.3">
      <c r="A1389">
        <v>2092</v>
      </c>
      <c r="B1389" t="s">
        <v>7</v>
      </c>
      <c r="C1389">
        <v>37</v>
      </c>
      <c r="D1389">
        <v>0</v>
      </c>
      <c r="E1389">
        <v>0</v>
      </c>
      <c r="F1389" t="str">
        <f t="shared" si="65"/>
        <v>Lower Risk</v>
      </c>
      <c r="G1389" t="s">
        <v>3</v>
      </c>
      <c r="H1389" t="s">
        <v>4</v>
      </c>
      <c r="I1389" t="s">
        <v>9</v>
      </c>
      <c r="J1389">
        <v>98.12</v>
      </c>
      <c r="K1389">
        <v>27.5</v>
      </c>
      <c r="L1389" t="s">
        <v>11</v>
      </c>
      <c r="M1389">
        <v>0</v>
      </c>
      <c r="N1389" t="str">
        <f t="shared" si="63"/>
        <v>Under 40</v>
      </c>
      <c r="O1389" t="str">
        <f t="shared" si="64"/>
        <v>Overweight</v>
      </c>
    </row>
    <row r="1390" spans="1:15" x14ac:dyDescent="0.3">
      <c r="A1390">
        <v>69239</v>
      </c>
      <c r="B1390" t="s">
        <v>7</v>
      </c>
      <c r="C1390">
        <v>43</v>
      </c>
      <c r="D1390">
        <v>0</v>
      </c>
      <c r="E1390">
        <v>0</v>
      </c>
      <c r="F1390" t="str">
        <f t="shared" si="65"/>
        <v>Lower Risk</v>
      </c>
      <c r="G1390" t="s">
        <v>3</v>
      </c>
      <c r="H1390" t="s">
        <v>8</v>
      </c>
      <c r="I1390" t="s">
        <v>9</v>
      </c>
      <c r="J1390">
        <v>105.59</v>
      </c>
      <c r="K1390">
        <v>43.3</v>
      </c>
      <c r="L1390" t="s">
        <v>12</v>
      </c>
      <c r="M1390">
        <v>0</v>
      </c>
      <c r="N1390" t="str">
        <f t="shared" si="63"/>
        <v>40–59</v>
      </c>
      <c r="O1390" t="str">
        <f t="shared" si="64"/>
        <v>Obese</v>
      </c>
    </row>
    <row r="1391" spans="1:15" x14ac:dyDescent="0.3">
      <c r="A1391">
        <v>68235</v>
      </c>
      <c r="B1391" t="s">
        <v>2</v>
      </c>
      <c r="C1391">
        <v>12</v>
      </c>
      <c r="D1391">
        <v>0</v>
      </c>
      <c r="E1391">
        <v>0</v>
      </c>
      <c r="F1391" t="str">
        <f t="shared" si="65"/>
        <v>Lower Risk</v>
      </c>
      <c r="G1391" t="s">
        <v>13</v>
      </c>
      <c r="H1391" t="s">
        <v>16</v>
      </c>
      <c r="I1391" t="s">
        <v>9</v>
      </c>
      <c r="J1391">
        <v>86</v>
      </c>
      <c r="K1391">
        <v>20.100000000000001</v>
      </c>
      <c r="L1391" t="s">
        <v>6</v>
      </c>
      <c r="M1391">
        <v>0</v>
      </c>
      <c r="N1391" t="str">
        <f t="shared" si="63"/>
        <v>Under 40</v>
      </c>
      <c r="O1391" t="str">
        <f t="shared" si="64"/>
        <v>Normal</v>
      </c>
    </row>
    <row r="1392" spans="1:15" x14ac:dyDescent="0.3">
      <c r="A1392">
        <v>3956</v>
      </c>
      <c r="B1392" t="s">
        <v>2</v>
      </c>
      <c r="C1392">
        <v>13</v>
      </c>
      <c r="D1392">
        <v>0</v>
      </c>
      <c r="E1392">
        <v>0</v>
      </c>
      <c r="F1392" t="str">
        <f t="shared" si="65"/>
        <v>Lower Risk</v>
      </c>
      <c r="G1392" t="s">
        <v>13</v>
      </c>
      <c r="H1392" t="s">
        <v>16</v>
      </c>
      <c r="I1392" t="s">
        <v>5</v>
      </c>
      <c r="J1392">
        <v>65.510000000000005</v>
      </c>
      <c r="K1392">
        <v>25.9</v>
      </c>
      <c r="L1392" t="s">
        <v>14</v>
      </c>
      <c r="M1392">
        <v>0</v>
      </c>
      <c r="N1392" t="str">
        <f t="shared" si="63"/>
        <v>Under 40</v>
      </c>
      <c r="O1392" t="str">
        <f t="shared" si="64"/>
        <v>Overweight</v>
      </c>
    </row>
    <row r="1393" spans="1:15" x14ac:dyDescent="0.3">
      <c r="A1393">
        <v>42703</v>
      </c>
      <c r="B1393" t="s">
        <v>2</v>
      </c>
      <c r="C1393">
        <v>74</v>
      </c>
      <c r="D1393">
        <v>0</v>
      </c>
      <c r="E1393">
        <v>0</v>
      </c>
      <c r="F1393" t="str">
        <f t="shared" si="65"/>
        <v>Moderate Risk</v>
      </c>
      <c r="G1393" t="s">
        <v>3</v>
      </c>
      <c r="H1393" t="s">
        <v>8</v>
      </c>
      <c r="I1393" t="s">
        <v>5</v>
      </c>
      <c r="J1393">
        <v>61.78</v>
      </c>
      <c r="K1393">
        <v>25.8</v>
      </c>
      <c r="L1393" t="s">
        <v>14</v>
      </c>
      <c r="M1393">
        <v>0</v>
      </c>
      <c r="N1393" t="str">
        <f t="shared" si="63"/>
        <v>60+</v>
      </c>
      <c r="O1393" t="str">
        <f t="shared" si="64"/>
        <v>Overweight</v>
      </c>
    </row>
    <row r="1394" spans="1:15" x14ac:dyDescent="0.3">
      <c r="A1394">
        <v>34436</v>
      </c>
      <c r="B1394" t="s">
        <v>7</v>
      </c>
      <c r="C1394">
        <v>2</v>
      </c>
      <c r="D1394">
        <v>0</v>
      </c>
      <c r="E1394">
        <v>0</v>
      </c>
      <c r="F1394" t="str">
        <f t="shared" si="65"/>
        <v>Lower Risk</v>
      </c>
      <c r="G1394" t="s">
        <v>13</v>
      </c>
      <c r="H1394" t="s">
        <v>16</v>
      </c>
      <c r="I1394" t="s">
        <v>9</v>
      </c>
      <c r="J1394">
        <v>109.56</v>
      </c>
      <c r="K1394">
        <v>16.399999999999999</v>
      </c>
      <c r="L1394" t="s">
        <v>14</v>
      </c>
      <c r="M1394">
        <v>0</v>
      </c>
      <c r="N1394" t="str">
        <f t="shared" si="63"/>
        <v>Under 40</v>
      </c>
      <c r="O1394" t="str">
        <f t="shared" si="64"/>
        <v>Underweight</v>
      </c>
    </row>
    <row r="1395" spans="1:15" x14ac:dyDescent="0.3">
      <c r="A1395">
        <v>39258</v>
      </c>
      <c r="B1395" t="s">
        <v>7</v>
      </c>
      <c r="C1395">
        <v>59</v>
      </c>
      <c r="D1395">
        <v>0</v>
      </c>
      <c r="E1395">
        <v>0</v>
      </c>
      <c r="F1395" t="str">
        <f t="shared" si="65"/>
        <v>Lower Risk</v>
      </c>
      <c r="G1395" t="s">
        <v>3</v>
      </c>
      <c r="H1395" t="s">
        <v>8</v>
      </c>
      <c r="I1395" t="s">
        <v>5</v>
      </c>
      <c r="J1395">
        <v>65.819999999999993</v>
      </c>
      <c r="K1395">
        <v>29.4</v>
      </c>
      <c r="L1395" t="s">
        <v>11</v>
      </c>
      <c r="M1395">
        <v>0</v>
      </c>
      <c r="N1395" t="str">
        <f t="shared" si="63"/>
        <v>40–59</v>
      </c>
      <c r="O1395" t="str">
        <f t="shared" si="64"/>
        <v>Overweight</v>
      </c>
    </row>
    <row r="1396" spans="1:15" x14ac:dyDescent="0.3">
      <c r="A1396">
        <v>40513</v>
      </c>
      <c r="B1396" t="s">
        <v>7</v>
      </c>
      <c r="C1396">
        <v>21</v>
      </c>
      <c r="D1396">
        <v>0</v>
      </c>
      <c r="E1396">
        <v>0</v>
      </c>
      <c r="F1396" t="str">
        <f t="shared" si="65"/>
        <v>Lower Risk</v>
      </c>
      <c r="G1396" t="s">
        <v>13</v>
      </c>
      <c r="H1396" t="s">
        <v>4</v>
      </c>
      <c r="I1396" t="s">
        <v>5</v>
      </c>
      <c r="J1396">
        <v>90.16</v>
      </c>
      <c r="K1396">
        <v>28.9</v>
      </c>
      <c r="L1396" t="s">
        <v>12</v>
      </c>
      <c r="M1396">
        <v>0</v>
      </c>
      <c r="N1396" t="str">
        <f t="shared" si="63"/>
        <v>Under 40</v>
      </c>
      <c r="O1396" t="str">
        <f t="shared" si="64"/>
        <v>Overweight</v>
      </c>
    </row>
    <row r="1397" spans="1:15" x14ac:dyDescent="0.3">
      <c r="A1397">
        <v>48648</v>
      </c>
      <c r="B1397" t="s">
        <v>7</v>
      </c>
      <c r="C1397">
        <v>55</v>
      </c>
      <c r="D1397">
        <v>0</v>
      </c>
      <c r="E1397">
        <v>0</v>
      </c>
      <c r="F1397" t="str">
        <f t="shared" si="65"/>
        <v>Lower Risk</v>
      </c>
      <c r="G1397" t="s">
        <v>3</v>
      </c>
      <c r="H1397" t="s">
        <v>4</v>
      </c>
      <c r="I1397" t="s">
        <v>5</v>
      </c>
      <c r="J1397">
        <v>64.45</v>
      </c>
      <c r="K1397">
        <v>26.7</v>
      </c>
      <c r="L1397" t="s">
        <v>11</v>
      </c>
      <c r="M1397">
        <v>0</v>
      </c>
      <c r="N1397" t="str">
        <f t="shared" si="63"/>
        <v>40–59</v>
      </c>
      <c r="O1397" t="str">
        <f t="shared" si="64"/>
        <v>Overweight</v>
      </c>
    </row>
    <row r="1398" spans="1:15" x14ac:dyDescent="0.3">
      <c r="A1398">
        <v>48836</v>
      </c>
      <c r="B1398" t="s">
        <v>7</v>
      </c>
      <c r="C1398">
        <v>14</v>
      </c>
      <c r="D1398">
        <v>0</v>
      </c>
      <c r="E1398">
        <v>0</v>
      </c>
      <c r="F1398" t="str">
        <f t="shared" si="65"/>
        <v>Lower Risk</v>
      </c>
      <c r="G1398" t="s">
        <v>13</v>
      </c>
      <c r="H1398" t="s">
        <v>16</v>
      </c>
      <c r="I1398" t="s">
        <v>5</v>
      </c>
      <c r="J1398">
        <v>91.85</v>
      </c>
      <c r="K1398">
        <v>27.8</v>
      </c>
      <c r="L1398" t="s">
        <v>11</v>
      </c>
      <c r="M1398">
        <v>0</v>
      </c>
      <c r="N1398" t="str">
        <f t="shared" si="63"/>
        <v>Under 40</v>
      </c>
      <c r="O1398" t="str">
        <f t="shared" si="64"/>
        <v>Overweight</v>
      </c>
    </row>
    <row r="1399" spans="1:15" x14ac:dyDescent="0.3">
      <c r="A1399">
        <v>71444</v>
      </c>
      <c r="B1399" t="s">
        <v>7</v>
      </c>
      <c r="C1399">
        <v>53</v>
      </c>
      <c r="D1399">
        <v>0</v>
      </c>
      <c r="E1399">
        <v>0</v>
      </c>
      <c r="F1399" t="str">
        <f t="shared" si="65"/>
        <v>Lower Risk</v>
      </c>
      <c r="G1399" t="s">
        <v>3</v>
      </c>
      <c r="H1399" t="s">
        <v>4</v>
      </c>
      <c r="I1399" t="s">
        <v>9</v>
      </c>
      <c r="J1399">
        <v>97.89</v>
      </c>
      <c r="K1399">
        <v>38.700000000000003</v>
      </c>
      <c r="L1399" t="s">
        <v>6</v>
      </c>
      <c r="M1399">
        <v>0</v>
      </c>
      <c r="N1399" t="str">
        <f t="shared" si="63"/>
        <v>40–59</v>
      </c>
      <c r="O1399" t="str">
        <f t="shared" si="64"/>
        <v>Obese</v>
      </c>
    </row>
    <row r="1400" spans="1:15" x14ac:dyDescent="0.3">
      <c r="A1400">
        <v>33983</v>
      </c>
      <c r="B1400" t="s">
        <v>2</v>
      </c>
      <c r="C1400">
        <v>75</v>
      </c>
      <c r="D1400">
        <v>0</v>
      </c>
      <c r="E1400">
        <v>0</v>
      </c>
      <c r="F1400" t="str">
        <f t="shared" si="65"/>
        <v>Moderate Risk</v>
      </c>
      <c r="G1400" t="s">
        <v>3</v>
      </c>
      <c r="H1400" t="s">
        <v>15</v>
      </c>
      <c r="I1400" t="s">
        <v>9</v>
      </c>
      <c r="J1400">
        <v>206.33</v>
      </c>
      <c r="K1400">
        <v>26.8</v>
      </c>
      <c r="L1400" t="s">
        <v>11</v>
      </c>
      <c r="M1400">
        <v>0</v>
      </c>
      <c r="N1400" t="str">
        <f t="shared" si="63"/>
        <v>60+</v>
      </c>
      <c r="O1400" t="str">
        <f t="shared" si="64"/>
        <v>Overweight</v>
      </c>
    </row>
    <row r="1401" spans="1:15" x14ac:dyDescent="0.3">
      <c r="A1401">
        <v>35372</v>
      </c>
      <c r="B1401" t="s">
        <v>2</v>
      </c>
      <c r="C1401">
        <v>37</v>
      </c>
      <c r="D1401">
        <v>0</v>
      </c>
      <c r="E1401">
        <v>0</v>
      </c>
      <c r="F1401" t="str">
        <f t="shared" si="65"/>
        <v>Lower Risk</v>
      </c>
      <c r="G1401" t="s">
        <v>3</v>
      </c>
      <c r="H1401" t="s">
        <v>15</v>
      </c>
      <c r="I1401" t="s">
        <v>9</v>
      </c>
      <c r="J1401">
        <v>74.290000000000006</v>
      </c>
      <c r="K1401">
        <v>36.1</v>
      </c>
      <c r="L1401" t="s">
        <v>11</v>
      </c>
      <c r="M1401">
        <v>0</v>
      </c>
      <c r="N1401" t="str">
        <f t="shared" si="63"/>
        <v>Under 40</v>
      </c>
      <c r="O1401" t="str">
        <f t="shared" si="64"/>
        <v>Obese</v>
      </c>
    </row>
    <row r="1402" spans="1:15" x14ac:dyDescent="0.3">
      <c r="A1402">
        <v>31849</v>
      </c>
      <c r="B1402" t="s">
        <v>7</v>
      </c>
      <c r="C1402">
        <v>49</v>
      </c>
      <c r="D1402">
        <v>0</v>
      </c>
      <c r="E1402">
        <v>0</v>
      </c>
      <c r="F1402" t="str">
        <f t="shared" si="65"/>
        <v>Lower Risk</v>
      </c>
      <c r="G1402" t="s">
        <v>3</v>
      </c>
      <c r="H1402" t="s">
        <v>4</v>
      </c>
      <c r="I1402" t="s">
        <v>9</v>
      </c>
      <c r="J1402">
        <v>107.4</v>
      </c>
      <c r="K1402">
        <v>26.7</v>
      </c>
      <c r="L1402" t="s">
        <v>12</v>
      </c>
      <c r="M1402">
        <v>0</v>
      </c>
      <c r="N1402" t="str">
        <f t="shared" si="63"/>
        <v>40–59</v>
      </c>
      <c r="O1402" t="str">
        <f t="shared" si="64"/>
        <v>Overweight</v>
      </c>
    </row>
    <row r="1403" spans="1:15" x14ac:dyDescent="0.3">
      <c r="A1403">
        <v>2772</v>
      </c>
      <c r="B1403" t="s">
        <v>2</v>
      </c>
      <c r="C1403">
        <v>55</v>
      </c>
      <c r="D1403">
        <v>0</v>
      </c>
      <c r="E1403">
        <v>0</v>
      </c>
      <c r="F1403" t="str">
        <f t="shared" si="65"/>
        <v>Lower Risk</v>
      </c>
      <c r="G1403" t="s">
        <v>3</v>
      </c>
      <c r="H1403" t="s">
        <v>4</v>
      </c>
      <c r="I1403" t="s">
        <v>5</v>
      </c>
      <c r="J1403">
        <v>87.72</v>
      </c>
      <c r="K1403">
        <v>27</v>
      </c>
      <c r="L1403" t="s">
        <v>14</v>
      </c>
      <c r="M1403">
        <v>0</v>
      </c>
      <c r="N1403" t="str">
        <f t="shared" si="63"/>
        <v>40–59</v>
      </c>
      <c r="O1403" t="str">
        <f t="shared" si="64"/>
        <v>Overweight</v>
      </c>
    </row>
    <row r="1404" spans="1:15" x14ac:dyDescent="0.3">
      <c r="A1404">
        <v>11148</v>
      </c>
      <c r="B1404" t="s">
        <v>2</v>
      </c>
      <c r="C1404">
        <v>57</v>
      </c>
      <c r="D1404">
        <v>0</v>
      </c>
      <c r="E1404">
        <v>0</v>
      </c>
      <c r="F1404" t="str">
        <f t="shared" si="65"/>
        <v>Lower Risk</v>
      </c>
      <c r="G1404" t="s">
        <v>3</v>
      </c>
      <c r="H1404" t="s">
        <v>4</v>
      </c>
      <c r="I1404" t="s">
        <v>9</v>
      </c>
      <c r="J1404">
        <v>85.99</v>
      </c>
      <c r="K1404">
        <v>21.2</v>
      </c>
      <c r="L1404" t="s">
        <v>14</v>
      </c>
      <c r="M1404">
        <v>0</v>
      </c>
      <c r="N1404" t="str">
        <f t="shared" si="63"/>
        <v>40–59</v>
      </c>
      <c r="O1404" t="str">
        <f t="shared" si="64"/>
        <v>Normal</v>
      </c>
    </row>
    <row r="1405" spans="1:15" x14ac:dyDescent="0.3">
      <c r="A1405">
        <v>62387</v>
      </c>
      <c r="B1405" t="s">
        <v>7</v>
      </c>
      <c r="C1405">
        <v>45</v>
      </c>
      <c r="D1405">
        <v>0</v>
      </c>
      <c r="E1405">
        <v>0</v>
      </c>
      <c r="F1405" t="str">
        <f t="shared" si="65"/>
        <v>Lower Risk</v>
      </c>
      <c r="G1405" t="s">
        <v>3</v>
      </c>
      <c r="H1405" t="s">
        <v>4</v>
      </c>
      <c r="I1405" t="s">
        <v>5</v>
      </c>
      <c r="J1405">
        <v>100.84</v>
      </c>
      <c r="K1405">
        <v>21</v>
      </c>
      <c r="L1405" t="s">
        <v>11</v>
      </c>
      <c r="M1405">
        <v>0</v>
      </c>
      <c r="N1405" t="str">
        <f t="shared" si="63"/>
        <v>40–59</v>
      </c>
      <c r="O1405" t="str">
        <f t="shared" si="64"/>
        <v>Normal</v>
      </c>
    </row>
    <row r="1406" spans="1:15" x14ac:dyDescent="0.3">
      <c r="A1406">
        <v>50775</v>
      </c>
      <c r="B1406" t="s">
        <v>2</v>
      </c>
      <c r="C1406">
        <v>46</v>
      </c>
      <c r="D1406">
        <v>0</v>
      </c>
      <c r="E1406">
        <v>0</v>
      </c>
      <c r="F1406" t="str">
        <f t="shared" si="65"/>
        <v>Lower Risk</v>
      </c>
      <c r="G1406" t="s">
        <v>13</v>
      </c>
      <c r="H1406" t="s">
        <v>4</v>
      </c>
      <c r="I1406" t="s">
        <v>5</v>
      </c>
      <c r="J1406">
        <v>124.61</v>
      </c>
      <c r="K1406">
        <v>37.4</v>
      </c>
      <c r="L1406" t="s">
        <v>14</v>
      </c>
      <c r="M1406">
        <v>0</v>
      </c>
      <c r="N1406" t="str">
        <f t="shared" si="63"/>
        <v>40–59</v>
      </c>
      <c r="O1406" t="str">
        <f t="shared" si="64"/>
        <v>Obese</v>
      </c>
    </row>
    <row r="1407" spans="1:15" x14ac:dyDescent="0.3">
      <c r="A1407">
        <v>3807</v>
      </c>
      <c r="B1407" t="s">
        <v>7</v>
      </c>
      <c r="C1407">
        <v>12</v>
      </c>
      <c r="D1407">
        <v>0</v>
      </c>
      <c r="E1407">
        <v>0</v>
      </c>
      <c r="F1407" t="str">
        <f t="shared" si="65"/>
        <v>Lower Risk</v>
      </c>
      <c r="G1407" t="s">
        <v>13</v>
      </c>
      <c r="H1407" t="s">
        <v>16</v>
      </c>
      <c r="I1407" t="s">
        <v>5</v>
      </c>
      <c r="J1407">
        <v>86.55</v>
      </c>
      <c r="K1407">
        <v>26.5</v>
      </c>
      <c r="L1407" t="s">
        <v>14</v>
      </c>
      <c r="M1407">
        <v>0</v>
      </c>
      <c r="N1407" t="str">
        <f t="shared" si="63"/>
        <v>Under 40</v>
      </c>
      <c r="O1407" t="str">
        <f t="shared" si="64"/>
        <v>Overweight</v>
      </c>
    </row>
    <row r="1408" spans="1:15" x14ac:dyDescent="0.3">
      <c r="A1408">
        <v>51339</v>
      </c>
      <c r="B1408" t="s">
        <v>2</v>
      </c>
      <c r="C1408">
        <v>12</v>
      </c>
      <c r="D1408">
        <v>0</v>
      </c>
      <c r="E1408">
        <v>0</v>
      </c>
      <c r="F1408" t="str">
        <f t="shared" si="65"/>
        <v>Lower Risk</v>
      </c>
      <c r="G1408" t="s">
        <v>13</v>
      </c>
      <c r="H1408" t="s">
        <v>16</v>
      </c>
      <c r="I1408" t="s">
        <v>9</v>
      </c>
      <c r="J1408">
        <v>90.42</v>
      </c>
      <c r="K1408">
        <v>28.9</v>
      </c>
      <c r="L1408" t="s">
        <v>14</v>
      </c>
      <c r="M1408">
        <v>0</v>
      </c>
      <c r="N1408" t="str">
        <f t="shared" si="63"/>
        <v>Under 40</v>
      </c>
      <c r="O1408" t="str">
        <f t="shared" si="64"/>
        <v>Overweight</v>
      </c>
    </row>
    <row r="1409" spans="1:15" x14ac:dyDescent="0.3">
      <c r="A1409">
        <v>69259</v>
      </c>
      <c r="B1409" t="s">
        <v>7</v>
      </c>
      <c r="C1409">
        <v>77</v>
      </c>
      <c r="D1409">
        <v>0</v>
      </c>
      <c r="E1409">
        <v>0</v>
      </c>
      <c r="F1409" t="str">
        <f t="shared" si="65"/>
        <v>Moderate Risk</v>
      </c>
      <c r="G1409" t="s">
        <v>3</v>
      </c>
      <c r="H1409" t="s">
        <v>4</v>
      </c>
      <c r="I1409" t="s">
        <v>9</v>
      </c>
      <c r="J1409">
        <v>100.85</v>
      </c>
      <c r="K1409">
        <v>29.5</v>
      </c>
      <c r="L1409" t="s">
        <v>12</v>
      </c>
      <c r="M1409">
        <v>0</v>
      </c>
      <c r="N1409" t="str">
        <f t="shared" si="63"/>
        <v>60+</v>
      </c>
      <c r="O1409" t="str">
        <f t="shared" si="64"/>
        <v>Overweight</v>
      </c>
    </row>
    <row r="1410" spans="1:15" x14ac:dyDescent="0.3">
      <c r="A1410">
        <v>32826</v>
      </c>
      <c r="B1410" t="s">
        <v>2</v>
      </c>
      <c r="C1410">
        <v>6</v>
      </c>
      <c r="D1410">
        <v>0</v>
      </c>
      <c r="E1410">
        <v>0</v>
      </c>
      <c r="F1410" t="str">
        <f t="shared" si="65"/>
        <v>Lower Risk</v>
      </c>
      <c r="G1410" t="s">
        <v>13</v>
      </c>
      <c r="H1410" t="s">
        <v>16</v>
      </c>
      <c r="I1410" t="s">
        <v>5</v>
      </c>
      <c r="J1410">
        <v>87.74</v>
      </c>
      <c r="K1410">
        <v>17.7</v>
      </c>
      <c r="L1410" t="s">
        <v>14</v>
      </c>
      <c r="M1410">
        <v>0</v>
      </c>
      <c r="N1410" t="str">
        <f t="shared" ref="N1410:N1473" si="66">IF(C1410&lt;40,"Under 40",IF(C1410&lt;60,"40–59","60+"))</f>
        <v>Under 40</v>
      </c>
      <c r="O1410" t="str">
        <f t="shared" ref="O1410:O1473" si="67">IF(K1410="N/A","Unknown",
IF(K1410="","Unknown",
IF(K1410&lt;18.5,"Underweight",
IF(K1410&lt;25,"Normal",
IF(K1410&lt;30,"Overweight","Obese")))))</f>
        <v>Underweight</v>
      </c>
    </row>
    <row r="1411" spans="1:15" x14ac:dyDescent="0.3">
      <c r="A1411">
        <v>12414</v>
      </c>
      <c r="B1411" t="s">
        <v>2</v>
      </c>
      <c r="C1411">
        <v>76</v>
      </c>
      <c r="D1411">
        <v>1</v>
      </c>
      <c r="E1411">
        <v>0</v>
      </c>
      <c r="F1411" t="str">
        <f t="shared" ref="F1411:F1474" si="68">IF(C1411&gt;=60,
IF(OR(D1411=1,E1411=1),"High Risk","Moderate Risk"),
"Lower Risk")</f>
        <v>High Risk</v>
      </c>
      <c r="G1411" t="s">
        <v>3</v>
      </c>
      <c r="H1411" t="s">
        <v>4</v>
      </c>
      <c r="I1411" t="s">
        <v>9</v>
      </c>
      <c r="J1411">
        <v>80.150000000000006</v>
      </c>
      <c r="K1411">
        <v>34.9</v>
      </c>
      <c r="L1411" t="s">
        <v>6</v>
      </c>
      <c r="M1411">
        <v>0</v>
      </c>
      <c r="N1411" t="str">
        <f t="shared" si="66"/>
        <v>60+</v>
      </c>
      <c r="O1411" t="str">
        <f t="shared" si="67"/>
        <v>Obese</v>
      </c>
    </row>
    <row r="1412" spans="1:15" x14ac:dyDescent="0.3">
      <c r="A1412">
        <v>21381</v>
      </c>
      <c r="B1412" t="s">
        <v>7</v>
      </c>
      <c r="C1412">
        <v>52</v>
      </c>
      <c r="D1412">
        <v>0</v>
      </c>
      <c r="E1412">
        <v>0</v>
      </c>
      <c r="F1412" t="str">
        <f t="shared" si="68"/>
        <v>Lower Risk</v>
      </c>
      <c r="G1412" t="s">
        <v>3</v>
      </c>
      <c r="H1412" t="s">
        <v>4</v>
      </c>
      <c r="I1412" t="s">
        <v>5</v>
      </c>
      <c r="J1412">
        <v>107.29</v>
      </c>
      <c r="K1412">
        <v>28.1</v>
      </c>
      <c r="L1412" t="s">
        <v>11</v>
      </c>
      <c r="M1412">
        <v>0</v>
      </c>
      <c r="N1412" t="str">
        <f t="shared" si="66"/>
        <v>40–59</v>
      </c>
      <c r="O1412" t="str">
        <f t="shared" si="67"/>
        <v>Overweight</v>
      </c>
    </row>
    <row r="1413" spans="1:15" x14ac:dyDescent="0.3">
      <c r="A1413">
        <v>29375</v>
      </c>
      <c r="B1413" t="s">
        <v>2</v>
      </c>
      <c r="C1413">
        <v>62</v>
      </c>
      <c r="D1413">
        <v>0</v>
      </c>
      <c r="E1413">
        <v>0</v>
      </c>
      <c r="F1413" t="str">
        <f t="shared" si="68"/>
        <v>Moderate Risk</v>
      </c>
      <c r="G1413" t="s">
        <v>3</v>
      </c>
      <c r="H1413" t="s">
        <v>4</v>
      </c>
      <c r="I1413" t="s">
        <v>5</v>
      </c>
      <c r="J1413">
        <v>206.98</v>
      </c>
      <c r="K1413">
        <v>36.799999999999997</v>
      </c>
      <c r="L1413" t="s">
        <v>12</v>
      </c>
      <c r="M1413">
        <v>0</v>
      </c>
      <c r="N1413" t="str">
        <f t="shared" si="66"/>
        <v>60+</v>
      </c>
      <c r="O1413" t="str">
        <f t="shared" si="67"/>
        <v>Obese</v>
      </c>
    </row>
    <row r="1414" spans="1:15" x14ac:dyDescent="0.3">
      <c r="A1414">
        <v>62452</v>
      </c>
      <c r="B1414" t="s">
        <v>2</v>
      </c>
      <c r="C1414">
        <v>82</v>
      </c>
      <c r="D1414">
        <v>1</v>
      </c>
      <c r="E1414">
        <v>0</v>
      </c>
      <c r="F1414" t="str">
        <f t="shared" si="68"/>
        <v>High Risk</v>
      </c>
      <c r="G1414" t="s">
        <v>3</v>
      </c>
      <c r="H1414" t="s">
        <v>4</v>
      </c>
      <c r="I1414" t="s">
        <v>9</v>
      </c>
      <c r="J1414">
        <v>227.28</v>
      </c>
      <c r="K1414">
        <v>33.299999999999997</v>
      </c>
      <c r="L1414" t="s">
        <v>11</v>
      </c>
      <c r="M1414">
        <v>0</v>
      </c>
      <c r="N1414" t="str">
        <f t="shared" si="66"/>
        <v>60+</v>
      </c>
      <c r="O1414" t="str">
        <f t="shared" si="67"/>
        <v>Obese</v>
      </c>
    </row>
    <row r="1415" spans="1:15" x14ac:dyDescent="0.3">
      <c r="A1415">
        <v>68650</v>
      </c>
      <c r="B1415" t="s">
        <v>2</v>
      </c>
      <c r="C1415">
        <v>69</v>
      </c>
      <c r="D1415">
        <v>0</v>
      </c>
      <c r="E1415">
        <v>1</v>
      </c>
      <c r="F1415" t="str">
        <f t="shared" si="68"/>
        <v>High Risk</v>
      </c>
      <c r="G1415" t="s">
        <v>3</v>
      </c>
      <c r="H1415" t="s">
        <v>4</v>
      </c>
      <c r="I1415" t="s">
        <v>9</v>
      </c>
      <c r="J1415">
        <v>80.430000000000007</v>
      </c>
      <c r="K1415">
        <v>29.2</v>
      </c>
      <c r="L1415" t="s">
        <v>14</v>
      </c>
      <c r="M1415">
        <v>0</v>
      </c>
      <c r="N1415" t="str">
        <f t="shared" si="66"/>
        <v>60+</v>
      </c>
      <c r="O1415" t="str">
        <f t="shared" si="67"/>
        <v>Overweight</v>
      </c>
    </row>
    <row r="1416" spans="1:15" x14ac:dyDescent="0.3">
      <c r="A1416">
        <v>47622</v>
      </c>
      <c r="B1416" t="s">
        <v>2</v>
      </c>
      <c r="C1416">
        <v>78</v>
      </c>
      <c r="D1416">
        <v>0</v>
      </c>
      <c r="E1416">
        <v>1</v>
      </c>
      <c r="F1416" t="str">
        <f t="shared" si="68"/>
        <v>High Risk</v>
      </c>
      <c r="G1416" t="s">
        <v>3</v>
      </c>
      <c r="H1416" t="s">
        <v>8</v>
      </c>
      <c r="I1416" t="s">
        <v>5</v>
      </c>
      <c r="J1416">
        <v>228.7</v>
      </c>
      <c r="K1416">
        <v>34</v>
      </c>
      <c r="L1416" t="s">
        <v>14</v>
      </c>
      <c r="M1416">
        <v>0</v>
      </c>
      <c r="N1416" t="str">
        <f t="shared" si="66"/>
        <v>60+</v>
      </c>
      <c r="O1416" t="str">
        <f t="shared" si="67"/>
        <v>Obese</v>
      </c>
    </row>
    <row r="1417" spans="1:15" x14ac:dyDescent="0.3">
      <c r="A1417">
        <v>57124</v>
      </c>
      <c r="B1417" t="s">
        <v>2</v>
      </c>
      <c r="C1417">
        <v>37</v>
      </c>
      <c r="D1417">
        <v>0</v>
      </c>
      <c r="E1417">
        <v>0</v>
      </c>
      <c r="F1417" t="str">
        <f t="shared" si="68"/>
        <v>Lower Risk</v>
      </c>
      <c r="G1417" t="s">
        <v>3</v>
      </c>
      <c r="H1417" t="s">
        <v>4</v>
      </c>
      <c r="I1417" t="s">
        <v>5</v>
      </c>
      <c r="J1417">
        <v>120.07</v>
      </c>
      <c r="K1417">
        <v>33.9</v>
      </c>
      <c r="L1417" t="s">
        <v>12</v>
      </c>
      <c r="M1417">
        <v>0</v>
      </c>
      <c r="N1417" t="str">
        <f t="shared" si="66"/>
        <v>Under 40</v>
      </c>
      <c r="O1417" t="str">
        <f t="shared" si="67"/>
        <v>Obese</v>
      </c>
    </row>
    <row r="1418" spans="1:15" x14ac:dyDescent="0.3">
      <c r="A1418">
        <v>19382</v>
      </c>
      <c r="B1418" t="s">
        <v>7</v>
      </c>
      <c r="C1418">
        <v>50</v>
      </c>
      <c r="D1418">
        <v>0</v>
      </c>
      <c r="E1418">
        <v>0</v>
      </c>
      <c r="F1418" t="str">
        <f t="shared" si="68"/>
        <v>Lower Risk</v>
      </c>
      <c r="G1418" t="s">
        <v>3</v>
      </c>
      <c r="H1418" t="s">
        <v>4</v>
      </c>
      <c r="I1418" t="s">
        <v>9</v>
      </c>
      <c r="J1418">
        <v>93.47</v>
      </c>
      <c r="K1418">
        <v>28.7</v>
      </c>
      <c r="L1418" t="s">
        <v>11</v>
      </c>
      <c r="M1418">
        <v>0</v>
      </c>
      <c r="N1418" t="str">
        <f t="shared" si="66"/>
        <v>40–59</v>
      </c>
      <c r="O1418" t="str">
        <f t="shared" si="67"/>
        <v>Overweight</v>
      </c>
    </row>
    <row r="1419" spans="1:15" x14ac:dyDescent="0.3">
      <c r="A1419">
        <v>44179</v>
      </c>
      <c r="B1419" t="s">
        <v>7</v>
      </c>
      <c r="C1419">
        <v>41</v>
      </c>
      <c r="D1419">
        <v>0</v>
      </c>
      <c r="E1419">
        <v>0</v>
      </c>
      <c r="F1419" t="str">
        <f t="shared" si="68"/>
        <v>Lower Risk</v>
      </c>
      <c r="G1419" t="s">
        <v>3</v>
      </c>
      <c r="H1419" t="s">
        <v>4</v>
      </c>
      <c r="I1419" t="s">
        <v>5</v>
      </c>
      <c r="J1419">
        <v>80.77</v>
      </c>
      <c r="K1419">
        <v>21.1</v>
      </c>
      <c r="L1419" t="s">
        <v>11</v>
      </c>
      <c r="M1419">
        <v>0</v>
      </c>
      <c r="N1419" t="str">
        <f t="shared" si="66"/>
        <v>40–59</v>
      </c>
      <c r="O1419" t="str">
        <f t="shared" si="67"/>
        <v>Normal</v>
      </c>
    </row>
    <row r="1420" spans="1:15" x14ac:dyDescent="0.3">
      <c r="A1420">
        <v>50098</v>
      </c>
      <c r="B1420" t="s">
        <v>2</v>
      </c>
      <c r="C1420">
        <v>54</v>
      </c>
      <c r="D1420">
        <v>0</v>
      </c>
      <c r="E1420">
        <v>0</v>
      </c>
      <c r="F1420" t="str">
        <f t="shared" si="68"/>
        <v>Lower Risk</v>
      </c>
      <c r="G1420" t="s">
        <v>3</v>
      </c>
      <c r="H1420" t="s">
        <v>4</v>
      </c>
      <c r="I1420" t="s">
        <v>9</v>
      </c>
      <c r="J1420">
        <v>150.27000000000001</v>
      </c>
      <c r="K1420">
        <v>38.200000000000003</v>
      </c>
      <c r="L1420" t="s">
        <v>12</v>
      </c>
      <c r="M1420">
        <v>0</v>
      </c>
      <c r="N1420" t="str">
        <f t="shared" si="66"/>
        <v>40–59</v>
      </c>
      <c r="O1420" t="str">
        <f t="shared" si="67"/>
        <v>Obese</v>
      </c>
    </row>
    <row r="1421" spans="1:15" x14ac:dyDescent="0.3">
      <c r="A1421">
        <v>24674</v>
      </c>
      <c r="B1421" t="s">
        <v>2</v>
      </c>
      <c r="C1421">
        <v>43</v>
      </c>
      <c r="D1421">
        <v>0</v>
      </c>
      <c r="E1421">
        <v>0</v>
      </c>
      <c r="F1421" t="str">
        <f t="shared" si="68"/>
        <v>Lower Risk</v>
      </c>
      <c r="G1421" t="s">
        <v>3</v>
      </c>
      <c r="H1421" t="s">
        <v>4</v>
      </c>
      <c r="I1421" t="s">
        <v>5</v>
      </c>
      <c r="J1421">
        <v>81.94</v>
      </c>
      <c r="K1421">
        <v>27.7</v>
      </c>
      <c r="L1421" t="s">
        <v>12</v>
      </c>
      <c r="M1421">
        <v>0</v>
      </c>
      <c r="N1421" t="str">
        <f t="shared" si="66"/>
        <v>40–59</v>
      </c>
      <c r="O1421" t="str">
        <f t="shared" si="67"/>
        <v>Overweight</v>
      </c>
    </row>
    <row r="1422" spans="1:15" x14ac:dyDescent="0.3">
      <c r="A1422">
        <v>72361</v>
      </c>
      <c r="B1422" t="s">
        <v>7</v>
      </c>
      <c r="C1422">
        <v>37</v>
      </c>
      <c r="D1422">
        <v>0</v>
      </c>
      <c r="E1422">
        <v>0</v>
      </c>
      <c r="F1422" t="str">
        <f t="shared" si="68"/>
        <v>Lower Risk</v>
      </c>
      <c r="G1422" t="s">
        <v>3</v>
      </c>
      <c r="H1422" t="s">
        <v>4</v>
      </c>
      <c r="I1422" t="s">
        <v>5</v>
      </c>
      <c r="J1422">
        <v>70.75</v>
      </c>
      <c r="K1422">
        <v>35.799999999999997</v>
      </c>
      <c r="L1422" t="s">
        <v>14</v>
      </c>
      <c r="M1422">
        <v>0</v>
      </c>
      <c r="N1422" t="str">
        <f t="shared" si="66"/>
        <v>Under 40</v>
      </c>
      <c r="O1422" t="str">
        <f t="shared" si="67"/>
        <v>Obese</v>
      </c>
    </row>
    <row r="1423" spans="1:15" x14ac:dyDescent="0.3">
      <c r="A1423">
        <v>14563</v>
      </c>
      <c r="B1423" t="s">
        <v>2</v>
      </c>
      <c r="C1423">
        <v>9</v>
      </c>
      <c r="D1423">
        <v>0</v>
      </c>
      <c r="E1423">
        <v>0</v>
      </c>
      <c r="F1423" t="str">
        <f t="shared" si="68"/>
        <v>Lower Risk</v>
      </c>
      <c r="G1423" t="s">
        <v>13</v>
      </c>
      <c r="H1423" t="s">
        <v>16</v>
      </c>
      <c r="I1423" t="s">
        <v>5</v>
      </c>
      <c r="J1423">
        <v>83.83</v>
      </c>
      <c r="K1423">
        <v>27.1</v>
      </c>
      <c r="L1423" t="s">
        <v>14</v>
      </c>
      <c r="M1423">
        <v>0</v>
      </c>
      <c r="N1423" t="str">
        <f t="shared" si="66"/>
        <v>Under 40</v>
      </c>
      <c r="O1423" t="str">
        <f t="shared" si="67"/>
        <v>Overweight</v>
      </c>
    </row>
    <row r="1424" spans="1:15" x14ac:dyDescent="0.3">
      <c r="A1424">
        <v>40237</v>
      </c>
      <c r="B1424" t="s">
        <v>7</v>
      </c>
      <c r="C1424">
        <v>11</v>
      </c>
      <c r="D1424">
        <v>0</v>
      </c>
      <c r="E1424">
        <v>0</v>
      </c>
      <c r="F1424" t="str">
        <f t="shared" si="68"/>
        <v>Lower Risk</v>
      </c>
      <c r="G1424" t="s">
        <v>13</v>
      </c>
      <c r="H1424" t="s">
        <v>16</v>
      </c>
      <c r="I1424" t="s">
        <v>5</v>
      </c>
      <c r="J1424">
        <v>73.66</v>
      </c>
      <c r="K1424">
        <v>20.5</v>
      </c>
      <c r="L1424" t="s">
        <v>11</v>
      </c>
      <c r="M1424">
        <v>0</v>
      </c>
      <c r="N1424" t="str">
        <f t="shared" si="66"/>
        <v>Under 40</v>
      </c>
      <c r="O1424" t="str">
        <f t="shared" si="67"/>
        <v>Normal</v>
      </c>
    </row>
    <row r="1425" spans="1:15" x14ac:dyDescent="0.3">
      <c r="A1425">
        <v>36523</v>
      </c>
      <c r="B1425" t="s">
        <v>2</v>
      </c>
      <c r="C1425">
        <v>56</v>
      </c>
      <c r="D1425">
        <v>1</v>
      </c>
      <c r="E1425">
        <v>0</v>
      </c>
      <c r="F1425" t="str">
        <f t="shared" si="68"/>
        <v>Lower Risk</v>
      </c>
      <c r="G1425" t="s">
        <v>3</v>
      </c>
      <c r="H1425" t="s">
        <v>4</v>
      </c>
      <c r="I1425" t="s">
        <v>5</v>
      </c>
      <c r="J1425">
        <v>102.37</v>
      </c>
      <c r="K1425">
        <v>35.6</v>
      </c>
      <c r="L1425" t="s">
        <v>11</v>
      </c>
      <c r="M1425">
        <v>0</v>
      </c>
      <c r="N1425" t="str">
        <f t="shared" si="66"/>
        <v>40–59</v>
      </c>
      <c r="O1425" t="str">
        <f t="shared" si="67"/>
        <v>Obese</v>
      </c>
    </row>
    <row r="1426" spans="1:15" x14ac:dyDescent="0.3">
      <c r="A1426">
        <v>65970</v>
      </c>
      <c r="B1426" t="s">
        <v>7</v>
      </c>
      <c r="C1426">
        <v>5</v>
      </c>
      <c r="D1426">
        <v>0</v>
      </c>
      <c r="E1426">
        <v>0</v>
      </c>
      <c r="F1426" t="str">
        <f t="shared" si="68"/>
        <v>Lower Risk</v>
      </c>
      <c r="G1426" t="s">
        <v>13</v>
      </c>
      <c r="H1426" t="s">
        <v>16</v>
      </c>
      <c r="I1426" t="s">
        <v>9</v>
      </c>
      <c r="J1426">
        <v>77.83</v>
      </c>
      <c r="K1426">
        <v>15.6</v>
      </c>
      <c r="L1426" t="s">
        <v>14</v>
      </c>
      <c r="M1426">
        <v>0</v>
      </c>
      <c r="N1426" t="str">
        <f t="shared" si="66"/>
        <v>Under 40</v>
      </c>
      <c r="O1426" t="str">
        <f t="shared" si="67"/>
        <v>Underweight</v>
      </c>
    </row>
    <row r="1427" spans="1:15" x14ac:dyDescent="0.3">
      <c r="A1427">
        <v>1577</v>
      </c>
      <c r="B1427" t="s">
        <v>7</v>
      </c>
      <c r="C1427">
        <v>17</v>
      </c>
      <c r="D1427">
        <v>0</v>
      </c>
      <c r="E1427">
        <v>0</v>
      </c>
      <c r="F1427" t="str">
        <f t="shared" si="68"/>
        <v>Lower Risk</v>
      </c>
      <c r="G1427" t="s">
        <v>13</v>
      </c>
      <c r="H1427" t="s">
        <v>4</v>
      </c>
      <c r="I1427" t="s">
        <v>5</v>
      </c>
      <c r="J1427">
        <v>70.010000000000005</v>
      </c>
      <c r="K1427">
        <v>43</v>
      </c>
      <c r="L1427" t="s">
        <v>14</v>
      </c>
      <c r="M1427">
        <v>0</v>
      </c>
      <c r="N1427" t="str">
        <f t="shared" si="66"/>
        <v>Under 40</v>
      </c>
      <c r="O1427" t="str">
        <f t="shared" si="67"/>
        <v>Obese</v>
      </c>
    </row>
    <row r="1428" spans="1:15" x14ac:dyDescent="0.3">
      <c r="A1428">
        <v>51109</v>
      </c>
      <c r="B1428" t="s">
        <v>7</v>
      </c>
      <c r="C1428">
        <v>6</v>
      </c>
      <c r="D1428">
        <v>0</v>
      </c>
      <c r="E1428">
        <v>0</v>
      </c>
      <c r="F1428" t="str">
        <f t="shared" si="68"/>
        <v>Lower Risk</v>
      </c>
      <c r="G1428" t="s">
        <v>13</v>
      </c>
      <c r="H1428" t="s">
        <v>16</v>
      </c>
      <c r="I1428" t="s">
        <v>9</v>
      </c>
      <c r="J1428">
        <v>119.88</v>
      </c>
      <c r="K1428">
        <v>17.8</v>
      </c>
      <c r="L1428" t="s">
        <v>14</v>
      </c>
      <c r="M1428">
        <v>0</v>
      </c>
      <c r="N1428" t="str">
        <f t="shared" si="66"/>
        <v>Under 40</v>
      </c>
      <c r="O1428" t="str">
        <f t="shared" si="67"/>
        <v>Underweight</v>
      </c>
    </row>
    <row r="1429" spans="1:15" x14ac:dyDescent="0.3">
      <c r="A1429">
        <v>5984</v>
      </c>
      <c r="B1429" t="s">
        <v>2</v>
      </c>
      <c r="C1429">
        <v>25</v>
      </c>
      <c r="D1429">
        <v>0</v>
      </c>
      <c r="E1429">
        <v>0</v>
      </c>
      <c r="F1429" t="str">
        <f t="shared" si="68"/>
        <v>Lower Risk</v>
      </c>
      <c r="G1429" t="s">
        <v>3</v>
      </c>
      <c r="H1429" t="s">
        <v>4</v>
      </c>
      <c r="I1429" t="s">
        <v>9</v>
      </c>
      <c r="J1429">
        <v>78.290000000000006</v>
      </c>
      <c r="K1429" t="s">
        <v>10</v>
      </c>
      <c r="L1429" t="s">
        <v>12</v>
      </c>
      <c r="M1429">
        <v>0</v>
      </c>
      <c r="N1429" t="str">
        <f t="shared" si="66"/>
        <v>Under 40</v>
      </c>
      <c r="O1429" t="str">
        <f t="shared" si="67"/>
        <v>Unknown</v>
      </c>
    </row>
    <row r="1430" spans="1:15" x14ac:dyDescent="0.3">
      <c r="A1430">
        <v>46373</v>
      </c>
      <c r="B1430" t="s">
        <v>7</v>
      </c>
      <c r="C1430">
        <v>57</v>
      </c>
      <c r="D1430">
        <v>0</v>
      </c>
      <c r="E1430">
        <v>0</v>
      </c>
      <c r="F1430" t="str">
        <f t="shared" si="68"/>
        <v>Lower Risk</v>
      </c>
      <c r="G1430" t="s">
        <v>3</v>
      </c>
      <c r="H1430" t="s">
        <v>4</v>
      </c>
      <c r="I1430" t="s">
        <v>9</v>
      </c>
      <c r="J1430">
        <v>169.97</v>
      </c>
      <c r="K1430">
        <v>25.8</v>
      </c>
      <c r="L1430" t="s">
        <v>11</v>
      </c>
      <c r="M1430">
        <v>0</v>
      </c>
      <c r="N1430" t="str">
        <f t="shared" si="66"/>
        <v>40–59</v>
      </c>
      <c r="O1430" t="str">
        <f t="shared" si="67"/>
        <v>Overweight</v>
      </c>
    </row>
    <row r="1431" spans="1:15" x14ac:dyDescent="0.3">
      <c r="A1431">
        <v>13062</v>
      </c>
      <c r="B1431" t="s">
        <v>2</v>
      </c>
      <c r="C1431">
        <v>18</v>
      </c>
      <c r="D1431">
        <v>0</v>
      </c>
      <c r="E1431">
        <v>0</v>
      </c>
      <c r="F1431" t="str">
        <f t="shared" si="68"/>
        <v>Lower Risk</v>
      </c>
      <c r="G1431" t="s">
        <v>13</v>
      </c>
      <c r="H1431" t="s">
        <v>4</v>
      </c>
      <c r="I1431" t="s">
        <v>9</v>
      </c>
      <c r="J1431">
        <v>123.79</v>
      </c>
      <c r="K1431">
        <v>20.5</v>
      </c>
      <c r="L1431" t="s">
        <v>14</v>
      </c>
      <c r="M1431">
        <v>0</v>
      </c>
      <c r="N1431" t="str">
        <f t="shared" si="66"/>
        <v>Under 40</v>
      </c>
      <c r="O1431" t="str">
        <f t="shared" si="67"/>
        <v>Normal</v>
      </c>
    </row>
    <row r="1432" spans="1:15" x14ac:dyDescent="0.3">
      <c r="A1432">
        <v>47770</v>
      </c>
      <c r="B1432" t="s">
        <v>2</v>
      </c>
      <c r="C1432">
        <v>2</v>
      </c>
      <c r="D1432">
        <v>0</v>
      </c>
      <c r="E1432">
        <v>0</v>
      </c>
      <c r="F1432" t="str">
        <f t="shared" si="68"/>
        <v>Lower Risk</v>
      </c>
      <c r="G1432" t="s">
        <v>13</v>
      </c>
      <c r="H1432" t="s">
        <v>16</v>
      </c>
      <c r="I1432" t="s">
        <v>5</v>
      </c>
      <c r="J1432">
        <v>80.98</v>
      </c>
      <c r="K1432">
        <v>19.899999999999999</v>
      </c>
      <c r="L1432" t="s">
        <v>14</v>
      </c>
      <c r="M1432">
        <v>0</v>
      </c>
      <c r="N1432" t="str">
        <f t="shared" si="66"/>
        <v>Under 40</v>
      </c>
      <c r="O1432" t="str">
        <f t="shared" si="67"/>
        <v>Normal</v>
      </c>
    </row>
    <row r="1433" spans="1:15" x14ac:dyDescent="0.3">
      <c r="A1433">
        <v>32459</v>
      </c>
      <c r="B1433" t="s">
        <v>7</v>
      </c>
      <c r="C1433">
        <v>76</v>
      </c>
      <c r="D1433">
        <v>0</v>
      </c>
      <c r="E1433">
        <v>0</v>
      </c>
      <c r="F1433" t="str">
        <f t="shared" si="68"/>
        <v>Moderate Risk</v>
      </c>
      <c r="G1433" t="s">
        <v>3</v>
      </c>
      <c r="H1433" t="s">
        <v>15</v>
      </c>
      <c r="I1433" t="s">
        <v>9</v>
      </c>
      <c r="J1433">
        <v>84.21</v>
      </c>
      <c r="K1433">
        <v>24.4</v>
      </c>
      <c r="L1433" t="s">
        <v>11</v>
      </c>
      <c r="M1433">
        <v>0</v>
      </c>
      <c r="N1433" t="str">
        <f t="shared" si="66"/>
        <v>60+</v>
      </c>
      <c r="O1433" t="str">
        <f t="shared" si="67"/>
        <v>Normal</v>
      </c>
    </row>
    <row r="1434" spans="1:15" x14ac:dyDescent="0.3">
      <c r="A1434">
        <v>12687</v>
      </c>
      <c r="B1434" t="s">
        <v>2</v>
      </c>
      <c r="C1434">
        <v>1</v>
      </c>
      <c r="D1434">
        <v>0</v>
      </c>
      <c r="E1434">
        <v>0</v>
      </c>
      <c r="F1434" t="str">
        <f t="shared" si="68"/>
        <v>Lower Risk</v>
      </c>
      <c r="G1434" t="s">
        <v>13</v>
      </c>
      <c r="H1434" t="s">
        <v>16</v>
      </c>
      <c r="I1434" t="s">
        <v>5</v>
      </c>
      <c r="J1434">
        <v>101.31</v>
      </c>
      <c r="K1434">
        <v>18.3</v>
      </c>
      <c r="L1434" t="s">
        <v>14</v>
      </c>
      <c r="M1434">
        <v>0</v>
      </c>
      <c r="N1434" t="str">
        <f t="shared" si="66"/>
        <v>Under 40</v>
      </c>
      <c r="O1434" t="str">
        <f t="shared" si="67"/>
        <v>Underweight</v>
      </c>
    </row>
    <row r="1435" spans="1:15" x14ac:dyDescent="0.3">
      <c r="A1435">
        <v>7725</v>
      </c>
      <c r="B1435" t="s">
        <v>2</v>
      </c>
      <c r="C1435">
        <v>54</v>
      </c>
      <c r="D1435">
        <v>0</v>
      </c>
      <c r="E1435">
        <v>0</v>
      </c>
      <c r="F1435" t="str">
        <f t="shared" si="68"/>
        <v>Lower Risk</v>
      </c>
      <c r="G1435" t="s">
        <v>3</v>
      </c>
      <c r="H1435" t="s">
        <v>4</v>
      </c>
      <c r="I1435" t="s">
        <v>5</v>
      </c>
      <c r="J1435">
        <v>86.26</v>
      </c>
      <c r="K1435">
        <v>35.1</v>
      </c>
      <c r="L1435" t="s">
        <v>6</v>
      </c>
      <c r="M1435">
        <v>0</v>
      </c>
      <c r="N1435" t="str">
        <f t="shared" si="66"/>
        <v>40–59</v>
      </c>
      <c r="O1435" t="str">
        <f t="shared" si="67"/>
        <v>Obese</v>
      </c>
    </row>
    <row r="1436" spans="1:15" x14ac:dyDescent="0.3">
      <c r="A1436">
        <v>67217</v>
      </c>
      <c r="B1436" t="s">
        <v>7</v>
      </c>
      <c r="C1436">
        <v>45</v>
      </c>
      <c r="D1436">
        <v>0</v>
      </c>
      <c r="E1436">
        <v>0</v>
      </c>
      <c r="F1436" t="str">
        <f t="shared" si="68"/>
        <v>Lower Risk</v>
      </c>
      <c r="G1436" t="s">
        <v>3</v>
      </c>
      <c r="H1436" t="s">
        <v>4</v>
      </c>
      <c r="I1436" t="s">
        <v>5</v>
      </c>
      <c r="J1436">
        <v>92.86</v>
      </c>
      <c r="K1436">
        <v>35.1</v>
      </c>
      <c r="L1436" t="s">
        <v>6</v>
      </c>
      <c r="M1436">
        <v>0</v>
      </c>
      <c r="N1436" t="str">
        <f t="shared" si="66"/>
        <v>40–59</v>
      </c>
      <c r="O1436" t="str">
        <f t="shared" si="67"/>
        <v>Obese</v>
      </c>
    </row>
    <row r="1437" spans="1:15" x14ac:dyDescent="0.3">
      <c r="A1437">
        <v>49976</v>
      </c>
      <c r="B1437" t="s">
        <v>7</v>
      </c>
      <c r="C1437">
        <v>54</v>
      </c>
      <c r="D1437">
        <v>0</v>
      </c>
      <c r="E1437">
        <v>1</v>
      </c>
      <c r="F1437" t="str">
        <f t="shared" si="68"/>
        <v>Lower Risk</v>
      </c>
      <c r="G1437" t="s">
        <v>3</v>
      </c>
      <c r="H1437" t="s">
        <v>4</v>
      </c>
      <c r="I1437" t="s">
        <v>5</v>
      </c>
      <c r="J1437">
        <v>140.28</v>
      </c>
      <c r="K1437">
        <v>37.1</v>
      </c>
      <c r="L1437" t="s">
        <v>6</v>
      </c>
      <c r="M1437">
        <v>0</v>
      </c>
      <c r="N1437" t="str">
        <f t="shared" si="66"/>
        <v>40–59</v>
      </c>
      <c r="O1437" t="str">
        <f t="shared" si="67"/>
        <v>Obese</v>
      </c>
    </row>
    <row r="1438" spans="1:15" x14ac:dyDescent="0.3">
      <c r="A1438">
        <v>71318</v>
      </c>
      <c r="B1438" t="s">
        <v>2</v>
      </c>
      <c r="C1438">
        <v>67</v>
      </c>
      <c r="D1438">
        <v>0</v>
      </c>
      <c r="E1438">
        <v>0</v>
      </c>
      <c r="F1438" t="str">
        <f t="shared" si="68"/>
        <v>Moderate Risk</v>
      </c>
      <c r="G1438" t="s">
        <v>3</v>
      </c>
      <c r="H1438" t="s">
        <v>15</v>
      </c>
      <c r="I1438" t="s">
        <v>9</v>
      </c>
      <c r="J1438">
        <v>244.28</v>
      </c>
      <c r="K1438">
        <v>29.4</v>
      </c>
      <c r="L1438" t="s">
        <v>6</v>
      </c>
      <c r="M1438">
        <v>0</v>
      </c>
      <c r="N1438" t="str">
        <f t="shared" si="66"/>
        <v>60+</v>
      </c>
      <c r="O1438" t="str">
        <f t="shared" si="67"/>
        <v>Overweight</v>
      </c>
    </row>
    <row r="1439" spans="1:15" x14ac:dyDescent="0.3">
      <c r="A1439">
        <v>42201</v>
      </c>
      <c r="B1439" t="s">
        <v>2</v>
      </c>
      <c r="C1439">
        <v>53</v>
      </c>
      <c r="D1439">
        <v>0</v>
      </c>
      <c r="E1439">
        <v>0</v>
      </c>
      <c r="F1439" t="str">
        <f t="shared" si="68"/>
        <v>Lower Risk</v>
      </c>
      <c r="G1439" t="s">
        <v>3</v>
      </c>
      <c r="H1439" t="s">
        <v>4</v>
      </c>
      <c r="I1439" t="s">
        <v>5</v>
      </c>
      <c r="J1439">
        <v>124.16</v>
      </c>
      <c r="K1439">
        <v>31.7</v>
      </c>
      <c r="L1439" t="s">
        <v>11</v>
      </c>
      <c r="M1439">
        <v>0</v>
      </c>
      <c r="N1439" t="str">
        <f t="shared" si="66"/>
        <v>40–59</v>
      </c>
      <c r="O1439" t="str">
        <f t="shared" si="67"/>
        <v>Obese</v>
      </c>
    </row>
    <row r="1440" spans="1:15" x14ac:dyDescent="0.3">
      <c r="A1440">
        <v>11232</v>
      </c>
      <c r="B1440" t="s">
        <v>2</v>
      </c>
      <c r="C1440">
        <v>47</v>
      </c>
      <c r="D1440">
        <v>0</v>
      </c>
      <c r="E1440">
        <v>0</v>
      </c>
      <c r="F1440" t="str">
        <f t="shared" si="68"/>
        <v>Lower Risk</v>
      </c>
      <c r="G1440" t="s">
        <v>3</v>
      </c>
      <c r="H1440" t="s">
        <v>4</v>
      </c>
      <c r="I1440" t="s">
        <v>9</v>
      </c>
      <c r="J1440">
        <v>93.55</v>
      </c>
      <c r="K1440">
        <v>31.4</v>
      </c>
      <c r="L1440" t="s">
        <v>11</v>
      </c>
      <c r="M1440">
        <v>0</v>
      </c>
      <c r="N1440" t="str">
        <f t="shared" si="66"/>
        <v>40–59</v>
      </c>
      <c r="O1440" t="str">
        <f t="shared" si="67"/>
        <v>Obese</v>
      </c>
    </row>
    <row r="1441" spans="1:15" x14ac:dyDescent="0.3">
      <c r="A1441">
        <v>14709</v>
      </c>
      <c r="B1441" t="s">
        <v>2</v>
      </c>
      <c r="C1441">
        <v>44</v>
      </c>
      <c r="D1441">
        <v>0</v>
      </c>
      <c r="E1441">
        <v>0</v>
      </c>
      <c r="F1441" t="str">
        <f t="shared" si="68"/>
        <v>Lower Risk</v>
      </c>
      <c r="G1441" t="s">
        <v>3</v>
      </c>
      <c r="H1441" t="s">
        <v>4</v>
      </c>
      <c r="I1441" t="s">
        <v>5</v>
      </c>
      <c r="J1441">
        <v>99.34</v>
      </c>
      <c r="K1441">
        <v>33.1</v>
      </c>
      <c r="L1441" t="s">
        <v>11</v>
      </c>
      <c r="M1441">
        <v>0</v>
      </c>
      <c r="N1441" t="str">
        <f t="shared" si="66"/>
        <v>40–59</v>
      </c>
      <c r="O1441" t="str">
        <f t="shared" si="67"/>
        <v>Obese</v>
      </c>
    </row>
    <row r="1442" spans="1:15" x14ac:dyDescent="0.3">
      <c r="A1442">
        <v>57137</v>
      </c>
      <c r="B1442" t="s">
        <v>2</v>
      </c>
      <c r="C1442">
        <v>65</v>
      </c>
      <c r="D1442">
        <v>0</v>
      </c>
      <c r="E1442">
        <v>0</v>
      </c>
      <c r="F1442" t="str">
        <f t="shared" si="68"/>
        <v>Moderate Risk</v>
      </c>
      <c r="G1442" t="s">
        <v>3</v>
      </c>
      <c r="H1442" t="s">
        <v>4</v>
      </c>
      <c r="I1442" t="s">
        <v>5</v>
      </c>
      <c r="J1442">
        <v>59.87</v>
      </c>
      <c r="K1442">
        <v>28.5</v>
      </c>
      <c r="L1442" t="s">
        <v>12</v>
      </c>
      <c r="M1442">
        <v>0</v>
      </c>
      <c r="N1442" t="str">
        <f t="shared" si="66"/>
        <v>60+</v>
      </c>
      <c r="O1442" t="str">
        <f t="shared" si="67"/>
        <v>Overweight</v>
      </c>
    </row>
    <row r="1443" spans="1:15" x14ac:dyDescent="0.3">
      <c r="A1443">
        <v>36858</v>
      </c>
      <c r="B1443" t="s">
        <v>7</v>
      </c>
      <c r="C1443">
        <v>40</v>
      </c>
      <c r="D1443">
        <v>0</v>
      </c>
      <c r="E1443">
        <v>0</v>
      </c>
      <c r="F1443" t="str">
        <f t="shared" si="68"/>
        <v>Lower Risk</v>
      </c>
      <c r="G1443" t="s">
        <v>3</v>
      </c>
      <c r="H1443" t="s">
        <v>4</v>
      </c>
      <c r="I1443" t="s">
        <v>9</v>
      </c>
      <c r="J1443">
        <v>72.760000000000005</v>
      </c>
      <c r="K1443">
        <v>24</v>
      </c>
      <c r="L1443" t="s">
        <v>6</v>
      </c>
      <c r="M1443">
        <v>0</v>
      </c>
      <c r="N1443" t="str">
        <f t="shared" si="66"/>
        <v>40–59</v>
      </c>
      <c r="O1443" t="str">
        <f t="shared" si="67"/>
        <v>Normal</v>
      </c>
    </row>
    <row r="1444" spans="1:15" x14ac:dyDescent="0.3">
      <c r="A1444">
        <v>50373</v>
      </c>
      <c r="B1444" t="s">
        <v>7</v>
      </c>
      <c r="C1444">
        <v>3</v>
      </c>
      <c r="D1444">
        <v>0</v>
      </c>
      <c r="E1444">
        <v>0</v>
      </c>
      <c r="F1444" t="str">
        <f t="shared" si="68"/>
        <v>Lower Risk</v>
      </c>
      <c r="G1444" t="s">
        <v>13</v>
      </c>
      <c r="H1444" t="s">
        <v>16</v>
      </c>
      <c r="I1444" t="s">
        <v>9</v>
      </c>
      <c r="J1444">
        <v>68.34</v>
      </c>
      <c r="K1444">
        <v>18</v>
      </c>
      <c r="L1444" t="s">
        <v>14</v>
      </c>
      <c r="M1444">
        <v>0</v>
      </c>
      <c r="N1444" t="str">
        <f t="shared" si="66"/>
        <v>Under 40</v>
      </c>
      <c r="O1444" t="str">
        <f t="shared" si="67"/>
        <v>Underweight</v>
      </c>
    </row>
    <row r="1445" spans="1:15" x14ac:dyDescent="0.3">
      <c r="A1445">
        <v>51124</v>
      </c>
      <c r="B1445" t="s">
        <v>2</v>
      </c>
      <c r="C1445">
        <v>81</v>
      </c>
      <c r="D1445">
        <v>0</v>
      </c>
      <c r="E1445">
        <v>0</v>
      </c>
      <c r="F1445" t="str">
        <f t="shared" si="68"/>
        <v>Moderate Risk</v>
      </c>
      <c r="G1445" t="s">
        <v>3</v>
      </c>
      <c r="H1445" t="s">
        <v>8</v>
      </c>
      <c r="I1445" t="s">
        <v>5</v>
      </c>
      <c r="J1445">
        <v>61.1</v>
      </c>
      <c r="K1445">
        <v>27.6</v>
      </c>
      <c r="L1445" t="s">
        <v>12</v>
      </c>
      <c r="M1445">
        <v>0</v>
      </c>
      <c r="N1445" t="str">
        <f t="shared" si="66"/>
        <v>60+</v>
      </c>
      <c r="O1445" t="str">
        <f t="shared" si="67"/>
        <v>Overweight</v>
      </c>
    </row>
    <row r="1446" spans="1:15" x14ac:dyDescent="0.3">
      <c r="A1446">
        <v>13191</v>
      </c>
      <c r="B1446" t="s">
        <v>7</v>
      </c>
      <c r="C1446">
        <v>24</v>
      </c>
      <c r="D1446">
        <v>0</v>
      </c>
      <c r="E1446">
        <v>0</v>
      </c>
      <c r="F1446" t="str">
        <f t="shared" si="68"/>
        <v>Lower Risk</v>
      </c>
      <c r="G1446" t="s">
        <v>13</v>
      </c>
      <c r="H1446" t="s">
        <v>4</v>
      </c>
      <c r="I1446" t="s">
        <v>9</v>
      </c>
      <c r="J1446">
        <v>120.77</v>
      </c>
      <c r="K1446">
        <v>16.899999999999999</v>
      </c>
      <c r="L1446" t="s">
        <v>11</v>
      </c>
      <c r="M1446">
        <v>0</v>
      </c>
      <c r="N1446" t="str">
        <f t="shared" si="66"/>
        <v>Under 40</v>
      </c>
      <c r="O1446" t="str">
        <f t="shared" si="67"/>
        <v>Underweight</v>
      </c>
    </row>
    <row r="1447" spans="1:15" x14ac:dyDescent="0.3">
      <c r="A1447">
        <v>47330</v>
      </c>
      <c r="B1447" t="s">
        <v>2</v>
      </c>
      <c r="C1447">
        <v>9</v>
      </c>
      <c r="D1447">
        <v>0</v>
      </c>
      <c r="E1447">
        <v>0</v>
      </c>
      <c r="F1447" t="str">
        <f t="shared" si="68"/>
        <v>Lower Risk</v>
      </c>
      <c r="G1447" t="s">
        <v>13</v>
      </c>
      <c r="H1447" t="s">
        <v>16</v>
      </c>
      <c r="I1447" t="s">
        <v>9</v>
      </c>
      <c r="J1447">
        <v>60.39</v>
      </c>
      <c r="K1447">
        <v>16.399999999999999</v>
      </c>
      <c r="L1447" t="s">
        <v>14</v>
      </c>
      <c r="M1447">
        <v>0</v>
      </c>
      <c r="N1447" t="str">
        <f t="shared" si="66"/>
        <v>Under 40</v>
      </c>
      <c r="O1447" t="str">
        <f t="shared" si="67"/>
        <v>Underweight</v>
      </c>
    </row>
    <row r="1448" spans="1:15" x14ac:dyDescent="0.3">
      <c r="A1448">
        <v>42191</v>
      </c>
      <c r="B1448" t="s">
        <v>7</v>
      </c>
      <c r="C1448">
        <v>52</v>
      </c>
      <c r="D1448">
        <v>0</v>
      </c>
      <c r="E1448">
        <v>0</v>
      </c>
      <c r="F1448" t="str">
        <f t="shared" si="68"/>
        <v>Lower Risk</v>
      </c>
      <c r="G1448" t="s">
        <v>3</v>
      </c>
      <c r="H1448" t="s">
        <v>15</v>
      </c>
      <c r="I1448" t="s">
        <v>5</v>
      </c>
      <c r="J1448">
        <v>126.34</v>
      </c>
      <c r="K1448">
        <v>35.1</v>
      </c>
      <c r="L1448" t="s">
        <v>11</v>
      </c>
      <c r="M1448">
        <v>0</v>
      </c>
      <c r="N1448" t="str">
        <f t="shared" si="66"/>
        <v>40–59</v>
      </c>
      <c r="O1448" t="str">
        <f t="shared" si="67"/>
        <v>Obese</v>
      </c>
    </row>
    <row r="1449" spans="1:15" x14ac:dyDescent="0.3">
      <c r="A1449">
        <v>35332</v>
      </c>
      <c r="B1449" t="s">
        <v>7</v>
      </c>
      <c r="C1449">
        <v>63</v>
      </c>
      <c r="D1449">
        <v>0</v>
      </c>
      <c r="E1449">
        <v>0</v>
      </c>
      <c r="F1449" t="str">
        <f t="shared" si="68"/>
        <v>Moderate Risk</v>
      </c>
      <c r="G1449" t="s">
        <v>3</v>
      </c>
      <c r="H1449" t="s">
        <v>4</v>
      </c>
      <c r="I1449" t="s">
        <v>9</v>
      </c>
      <c r="J1449">
        <v>93.24</v>
      </c>
      <c r="K1449">
        <v>28.8</v>
      </c>
      <c r="L1449" t="s">
        <v>11</v>
      </c>
      <c r="M1449">
        <v>0</v>
      </c>
      <c r="N1449" t="str">
        <f t="shared" si="66"/>
        <v>60+</v>
      </c>
      <c r="O1449" t="str">
        <f t="shared" si="67"/>
        <v>Overweight</v>
      </c>
    </row>
    <row r="1450" spans="1:15" x14ac:dyDescent="0.3">
      <c r="A1450">
        <v>49341</v>
      </c>
      <c r="B1450" t="s">
        <v>7</v>
      </c>
      <c r="C1450">
        <v>78</v>
      </c>
      <c r="D1450">
        <v>0</v>
      </c>
      <c r="E1450">
        <v>0</v>
      </c>
      <c r="F1450" t="str">
        <f t="shared" si="68"/>
        <v>Moderate Risk</v>
      </c>
      <c r="G1450" t="s">
        <v>3</v>
      </c>
      <c r="H1450" t="s">
        <v>4</v>
      </c>
      <c r="I1450" t="s">
        <v>9</v>
      </c>
      <c r="J1450">
        <v>154.75</v>
      </c>
      <c r="K1450">
        <v>17.600000000000001</v>
      </c>
      <c r="L1450" t="s">
        <v>11</v>
      </c>
      <c r="M1450">
        <v>0</v>
      </c>
      <c r="N1450" t="str">
        <f t="shared" si="66"/>
        <v>60+</v>
      </c>
      <c r="O1450" t="str">
        <f t="shared" si="67"/>
        <v>Underweight</v>
      </c>
    </row>
    <row r="1451" spans="1:15" x14ac:dyDescent="0.3">
      <c r="A1451">
        <v>64750</v>
      </c>
      <c r="B1451" t="s">
        <v>7</v>
      </c>
      <c r="C1451">
        <v>22</v>
      </c>
      <c r="D1451">
        <v>0</v>
      </c>
      <c r="E1451">
        <v>0</v>
      </c>
      <c r="F1451" t="str">
        <f t="shared" si="68"/>
        <v>Lower Risk</v>
      </c>
      <c r="G1451" t="s">
        <v>13</v>
      </c>
      <c r="H1451" t="s">
        <v>4</v>
      </c>
      <c r="I1451" t="s">
        <v>9</v>
      </c>
      <c r="J1451">
        <v>62.81</v>
      </c>
      <c r="K1451">
        <v>21.3</v>
      </c>
      <c r="L1451" t="s">
        <v>11</v>
      </c>
      <c r="M1451">
        <v>0</v>
      </c>
      <c r="N1451" t="str">
        <f t="shared" si="66"/>
        <v>Under 40</v>
      </c>
      <c r="O1451" t="str">
        <f t="shared" si="67"/>
        <v>Normal</v>
      </c>
    </row>
    <row r="1452" spans="1:15" x14ac:dyDescent="0.3">
      <c r="A1452">
        <v>70259</v>
      </c>
      <c r="B1452" t="s">
        <v>7</v>
      </c>
      <c r="C1452">
        <v>2</v>
      </c>
      <c r="D1452">
        <v>0</v>
      </c>
      <c r="E1452">
        <v>0</v>
      </c>
      <c r="F1452" t="str">
        <f t="shared" si="68"/>
        <v>Lower Risk</v>
      </c>
      <c r="G1452" t="s">
        <v>13</v>
      </c>
      <c r="H1452" t="s">
        <v>16</v>
      </c>
      <c r="I1452" t="s">
        <v>9</v>
      </c>
      <c r="J1452">
        <v>65.959999999999994</v>
      </c>
      <c r="K1452">
        <v>19.7</v>
      </c>
      <c r="L1452" t="s">
        <v>14</v>
      </c>
      <c r="M1452">
        <v>0</v>
      </c>
      <c r="N1452" t="str">
        <f t="shared" si="66"/>
        <v>Under 40</v>
      </c>
      <c r="O1452" t="str">
        <f t="shared" si="67"/>
        <v>Normal</v>
      </c>
    </row>
    <row r="1453" spans="1:15" x14ac:dyDescent="0.3">
      <c r="A1453">
        <v>36960</v>
      </c>
      <c r="B1453" t="s">
        <v>7</v>
      </c>
      <c r="C1453">
        <v>79</v>
      </c>
      <c r="D1453">
        <v>0</v>
      </c>
      <c r="E1453">
        <v>0</v>
      </c>
      <c r="F1453" t="str">
        <f t="shared" si="68"/>
        <v>Moderate Risk</v>
      </c>
      <c r="G1453" t="s">
        <v>3</v>
      </c>
      <c r="H1453" t="s">
        <v>4</v>
      </c>
      <c r="I1453" t="s">
        <v>9</v>
      </c>
      <c r="J1453">
        <v>79.53</v>
      </c>
      <c r="K1453">
        <v>37.299999999999997</v>
      </c>
      <c r="L1453" t="s">
        <v>11</v>
      </c>
      <c r="M1453">
        <v>0</v>
      </c>
      <c r="N1453" t="str">
        <f t="shared" si="66"/>
        <v>60+</v>
      </c>
      <c r="O1453" t="str">
        <f t="shared" si="67"/>
        <v>Obese</v>
      </c>
    </row>
    <row r="1454" spans="1:15" x14ac:dyDescent="0.3">
      <c r="A1454">
        <v>12992</v>
      </c>
      <c r="B1454" t="s">
        <v>7</v>
      </c>
      <c r="C1454">
        <v>49</v>
      </c>
      <c r="D1454">
        <v>0</v>
      </c>
      <c r="E1454">
        <v>0</v>
      </c>
      <c r="F1454" t="str">
        <f t="shared" si="68"/>
        <v>Lower Risk</v>
      </c>
      <c r="G1454" t="s">
        <v>3</v>
      </c>
      <c r="H1454" t="s">
        <v>4</v>
      </c>
      <c r="I1454" t="s">
        <v>9</v>
      </c>
      <c r="J1454">
        <v>96.85</v>
      </c>
      <c r="K1454">
        <v>35.5</v>
      </c>
      <c r="L1454" t="s">
        <v>11</v>
      </c>
      <c r="M1454">
        <v>0</v>
      </c>
      <c r="N1454" t="str">
        <f t="shared" si="66"/>
        <v>40–59</v>
      </c>
      <c r="O1454" t="str">
        <f t="shared" si="67"/>
        <v>Obese</v>
      </c>
    </row>
    <row r="1455" spans="1:15" x14ac:dyDescent="0.3">
      <c r="A1455">
        <v>4692</v>
      </c>
      <c r="B1455" t="s">
        <v>7</v>
      </c>
      <c r="C1455">
        <v>74</v>
      </c>
      <c r="D1455">
        <v>0</v>
      </c>
      <c r="E1455">
        <v>0</v>
      </c>
      <c r="F1455" t="str">
        <f t="shared" si="68"/>
        <v>Moderate Risk</v>
      </c>
      <c r="G1455" t="s">
        <v>3</v>
      </c>
      <c r="H1455" t="s">
        <v>15</v>
      </c>
      <c r="I1455" t="s">
        <v>5</v>
      </c>
      <c r="J1455">
        <v>251.99</v>
      </c>
      <c r="K1455">
        <v>25.5</v>
      </c>
      <c r="L1455" t="s">
        <v>11</v>
      </c>
      <c r="M1455">
        <v>0</v>
      </c>
      <c r="N1455" t="str">
        <f t="shared" si="66"/>
        <v>60+</v>
      </c>
      <c r="O1455" t="str">
        <f t="shared" si="67"/>
        <v>Overweight</v>
      </c>
    </row>
    <row r="1456" spans="1:15" x14ac:dyDescent="0.3">
      <c r="A1456">
        <v>62460</v>
      </c>
      <c r="B1456" t="s">
        <v>2</v>
      </c>
      <c r="C1456">
        <v>62</v>
      </c>
      <c r="D1456">
        <v>0</v>
      </c>
      <c r="E1456">
        <v>0</v>
      </c>
      <c r="F1456" t="str">
        <f t="shared" si="68"/>
        <v>Moderate Risk</v>
      </c>
      <c r="G1456" t="s">
        <v>3</v>
      </c>
      <c r="H1456" t="s">
        <v>4</v>
      </c>
      <c r="I1456" t="s">
        <v>9</v>
      </c>
      <c r="J1456">
        <v>115.13</v>
      </c>
      <c r="K1456">
        <v>30</v>
      </c>
      <c r="L1456" t="s">
        <v>12</v>
      </c>
      <c r="M1456">
        <v>0</v>
      </c>
      <c r="N1456" t="str">
        <f t="shared" si="66"/>
        <v>60+</v>
      </c>
      <c r="O1456" t="str">
        <f t="shared" si="67"/>
        <v>Obese</v>
      </c>
    </row>
    <row r="1457" spans="1:15" x14ac:dyDescent="0.3">
      <c r="A1457">
        <v>72132</v>
      </c>
      <c r="B1457" t="s">
        <v>2</v>
      </c>
      <c r="C1457">
        <v>16</v>
      </c>
      <c r="D1457">
        <v>0</v>
      </c>
      <c r="E1457">
        <v>0</v>
      </c>
      <c r="F1457" t="str">
        <f t="shared" si="68"/>
        <v>Lower Risk</v>
      </c>
      <c r="G1457" t="s">
        <v>13</v>
      </c>
      <c r="H1457" t="s">
        <v>16</v>
      </c>
      <c r="I1457" t="s">
        <v>5</v>
      </c>
      <c r="J1457">
        <v>102.3</v>
      </c>
      <c r="K1457">
        <v>21.9</v>
      </c>
      <c r="L1457" t="s">
        <v>14</v>
      </c>
      <c r="M1457">
        <v>0</v>
      </c>
      <c r="N1457" t="str">
        <f t="shared" si="66"/>
        <v>Under 40</v>
      </c>
      <c r="O1457" t="str">
        <f t="shared" si="67"/>
        <v>Normal</v>
      </c>
    </row>
    <row r="1458" spans="1:15" x14ac:dyDescent="0.3">
      <c r="A1458">
        <v>41402</v>
      </c>
      <c r="B1458" t="s">
        <v>2</v>
      </c>
      <c r="C1458">
        <v>62</v>
      </c>
      <c r="D1458">
        <v>0</v>
      </c>
      <c r="E1458">
        <v>0</v>
      </c>
      <c r="F1458" t="str">
        <f t="shared" si="68"/>
        <v>Moderate Risk</v>
      </c>
      <c r="G1458" t="s">
        <v>3</v>
      </c>
      <c r="H1458" t="s">
        <v>8</v>
      </c>
      <c r="I1458" t="s">
        <v>5</v>
      </c>
      <c r="J1458">
        <v>78.989999999999995</v>
      </c>
      <c r="K1458">
        <v>45.5</v>
      </c>
      <c r="L1458" t="s">
        <v>11</v>
      </c>
      <c r="M1458">
        <v>0</v>
      </c>
      <c r="N1458" t="str">
        <f t="shared" si="66"/>
        <v>60+</v>
      </c>
      <c r="O1458" t="str">
        <f t="shared" si="67"/>
        <v>Obese</v>
      </c>
    </row>
    <row r="1459" spans="1:15" x14ac:dyDescent="0.3">
      <c r="A1459">
        <v>40253</v>
      </c>
      <c r="B1459" t="s">
        <v>2</v>
      </c>
      <c r="C1459">
        <v>27</v>
      </c>
      <c r="D1459">
        <v>0</v>
      </c>
      <c r="E1459">
        <v>0</v>
      </c>
      <c r="F1459" t="str">
        <f t="shared" si="68"/>
        <v>Lower Risk</v>
      </c>
      <c r="G1459" t="s">
        <v>13</v>
      </c>
      <c r="H1459" t="s">
        <v>4</v>
      </c>
      <c r="I1459" t="s">
        <v>9</v>
      </c>
      <c r="J1459">
        <v>191.79</v>
      </c>
      <c r="K1459" t="s">
        <v>10</v>
      </c>
      <c r="L1459" t="s">
        <v>12</v>
      </c>
      <c r="M1459">
        <v>0</v>
      </c>
      <c r="N1459" t="str">
        <f t="shared" si="66"/>
        <v>Under 40</v>
      </c>
      <c r="O1459" t="str">
        <f t="shared" si="67"/>
        <v>Unknown</v>
      </c>
    </row>
    <row r="1460" spans="1:15" x14ac:dyDescent="0.3">
      <c r="A1460">
        <v>63577</v>
      </c>
      <c r="B1460" t="s">
        <v>7</v>
      </c>
      <c r="C1460">
        <v>50</v>
      </c>
      <c r="D1460">
        <v>1</v>
      </c>
      <c r="E1460">
        <v>0</v>
      </c>
      <c r="F1460" t="str">
        <f t="shared" si="68"/>
        <v>Lower Risk</v>
      </c>
      <c r="G1460" t="s">
        <v>3</v>
      </c>
      <c r="H1460" t="s">
        <v>8</v>
      </c>
      <c r="I1460" t="s">
        <v>9</v>
      </c>
      <c r="J1460">
        <v>68.8</v>
      </c>
      <c r="K1460">
        <v>34.9</v>
      </c>
      <c r="L1460" t="s">
        <v>11</v>
      </c>
      <c r="M1460">
        <v>0</v>
      </c>
      <c r="N1460" t="str">
        <f t="shared" si="66"/>
        <v>40–59</v>
      </c>
      <c r="O1460" t="str">
        <f t="shared" si="67"/>
        <v>Obese</v>
      </c>
    </row>
    <row r="1461" spans="1:15" x14ac:dyDescent="0.3">
      <c r="A1461">
        <v>11726</v>
      </c>
      <c r="B1461" t="s">
        <v>7</v>
      </c>
      <c r="C1461">
        <v>49</v>
      </c>
      <c r="D1461">
        <v>0</v>
      </c>
      <c r="E1461">
        <v>0</v>
      </c>
      <c r="F1461" t="str">
        <f t="shared" si="68"/>
        <v>Lower Risk</v>
      </c>
      <c r="G1461" t="s">
        <v>3</v>
      </c>
      <c r="H1461" t="s">
        <v>15</v>
      </c>
      <c r="I1461" t="s">
        <v>9</v>
      </c>
      <c r="J1461">
        <v>83.84</v>
      </c>
      <c r="K1461">
        <v>19.3</v>
      </c>
      <c r="L1461" t="s">
        <v>6</v>
      </c>
      <c r="M1461">
        <v>0</v>
      </c>
      <c r="N1461" t="str">
        <f t="shared" si="66"/>
        <v>40–59</v>
      </c>
      <c r="O1461" t="str">
        <f t="shared" si="67"/>
        <v>Normal</v>
      </c>
    </row>
    <row r="1462" spans="1:15" x14ac:dyDescent="0.3">
      <c r="A1462">
        <v>13736</v>
      </c>
      <c r="B1462" t="s">
        <v>2</v>
      </c>
      <c r="C1462">
        <v>24</v>
      </c>
      <c r="D1462">
        <v>0</v>
      </c>
      <c r="E1462">
        <v>0</v>
      </c>
      <c r="F1462" t="str">
        <f t="shared" si="68"/>
        <v>Lower Risk</v>
      </c>
      <c r="G1462" t="s">
        <v>3</v>
      </c>
      <c r="H1462" t="s">
        <v>4</v>
      </c>
      <c r="I1462" t="s">
        <v>5</v>
      </c>
      <c r="J1462">
        <v>94.66</v>
      </c>
      <c r="K1462">
        <v>32.1</v>
      </c>
      <c r="L1462" t="s">
        <v>6</v>
      </c>
      <c r="M1462">
        <v>0</v>
      </c>
      <c r="N1462" t="str">
        <f t="shared" si="66"/>
        <v>Under 40</v>
      </c>
      <c r="O1462" t="str">
        <f t="shared" si="67"/>
        <v>Obese</v>
      </c>
    </row>
    <row r="1463" spans="1:15" x14ac:dyDescent="0.3">
      <c r="A1463">
        <v>43913</v>
      </c>
      <c r="B1463" t="s">
        <v>7</v>
      </c>
      <c r="C1463">
        <v>21</v>
      </c>
      <c r="D1463">
        <v>0</v>
      </c>
      <c r="E1463">
        <v>0</v>
      </c>
      <c r="F1463" t="str">
        <f t="shared" si="68"/>
        <v>Lower Risk</v>
      </c>
      <c r="G1463" t="s">
        <v>13</v>
      </c>
      <c r="H1463" t="s">
        <v>4</v>
      </c>
      <c r="I1463" t="s">
        <v>9</v>
      </c>
      <c r="J1463">
        <v>107.98</v>
      </c>
      <c r="K1463">
        <v>26.9</v>
      </c>
      <c r="L1463" t="s">
        <v>11</v>
      </c>
      <c r="M1463">
        <v>0</v>
      </c>
      <c r="N1463" t="str">
        <f t="shared" si="66"/>
        <v>Under 40</v>
      </c>
      <c r="O1463" t="str">
        <f t="shared" si="67"/>
        <v>Overweight</v>
      </c>
    </row>
    <row r="1464" spans="1:15" x14ac:dyDescent="0.3">
      <c r="A1464">
        <v>41870</v>
      </c>
      <c r="B1464" t="s">
        <v>2</v>
      </c>
      <c r="C1464">
        <v>17</v>
      </c>
      <c r="D1464">
        <v>0</v>
      </c>
      <c r="E1464">
        <v>0</v>
      </c>
      <c r="F1464" t="str">
        <f t="shared" si="68"/>
        <v>Lower Risk</v>
      </c>
      <c r="G1464" t="s">
        <v>13</v>
      </c>
      <c r="H1464" t="s">
        <v>17</v>
      </c>
      <c r="I1464" t="s">
        <v>9</v>
      </c>
      <c r="J1464">
        <v>61.01</v>
      </c>
      <c r="K1464">
        <v>32.5</v>
      </c>
      <c r="L1464" t="s">
        <v>14</v>
      </c>
      <c r="M1464">
        <v>0</v>
      </c>
      <c r="N1464" t="str">
        <f t="shared" si="66"/>
        <v>Under 40</v>
      </c>
      <c r="O1464" t="str">
        <f t="shared" si="67"/>
        <v>Obese</v>
      </c>
    </row>
    <row r="1465" spans="1:15" x14ac:dyDescent="0.3">
      <c r="A1465">
        <v>37907</v>
      </c>
      <c r="B1465" t="s">
        <v>7</v>
      </c>
      <c r="C1465">
        <v>22</v>
      </c>
      <c r="D1465">
        <v>0</v>
      </c>
      <c r="E1465">
        <v>0</v>
      </c>
      <c r="F1465" t="str">
        <f t="shared" si="68"/>
        <v>Lower Risk</v>
      </c>
      <c r="G1465" t="s">
        <v>13</v>
      </c>
      <c r="H1465" t="s">
        <v>4</v>
      </c>
      <c r="I1465" t="s">
        <v>5</v>
      </c>
      <c r="J1465">
        <v>135.63999999999999</v>
      </c>
      <c r="K1465">
        <v>19.5</v>
      </c>
      <c r="L1465" t="s">
        <v>11</v>
      </c>
      <c r="M1465">
        <v>0</v>
      </c>
      <c r="N1465" t="str">
        <f t="shared" si="66"/>
        <v>Under 40</v>
      </c>
      <c r="O1465" t="str">
        <f t="shared" si="67"/>
        <v>Normal</v>
      </c>
    </row>
    <row r="1466" spans="1:15" x14ac:dyDescent="0.3">
      <c r="A1466">
        <v>15987</v>
      </c>
      <c r="B1466" t="s">
        <v>2</v>
      </c>
      <c r="C1466">
        <v>13</v>
      </c>
      <c r="D1466">
        <v>0</v>
      </c>
      <c r="E1466">
        <v>0</v>
      </c>
      <c r="F1466" t="str">
        <f t="shared" si="68"/>
        <v>Lower Risk</v>
      </c>
      <c r="G1466" t="s">
        <v>13</v>
      </c>
      <c r="H1466" t="s">
        <v>16</v>
      </c>
      <c r="I1466" t="s">
        <v>5</v>
      </c>
      <c r="J1466">
        <v>92.65</v>
      </c>
      <c r="K1466">
        <v>31.7</v>
      </c>
      <c r="L1466" t="s">
        <v>11</v>
      </c>
      <c r="M1466">
        <v>0</v>
      </c>
      <c r="N1466" t="str">
        <f t="shared" si="66"/>
        <v>Under 40</v>
      </c>
      <c r="O1466" t="str">
        <f t="shared" si="67"/>
        <v>Obese</v>
      </c>
    </row>
    <row r="1467" spans="1:15" x14ac:dyDescent="0.3">
      <c r="A1467">
        <v>57166</v>
      </c>
      <c r="B1467" t="s">
        <v>7</v>
      </c>
      <c r="C1467">
        <v>21</v>
      </c>
      <c r="D1467">
        <v>0</v>
      </c>
      <c r="E1467">
        <v>0</v>
      </c>
      <c r="F1467" t="str">
        <f t="shared" si="68"/>
        <v>Lower Risk</v>
      </c>
      <c r="G1467" t="s">
        <v>13</v>
      </c>
      <c r="H1467" t="s">
        <v>4</v>
      </c>
      <c r="I1467" t="s">
        <v>9</v>
      </c>
      <c r="J1467">
        <v>121.11</v>
      </c>
      <c r="K1467">
        <v>21</v>
      </c>
      <c r="L1467" t="s">
        <v>14</v>
      </c>
      <c r="M1467">
        <v>0</v>
      </c>
      <c r="N1467" t="str">
        <f t="shared" si="66"/>
        <v>Under 40</v>
      </c>
      <c r="O1467" t="str">
        <f t="shared" si="67"/>
        <v>Normal</v>
      </c>
    </row>
    <row r="1468" spans="1:15" x14ac:dyDescent="0.3">
      <c r="A1468">
        <v>44950</v>
      </c>
      <c r="B1468" t="s">
        <v>2</v>
      </c>
      <c r="C1468">
        <v>51</v>
      </c>
      <c r="D1468">
        <v>1</v>
      </c>
      <c r="E1468">
        <v>0</v>
      </c>
      <c r="F1468" t="str">
        <f t="shared" si="68"/>
        <v>Lower Risk</v>
      </c>
      <c r="G1468" t="s">
        <v>3</v>
      </c>
      <c r="H1468" t="s">
        <v>4</v>
      </c>
      <c r="I1468" t="s">
        <v>9</v>
      </c>
      <c r="J1468">
        <v>163.56</v>
      </c>
      <c r="K1468" t="s">
        <v>10</v>
      </c>
      <c r="L1468" t="s">
        <v>6</v>
      </c>
      <c r="M1468">
        <v>0</v>
      </c>
      <c r="N1468" t="str">
        <f t="shared" si="66"/>
        <v>40–59</v>
      </c>
      <c r="O1468" t="str">
        <f t="shared" si="67"/>
        <v>Unknown</v>
      </c>
    </row>
    <row r="1469" spans="1:15" x14ac:dyDescent="0.3">
      <c r="A1469">
        <v>47627</v>
      </c>
      <c r="B1469" t="s">
        <v>2</v>
      </c>
      <c r="C1469">
        <v>8</v>
      </c>
      <c r="D1469">
        <v>0</v>
      </c>
      <c r="E1469">
        <v>0</v>
      </c>
      <c r="F1469" t="str">
        <f t="shared" si="68"/>
        <v>Lower Risk</v>
      </c>
      <c r="G1469" t="s">
        <v>13</v>
      </c>
      <c r="H1469" t="s">
        <v>16</v>
      </c>
      <c r="I1469" t="s">
        <v>5</v>
      </c>
      <c r="J1469">
        <v>107.69</v>
      </c>
      <c r="K1469">
        <v>20.3</v>
      </c>
      <c r="L1469" t="s">
        <v>14</v>
      </c>
      <c r="M1469">
        <v>0</v>
      </c>
      <c r="N1469" t="str">
        <f t="shared" si="66"/>
        <v>Under 40</v>
      </c>
      <c r="O1469" t="str">
        <f t="shared" si="67"/>
        <v>Normal</v>
      </c>
    </row>
    <row r="1470" spans="1:15" x14ac:dyDescent="0.3">
      <c r="A1470">
        <v>42460</v>
      </c>
      <c r="B1470" t="s">
        <v>2</v>
      </c>
      <c r="C1470">
        <v>48</v>
      </c>
      <c r="D1470">
        <v>0</v>
      </c>
      <c r="E1470">
        <v>0</v>
      </c>
      <c r="F1470" t="str">
        <f t="shared" si="68"/>
        <v>Lower Risk</v>
      </c>
      <c r="G1470" t="s">
        <v>3</v>
      </c>
      <c r="H1470" t="s">
        <v>8</v>
      </c>
      <c r="I1470" t="s">
        <v>9</v>
      </c>
      <c r="J1470">
        <v>216.88</v>
      </c>
      <c r="K1470" t="s">
        <v>10</v>
      </c>
      <c r="L1470" t="s">
        <v>12</v>
      </c>
      <c r="M1470">
        <v>0</v>
      </c>
      <c r="N1470" t="str">
        <f t="shared" si="66"/>
        <v>40–59</v>
      </c>
      <c r="O1470" t="str">
        <f t="shared" si="67"/>
        <v>Unknown</v>
      </c>
    </row>
    <row r="1471" spans="1:15" x14ac:dyDescent="0.3">
      <c r="A1471">
        <v>8723</v>
      </c>
      <c r="B1471" t="s">
        <v>7</v>
      </c>
      <c r="C1471">
        <v>16</v>
      </c>
      <c r="D1471">
        <v>0</v>
      </c>
      <c r="E1471">
        <v>0</v>
      </c>
      <c r="F1471" t="str">
        <f t="shared" si="68"/>
        <v>Lower Risk</v>
      </c>
      <c r="G1471" t="s">
        <v>13</v>
      </c>
      <c r="H1471" t="s">
        <v>4</v>
      </c>
      <c r="I1471" t="s">
        <v>9</v>
      </c>
      <c r="J1471">
        <v>70.150000000000006</v>
      </c>
      <c r="K1471">
        <v>21.5</v>
      </c>
      <c r="L1471" t="s">
        <v>14</v>
      </c>
      <c r="M1471">
        <v>0</v>
      </c>
      <c r="N1471" t="str">
        <f t="shared" si="66"/>
        <v>Under 40</v>
      </c>
      <c r="O1471" t="str">
        <f t="shared" si="67"/>
        <v>Normal</v>
      </c>
    </row>
    <row r="1472" spans="1:15" x14ac:dyDescent="0.3">
      <c r="A1472">
        <v>52559</v>
      </c>
      <c r="B1472" t="s">
        <v>2</v>
      </c>
      <c r="C1472">
        <v>18</v>
      </c>
      <c r="D1472">
        <v>0</v>
      </c>
      <c r="E1472">
        <v>0</v>
      </c>
      <c r="F1472" t="str">
        <f t="shared" si="68"/>
        <v>Lower Risk</v>
      </c>
      <c r="G1472" t="s">
        <v>13</v>
      </c>
      <c r="H1472" t="s">
        <v>4</v>
      </c>
      <c r="I1472" t="s">
        <v>5</v>
      </c>
      <c r="J1472">
        <v>83.02</v>
      </c>
      <c r="K1472">
        <v>40.4</v>
      </c>
      <c r="L1472" t="s">
        <v>14</v>
      </c>
      <c r="M1472">
        <v>0</v>
      </c>
      <c r="N1472" t="str">
        <f t="shared" si="66"/>
        <v>Under 40</v>
      </c>
      <c r="O1472" t="str">
        <f t="shared" si="67"/>
        <v>Obese</v>
      </c>
    </row>
    <row r="1473" spans="1:15" x14ac:dyDescent="0.3">
      <c r="A1473">
        <v>937</v>
      </c>
      <c r="B1473" t="s">
        <v>2</v>
      </c>
      <c r="C1473">
        <v>7</v>
      </c>
      <c r="D1473">
        <v>0</v>
      </c>
      <c r="E1473">
        <v>0</v>
      </c>
      <c r="F1473" t="str">
        <f t="shared" si="68"/>
        <v>Lower Risk</v>
      </c>
      <c r="G1473" t="s">
        <v>13</v>
      </c>
      <c r="H1473" t="s">
        <v>16</v>
      </c>
      <c r="I1473" t="s">
        <v>5</v>
      </c>
      <c r="J1473">
        <v>87.94</v>
      </c>
      <c r="K1473" t="s">
        <v>10</v>
      </c>
      <c r="L1473" t="s">
        <v>14</v>
      </c>
      <c r="M1473">
        <v>0</v>
      </c>
      <c r="N1473" t="str">
        <f t="shared" si="66"/>
        <v>Under 40</v>
      </c>
      <c r="O1473" t="str">
        <f t="shared" si="67"/>
        <v>Unknown</v>
      </c>
    </row>
    <row r="1474" spans="1:15" x14ac:dyDescent="0.3">
      <c r="A1474">
        <v>41271</v>
      </c>
      <c r="B1474" t="s">
        <v>2</v>
      </c>
      <c r="C1474">
        <v>68</v>
      </c>
      <c r="D1474">
        <v>1</v>
      </c>
      <c r="E1474">
        <v>0</v>
      </c>
      <c r="F1474" t="str">
        <f t="shared" si="68"/>
        <v>High Risk</v>
      </c>
      <c r="G1474" t="s">
        <v>3</v>
      </c>
      <c r="H1474" t="s">
        <v>15</v>
      </c>
      <c r="I1474" t="s">
        <v>5</v>
      </c>
      <c r="J1474">
        <v>222.29</v>
      </c>
      <c r="K1474">
        <v>30.1</v>
      </c>
      <c r="L1474" t="s">
        <v>11</v>
      </c>
      <c r="M1474">
        <v>0</v>
      </c>
      <c r="N1474" t="str">
        <f t="shared" ref="N1474:N1537" si="69">IF(C1474&lt;40,"Under 40",IF(C1474&lt;60,"40–59","60+"))</f>
        <v>60+</v>
      </c>
      <c r="O1474" t="str">
        <f t="shared" ref="O1474:O1537" si="70">IF(K1474="N/A","Unknown",
IF(K1474="","Unknown",
IF(K1474&lt;18.5,"Underweight",
IF(K1474&lt;25,"Normal",
IF(K1474&lt;30,"Overweight","Obese")))))</f>
        <v>Obese</v>
      </c>
    </row>
    <row r="1475" spans="1:15" x14ac:dyDescent="0.3">
      <c r="A1475">
        <v>66893</v>
      </c>
      <c r="B1475" t="s">
        <v>2</v>
      </c>
      <c r="C1475">
        <v>49</v>
      </c>
      <c r="D1475">
        <v>1</v>
      </c>
      <c r="E1475">
        <v>0</v>
      </c>
      <c r="F1475" t="str">
        <f t="shared" ref="F1475:F1538" si="71">IF(C1475&gt;=60,
IF(OR(D1475=1,E1475=1),"High Risk","Moderate Risk"),
"Lower Risk")</f>
        <v>Lower Risk</v>
      </c>
      <c r="G1475" t="s">
        <v>3</v>
      </c>
      <c r="H1475" t="s">
        <v>15</v>
      </c>
      <c r="I1475" t="s">
        <v>5</v>
      </c>
      <c r="J1475">
        <v>139.43</v>
      </c>
      <c r="K1475">
        <v>40.200000000000003</v>
      </c>
      <c r="L1475" t="s">
        <v>6</v>
      </c>
      <c r="M1475">
        <v>0</v>
      </c>
      <c r="N1475" t="str">
        <f t="shared" si="69"/>
        <v>40–59</v>
      </c>
      <c r="O1475" t="str">
        <f t="shared" si="70"/>
        <v>Obese</v>
      </c>
    </row>
    <row r="1476" spans="1:15" x14ac:dyDescent="0.3">
      <c r="A1476">
        <v>21491</v>
      </c>
      <c r="B1476" t="s">
        <v>7</v>
      </c>
      <c r="C1476">
        <v>80</v>
      </c>
      <c r="D1476">
        <v>0</v>
      </c>
      <c r="E1476">
        <v>0</v>
      </c>
      <c r="F1476" t="str">
        <f t="shared" si="71"/>
        <v>Moderate Risk</v>
      </c>
      <c r="G1476" t="s">
        <v>3</v>
      </c>
      <c r="H1476" t="s">
        <v>4</v>
      </c>
      <c r="I1476" t="s">
        <v>5</v>
      </c>
      <c r="J1476">
        <v>213.11</v>
      </c>
      <c r="K1476">
        <v>34.700000000000003</v>
      </c>
      <c r="L1476" t="s">
        <v>11</v>
      </c>
      <c r="M1476">
        <v>0</v>
      </c>
      <c r="N1476" t="str">
        <f t="shared" si="69"/>
        <v>60+</v>
      </c>
      <c r="O1476" t="str">
        <f t="shared" si="70"/>
        <v>Obese</v>
      </c>
    </row>
    <row r="1477" spans="1:15" x14ac:dyDescent="0.3">
      <c r="A1477">
        <v>51806</v>
      </c>
      <c r="B1477" t="s">
        <v>2</v>
      </c>
      <c r="C1477">
        <v>31</v>
      </c>
      <c r="D1477">
        <v>0</v>
      </c>
      <c r="E1477">
        <v>0</v>
      </c>
      <c r="F1477" t="str">
        <f t="shared" si="71"/>
        <v>Lower Risk</v>
      </c>
      <c r="G1477" t="s">
        <v>3</v>
      </c>
      <c r="H1477" t="s">
        <v>4</v>
      </c>
      <c r="I1477" t="s">
        <v>9</v>
      </c>
      <c r="J1477">
        <v>77.23</v>
      </c>
      <c r="K1477">
        <v>25.9</v>
      </c>
      <c r="L1477" t="s">
        <v>12</v>
      </c>
      <c r="M1477">
        <v>0</v>
      </c>
      <c r="N1477" t="str">
        <f t="shared" si="69"/>
        <v>Under 40</v>
      </c>
      <c r="O1477" t="str">
        <f t="shared" si="70"/>
        <v>Overweight</v>
      </c>
    </row>
    <row r="1478" spans="1:15" x14ac:dyDescent="0.3">
      <c r="A1478">
        <v>59412</v>
      </c>
      <c r="B1478" t="s">
        <v>7</v>
      </c>
      <c r="C1478">
        <v>25</v>
      </c>
      <c r="D1478">
        <v>0</v>
      </c>
      <c r="E1478">
        <v>0</v>
      </c>
      <c r="F1478" t="str">
        <f t="shared" si="71"/>
        <v>Lower Risk</v>
      </c>
      <c r="G1478" t="s">
        <v>3</v>
      </c>
      <c r="H1478" t="s">
        <v>4</v>
      </c>
      <c r="I1478" t="s">
        <v>5</v>
      </c>
      <c r="J1478">
        <v>58.48</v>
      </c>
      <c r="K1478">
        <v>23.7</v>
      </c>
      <c r="L1478" t="s">
        <v>11</v>
      </c>
      <c r="M1478">
        <v>0</v>
      </c>
      <c r="N1478" t="str">
        <f t="shared" si="69"/>
        <v>Under 40</v>
      </c>
      <c r="O1478" t="str">
        <f t="shared" si="70"/>
        <v>Normal</v>
      </c>
    </row>
    <row r="1479" spans="1:15" x14ac:dyDescent="0.3">
      <c r="A1479">
        <v>742</v>
      </c>
      <c r="B1479" t="s">
        <v>7</v>
      </c>
      <c r="C1479">
        <v>39</v>
      </c>
      <c r="D1479">
        <v>0</v>
      </c>
      <c r="E1479">
        <v>0</v>
      </c>
      <c r="F1479" t="str">
        <f t="shared" si="71"/>
        <v>Lower Risk</v>
      </c>
      <c r="G1479" t="s">
        <v>13</v>
      </c>
      <c r="H1479" t="s">
        <v>15</v>
      </c>
      <c r="I1479" t="s">
        <v>9</v>
      </c>
      <c r="J1479">
        <v>87.33</v>
      </c>
      <c r="K1479">
        <v>34.299999999999997</v>
      </c>
      <c r="L1479" t="s">
        <v>11</v>
      </c>
      <c r="M1479">
        <v>0</v>
      </c>
      <c r="N1479" t="str">
        <f t="shared" si="69"/>
        <v>Under 40</v>
      </c>
      <c r="O1479" t="str">
        <f t="shared" si="70"/>
        <v>Obese</v>
      </c>
    </row>
    <row r="1480" spans="1:15" x14ac:dyDescent="0.3">
      <c r="A1480">
        <v>42902</v>
      </c>
      <c r="B1480" t="s">
        <v>2</v>
      </c>
      <c r="C1480">
        <v>35</v>
      </c>
      <c r="D1480">
        <v>0</v>
      </c>
      <c r="E1480">
        <v>0</v>
      </c>
      <c r="F1480" t="str">
        <f t="shared" si="71"/>
        <v>Lower Risk</v>
      </c>
      <c r="G1480" t="s">
        <v>3</v>
      </c>
      <c r="H1480" t="s">
        <v>4</v>
      </c>
      <c r="I1480" t="s">
        <v>9</v>
      </c>
      <c r="J1480">
        <v>102.34</v>
      </c>
      <c r="K1480">
        <v>34.299999999999997</v>
      </c>
      <c r="L1480" t="s">
        <v>11</v>
      </c>
      <c r="M1480">
        <v>0</v>
      </c>
      <c r="N1480" t="str">
        <f t="shared" si="69"/>
        <v>Under 40</v>
      </c>
      <c r="O1480" t="str">
        <f t="shared" si="70"/>
        <v>Obese</v>
      </c>
    </row>
    <row r="1481" spans="1:15" x14ac:dyDescent="0.3">
      <c r="A1481">
        <v>43059</v>
      </c>
      <c r="B1481" t="s">
        <v>7</v>
      </c>
      <c r="C1481">
        <v>71</v>
      </c>
      <c r="D1481">
        <v>0</v>
      </c>
      <c r="E1481">
        <v>0</v>
      </c>
      <c r="F1481" t="str">
        <f t="shared" si="71"/>
        <v>Moderate Risk</v>
      </c>
      <c r="G1481" t="s">
        <v>3</v>
      </c>
      <c r="H1481" t="s">
        <v>8</v>
      </c>
      <c r="I1481" t="s">
        <v>9</v>
      </c>
      <c r="J1481">
        <v>151.30000000000001</v>
      </c>
      <c r="K1481">
        <v>26.3</v>
      </c>
      <c r="L1481" t="s">
        <v>11</v>
      </c>
      <c r="M1481">
        <v>0</v>
      </c>
      <c r="N1481" t="str">
        <f t="shared" si="69"/>
        <v>60+</v>
      </c>
      <c r="O1481" t="str">
        <f t="shared" si="70"/>
        <v>Overweight</v>
      </c>
    </row>
    <row r="1482" spans="1:15" x14ac:dyDescent="0.3">
      <c r="A1482">
        <v>61512</v>
      </c>
      <c r="B1482" t="s">
        <v>7</v>
      </c>
      <c r="C1482">
        <v>71</v>
      </c>
      <c r="D1482">
        <v>0</v>
      </c>
      <c r="E1482">
        <v>0</v>
      </c>
      <c r="F1482" t="str">
        <f t="shared" si="71"/>
        <v>Moderate Risk</v>
      </c>
      <c r="G1482" t="s">
        <v>3</v>
      </c>
      <c r="H1482" t="s">
        <v>8</v>
      </c>
      <c r="I1482" t="s">
        <v>5</v>
      </c>
      <c r="J1482">
        <v>144.22999999999999</v>
      </c>
      <c r="K1482">
        <v>22.1</v>
      </c>
      <c r="L1482" t="s">
        <v>6</v>
      </c>
      <c r="M1482">
        <v>0</v>
      </c>
      <c r="N1482" t="str">
        <f t="shared" si="69"/>
        <v>60+</v>
      </c>
      <c r="O1482" t="str">
        <f t="shared" si="70"/>
        <v>Normal</v>
      </c>
    </row>
    <row r="1483" spans="1:15" x14ac:dyDescent="0.3">
      <c r="A1483">
        <v>10943</v>
      </c>
      <c r="B1483" t="s">
        <v>7</v>
      </c>
      <c r="C1483">
        <v>40</v>
      </c>
      <c r="D1483">
        <v>0</v>
      </c>
      <c r="E1483">
        <v>0</v>
      </c>
      <c r="F1483" t="str">
        <f t="shared" si="71"/>
        <v>Lower Risk</v>
      </c>
      <c r="G1483" t="s">
        <v>3</v>
      </c>
      <c r="H1483" t="s">
        <v>15</v>
      </c>
      <c r="I1483" t="s">
        <v>9</v>
      </c>
      <c r="J1483">
        <v>110.6</v>
      </c>
      <c r="K1483">
        <v>33.299999999999997</v>
      </c>
      <c r="L1483" t="s">
        <v>6</v>
      </c>
      <c r="M1483">
        <v>0</v>
      </c>
      <c r="N1483" t="str">
        <f t="shared" si="69"/>
        <v>40–59</v>
      </c>
      <c r="O1483" t="str">
        <f t="shared" si="70"/>
        <v>Obese</v>
      </c>
    </row>
    <row r="1484" spans="1:15" x14ac:dyDescent="0.3">
      <c r="A1484">
        <v>11447</v>
      </c>
      <c r="B1484" t="s">
        <v>7</v>
      </c>
      <c r="C1484">
        <v>41</v>
      </c>
      <c r="D1484">
        <v>0</v>
      </c>
      <c r="E1484">
        <v>0</v>
      </c>
      <c r="F1484" t="str">
        <f t="shared" si="71"/>
        <v>Lower Risk</v>
      </c>
      <c r="G1484" t="s">
        <v>3</v>
      </c>
      <c r="H1484" t="s">
        <v>15</v>
      </c>
      <c r="I1484" t="s">
        <v>5</v>
      </c>
      <c r="J1484">
        <v>80.28</v>
      </c>
      <c r="K1484">
        <v>37.299999999999997</v>
      </c>
      <c r="L1484" t="s">
        <v>11</v>
      </c>
      <c r="M1484">
        <v>0</v>
      </c>
      <c r="N1484" t="str">
        <f t="shared" si="69"/>
        <v>40–59</v>
      </c>
      <c r="O1484" t="str">
        <f t="shared" si="70"/>
        <v>Obese</v>
      </c>
    </row>
    <row r="1485" spans="1:15" x14ac:dyDescent="0.3">
      <c r="A1485">
        <v>29233</v>
      </c>
      <c r="B1485" t="s">
        <v>2</v>
      </c>
      <c r="C1485">
        <v>2</v>
      </c>
      <c r="D1485">
        <v>0</v>
      </c>
      <c r="E1485">
        <v>0</v>
      </c>
      <c r="F1485" t="str">
        <f t="shared" si="71"/>
        <v>Lower Risk</v>
      </c>
      <c r="G1485" t="s">
        <v>13</v>
      </c>
      <c r="H1485" t="s">
        <v>16</v>
      </c>
      <c r="I1485" t="s">
        <v>9</v>
      </c>
      <c r="J1485">
        <v>111.02</v>
      </c>
      <c r="K1485">
        <v>20.5</v>
      </c>
      <c r="L1485" t="s">
        <v>14</v>
      </c>
      <c r="M1485">
        <v>0</v>
      </c>
      <c r="N1485" t="str">
        <f t="shared" si="69"/>
        <v>Under 40</v>
      </c>
      <c r="O1485" t="str">
        <f t="shared" si="70"/>
        <v>Normal</v>
      </c>
    </row>
    <row r="1486" spans="1:15" x14ac:dyDescent="0.3">
      <c r="A1486">
        <v>17762</v>
      </c>
      <c r="B1486" t="s">
        <v>7</v>
      </c>
      <c r="C1486">
        <v>3</v>
      </c>
      <c r="D1486">
        <v>0</v>
      </c>
      <c r="E1486">
        <v>0</v>
      </c>
      <c r="F1486" t="str">
        <f t="shared" si="71"/>
        <v>Lower Risk</v>
      </c>
      <c r="G1486" t="s">
        <v>13</v>
      </c>
      <c r="H1486" t="s">
        <v>16</v>
      </c>
      <c r="I1486" t="s">
        <v>9</v>
      </c>
      <c r="J1486">
        <v>114.88</v>
      </c>
      <c r="K1486">
        <v>19.100000000000001</v>
      </c>
      <c r="L1486" t="s">
        <v>14</v>
      </c>
      <c r="M1486">
        <v>0</v>
      </c>
      <c r="N1486" t="str">
        <f t="shared" si="69"/>
        <v>Under 40</v>
      </c>
      <c r="O1486" t="str">
        <f t="shared" si="70"/>
        <v>Normal</v>
      </c>
    </row>
    <row r="1487" spans="1:15" x14ac:dyDescent="0.3">
      <c r="A1487">
        <v>46284</v>
      </c>
      <c r="B1487" t="s">
        <v>2</v>
      </c>
      <c r="C1487">
        <v>53</v>
      </c>
      <c r="D1487">
        <v>1</v>
      </c>
      <c r="E1487">
        <v>0</v>
      </c>
      <c r="F1487" t="str">
        <f t="shared" si="71"/>
        <v>Lower Risk</v>
      </c>
      <c r="G1487" t="s">
        <v>3</v>
      </c>
      <c r="H1487" t="s">
        <v>8</v>
      </c>
      <c r="I1487" t="s">
        <v>5</v>
      </c>
      <c r="J1487">
        <v>227.51</v>
      </c>
      <c r="K1487">
        <v>34.700000000000003</v>
      </c>
      <c r="L1487" t="s">
        <v>6</v>
      </c>
      <c r="M1487">
        <v>0</v>
      </c>
      <c r="N1487" t="str">
        <f t="shared" si="69"/>
        <v>40–59</v>
      </c>
      <c r="O1487" t="str">
        <f t="shared" si="70"/>
        <v>Obese</v>
      </c>
    </row>
    <row r="1488" spans="1:15" x14ac:dyDescent="0.3">
      <c r="A1488">
        <v>1405</v>
      </c>
      <c r="B1488" t="s">
        <v>2</v>
      </c>
      <c r="C1488">
        <v>1.88</v>
      </c>
      <c r="D1488">
        <v>0</v>
      </c>
      <c r="E1488">
        <v>0</v>
      </c>
      <c r="F1488" t="str">
        <f t="shared" si="71"/>
        <v>Lower Risk</v>
      </c>
      <c r="G1488" t="s">
        <v>13</v>
      </c>
      <c r="H1488" t="s">
        <v>16</v>
      </c>
      <c r="I1488" t="s">
        <v>5</v>
      </c>
      <c r="J1488">
        <v>111.65</v>
      </c>
      <c r="K1488">
        <v>16.3</v>
      </c>
      <c r="L1488" t="s">
        <v>14</v>
      </c>
      <c r="M1488">
        <v>0</v>
      </c>
      <c r="N1488" t="str">
        <f t="shared" si="69"/>
        <v>Under 40</v>
      </c>
      <c r="O1488" t="str">
        <f t="shared" si="70"/>
        <v>Underweight</v>
      </c>
    </row>
    <row r="1489" spans="1:15" x14ac:dyDescent="0.3">
      <c r="A1489">
        <v>38493</v>
      </c>
      <c r="B1489" t="s">
        <v>2</v>
      </c>
      <c r="C1489">
        <v>60</v>
      </c>
      <c r="D1489">
        <v>1</v>
      </c>
      <c r="E1489">
        <v>1</v>
      </c>
      <c r="F1489" t="str">
        <f t="shared" si="71"/>
        <v>High Risk</v>
      </c>
      <c r="G1489" t="s">
        <v>3</v>
      </c>
      <c r="H1489" t="s">
        <v>4</v>
      </c>
      <c r="I1489" t="s">
        <v>5</v>
      </c>
      <c r="J1489">
        <v>201.01</v>
      </c>
      <c r="K1489">
        <v>28</v>
      </c>
      <c r="L1489" t="s">
        <v>11</v>
      </c>
      <c r="M1489">
        <v>0</v>
      </c>
      <c r="N1489" t="str">
        <f t="shared" si="69"/>
        <v>60+</v>
      </c>
      <c r="O1489" t="str">
        <f t="shared" si="70"/>
        <v>Overweight</v>
      </c>
    </row>
    <row r="1490" spans="1:15" x14ac:dyDescent="0.3">
      <c r="A1490">
        <v>57953</v>
      </c>
      <c r="B1490" t="s">
        <v>7</v>
      </c>
      <c r="C1490">
        <v>5</v>
      </c>
      <c r="D1490">
        <v>0</v>
      </c>
      <c r="E1490">
        <v>0</v>
      </c>
      <c r="F1490" t="str">
        <f t="shared" si="71"/>
        <v>Lower Risk</v>
      </c>
      <c r="G1490" t="s">
        <v>13</v>
      </c>
      <c r="H1490" t="s">
        <v>16</v>
      </c>
      <c r="I1490" t="s">
        <v>5</v>
      </c>
      <c r="J1490">
        <v>129.01</v>
      </c>
      <c r="K1490">
        <v>17.2</v>
      </c>
      <c r="L1490" t="s">
        <v>14</v>
      </c>
      <c r="M1490">
        <v>0</v>
      </c>
      <c r="N1490" t="str">
        <f t="shared" si="69"/>
        <v>Under 40</v>
      </c>
      <c r="O1490" t="str">
        <f t="shared" si="70"/>
        <v>Underweight</v>
      </c>
    </row>
    <row r="1491" spans="1:15" x14ac:dyDescent="0.3">
      <c r="A1491">
        <v>30746</v>
      </c>
      <c r="B1491" t="s">
        <v>7</v>
      </c>
      <c r="C1491">
        <v>30</v>
      </c>
      <c r="D1491">
        <v>0</v>
      </c>
      <c r="E1491">
        <v>0</v>
      </c>
      <c r="F1491" t="str">
        <f t="shared" si="71"/>
        <v>Lower Risk</v>
      </c>
      <c r="G1491" t="s">
        <v>3</v>
      </c>
      <c r="H1491" t="s">
        <v>4</v>
      </c>
      <c r="I1491" t="s">
        <v>9</v>
      </c>
      <c r="J1491">
        <v>124.08</v>
      </c>
      <c r="K1491">
        <v>41.1</v>
      </c>
      <c r="L1491" t="s">
        <v>14</v>
      </c>
      <c r="M1491">
        <v>0</v>
      </c>
      <c r="N1491" t="str">
        <f t="shared" si="69"/>
        <v>Under 40</v>
      </c>
      <c r="O1491" t="str">
        <f t="shared" si="70"/>
        <v>Obese</v>
      </c>
    </row>
    <row r="1492" spans="1:15" x14ac:dyDescent="0.3">
      <c r="A1492">
        <v>16949</v>
      </c>
      <c r="B1492" t="s">
        <v>7</v>
      </c>
      <c r="C1492">
        <v>49</v>
      </c>
      <c r="D1492">
        <v>1</v>
      </c>
      <c r="E1492">
        <v>0</v>
      </c>
      <c r="F1492" t="str">
        <f t="shared" si="71"/>
        <v>Lower Risk</v>
      </c>
      <c r="G1492" t="s">
        <v>3</v>
      </c>
      <c r="H1492" t="s">
        <v>15</v>
      </c>
      <c r="I1492" t="s">
        <v>9</v>
      </c>
      <c r="J1492">
        <v>107.91</v>
      </c>
      <c r="K1492">
        <v>25</v>
      </c>
      <c r="L1492" t="s">
        <v>14</v>
      </c>
      <c r="M1492">
        <v>0</v>
      </c>
      <c r="N1492" t="str">
        <f t="shared" si="69"/>
        <v>40–59</v>
      </c>
      <c r="O1492" t="str">
        <f t="shared" si="70"/>
        <v>Overweight</v>
      </c>
    </row>
    <row r="1493" spans="1:15" x14ac:dyDescent="0.3">
      <c r="A1493">
        <v>45297</v>
      </c>
      <c r="B1493" t="s">
        <v>2</v>
      </c>
      <c r="C1493">
        <v>68</v>
      </c>
      <c r="D1493">
        <v>1</v>
      </c>
      <c r="E1493">
        <v>0</v>
      </c>
      <c r="F1493" t="str">
        <f t="shared" si="71"/>
        <v>High Risk</v>
      </c>
      <c r="G1493" t="s">
        <v>3</v>
      </c>
      <c r="H1493" t="s">
        <v>4</v>
      </c>
      <c r="I1493" t="s">
        <v>9</v>
      </c>
      <c r="J1493">
        <v>95.4</v>
      </c>
      <c r="K1493">
        <v>27.5</v>
      </c>
      <c r="L1493" t="s">
        <v>11</v>
      </c>
      <c r="M1493">
        <v>0</v>
      </c>
      <c r="N1493" t="str">
        <f t="shared" si="69"/>
        <v>60+</v>
      </c>
      <c r="O1493" t="str">
        <f t="shared" si="70"/>
        <v>Overweight</v>
      </c>
    </row>
    <row r="1494" spans="1:15" x14ac:dyDescent="0.3">
      <c r="A1494">
        <v>40251</v>
      </c>
      <c r="B1494" t="s">
        <v>7</v>
      </c>
      <c r="C1494">
        <v>23</v>
      </c>
      <c r="D1494">
        <v>0</v>
      </c>
      <c r="E1494">
        <v>0</v>
      </c>
      <c r="F1494" t="str">
        <f t="shared" si="71"/>
        <v>Lower Risk</v>
      </c>
      <c r="G1494" t="s">
        <v>13</v>
      </c>
      <c r="H1494" t="s">
        <v>4</v>
      </c>
      <c r="I1494" t="s">
        <v>9</v>
      </c>
      <c r="J1494">
        <v>65.900000000000006</v>
      </c>
      <c r="K1494">
        <v>21.5</v>
      </c>
      <c r="L1494" t="s">
        <v>11</v>
      </c>
      <c r="M1494">
        <v>0</v>
      </c>
      <c r="N1494" t="str">
        <f t="shared" si="69"/>
        <v>Under 40</v>
      </c>
      <c r="O1494" t="str">
        <f t="shared" si="70"/>
        <v>Normal</v>
      </c>
    </row>
    <row r="1495" spans="1:15" x14ac:dyDescent="0.3">
      <c r="A1495">
        <v>27013</v>
      </c>
      <c r="B1495" t="s">
        <v>2</v>
      </c>
      <c r="C1495">
        <v>2</v>
      </c>
      <c r="D1495">
        <v>0</v>
      </c>
      <c r="E1495">
        <v>0</v>
      </c>
      <c r="F1495" t="str">
        <f t="shared" si="71"/>
        <v>Lower Risk</v>
      </c>
      <c r="G1495" t="s">
        <v>13</v>
      </c>
      <c r="H1495" t="s">
        <v>16</v>
      </c>
      <c r="I1495" t="s">
        <v>5</v>
      </c>
      <c r="J1495">
        <v>78.98</v>
      </c>
      <c r="K1495">
        <v>15.1</v>
      </c>
      <c r="L1495" t="s">
        <v>14</v>
      </c>
      <c r="M1495">
        <v>0</v>
      </c>
      <c r="N1495" t="str">
        <f t="shared" si="69"/>
        <v>Under 40</v>
      </c>
      <c r="O1495" t="str">
        <f t="shared" si="70"/>
        <v>Underweight</v>
      </c>
    </row>
    <row r="1496" spans="1:15" x14ac:dyDescent="0.3">
      <c r="A1496">
        <v>7586</v>
      </c>
      <c r="B1496" t="s">
        <v>2</v>
      </c>
      <c r="C1496">
        <v>24</v>
      </c>
      <c r="D1496">
        <v>0</v>
      </c>
      <c r="E1496">
        <v>0</v>
      </c>
      <c r="F1496" t="str">
        <f t="shared" si="71"/>
        <v>Lower Risk</v>
      </c>
      <c r="G1496" t="s">
        <v>13</v>
      </c>
      <c r="H1496" t="s">
        <v>8</v>
      </c>
      <c r="I1496" t="s">
        <v>9</v>
      </c>
      <c r="J1496">
        <v>111.33</v>
      </c>
      <c r="K1496">
        <v>29.6</v>
      </c>
      <c r="L1496" t="s">
        <v>6</v>
      </c>
      <c r="M1496">
        <v>0</v>
      </c>
      <c r="N1496" t="str">
        <f t="shared" si="69"/>
        <v>Under 40</v>
      </c>
      <c r="O1496" t="str">
        <f t="shared" si="70"/>
        <v>Overweight</v>
      </c>
    </row>
    <row r="1497" spans="1:15" x14ac:dyDescent="0.3">
      <c r="A1497">
        <v>26452</v>
      </c>
      <c r="B1497" t="s">
        <v>7</v>
      </c>
      <c r="C1497">
        <v>41</v>
      </c>
      <c r="D1497">
        <v>0</v>
      </c>
      <c r="E1497">
        <v>0</v>
      </c>
      <c r="F1497" t="str">
        <f t="shared" si="71"/>
        <v>Lower Risk</v>
      </c>
      <c r="G1497" t="s">
        <v>3</v>
      </c>
      <c r="H1497" t="s">
        <v>4</v>
      </c>
      <c r="I1497" t="s">
        <v>9</v>
      </c>
      <c r="J1497">
        <v>104.36</v>
      </c>
      <c r="K1497">
        <v>30.2</v>
      </c>
      <c r="L1497" t="s">
        <v>11</v>
      </c>
      <c r="M1497">
        <v>0</v>
      </c>
      <c r="N1497" t="str">
        <f t="shared" si="69"/>
        <v>40–59</v>
      </c>
      <c r="O1497" t="str">
        <f t="shared" si="70"/>
        <v>Obese</v>
      </c>
    </row>
    <row r="1498" spans="1:15" x14ac:dyDescent="0.3">
      <c r="A1498">
        <v>16378</v>
      </c>
      <c r="B1498" t="s">
        <v>7</v>
      </c>
      <c r="C1498">
        <v>63</v>
      </c>
      <c r="D1498">
        <v>0</v>
      </c>
      <c r="E1498">
        <v>0</v>
      </c>
      <c r="F1498" t="str">
        <f t="shared" si="71"/>
        <v>Moderate Risk</v>
      </c>
      <c r="G1498" t="s">
        <v>3</v>
      </c>
      <c r="H1498" t="s">
        <v>15</v>
      </c>
      <c r="I1498" t="s">
        <v>5</v>
      </c>
      <c r="J1498">
        <v>123.87</v>
      </c>
      <c r="K1498">
        <v>34.9</v>
      </c>
      <c r="L1498" t="s">
        <v>14</v>
      </c>
      <c r="M1498">
        <v>0</v>
      </c>
      <c r="N1498" t="str">
        <f t="shared" si="69"/>
        <v>60+</v>
      </c>
      <c r="O1498" t="str">
        <f t="shared" si="70"/>
        <v>Obese</v>
      </c>
    </row>
    <row r="1499" spans="1:15" x14ac:dyDescent="0.3">
      <c r="A1499">
        <v>5137</v>
      </c>
      <c r="B1499" t="s">
        <v>2</v>
      </c>
      <c r="C1499">
        <v>64</v>
      </c>
      <c r="D1499">
        <v>0</v>
      </c>
      <c r="E1499">
        <v>0</v>
      </c>
      <c r="F1499" t="str">
        <f t="shared" si="71"/>
        <v>Moderate Risk</v>
      </c>
      <c r="G1499" t="s">
        <v>3</v>
      </c>
      <c r="H1499" t="s">
        <v>8</v>
      </c>
      <c r="I1499" t="s">
        <v>9</v>
      </c>
      <c r="J1499">
        <v>210</v>
      </c>
      <c r="K1499">
        <v>30.7</v>
      </c>
      <c r="L1499" t="s">
        <v>6</v>
      </c>
      <c r="M1499">
        <v>0</v>
      </c>
      <c r="N1499" t="str">
        <f t="shared" si="69"/>
        <v>60+</v>
      </c>
      <c r="O1499" t="str">
        <f t="shared" si="70"/>
        <v>Obese</v>
      </c>
    </row>
    <row r="1500" spans="1:15" x14ac:dyDescent="0.3">
      <c r="A1500">
        <v>4559</v>
      </c>
      <c r="B1500" t="s">
        <v>2</v>
      </c>
      <c r="C1500">
        <v>38</v>
      </c>
      <c r="D1500">
        <v>0</v>
      </c>
      <c r="E1500">
        <v>0</v>
      </c>
      <c r="F1500" t="str">
        <f t="shared" si="71"/>
        <v>Lower Risk</v>
      </c>
      <c r="G1500" t="s">
        <v>13</v>
      </c>
      <c r="H1500" t="s">
        <v>4</v>
      </c>
      <c r="I1500" t="s">
        <v>9</v>
      </c>
      <c r="J1500">
        <v>86.86</v>
      </c>
      <c r="K1500">
        <v>36.5</v>
      </c>
      <c r="L1500" t="s">
        <v>14</v>
      </c>
      <c r="M1500">
        <v>0</v>
      </c>
      <c r="N1500" t="str">
        <f t="shared" si="69"/>
        <v>Under 40</v>
      </c>
      <c r="O1500" t="str">
        <f t="shared" si="70"/>
        <v>Obese</v>
      </c>
    </row>
    <row r="1501" spans="1:15" x14ac:dyDescent="0.3">
      <c r="A1501">
        <v>45357</v>
      </c>
      <c r="B1501" t="s">
        <v>7</v>
      </c>
      <c r="C1501">
        <v>1.24</v>
      </c>
      <c r="D1501">
        <v>0</v>
      </c>
      <c r="E1501">
        <v>0</v>
      </c>
      <c r="F1501" t="str">
        <f t="shared" si="71"/>
        <v>Lower Risk</v>
      </c>
      <c r="G1501" t="s">
        <v>13</v>
      </c>
      <c r="H1501" t="s">
        <v>16</v>
      </c>
      <c r="I1501" t="s">
        <v>9</v>
      </c>
      <c r="J1501">
        <v>113.96</v>
      </c>
      <c r="K1501">
        <v>21.5</v>
      </c>
      <c r="L1501" t="s">
        <v>14</v>
      </c>
      <c r="M1501">
        <v>0</v>
      </c>
      <c r="N1501" t="str">
        <f t="shared" si="69"/>
        <v>Under 40</v>
      </c>
      <c r="O1501" t="str">
        <f t="shared" si="70"/>
        <v>Normal</v>
      </c>
    </row>
    <row r="1502" spans="1:15" x14ac:dyDescent="0.3">
      <c r="A1502">
        <v>45257</v>
      </c>
      <c r="B1502" t="s">
        <v>7</v>
      </c>
      <c r="C1502">
        <v>38</v>
      </c>
      <c r="D1502">
        <v>0</v>
      </c>
      <c r="E1502">
        <v>0</v>
      </c>
      <c r="F1502" t="str">
        <f t="shared" si="71"/>
        <v>Lower Risk</v>
      </c>
      <c r="G1502" t="s">
        <v>3</v>
      </c>
      <c r="H1502" t="s">
        <v>4</v>
      </c>
      <c r="I1502" t="s">
        <v>9</v>
      </c>
      <c r="J1502">
        <v>81.28</v>
      </c>
      <c r="K1502">
        <v>33.200000000000003</v>
      </c>
      <c r="L1502" t="s">
        <v>12</v>
      </c>
      <c r="M1502">
        <v>0</v>
      </c>
      <c r="N1502" t="str">
        <f t="shared" si="69"/>
        <v>Under 40</v>
      </c>
      <c r="O1502" t="str">
        <f t="shared" si="70"/>
        <v>Obese</v>
      </c>
    </row>
    <row r="1503" spans="1:15" x14ac:dyDescent="0.3">
      <c r="A1503">
        <v>34386</v>
      </c>
      <c r="B1503" t="s">
        <v>7</v>
      </c>
      <c r="C1503">
        <v>43</v>
      </c>
      <c r="D1503">
        <v>0</v>
      </c>
      <c r="E1503">
        <v>0</v>
      </c>
      <c r="F1503" t="str">
        <f t="shared" si="71"/>
        <v>Lower Risk</v>
      </c>
      <c r="G1503" t="s">
        <v>3</v>
      </c>
      <c r="H1503" t="s">
        <v>4</v>
      </c>
      <c r="I1503" t="s">
        <v>9</v>
      </c>
      <c r="J1503">
        <v>102.5</v>
      </c>
      <c r="K1503">
        <v>50.2</v>
      </c>
      <c r="L1503" t="s">
        <v>11</v>
      </c>
      <c r="M1503">
        <v>0</v>
      </c>
      <c r="N1503" t="str">
        <f t="shared" si="69"/>
        <v>40–59</v>
      </c>
      <c r="O1503" t="str">
        <f t="shared" si="70"/>
        <v>Obese</v>
      </c>
    </row>
    <row r="1504" spans="1:15" x14ac:dyDescent="0.3">
      <c r="A1504">
        <v>15219</v>
      </c>
      <c r="B1504" t="s">
        <v>7</v>
      </c>
      <c r="C1504">
        <v>27</v>
      </c>
      <c r="D1504">
        <v>0</v>
      </c>
      <c r="E1504">
        <v>0</v>
      </c>
      <c r="F1504" t="str">
        <f t="shared" si="71"/>
        <v>Lower Risk</v>
      </c>
      <c r="G1504" t="s">
        <v>13</v>
      </c>
      <c r="H1504" t="s">
        <v>4</v>
      </c>
      <c r="I1504" t="s">
        <v>9</v>
      </c>
      <c r="J1504">
        <v>78.05</v>
      </c>
      <c r="K1504">
        <v>22.3</v>
      </c>
      <c r="L1504" t="s">
        <v>11</v>
      </c>
      <c r="M1504">
        <v>0</v>
      </c>
      <c r="N1504" t="str">
        <f t="shared" si="69"/>
        <v>Under 40</v>
      </c>
      <c r="O1504" t="str">
        <f t="shared" si="70"/>
        <v>Normal</v>
      </c>
    </row>
    <row r="1505" spans="1:15" x14ac:dyDescent="0.3">
      <c r="A1505">
        <v>39202</v>
      </c>
      <c r="B1505" t="s">
        <v>7</v>
      </c>
      <c r="C1505">
        <v>61</v>
      </c>
      <c r="D1505">
        <v>1</v>
      </c>
      <c r="E1505">
        <v>1</v>
      </c>
      <c r="F1505" t="str">
        <f t="shared" si="71"/>
        <v>High Risk</v>
      </c>
      <c r="G1505" t="s">
        <v>3</v>
      </c>
      <c r="H1505" t="s">
        <v>4</v>
      </c>
      <c r="I1505" t="s">
        <v>5</v>
      </c>
      <c r="J1505">
        <v>237.58</v>
      </c>
      <c r="K1505" t="s">
        <v>10</v>
      </c>
      <c r="L1505" t="s">
        <v>6</v>
      </c>
      <c r="M1505">
        <v>0</v>
      </c>
      <c r="N1505" t="str">
        <f t="shared" si="69"/>
        <v>60+</v>
      </c>
      <c r="O1505" t="str">
        <f t="shared" si="70"/>
        <v>Unknown</v>
      </c>
    </row>
    <row r="1506" spans="1:15" x14ac:dyDescent="0.3">
      <c r="A1506">
        <v>9076</v>
      </c>
      <c r="B1506" t="s">
        <v>2</v>
      </c>
      <c r="C1506">
        <v>42</v>
      </c>
      <c r="D1506">
        <v>0</v>
      </c>
      <c r="E1506">
        <v>0</v>
      </c>
      <c r="F1506" t="str">
        <f t="shared" si="71"/>
        <v>Lower Risk</v>
      </c>
      <c r="G1506" t="s">
        <v>3</v>
      </c>
      <c r="H1506" t="s">
        <v>8</v>
      </c>
      <c r="I1506" t="s">
        <v>5</v>
      </c>
      <c r="J1506">
        <v>86.07</v>
      </c>
      <c r="K1506">
        <v>27.3</v>
      </c>
      <c r="L1506" t="s">
        <v>14</v>
      </c>
      <c r="M1506">
        <v>0</v>
      </c>
      <c r="N1506" t="str">
        <f t="shared" si="69"/>
        <v>40–59</v>
      </c>
      <c r="O1506" t="str">
        <f t="shared" si="70"/>
        <v>Overweight</v>
      </c>
    </row>
    <row r="1507" spans="1:15" x14ac:dyDescent="0.3">
      <c r="A1507">
        <v>72824</v>
      </c>
      <c r="B1507" t="s">
        <v>2</v>
      </c>
      <c r="C1507">
        <v>46</v>
      </c>
      <c r="D1507">
        <v>0</v>
      </c>
      <c r="E1507">
        <v>0</v>
      </c>
      <c r="F1507" t="str">
        <f t="shared" si="71"/>
        <v>Lower Risk</v>
      </c>
      <c r="G1507" t="s">
        <v>3</v>
      </c>
      <c r="H1507" t="s">
        <v>4</v>
      </c>
      <c r="I1507" t="s">
        <v>9</v>
      </c>
      <c r="J1507">
        <v>59.05</v>
      </c>
      <c r="K1507">
        <v>28.3</v>
      </c>
      <c r="L1507" t="s">
        <v>6</v>
      </c>
      <c r="M1507">
        <v>0</v>
      </c>
      <c r="N1507" t="str">
        <f t="shared" si="69"/>
        <v>40–59</v>
      </c>
      <c r="O1507" t="str">
        <f t="shared" si="70"/>
        <v>Overweight</v>
      </c>
    </row>
    <row r="1508" spans="1:15" x14ac:dyDescent="0.3">
      <c r="A1508">
        <v>64132</v>
      </c>
      <c r="B1508" t="s">
        <v>2</v>
      </c>
      <c r="C1508">
        <v>67</v>
      </c>
      <c r="D1508">
        <v>0</v>
      </c>
      <c r="E1508">
        <v>1</v>
      </c>
      <c r="F1508" t="str">
        <f t="shared" si="71"/>
        <v>High Risk</v>
      </c>
      <c r="G1508" t="s">
        <v>3</v>
      </c>
      <c r="H1508" t="s">
        <v>8</v>
      </c>
      <c r="I1508" t="s">
        <v>9</v>
      </c>
      <c r="J1508">
        <v>95.88</v>
      </c>
      <c r="K1508">
        <v>31.9</v>
      </c>
      <c r="L1508" t="s">
        <v>14</v>
      </c>
      <c r="M1508">
        <v>0</v>
      </c>
      <c r="N1508" t="str">
        <f t="shared" si="69"/>
        <v>60+</v>
      </c>
      <c r="O1508" t="str">
        <f t="shared" si="70"/>
        <v>Obese</v>
      </c>
    </row>
    <row r="1509" spans="1:15" x14ac:dyDescent="0.3">
      <c r="A1509">
        <v>52987</v>
      </c>
      <c r="B1509" t="s">
        <v>7</v>
      </c>
      <c r="C1509">
        <v>34</v>
      </c>
      <c r="D1509">
        <v>0</v>
      </c>
      <c r="E1509">
        <v>0</v>
      </c>
      <c r="F1509" t="str">
        <f t="shared" si="71"/>
        <v>Lower Risk</v>
      </c>
      <c r="G1509" t="s">
        <v>3</v>
      </c>
      <c r="H1509" t="s">
        <v>15</v>
      </c>
      <c r="I1509" t="s">
        <v>9</v>
      </c>
      <c r="J1509">
        <v>70.180000000000007</v>
      </c>
      <c r="K1509">
        <v>24.9</v>
      </c>
      <c r="L1509" t="s">
        <v>14</v>
      </c>
      <c r="M1509">
        <v>0</v>
      </c>
      <c r="N1509" t="str">
        <f t="shared" si="69"/>
        <v>Under 40</v>
      </c>
      <c r="O1509" t="str">
        <f t="shared" si="70"/>
        <v>Normal</v>
      </c>
    </row>
    <row r="1510" spans="1:15" x14ac:dyDescent="0.3">
      <c r="A1510">
        <v>17827</v>
      </c>
      <c r="B1510" t="s">
        <v>2</v>
      </c>
      <c r="C1510">
        <v>51</v>
      </c>
      <c r="D1510">
        <v>0</v>
      </c>
      <c r="E1510">
        <v>0</v>
      </c>
      <c r="F1510" t="str">
        <f t="shared" si="71"/>
        <v>Lower Risk</v>
      </c>
      <c r="G1510" t="s">
        <v>3</v>
      </c>
      <c r="H1510" t="s">
        <v>4</v>
      </c>
      <c r="I1510" t="s">
        <v>9</v>
      </c>
      <c r="J1510">
        <v>111.13</v>
      </c>
      <c r="K1510">
        <v>32.700000000000003</v>
      </c>
      <c r="L1510" t="s">
        <v>6</v>
      </c>
      <c r="M1510">
        <v>0</v>
      </c>
      <c r="N1510" t="str">
        <f t="shared" si="69"/>
        <v>40–59</v>
      </c>
      <c r="O1510" t="str">
        <f t="shared" si="70"/>
        <v>Obese</v>
      </c>
    </row>
    <row r="1511" spans="1:15" x14ac:dyDescent="0.3">
      <c r="A1511">
        <v>29378</v>
      </c>
      <c r="B1511" t="s">
        <v>7</v>
      </c>
      <c r="C1511">
        <v>77</v>
      </c>
      <c r="D1511">
        <v>0</v>
      </c>
      <c r="E1511">
        <v>0</v>
      </c>
      <c r="F1511" t="str">
        <f t="shared" si="71"/>
        <v>Moderate Risk</v>
      </c>
      <c r="G1511" t="s">
        <v>3</v>
      </c>
      <c r="H1511" t="s">
        <v>4</v>
      </c>
      <c r="I1511" t="s">
        <v>5</v>
      </c>
      <c r="J1511">
        <v>79.3</v>
      </c>
      <c r="K1511">
        <v>26.4</v>
      </c>
      <c r="L1511" t="s">
        <v>14</v>
      </c>
      <c r="M1511">
        <v>0</v>
      </c>
      <c r="N1511" t="str">
        <f t="shared" si="69"/>
        <v>60+</v>
      </c>
      <c r="O1511" t="str">
        <f t="shared" si="70"/>
        <v>Overweight</v>
      </c>
    </row>
    <row r="1512" spans="1:15" x14ac:dyDescent="0.3">
      <c r="A1512">
        <v>29327</v>
      </c>
      <c r="B1512" t="s">
        <v>7</v>
      </c>
      <c r="C1512">
        <v>30</v>
      </c>
      <c r="D1512">
        <v>0</v>
      </c>
      <c r="E1512">
        <v>0</v>
      </c>
      <c r="F1512" t="str">
        <f t="shared" si="71"/>
        <v>Lower Risk</v>
      </c>
      <c r="G1512" t="s">
        <v>13</v>
      </c>
      <c r="H1512" t="s">
        <v>8</v>
      </c>
      <c r="I1512" t="s">
        <v>5</v>
      </c>
      <c r="J1512">
        <v>65.84</v>
      </c>
      <c r="K1512">
        <v>24.8</v>
      </c>
      <c r="L1512" t="s">
        <v>12</v>
      </c>
      <c r="M1512">
        <v>0</v>
      </c>
      <c r="N1512" t="str">
        <f t="shared" si="69"/>
        <v>Under 40</v>
      </c>
      <c r="O1512" t="str">
        <f t="shared" si="70"/>
        <v>Normal</v>
      </c>
    </row>
    <row r="1513" spans="1:15" x14ac:dyDescent="0.3">
      <c r="A1513">
        <v>48609</v>
      </c>
      <c r="B1513" t="s">
        <v>7</v>
      </c>
      <c r="C1513">
        <v>81</v>
      </c>
      <c r="D1513">
        <v>0</v>
      </c>
      <c r="E1513">
        <v>1</v>
      </c>
      <c r="F1513" t="str">
        <f t="shared" si="71"/>
        <v>High Risk</v>
      </c>
      <c r="G1513" t="s">
        <v>3</v>
      </c>
      <c r="H1513" t="s">
        <v>4</v>
      </c>
      <c r="I1513" t="s">
        <v>9</v>
      </c>
      <c r="J1513">
        <v>123.49</v>
      </c>
      <c r="K1513">
        <v>30.7</v>
      </c>
      <c r="L1513" t="s">
        <v>12</v>
      </c>
      <c r="M1513">
        <v>0</v>
      </c>
      <c r="N1513" t="str">
        <f t="shared" si="69"/>
        <v>60+</v>
      </c>
      <c r="O1513" t="str">
        <f t="shared" si="70"/>
        <v>Obese</v>
      </c>
    </row>
    <row r="1514" spans="1:15" x14ac:dyDescent="0.3">
      <c r="A1514">
        <v>4833</v>
      </c>
      <c r="B1514" t="s">
        <v>7</v>
      </c>
      <c r="C1514">
        <v>12</v>
      </c>
      <c r="D1514">
        <v>0</v>
      </c>
      <c r="E1514">
        <v>0</v>
      </c>
      <c r="F1514" t="str">
        <f t="shared" si="71"/>
        <v>Lower Risk</v>
      </c>
      <c r="G1514" t="s">
        <v>13</v>
      </c>
      <c r="H1514" t="s">
        <v>16</v>
      </c>
      <c r="I1514" t="s">
        <v>9</v>
      </c>
      <c r="J1514">
        <v>207.45</v>
      </c>
      <c r="K1514">
        <v>25.4</v>
      </c>
      <c r="L1514" t="s">
        <v>12</v>
      </c>
      <c r="M1514">
        <v>0</v>
      </c>
      <c r="N1514" t="str">
        <f t="shared" si="69"/>
        <v>Under 40</v>
      </c>
      <c r="O1514" t="str">
        <f t="shared" si="70"/>
        <v>Overweight</v>
      </c>
    </row>
    <row r="1515" spans="1:15" x14ac:dyDescent="0.3">
      <c r="A1515">
        <v>8085</v>
      </c>
      <c r="B1515" t="s">
        <v>2</v>
      </c>
      <c r="C1515">
        <v>18</v>
      </c>
      <c r="D1515">
        <v>0</v>
      </c>
      <c r="E1515">
        <v>0</v>
      </c>
      <c r="F1515" t="str">
        <f t="shared" si="71"/>
        <v>Lower Risk</v>
      </c>
      <c r="G1515" t="s">
        <v>13</v>
      </c>
      <c r="H1515" t="s">
        <v>4</v>
      </c>
      <c r="I1515" t="s">
        <v>9</v>
      </c>
      <c r="J1515">
        <v>143.44999999999999</v>
      </c>
      <c r="K1515">
        <v>32</v>
      </c>
      <c r="L1515" t="s">
        <v>12</v>
      </c>
      <c r="M1515">
        <v>0</v>
      </c>
      <c r="N1515" t="str">
        <f t="shared" si="69"/>
        <v>Under 40</v>
      </c>
      <c r="O1515" t="str">
        <f t="shared" si="70"/>
        <v>Obese</v>
      </c>
    </row>
    <row r="1516" spans="1:15" x14ac:dyDescent="0.3">
      <c r="A1516">
        <v>41820</v>
      </c>
      <c r="B1516" t="s">
        <v>7</v>
      </c>
      <c r="C1516">
        <v>35</v>
      </c>
      <c r="D1516">
        <v>0</v>
      </c>
      <c r="E1516">
        <v>0</v>
      </c>
      <c r="F1516" t="str">
        <f t="shared" si="71"/>
        <v>Lower Risk</v>
      </c>
      <c r="G1516" t="s">
        <v>3</v>
      </c>
      <c r="H1516" t="s">
        <v>15</v>
      </c>
      <c r="I1516" t="s">
        <v>9</v>
      </c>
      <c r="J1516">
        <v>89.11</v>
      </c>
      <c r="K1516">
        <v>24.4</v>
      </c>
      <c r="L1516" t="s">
        <v>11</v>
      </c>
      <c r="M1516">
        <v>0</v>
      </c>
      <c r="N1516" t="str">
        <f t="shared" si="69"/>
        <v>Under 40</v>
      </c>
      <c r="O1516" t="str">
        <f t="shared" si="70"/>
        <v>Normal</v>
      </c>
    </row>
    <row r="1517" spans="1:15" x14ac:dyDescent="0.3">
      <c r="A1517">
        <v>72474</v>
      </c>
      <c r="B1517" t="s">
        <v>7</v>
      </c>
      <c r="C1517">
        <v>82</v>
      </c>
      <c r="D1517">
        <v>0</v>
      </c>
      <c r="E1517">
        <v>0</v>
      </c>
      <c r="F1517" t="str">
        <f t="shared" si="71"/>
        <v>Moderate Risk</v>
      </c>
      <c r="G1517" t="s">
        <v>3</v>
      </c>
      <c r="H1517" t="s">
        <v>15</v>
      </c>
      <c r="I1517" t="s">
        <v>9</v>
      </c>
      <c r="J1517">
        <v>58.3</v>
      </c>
      <c r="K1517">
        <v>20.399999999999999</v>
      </c>
      <c r="L1517" t="s">
        <v>11</v>
      </c>
      <c r="M1517">
        <v>0</v>
      </c>
      <c r="N1517" t="str">
        <f t="shared" si="69"/>
        <v>60+</v>
      </c>
      <c r="O1517" t="str">
        <f t="shared" si="70"/>
        <v>Normal</v>
      </c>
    </row>
    <row r="1518" spans="1:15" x14ac:dyDescent="0.3">
      <c r="A1518">
        <v>32094</v>
      </c>
      <c r="B1518" t="s">
        <v>2</v>
      </c>
      <c r="C1518">
        <v>53</v>
      </c>
      <c r="D1518">
        <v>1</v>
      </c>
      <c r="E1518">
        <v>0</v>
      </c>
      <c r="F1518" t="str">
        <f t="shared" si="71"/>
        <v>Lower Risk</v>
      </c>
      <c r="G1518" t="s">
        <v>3</v>
      </c>
      <c r="H1518" t="s">
        <v>8</v>
      </c>
      <c r="I1518" t="s">
        <v>5</v>
      </c>
      <c r="J1518">
        <v>78.680000000000007</v>
      </c>
      <c r="K1518">
        <v>29.5</v>
      </c>
      <c r="L1518" t="s">
        <v>11</v>
      </c>
      <c r="M1518">
        <v>0</v>
      </c>
      <c r="N1518" t="str">
        <f t="shared" si="69"/>
        <v>40–59</v>
      </c>
      <c r="O1518" t="str">
        <f t="shared" si="70"/>
        <v>Overweight</v>
      </c>
    </row>
    <row r="1519" spans="1:15" x14ac:dyDescent="0.3">
      <c r="A1519">
        <v>66818</v>
      </c>
      <c r="B1519" t="s">
        <v>2</v>
      </c>
      <c r="C1519">
        <v>75</v>
      </c>
      <c r="D1519">
        <v>0</v>
      </c>
      <c r="E1519">
        <v>0</v>
      </c>
      <c r="F1519" t="str">
        <f t="shared" si="71"/>
        <v>Moderate Risk</v>
      </c>
      <c r="G1519" t="s">
        <v>3</v>
      </c>
      <c r="H1519" t="s">
        <v>15</v>
      </c>
      <c r="I1519" t="s">
        <v>5</v>
      </c>
      <c r="J1519">
        <v>98.91</v>
      </c>
      <c r="K1519">
        <v>24.4</v>
      </c>
      <c r="L1519" t="s">
        <v>11</v>
      </c>
      <c r="M1519">
        <v>0</v>
      </c>
      <c r="N1519" t="str">
        <f t="shared" si="69"/>
        <v>60+</v>
      </c>
      <c r="O1519" t="str">
        <f t="shared" si="70"/>
        <v>Normal</v>
      </c>
    </row>
    <row r="1520" spans="1:15" x14ac:dyDescent="0.3">
      <c r="A1520">
        <v>49057</v>
      </c>
      <c r="B1520" t="s">
        <v>7</v>
      </c>
      <c r="C1520">
        <v>32</v>
      </c>
      <c r="D1520">
        <v>0</v>
      </c>
      <c r="E1520">
        <v>0</v>
      </c>
      <c r="F1520" t="str">
        <f t="shared" si="71"/>
        <v>Lower Risk</v>
      </c>
      <c r="G1520" t="s">
        <v>13</v>
      </c>
      <c r="H1520" t="s">
        <v>4</v>
      </c>
      <c r="I1520" t="s">
        <v>9</v>
      </c>
      <c r="J1520">
        <v>67.92</v>
      </c>
      <c r="K1520">
        <v>22.8</v>
      </c>
      <c r="L1520" t="s">
        <v>12</v>
      </c>
      <c r="M1520">
        <v>0</v>
      </c>
      <c r="N1520" t="str">
        <f t="shared" si="69"/>
        <v>Under 40</v>
      </c>
      <c r="O1520" t="str">
        <f t="shared" si="70"/>
        <v>Normal</v>
      </c>
    </row>
    <row r="1521" spans="1:15" x14ac:dyDescent="0.3">
      <c r="A1521">
        <v>18070</v>
      </c>
      <c r="B1521" t="s">
        <v>7</v>
      </c>
      <c r="C1521">
        <v>27</v>
      </c>
      <c r="D1521">
        <v>0</v>
      </c>
      <c r="E1521">
        <v>0</v>
      </c>
      <c r="F1521" t="str">
        <f t="shared" si="71"/>
        <v>Lower Risk</v>
      </c>
      <c r="G1521" t="s">
        <v>13</v>
      </c>
      <c r="H1521" t="s">
        <v>4</v>
      </c>
      <c r="I1521" t="s">
        <v>9</v>
      </c>
      <c r="J1521">
        <v>73</v>
      </c>
      <c r="K1521">
        <v>20</v>
      </c>
      <c r="L1521" t="s">
        <v>11</v>
      </c>
      <c r="M1521">
        <v>0</v>
      </c>
      <c r="N1521" t="str">
        <f t="shared" si="69"/>
        <v>Under 40</v>
      </c>
      <c r="O1521" t="str">
        <f t="shared" si="70"/>
        <v>Normal</v>
      </c>
    </row>
    <row r="1522" spans="1:15" x14ac:dyDescent="0.3">
      <c r="A1522">
        <v>17860</v>
      </c>
      <c r="B1522" t="s">
        <v>2</v>
      </c>
      <c r="C1522">
        <v>56</v>
      </c>
      <c r="D1522">
        <v>0</v>
      </c>
      <c r="E1522">
        <v>0</v>
      </c>
      <c r="F1522" t="str">
        <f t="shared" si="71"/>
        <v>Lower Risk</v>
      </c>
      <c r="G1522" t="s">
        <v>3</v>
      </c>
      <c r="H1522" t="s">
        <v>4</v>
      </c>
      <c r="I1522" t="s">
        <v>9</v>
      </c>
      <c r="J1522">
        <v>97.5</v>
      </c>
      <c r="K1522">
        <v>36.299999999999997</v>
      </c>
      <c r="L1522" t="s">
        <v>6</v>
      </c>
      <c r="M1522">
        <v>0</v>
      </c>
      <c r="N1522" t="str">
        <f t="shared" si="69"/>
        <v>40–59</v>
      </c>
      <c r="O1522" t="str">
        <f t="shared" si="70"/>
        <v>Obese</v>
      </c>
    </row>
    <row r="1523" spans="1:15" x14ac:dyDescent="0.3">
      <c r="A1523">
        <v>17078</v>
      </c>
      <c r="B1523" t="s">
        <v>2</v>
      </c>
      <c r="C1523">
        <v>71</v>
      </c>
      <c r="D1523">
        <v>0</v>
      </c>
      <c r="E1523">
        <v>0</v>
      </c>
      <c r="F1523" t="str">
        <f t="shared" si="71"/>
        <v>Moderate Risk</v>
      </c>
      <c r="G1523" t="s">
        <v>3</v>
      </c>
      <c r="H1523" t="s">
        <v>4</v>
      </c>
      <c r="I1523" t="s">
        <v>5</v>
      </c>
      <c r="J1523">
        <v>108.43</v>
      </c>
      <c r="K1523">
        <v>32.799999999999997</v>
      </c>
      <c r="L1523" t="s">
        <v>12</v>
      </c>
      <c r="M1523">
        <v>0</v>
      </c>
      <c r="N1523" t="str">
        <f t="shared" si="69"/>
        <v>60+</v>
      </c>
      <c r="O1523" t="str">
        <f t="shared" si="70"/>
        <v>Obese</v>
      </c>
    </row>
    <row r="1524" spans="1:15" x14ac:dyDescent="0.3">
      <c r="A1524">
        <v>23836</v>
      </c>
      <c r="B1524" t="s">
        <v>2</v>
      </c>
      <c r="C1524">
        <v>78</v>
      </c>
      <c r="D1524">
        <v>0</v>
      </c>
      <c r="E1524">
        <v>0</v>
      </c>
      <c r="F1524" t="str">
        <f t="shared" si="71"/>
        <v>Moderate Risk</v>
      </c>
      <c r="G1524" t="s">
        <v>3</v>
      </c>
      <c r="H1524" t="s">
        <v>4</v>
      </c>
      <c r="I1524" t="s">
        <v>5</v>
      </c>
      <c r="J1524">
        <v>90.43</v>
      </c>
      <c r="K1524">
        <v>34.4</v>
      </c>
      <c r="L1524" t="s">
        <v>6</v>
      </c>
      <c r="M1524">
        <v>0</v>
      </c>
      <c r="N1524" t="str">
        <f t="shared" si="69"/>
        <v>60+</v>
      </c>
      <c r="O1524" t="str">
        <f t="shared" si="70"/>
        <v>Obese</v>
      </c>
    </row>
    <row r="1525" spans="1:15" x14ac:dyDescent="0.3">
      <c r="A1525">
        <v>5296</v>
      </c>
      <c r="B1525" t="s">
        <v>7</v>
      </c>
      <c r="C1525">
        <v>44</v>
      </c>
      <c r="D1525">
        <v>0</v>
      </c>
      <c r="E1525">
        <v>0</v>
      </c>
      <c r="F1525" t="str">
        <f t="shared" si="71"/>
        <v>Lower Risk</v>
      </c>
      <c r="G1525" t="s">
        <v>13</v>
      </c>
      <c r="H1525" t="s">
        <v>4</v>
      </c>
      <c r="I1525" t="s">
        <v>5</v>
      </c>
      <c r="J1525">
        <v>76.3</v>
      </c>
      <c r="K1525">
        <v>30.5</v>
      </c>
      <c r="L1525" t="s">
        <v>11</v>
      </c>
      <c r="M1525">
        <v>0</v>
      </c>
      <c r="N1525" t="str">
        <f t="shared" si="69"/>
        <v>40–59</v>
      </c>
      <c r="O1525" t="str">
        <f t="shared" si="70"/>
        <v>Obese</v>
      </c>
    </row>
    <row r="1526" spans="1:15" x14ac:dyDescent="0.3">
      <c r="A1526">
        <v>48184</v>
      </c>
      <c r="B1526" t="s">
        <v>2</v>
      </c>
      <c r="C1526">
        <v>62</v>
      </c>
      <c r="D1526">
        <v>0</v>
      </c>
      <c r="E1526">
        <v>0</v>
      </c>
      <c r="F1526" t="str">
        <f t="shared" si="71"/>
        <v>Moderate Risk</v>
      </c>
      <c r="G1526" t="s">
        <v>3</v>
      </c>
      <c r="H1526" t="s">
        <v>4</v>
      </c>
      <c r="I1526" t="s">
        <v>9</v>
      </c>
      <c r="J1526">
        <v>121.27</v>
      </c>
      <c r="K1526">
        <v>29.7</v>
      </c>
      <c r="L1526" t="s">
        <v>12</v>
      </c>
      <c r="M1526">
        <v>0</v>
      </c>
      <c r="N1526" t="str">
        <f t="shared" si="69"/>
        <v>60+</v>
      </c>
      <c r="O1526" t="str">
        <f t="shared" si="70"/>
        <v>Overweight</v>
      </c>
    </row>
    <row r="1527" spans="1:15" x14ac:dyDescent="0.3">
      <c r="A1527">
        <v>9511</v>
      </c>
      <c r="B1527" t="s">
        <v>2</v>
      </c>
      <c r="C1527">
        <v>27</v>
      </c>
      <c r="D1527">
        <v>0</v>
      </c>
      <c r="E1527">
        <v>0</v>
      </c>
      <c r="F1527" t="str">
        <f t="shared" si="71"/>
        <v>Lower Risk</v>
      </c>
      <c r="G1527" t="s">
        <v>13</v>
      </c>
      <c r="H1527" t="s">
        <v>4</v>
      </c>
      <c r="I1527" t="s">
        <v>5</v>
      </c>
      <c r="J1527">
        <v>119.67</v>
      </c>
      <c r="K1527">
        <v>36.9</v>
      </c>
      <c r="L1527" t="s">
        <v>14</v>
      </c>
      <c r="M1527">
        <v>0</v>
      </c>
      <c r="N1527" t="str">
        <f t="shared" si="69"/>
        <v>Under 40</v>
      </c>
      <c r="O1527" t="str">
        <f t="shared" si="70"/>
        <v>Obese</v>
      </c>
    </row>
    <row r="1528" spans="1:15" x14ac:dyDescent="0.3">
      <c r="A1528">
        <v>19389</v>
      </c>
      <c r="B1528" t="s">
        <v>7</v>
      </c>
      <c r="C1528">
        <v>42</v>
      </c>
      <c r="D1528">
        <v>0</v>
      </c>
      <c r="E1528">
        <v>1</v>
      </c>
      <c r="F1528" t="str">
        <f t="shared" si="71"/>
        <v>Lower Risk</v>
      </c>
      <c r="G1528" t="s">
        <v>3</v>
      </c>
      <c r="H1528" t="s">
        <v>15</v>
      </c>
      <c r="I1528" t="s">
        <v>5</v>
      </c>
      <c r="J1528">
        <v>226.93</v>
      </c>
      <c r="K1528">
        <v>34.200000000000003</v>
      </c>
      <c r="L1528" t="s">
        <v>12</v>
      </c>
      <c r="M1528">
        <v>0</v>
      </c>
      <c r="N1528" t="str">
        <f t="shared" si="69"/>
        <v>40–59</v>
      </c>
      <c r="O1528" t="str">
        <f t="shared" si="70"/>
        <v>Obese</v>
      </c>
    </row>
    <row r="1529" spans="1:15" x14ac:dyDescent="0.3">
      <c r="A1529">
        <v>25559</v>
      </c>
      <c r="B1529" t="s">
        <v>7</v>
      </c>
      <c r="C1529">
        <v>66</v>
      </c>
      <c r="D1529">
        <v>0</v>
      </c>
      <c r="E1529">
        <v>1</v>
      </c>
      <c r="F1529" t="str">
        <f t="shared" si="71"/>
        <v>High Risk</v>
      </c>
      <c r="G1529" t="s">
        <v>3</v>
      </c>
      <c r="H1529" t="s">
        <v>15</v>
      </c>
      <c r="I1529" t="s">
        <v>9</v>
      </c>
      <c r="J1529">
        <v>76.11</v>
      </c>
      <c r="K1529">
        <v>37</v>
      </c>
      <c r="L1529" t="s">
        <v>14</v>
      </c>
      <c r="M1529">
        <v>0</v>
      </c>
      <c r="N1529" t="str">
        <f t="shared" si="69"/>
        <v>60+</v>
      </c>
      <c r="O1529" t="str">
        <f t="shared" si="70"/>
        <v>Obese</v>
      </c>
    </row>
    <row r="1530" spans="1:15" x14ac:dyDescent="0.3">
      <c r="A1530">
        <v>11770</v>
      </c>
      <c r="B1530" t="s">
        <v>7</v>
      </c>
      <c r="C1530">
        <v>25</v>
      </c>
      <c r="D1530">
        <v>0</v>
      </c>
      <c r="E1530">
        <v>0</v>
      </c>
      <c r="F1530" t="str">
        <f t="shared" si="71"/>
        <v>Lower Risk</v>
      </c>
      <c r="G1530" t="s">
        <v>3</v>
      </c>
      <c r="H1530" t="s">
        <v>15</v>
      </c>
      <c r="I1530" t="s">
        <v>5</v>
      </c>
      <c r="J1530">
        <v>93.23</v>
      </c>
      <c r="K1530" t="s">
        <v>10</v>
      </c>
      <c r="L1530" t="s">
        <v>12</v>
      </c>
      <c r="M1530">
        <v>0</v>
      </c>
      <c r="N1530" t="str">
        <f t="shared" si="69"/>
        <v>Under 40</v>
      </c>
      <c r="O1530" t="str">
        <f t="shared" si="70"/>
        <v>Unknown</v>
      </c>
    </row>
    <row r="1531" spans="1:15" x14ac:dyDescent="0.3">
      <c r="A1531">
        <v>34496</v>
      </c>
      <c r="B1531" t="s">
        <v>7</v>
      </c>
      <c r="C1531">
        <v>82</v>
      </c>
      <c r="D1531">
        <v>0</v>
      </c>
      <c r="E1531">
        <v>0</v>
      </c>
      <c r="F1531" t="str">
        <f t="shared" si="71"/>
        <v>Moderate Risk</v>
      </c>
      <c r="G1531" t="s">
        <v>3</v>
      </c>
      <c r="H1531" t="s">
        <v>4</v>
      </c>
      <c r="I1531" t="s">
        <v>5</v>
      </c>
      <c r="J1531">
        <v>253.16</v>
      </c>
      <c r="K1531">
        <v>47.5</v>
      </c>
      <c r="L1531" t="s">
        <v>14</v>
      </c>
      <c r="M1531">
        <v>0</v>
      </c>
      <c r="N1531" t="str">
        <f t="shared" si="69"/>
        <v>60+</v>
      </c>
      <c r="O1531" t="str">
        <f t="shared" si="70"/>
        <v>Obese</v>
      </c>
    </row>
    <row r="1532" spans="1:15" x14ac:dyDescent="0.3">
      <c r="A1532">
        <v>8096</v>
      </c>
      <c r="B1532" t="s">
        <v>7</v>
      </c>
      <c r="C1532">
        <v>49</v>
      </c>
      <c r="D1532">
        <v>0</v>
      </c>
      <c r="E1532">
        <v>0</v>
      </c>
      <c r="F1532" t="str">
        <f t="shared" si="71"/>
        <v>Lower Risk</v>
      </c>
      <c r="G1532" t="s">
        <v>3</v>
      </c>
      <c r="H1532" t="s">
        <v>4</v>
      </c>
      <c r="I1532" t="s">
        <v>5</v>
      </c>
      <c r="J1532">
        <v>101.02</v>
      </c>
      <c r="K1532">
        <v>24.2</v>
      </c>
      <c r="L1532" t="s">
        <v>12</v>
      </c>
      <c r="M1532">
        <v>0</v>
      </c>
      <c r="N1532" t="str">
        <f t="shared" si="69"/>
        <v>40–59</v>
      </c>
      <c r="O1532" t="str">
        <f t="shared" si="70"/>
        <v>Normal</v>
      </c>
    </row>
    <row r="1533" spans="1:15" x14ac:dyDescent="0.3">
      <c r="A1533">
        <v>49709</v>
      </c>
      <c r="B1533" t="s">
        <v>7</v>
      </c>
      <c r="C1533">
        <v>77</v>
      </c>
      <c r="D1533">
        <v>1</v>
      </c>
      <c r="E1533">
        <v>0</v>
      </c>
      <c r="F1533" t="str">
        <f t="shared" si="71"/>
        <v>High Risk</v>
      </c>
      <c r="G1533" t="s">
        <v>3</v>
      </c>
      <c r="H1533" t="s">
        <v>8</v>
      </c>
      <c r="I1533" t="s">
        <v>9</v>
      </c>
      <c r="J1533">
        <v>238.53</v>
      </c>
      <c r="K1533">
        <v>30.6</v>
      </c>
      <c r="L1533" t="s">
        <v>11</v>
      </c>
      <c r="M1533">
        <v>0</v>
      </c>
      <c r="N1533" t="str">
        <f t="shared" si="69"/>
        <v>60+</v>
      </c>
      <c r="O1533" t="str">
        <f t="shared" si="70"/>
        <v>Obese</v>
      </c>
    </row>
    <row r="1534" spans="1:15" x14ac:dyDescent="0.3">
      <c r="A1534">
        <v>19735</v>
      </c>
      <c r="B1534" t="s">
        <v>7</v>
      </c>
      <c r="C1534">
        <v>59</v>
      </c>
      <c r="D1534">
        <v>0</v>
      </c>
      <c r="E1534">
        <v>0</v>
      </c>
      <c r="F1534" t="str">
        <f t="shared" si="71"/>
        <v>Lower Risk</v>
      </c>
      <c r="G1534" t="s">
        <v>3</v>
      </c>
      <c r="H1534" t="s">
        <v>4</v>
      </c>
      <c r="I1534" t="s">
        <v>9</v>
      </c>
      <c r="J1534">
        <v>79.180000000000007</v>
      </c>
      <c r="K1534">
        <v>52.8</v>
      </c>
      <c r="L1534" t="s">
        <v>6</v>
      </c>
      <c r="M1534">
        <v>0</v>
      </c>
      <c r="N1534" t="str">
        <f t="shared" si="69"/>
        <v>40–59</v>
      </c>
      <c r="O1534" t="str">
        <f t="shared" si="70"/>
        <v>Obese</v>
      </c>
    </row>
    <row r="1535" spans="1:15" x14ac:dyDescent="0.3">
      <c r="A1535">
        <v>31415</v>
      </c>
      <c r="B1535" t="s">
        <v>7</v>
      </c>
      <c r="C1535">
        <v>54</v>
      </c>
      <c r="D1535">
        <v>0</v>
      </c>
      <c r="E1535">
        <v>0</v>
      </c>
      <c r="F1535" t="str">
        <f t="shared" si="71"/>
        <v>Lower Risk</v>
      </c>
      <c r="G1535" t="s">
        <v>3</v>
      </c>
      <c r="H1535" t="s">
        <v>4</v>
      </c>
      <c r="I1535" t="s">
        <v>5</v>
      </c>
      <c r="J1535">
        <v>207.79</v>
      </c>
      <c r="K1535">
        <v>38.6</v>
      </c>
      <c r="L1535" t="s">
        <v>11</v>
      </c>
      <c r="M1535">
        <v>0</v>
      </c>
      <c r="N1535" t="str">
        <f t="shared" si="69"/>
        <v>40–59</v>
      </c>
      <c r="O1535" t="str">
        <f t="shared" si="70"/>
        <v>Obese</v>
      </c>
    </row>
    <row r="1536" spans="1:15" x14ac:dyDescent="0.3">
      <c r="A1536">
        <v>71322</v>
      </c>
      <c r="B1536" t="s">
        <v>7</v>
      </c>
      <c r="C1536">
        <v>38</v>
      </c>
      <c r="D1536">
        <v>0</v>
      </c>
      <c r="E1536">
        <v>0</v>
      </c>
      <c r="F1536" t="str">
        <f t="shared" si="71"/>
        <v>Lower Risk</v>
      </c>
      <c r="G1536" t="s">
        <v>3</v>
      </c>
      <c r="H1536" t="s">
        <v>4</v>
      </c>
      <c r="I1536" t="s">
        <v>9</v>
      </c>
      <c r="J1536">
        <v>196.2</v>
      </c>
      <c r="K1536">
        <v>32.799999999999997</v>
      </c>
      <c r="L1536" t="s">
        <v>11</v>
      </c>
      <c r="M1536">
        <v>0</v>
      </c>
      <c r="N1536" t="str">
        <f t="shared" si="69"/>
        <v>Under 40</v>
      </c>
      <c r="O1536" t="str">
        <f t="shared" si="70"/>
        <v>Obese</v>
      </c>
    </row>
    <row r="1537" spans="1:15" x14ac:dyDescent="0.3">
      <c r="A1537">
        <v>72337</v>
      </c>
      <c r="B1537" t="s">
        <v>7</v>
      </c>
      <c r="C1537">
        <v>55</v>
      </c>
      <c r="D1537">
        <v>0</v>
      </c>
      <c r="E1537">
        <v>0</v>
      </c>
      <c r="F1537" t="str">
        <f t="shared" si="71"/>
        <v>Lower Risk</v>
      </c>
      <c r="G1537" t="s">
        <v>3</v>
      </c>
      <c r="H1537" t="s">
        <v>4</v>
      </c>
      <c r="I1537" t="s">
        <v>5</v>
      </c>
      <c r="J1537">
        <v>231.76</v>
      </c>
      <c r="K1537">
        <v>42.9</v>
      </c>
      <c r="L1537" t="s">
        <v>11</v>
      </c>
      <c r="M1537">
        <v>0</v>
      </c>
      <c r="N1537" t="str">
        <f t="shared" si="69"/>
        <v>40–59</v>
      </c>
      <c r="O1537" t="str">
        <f t="shared" si="70"/>
        <v>Obese</v>
      </c>
    </row>
    <row r="1538" spans="1:15" x14ac:dyDescent="0.3">
      <c r="A1538">
        <v>25454</v>
      </c>
      <c r="B1538" t="s">
        <v>7</v>
      </c>
      <c r="C1538">
        <v>13</v>
      </c>
      <c r="D1538">
        <v>0</v>
      </c>
      <c r="E1538">
        <v>0</v>
      </c>
      <c r="F1538" t="str">
        <f t="shared" si="71"/>
        <v>Lower Risk</v>
      </c>
      <c r="G1538" t="s">
        <v>13</v>
      </c>
      <c r="H1538" t="s">
        <v>16</v>
      </c>
      <c r="I1538" t="s">
        <v>9</v>
      </c>
      <c r="J1538">
        <v>93.3</v>
      </c>
      <c r="K1538">
        <v>25.9</v>
      </c>
      <c r="L1538" t="s">
        <v>14</v>
      </c>
      <c r="M1538">
        <v>0</v>
      </c>
      <c r="N1538" t="str">
        <f t="shared" ref="N1538:N1601" si="72">IF(C1538&lt;40,"Under 40",IF(C1538&lt;60,"40–59","60+"))</f>
        <v>Under 40</v>
      </c>
      <c r="O1538" t="str">
        <f t="shared" ref="O1538:O1601" si="73">IF(K1538="N/A","Unknown",
IF(K1538="","Unknown",
IF(K1538&lt;18.5,"Underweight",
IF(K1538&lt;25,"Normal",
IF(K1538&lt;30,"Overweight","Obese")))))</f>
        <v>Overweight</v>
      </c>
    </row>
    <row r="1539" spans="1:15" x14ac:dyDescent="0.3">
      <c r="A1539">
        <v>15310</v>
      </c>
      <c r="B1539" t="s">
        <v>7</v>
      </c>
      <c r="C1539">
        <v>45</v>
      </c>
      <c r="D1539">
        <v>0</v>
      </c>
      <c r="E1539">
        <v>0</v>
      </c>
      <c r="F1539" t="str">
        <f t="shared" ref="F1539:F1602" si="74">IF(C1539&gt;=60,
IF(OR(D1539=1,E1539=1),"High Risk","Moderate Risk"),
"Lower Risk")</f>
        <v>Lower Risk</v>
      </c>
      <c r="G1539" t="s">
        <v>3</v>
      </c>
      <c r="H1539" t="s">
        <v>4</v>
      </c>
      <c r="I1539" t="s">
        <v>5</v>
      </c>
      <c r="J1539">
        <v>110.47</v>
      </c>
      <c r="K1539">
        <v>24.7</v>
      </c>
      <c r="L1539" t="s">
        <v>12</v>
      </c>
      <c r="M1539">
        <v>0</v>
      </c>
      <c r="N1539" t="str">
        <f t="shared" si="72"/>
        <v>40–59</v>
      </c>
      <c r="O1539" t="str">
        <f t="shared" si="73"/>
        <v>Normal</v>
      </c>
    </row>
    <row r="1540" spans="1:15" x14ac:dyDescent="0.3">
      <c r="A1540">
        <v>10245</v>
      </c>
      <c r="B1540" t="s">
        <v>7</v>
      </c>
      <c r="C1540">
        <v>54</v>
      </c>
      <c r="D1540">
        <v>0</v>
      </c>
      <c r="E1540">
        <v>0</v>
      </c>
      <c r="F1540" t="str">
        <f t="shared" si="74"/>
        <v>Lower Risk</v>
      </c>
      <c r="G1540" t="s">
        <v>3</v>
      </c>
      <c r="H1540" t="s">
        <v>8</v>
      </c>
      <c r="I1540" t="s">
        <v>9</v>
      </c>
      <c r="J1540">
        <v>77.52</v>
      </c>
      <c r="K1540">
        <v>35.799999999999997</v>
      </c>
      <c r="L1540" t="s">
        <v>11</v>
      </c>
      <c r="M1540">
        <v>0</v>
      </c>
      <c r="N1540" t="str">
        <f t="shared" si="72"/>
        <v>40–59</v>
      </c>
      <c r="O1540" t="str">
        <f t="shared" si="73"/>
        <v>Obese</v>
      </c>
    </row>
    <row r="1541" spans="1:15" x14ac:dyDescent="0.3">
      <c r="A1541">
        <v>29224</v>
      </c>
      <c r="B1541" t="s">
        <v>2</v>
      </c>
      <c r="C1541">
        <v>30</v>
      </c>
      <c r="D1541">
        <v>0</v>
      </c>
      <c r="E1541">
        <v>0</v>
      </c>
      <c r="F1541" t="str">
        <f t="shared" si="74"/>
        <v>Lower Risk</v>
      </c>
      <c r="G1541" t="s">
        <v>3</v>
      </c>
      <c r="H1541" t="s">
        <v>4</v>
      </c>
      <c r="I1541" t="s">
        <v>5</v>
      </c>
      <c r="J1541">
        <v>91.23</v>
      </c>
      <c r="K1541" t="s">
        <v>10</v>
      </c>
      <c r="L1541" t="s">
        <v>12</v>
      </c>
      <c r="M1541">
        <v>0</v>
      </c>
      <c r="N1541" t="str">
        <f t="shared" si="72"/>
        <v>Under 40</v>
      </c>
      <c r="O1541" t="str">
        <f t="shared" si="73"/>
        <v>Unknown</v>
      </c>
    </row>
    <row r="1542" spans="1:15" x14ac:dyDescent="0.3">
      <c r="A1542">
        <v>7550</v>
      </c>
      <c r="B1542" t="s">
        <v>7</v>
      </c>
      <c r="C1542">
        <v>51</v>
      </c>
      <c r="D1542">
        <v>0</v>
      </c>
      <c r="E1542">
        <v>0</v>
      </c>
      <c r="F1542" t="str">
        <f t="shared" si="74"/>
        <v>Lower Risk</v>
      </c>
      <c r="G1542" t="s">
        <v>3</v>
      </c>
      <c r="H1542" t="s">
        <v>4</v>
      </c>
      <c r="I1542" t="s">
        <v>9</v>
      </c>
      <c r="J1542">
        <v>216.92</v>
      </c>
      <c r="K1542">
        <v>31.2</v>
      </c>
      <c r="L1542" t="s">
        <v>14</v>
      </c>
      <c r="M1542">
        <v>0</v>
      </c>
      <c r="N1542" t="str">
        <f t="shared" si="72"/>
        <v>40–59</v>
      </c>
      <c r="O1542" t="str">
        <f t="shared" si="73"/>
        <v>Obese</v>
      </c>
    </row>
    <row r="1543" spans="1:15" x14ac:dyDescent="0.3">
      <c r="A1543">
        <v>57917</v>
      </c>
      <c r="B1543" t="s">
        <v>7</v>
      </c>
      <c r="C1543">
        <v>47</v>
      </c>
      <c r="D1543">
        <v>0</v>
      </c>
      <c r="E1543">
        <v>0</v>
      </c>
      <c r="F1543" t="str">
        <f t="shared" si="74"/>
        <v>Lower Risk</v>
      </c>
      <c r="G1543" t="s">
        <v>3</v>
      </c>
      <c r="H1543" t="s">
        <v>4</v>
      </c>
      <c r="I1543" t="s">
        <v>5</v>
      </c>
      <c r="J1543">
        <v>157.01</v>
      </c>
      <c r="K1543">
        <v>26.1</v>
      </c>
      <c r="L1543" t="s">
        <v>12</v>
      </c>
      <c r="M1543">
        <v>0</v>
      </c>
      <c r="N1543" t="str">
        <f t="shared" si="72"/>
        <v>40–59</v>
      </c>
      <c r="O1543" t="str">
        <f t="shared" si="73"/>
        <v>Overweight</v>
      </c>
    </row>
    <row r="1544" spans="1:15" x14ac:dyDescent="0.3">
      <c r="A1544">
        <v>24219</v>
      </c>
      <c r="B1544" t="s">
        <v>2</v>
      </c>
      <c r="C1544">
        <v>25</v>
      </c>
      <c r="D1544">
        <v>0</v>
      </c>
      <c r="E1544">
        <v>0</v>
      </c>
      <c r="F1544" t="str">
        <f t="shared" si="74"/>
        <v>Lower Risk</v>
      </c>
      <c r="G1544" t="s">
        <v>3</v>
      </c>
      <c r="H1544" t="s">
        <v>4</v>
      </c>
      <c r="I1544" t="s">
        <v>5</v>
      </c>
      <c r="J1544">
        <v>93.51</v>
      </c>
      <c r="K1544">
        <v>30.8</v>
      </c>
      <c r="L1544" t="s">
        <v>11</v>
      </c>
      <c r="M1544">
        <v>0</v>
      </c>
      <c r="N1544" t="str">
        <f t="shared" si="72"/>
        <v>Under 40</v>
      </c>
      <c r="O1544" t="str">
        <f t="shared" si="73"/>
        <v>Obese</v>
      </c>
    </row>
    <row r="1545" spans="1:15" x14ac:dyDescent="0.3">
      <c r="A1545">
        <v>49023</v>
      </c>
      <c r="B1545" t="s">
        <v>2</v>
      </c>
      <c r="C1545">
        <v>61</v>
      </c>
      <c r="D1545">
        <v>1</v>
      </c>
      <c r="E1545">
        <v>0</v>
      </c>
      <c r="F1545" t="str">
        <f t="shared" si="74"/>
        <v>High Risk</v>
      </c>
      <c r="G1545" t="s">
        <v>3</v>
      </c>
      <c r="H1545" t="s">
        <v>8</v>
      </c>
      <c r="I1545" t="s">
        <v>9</v>
      </c>
      <c r="J1545">
        <v>102.54</v>
      </c>
      <c r="K1545">
        <v>40.5</v>
      </c>
      <c r="L1545" t="s">
        <v>11</v>
      </c>
      <c r="M1545">
        <v>0</v>
      </c>
      <c r="N1545" t="str">
        <f t="shared" si="72"/>
        <v>60+</v>
      </c>
      <c r="O1545" t="str">
        <f t="shared" si="73"/>
        <v>Obese</v>
      </c>
    </row>
    <row r="1546" spans="1:15" x14ac:dyDescent="0.3">
      <c r="A1546">
        <v>51020</v>
      </c>
      <c r="B1546" t="s">
        <v>7</v>
      </c>
      <c r="C1546">
        <v>55</v>
      </c>
      <c r="D1546">
        <v>0</v>
      </c>
      <c r="E1546">
        <v>0</v>
      </c>
      <c r="F1546" t="str">
        <f t="shared" si="74"/>
        <v>Lower Risk</v>
      </c>
      <c r="G1546" t="s">
        <v>3</v>
      </c>
      <c r="H1546" t="s">
        <v>4</v>
      </c>
      <c r="I1546" t="s">
        <v>9</v>
      </c>
      <c r="J1546">
        <v>87.78</v>
      </c>
      <c r="K1546">
        <v>25.2</v>
      </c>
      <c r="L1546" t="s">
        <v>6</v>
      </c>
      <c r="M1546">
        <v>0</v>
      </c>
      <c r="N1546" t="str">
        <f t="shared" si="72"/>
        <v>40–59</v>
      </c>
      <c r="O1546" t="str">
        <f t="shared" si="73"/>
        <v>Overweight</v>
      </c>
    </row>
    <row r="1547" spans="1:15" x14ac:dyDescent="0.3">
      <c r="A1547">
        <v>52089</v>
      </c>
      <c r="B1547" t="s">
        <v>7</v>
      </c>
      <c r="C1547">
        <v>23</v>
      </c>
      <c r="D1547">
        <v>0</v>
      </c>
      <c r="E1547">
        <v>0</v>
      </c>
      <c r="F1547" t="str">
        <f t="shared" si="74"/>
        <v>Lower Risk</v>
      </c>
      <c r="G1547" t="s">
        <v>13</v>
      </c>
      <c r="H1547" t="s">
        <v>4</v>
      </c>
      <c r="I1547" t="s">
        <v>5</v>
      </c>
      <c r="J1547">
        <v>126.67</v>
      </c>
      <c r="K1547">
        <v>28.7</v>
      </c>
      <c r="L1547" t="s">
        <v>12</v>
      </c>
      <c r="M1547">
        <v>0</v>
      </c>
      <c r="N1547" t="str">
        <f t="shared" si="72"/>
        <v>Under 40</v>
      </c>
      <c r="O1547" t="str">
        <f t="shared" si="73"/>
        <v>Overweight</v>
      </c>
    </row>
    <row r="1548" spans="1:15" x14ac:dyDescent="0.3">
      <c r="A1548">
        <v>29095</v>
      </c>
      <c r="B1548" t="s">
        <v>2</v>
      </c>
      <c r="C1548">
        <v>71</v>
      </c>
      <c r="D1548">
        <v>1</v>
      </c>
      <c r="E1548">
        <v>0</v>
      </c>
      <c r="F1548" t="str">
        <f t="shared" si="74"/>
        <v>High Risk</v>
      </c>
      <c r="G1548" t="s">
        <v>3</v>
      </c>
      <c r="H1548" t="s">
        <v>8</v>
      </c>
      <c r="I1548" t="s">
        <v>9</v>
      </c>
      <c r="J1548">
        <v>93.6</v>
      </c>
      <c r="K1548" t="s">
        <v>10</v>
      </c>
      <c r="L1548" t="s">
        <v>11</v>
      </c>
      <c r="M1548">
        <v>0</v>
      </c>
      <c r="N1548" t="str">
        <f t="shared" si="72"/>
        <v>60+</v>
      </c>
      <c r="O1548" t="str">
        <f t="shared" si="73"/>
        <v>Unknown</v>
      </c>
    </row>
    <row r="1549" spans="1:15" x14ac:dyDescent="0.3">
      <c r="A1549">
        <v>41424</v>
      </c>
      <c r="B1549" t="s">
        <v>2</v>
      </c>
      <c r="C1549">
        <v>59</v>
      </c>
      <c r="D1549">
        <v>0</v>
      </c>
      <c r="E1549">
        <v>1</v>
      </c>
      <c r="F1549" t="str">
        <f t="shared" si="74"/>
        <v>Lower Risk</v>
      </c>
      <c r="G1549" t="s">
        <v>3</v>
      </c>
      <c r="H1549" t="s">
        <v>8</v>
      </c>
      <c r="I1549" t="s">
        <v>9</v>
      </c>
      <c r="J1549">
        <v>194.98</v>
      </c>
      <c r="K1549">
        <v>30.4</v>
      </c>
      <c r="L1549" t="s">
        <v>14</v>
      </c>
      <c r="M1549">
        <v>0</v>
      </c>
      <c r="N1549" t="str">
        <f t="shared" si="72"/>
        <v>40–59</v>
      </c>
      <c r="O1549" t="str">
        <f t="shared" si="73"/>
        <v>Obese</v>
      </c>
    </row>
    <row r="1550" spans="1:15" x14ac:dyDescent="0.3">
      <c r="A1550">
        <v>7297</v>
      </c>
      <c r="B1550" t="s">
        <v>2</v>
      </c>
      <c r="C1550">
        <v>4</v>
      </c>
      <c r="D1550">
        <v>0</v>
      </c>
      <c r="E1550">
        <v>0</v>
      </c>
      <c r="F1550" t="str">
        <f t="shared" si="74"/>
        <v>Lower Risk</v>
      </c>
      <c r="G1550" t="s">
        <v>13</v>
      </c>
      <c r="H1550" t="s">
        <v>16</v>
      </c>
      <c r="I1550" t="s">
        <v>9</v>
      </c>
      <c r="J1550">
        <v>99.96</v>
      </c>
      <c r="K1550">
        <v>15.2</v>
      </c>
      <c r="L1550" t="s">
        <v>14</v>
      </c>
      <c r="M1550">
        <v>0</v>
      </c>
      <c r="N1550" t="str">
        <f t="shared" si="72"/>
        <v>Under 40</v>
      </c>
      <c r="O1550" t="str">
        <f t="shared" si="73"/>
        <v>Underweight</v>
      </c>
    </row>
    <row r="1551" spans="1:15" x14ac:dyDescent="0.3">
      <c r="A1551">
        <v>68994</v>
      </c>
      <c r="B1551" t="s">
        <v>2</v>
      </c>
      <c r="C1551">
        <v>65</v>
      </c>
      <c r="D1551">
        <v>0</v>
      </c>
      <c r="E1551">
        <v>0</v>
      </c>
      <c r="F1551" t="str">
        <f t="shared" si="74"/>
        <v>Moderate Risk</v>
      </c>
      <c r="G1551" t="s">
        <v>3</v>
      </c>
      <c r="H1551" t="s">
        <v>4</v>
      </c>
      <c r="I1551" t="s">
        <v>5</v>
      </c>
      <c r="J1551">
        <v>58.87</v>
      </c>
      <c r="K1551">
        <v>36.6</v>
      </c>
      <c r="L1551" t="s">
        <v>11</v>
      </c>
      <c r="M1551">
        <v>0</v>
      </c>
      <c r="N1551" t="str">
        <f t="shared" si="72"/>
        <v>60+</v>
      </c>
      <c r="O1551" t="str">
        <f t="shared" si="73"/>
        <v>Obese</v>
      </c>
    </row>
    <row r="1552" spans="1:15" x14ac:dyDescent="0.3">
      <c r="A1552">
        <v>25935</v>
      </c>
      <c r="B1552" t="s">
        <v>7</v>
      </c>
      <c r="C1552">
        <v>50</v>
      </c>
      <c r="D1552">
        <v>0</v>
      </c>
      <c r="E1552">
        <v>0</v>
      </c>
      <c r="F1552" t="str">
        <f t="shared" si="74"/>
        <v>Lower Risk</v>
      </c>
      <c r="G1552" t="s">
        <v>13</v>
      </c>
      <c r="H1552" t="s">
        <v>8</v>
      </c>
      <c r="I1552" t="s">
        <v>5</v>
      </c>
      <c r="J1552">
        <v>77.67</v>
      </c>
      <c r="K1552">
        <v>34.5</v>
      </c>
      <c r="L1552" t="s">
        <v>14</v>
      </c>
      <c r="M1552">
        <v>0</v>
      </c>
      <c r="N1552" t="str">
        <f t="shared" si="72"/>
        <v>40–59</v>
      </c>
      <c r="O1552" t="str">
        <f t="shared" si="73"/>
        <v>Obese</v>
      </c>
    </row>
    <row r="1553" spans="1:15" x14ac:dyDescent="0.3">
      <c r="A1553">
        <v>29910</v>
      </c>
      <c r="B1553" t="s">
        <v>2</v>
      </c>
      <c r="C1553">
        <v>42</v>
      </c>
      <c r="D1553">
        <v>0</v>
      </c>
      <c r="E1553">
        <v>0</v>
      </c>
      <c r="F1553" t="str">
        <f t="shared" si="74"/>
        <v>Lower Risk</v>
      </c>
      <c r="G1553" t="s">
        <v>3</v>
      </c>
      <c r="H1553" t="s">
        <v>4</v>
      </c>
      <c r="I1553" t="s">
        <v>5</v>
      </c>
      <c r="J1553">
        <v>83.14</v>
      </c>
      <c r="K1553">
        <v>23.7</v>
      </c>
      <c r="L1553" t="s">
        <v>11</v>
      </c>
      <c r="M1553">
        <v>0</v>
      </c>
      <c r="N1553" t="str">
        <f t="shared" si="72"/>
        <v>40–59</v>
      </c>
      <c r="O1553" t="str">
        <f t="shared" si="73"/>
        <v>Normal</v>
      </c>
    </row>
    <row r="1554" spans="1:15" x14ac:dyDescent="0.3">
      <c r="A1554">
        <v>24567</v>
      </c>
      <c r="B1554" t="s">
        <v>2</v>
      </c>
      <c r="C1554">
        <v>51</v>
      </c>
      <c r="D1554">
        <v>0</v>
      </c>
      <c r="E1554">
        <v>0</v>
      </c>
      <c r="F1554" t="str">
        <f t="shared" si="74"/>
        <v>Lower Risk</v>
      </c>
      <c r="G1554" t="s">
        <v>3</v>
      </c>
      <c r="H1554" t="s">
        <v>8</v>
      </c>
      <c r="I1554" t="s">
        <v>5</v>
      </c>
      <c r="J1554">
        <v>69.180000000000007</v>
      </c>
      <c r="K1554">
        <v>35.700000000000003</v>
      </c>
      <c r="L1554" t="s">
        <v>12</v>
      </c>
      <c r="M1554">
        <v>0</v>
      </c>
      <c r="N1554" t="str">
        <f t="shared" si="72"/>
        <v>40–59</v>
      </c>
      <c r="O1554" t="str">
        <f t="shared" si="73"/>
        <v>Obese</v>
      </c>
    </row>
    <row r="1555" spans="1:15" x14ac:dyDescent="0.3">
      <c r="A1555">
        <v>54858</v>
      </c>
      <c r="B1555" t="s">
        <v>2</v>
      </c>
      <c r="C1555">
        <v>66</v>
      </c>
      <c r="D1555">
        <v>0</v>
      </c>
      <c r="E1555">
        <v>0</v>
      </c>
      <c r="F1555" t="str">
        <f t="shared" si="74"/>
        <v>Moderate Risk</v>
      </c>
      <c r="G1555" t="s">
        <v>3</v>
      </c>
      <c r="H1555" t="s">
        <v>15</v>
      </c>
      <c r="I1555" t="s">
        <v>9</v>
      </c>
      <c r="J1555">
        <v>218.54</v>
      </c>
      <c r="K1555">
        <v>38.9</v>
      </c>
      <c r="L1555" t="s">
        <v>12</v>
      </c>
      <c r="M1555">
        <v>0</v>
      </c>
      <c r="N1555" t="str">
        <f t="shared" si="72"/>
        <v>60+</v>
      </c>
      <c r="O1555" t="str">
        <f t="shared" si="73"/>
        <v>Obese</v>
      </c>
    </row>
    <row r="1556" spans="1:15" x14ac:dyDescent="0.3">
      <c r="A1556">
        <v>36679</v>
      </c>
      <c r="B1556" t="s">
        <v>7</v>
      </c>
      <c r="C1556">
        <v>22</v>
      </c>
      <c r="D1556">
        <v>1</v>
      </c>
      <c r="E1556">
        <v>0</v>
      </c>
      <c r="F1556" t="str">
        <f t="shared" si="74"/>
        <v>Lower Risk</v>
      </c>
      <c r="G1556" t="s">
        <v>13</v>
      </c>
      <c r="H1556" t="s">
        <v>4</v>
      </c>
      <c r="I1556" t="s">
        <v>5</v>
      </c>
      <c r="J1556">
        <v>71.22</v>
      </c>
      <c r="K1556">
        <v>40</v>
      </c>
      <c r="L1556" t="s">
        <v>11</v>
      </c>
      <c r="M1556">
        <v>0</v>
      </c>
      <c r="N1556" t="str">
        <f t="shared" si="72"/>
        <v>Under 40</v>
      </c>
      <c r="O1556" t="str">
        <f t="shared" si="73"/>
        <v>Obese</v>
      </c>
    </row>
    <row r="1557" spans="1:15" x14ac:dyDescent="0.3">
      <c r="A1557">
        <v>59339</v>
      </c>
      <c r="B1557" t="s">
        <v>2</v>
      </c>
      <c r="C1557">
        <v>5</v>
      </c>
      <c r="D1557">
        <v>0</v>
      </c>
      <c r="E1557">
        <v>0</v>
      </c>
      <c r="F1557" t="str">
        <f t="shared" si="74"/>
        <v>Lower Risk</v>
      </c>
      <c r="G1557" t="s">
        <v>13</v>
      </c>
      <c r="H1557" t="s">
        <v>16</v>
      </c>
      <c r="I1557" t="s">
        <v>5</v>
      </c>
      <c r="J1557">
        <v>82.41</v>
      </c>
      <c r="K1557">
        <v>18.399999999999999</v>
      </c>
      <c r="L1557" t="s">
        <v>14</v>
      </c>
      <c r="M1557">
        <v>0</v>
      </c>
      <c r="N1557" t="str">
        <f t="shared" si="72"/>
        <v>Under 40</v>
      </c>
      <c r="O1557" t="str">
        <f t="shared" si="73"/>
        <v>Underweight</v>
      </c>
    </row>
    <row r="1558" spans="1:15" x14ac:dyDescent="0.3">
      <c r="A1558">
        <v>18754</v>
      </c>
      <c r="B1558" t="s">
        <v>2</v>
      </c>
      <c r="C1558">
        <v>19</v>
      </c>
      <c r="D1558">
        <v>0</v>
      </c>
      <c r="E1558">
        <v>0</v>
      </c>
      <c r="F1558" t="str">
        <f t="shared" si="74"/>
        <v>Lower Risk</v>
      </c>
      <c r="G1558" t="s">
        <v>13</v>
      </c>
      <c r="H1558" t="s">
        <v>8</v>
      </c>
      <c r="I1558" t="s">
        <v>9</v>
      </c>
      <c r="J1558">
        <v>82.07</v>
      </c>
      <c r="K1558">
        <v>29</v>
      </c>
      <c r="L1558" t="s">
        <v>11</v>
      </c>
      <c r="M1558">
        <v>0</v>
      </c>
      <c r="N1558" t="str">
        <f t="shared" si="72"/>
        <v>Under 40</v>
      </c>
      <c r="O1558" t="str">
        <f t="shared" si="73"/>
        <v>Overweight</v>
      </c>
    </row>
    <row r="1559" spans="1:15" x14ac:dyDescent="0.3">
      <c r="A1559">
        <v>34312</v>
      </c>
      <c r="B1559" t="s">
        <v>7</v>
      </c>
      <c r="C1559">
        <v>47</v>
      </c>
      <c r="D1559">
        <v>0</v>
      </c>
      <c r="E1559">
        <v>0</v>
      </c>
      <c r="F1559" t="str">
        <f t="shared" si="74"/>
        <v>Lower Risk</v>
      </c>
      <c r="G1559" t="s">
        <v>3</v>
      </c>
      <c r="H1559" t="s">
        <v>8</v>
      </c>
      <c r="I1559" t="s">
        <v>5</v>
      </c>
      <c r="J1559">
        <v>73</v>
      </c>
      <c r="K1559">
        <v>20.6</v>
      </c>
      <c r="L1559" t="s">
        <v>11</v>
      </c>
      <c r="M1559">
        <v>0</v>
      </c>
      <c r="N1559" t="str">
        <f t="shared" si="72"/>
        <v>40–59</v>
      </c>
      <c r="O1559" t="str">
        <f t="shared" si="73"/>
        <v>Normal</v>
      </c>
    </row>
    <row r="1560" spans="1:15" x14ac:dyDescent="0.3">
      <c r="A1560">
        <v>57798</v>
      </c>
      <c r="B1560" t="s">
        <v>2</v>
      </c>
      <c r="C1560">
        <v>12</v>
      </c>
      <c r="D1560">
        <v>0</v>
      </c>
      <c r="E1560">
        <v>0</v>
      </c>
      <c r="F1560" t="str">
        <f t="shared" si="74"/>
        <v>Lower Risk</v>
      </c>
      <c r="G1560" t="s">
        <v>13</v>
      </c>
      <c r="H1560" t="s">
        <v>16</v>
      </c>
      <c r="I1560" t="s">
        <v>9</v>
      </c>
      <c r="J1560">
        <v>127.25</v>
      </c>
      <c r="K1560">
        <v>28.2</v>
      </c>
      <c r="L1560" t="s">
        <v>14</v>
      </c>
      <c r="M1560">
        <v>0</v>
      </c>
      <c r="N1560" t="str">
        <f t="shared" si="72"/>
        <v>Under 40</v>
      </c>
      <c r="O1560" t="str">
        <f t="shared" si="73"/>
        <v>Overweight</v>
      </c>
    </row>
    <row r="1561" spans="1:15" x14ac:dyDescent="0.3">
      <c r="A1561">
        <v>37759</v>
      </c>
      <c r="B1561" t="s">
        <v>7</v>
      </c>
      <c r="C1561">
        <v>53</v>
      </c>
      <c r="D1561">
        <v>0</v>
      </c>
      <c r="E1561">
        <v>0</v>
      </c>
      <c r="F1561" t="str">
        <f t="shared" si="74"/>
        <v>Lower Risk</v>
      </c>
      <c r="G1561" t="s">
        <v>3</v>
      </c>
      <c r="H1561" t="s">
        <v>4</v>
      </c>
      <c r="I1561" t="s">
        <v>9</v>
      </c>
      <c r="J1561">
        <v>72.63</v>
      </c>
      <c r="K1561">
        <v>66.8</v>
      </c>
      <c r="L1561" t="s">
        <v>14</v>
      </c>
      <c r="M1561">
        <v>0</v>
      </c>
      <c r="N1561" t="str">
        <f t="shared" si="72"/>
        <v>40–59</v>
      </c>
      <c r="O1561" t="str">
        <f t="shared" si="73"/>
        <v>Obese</v>
      </c>
    </row>
    <row r="1562" spans="1:15" x14ac:dyDescent="0.3">
      <c r="A1562">
        <v>11605</v>
      </c>
      <c r="B1562" t="s">
        <v>7</v>
      </c>
      <c r="C1562">
        <v>26</v>
      </c>
      <c r="D1562">
        <v>0</v>
      </c>
      <c r="E1562">
        <v>0</v>
      </c>
      <c r="F1562" t="str">
        <f t="shared" si="74"/>
        <v>Lower Risk</v>
      </c>
      <c r="G1562" t="s">
        <v>13</v>
      </c>
      <c r="H1562" t="s">
        <v>4</v>
      </c>
      <c r="I1562" t="s">
        <v>9</v>
      </c>
      <c r="J1562">
        <v>108.2</v>
      </c>
      <c r="K1562">
        <v>26.2</v>
      </c>
      <c r="L1562" t="s">
        <v>11</v>
      </c>
      <c r="M1562">
        <v>0</v>
      </c>
      <c r="N1562" t="str">
        <f t="shared" si="72"/>
        <v>Under 40</v>
      </c>
      <c r="O1562" t="str">
        <f t="shared" si="73"/>
        <v>Overweight</v>
      </c>
    </row>
    <row r="1563" spans="1:15" x14ac:dyDescent="0.3">
      <c r="A1563">
        <v>47558</v>
      </c>
      <c r="B1563" t="s">
        <v>2</v>
      </c>
      <c r="C1563">
        <v>62</v>
      </c>
      <c r="D1563">
        <v>1</v>
      </c>
      <c r="E1563">
        <v>1</v>
      </c>
      <c r="F1563" t="str">
        <f t="shared" si="74"/>
        <v>High Risk</v>
      </c>
      <c r="G1563" t="s">
        <v>3</v>
      </c>
      <c r="H1563" t="s">
        <v>4</v>
      </c>
      <c r="I1563" t="s">
        <v>5</v>
      </c>
      <c r="J1563">
        <v>123.95</v>
      </c>
      <c r="K1563">
        <v>34.799999999999997</v>
      </c>
      <c r="L1563" t="s">
        <v>6</v>
      </c>
      <c r="M1563">
        <v>0</v>
      </c>
      <c r="N1563" t="str">
        <f t="shared" si="72"/>
        <v>60+</v>
      </c>
      <c r="O1563" t="str">
        <f t="shared" si="73"/>
        <v>Obese</v>
      </c>
    </row>
    <row r="1564" spans="1:15" x14ac:dyDescent="0.3">
      <c r="A1564">
        <v>54264</v>
      </c>
      <c r="B1564" t="s">
        <v>7</v>
      </c>
      <c r="C1564">
        <v>81</v>
      </c>
      <c r="D1564">
        <v>1</v>
      </c>
      <c r="E1564">
        <v>0</v>
      </c>
      <c r="F1564" t="str">
        <f t="shared" si="74"/>
        <v>High Risk</v>
      </c>
      <c r="G1564" t="s">
        <v>3</v>
      </c>
      <c r="H1564" t="s">
        <v>4</v>
      </c>
      <c r="I1564" t="s">
        <v>5</v>
      </c>
      <c r="J1564">
        <v>58.71</v>
      </c>
      <c r="K1564">
        <v>34.5</v>
      </c>
      <c r="L1564" t="s">
        <v>11</v>
      </c>
      <c r="M1564">
        <v>0</v>
      </c>
      <c r="N1564" t="str">
        <f t="shared" si="72"/>
        <v>60+</v>
      </c>
      <c r="O1564" t="str">
        <f t="shared" si="73"/>
        <v>Obese</v>
      </c>
    </row>
    <row r="1565" spans="1:15" x14ac:dyDescent="0.3">
      <c r="A1565">
        <v>47893</v>
      </c>
      <c r="B1565" t="s">
        <v>2</v>
      </c>
      <c r="C1565">
        <v>63</v>
      </c>
      <c r="D1565">
        <v>0</v>
      </c>
      <c r="E1565">
        <v>0</v>
      </c>
      <c r="F1565" t="str">
        <f t="shared" si="74"/>
        <v>Moderate Risk</v>
      </c>
      <c r="G1565" t="s">
        <v>3</v>
      </c>
      <c r="H1565" t="s">
        <v>4</v>
      </c>
      <c r="I1565" t="s">
        <v>9</v>
      </c>
      <c r="J1565">
        <v>98.46</v>
      </c>
      <c r="K1565">
        <v>30.6</v>
      </c>
      <c r="L1565" t="s">
        <v>11</v>
      </c>
      <c r="M1565">
        <v>0</v>
      </c>
      <c r="N1565" t="str">
        <f t="shared" si="72"/>
        <v>60+</v>
      </c>
      <c r="O1565" t="str">
        <f t="shared" si="73"/>
        <v>Obese</v>
      </c>
    </row>
    <row r="1566" spans="1:15" x14ac:dyDescent="0.3">
      <c r="A1566">
        <v>3178</v>
      </c>
      <c r="B1566" t="s">
        <v>7</v>
      </c>
      <c r="C1566">
        <v>25</v>
      </c>
      <c r="D1566">
        <v>0</v>
      </c>
      <c r="E1566">
        <v>0</v>
      </c>
      <c r="F1566" t="str">
        <f t="shared" si="74"/>
        <v>Lower Risk</v>
      </c>
      <c r="G1566" t="s">
        <v>3</v>
      </c>
      <c r="H1566" t="s">
        <v>4</v>
      </c>
      <c r="I1566" t="s">
        <v>9</v>
      </c>
      <c r="J1566">
        <v>68.78</v>
      </c>
      <c r="K1566">
        <v>55.1</v>
      </c>
      <c r="L1566" t="s">
        <v>6</v>
      </c>
      <c r="M1566">
        <v>0</v>
      </c>
      <c r="N1566" t="str">
        <f t="shared" si="72"/>
        <v>Under 40</v>
      </c>
      <c r="O1566" t="str">
        <f t="shared" si="73"/>
        <v>Obese</v>
      </c>
    </row>
    <row r="1567" spans="1:15" x14ac:dyDescent="0.3">
      <c r="A1567">
        <v>61924</v>
      </c>
      <c r="B1567" t="s">
        <v>2</v>
      </c>
      <c r="C1567">
        <v>8</v>
      </c>
      <c r="D1567">
        <v>0</v>
      </c>
      <c r="E1567">
        <v>0</v>
      </c>
      <c r="F1567" t="str">
        <f t="shared" si="74"/>
        <v>Lower Risk</v>
      </c>
      <c r="G1567" t="s">
        <v>13</v>
      </c>
      <c r="H1567" t="s">
        <v>16</v>
      </c>
      <c r="I1567" t="s">
        <v>9</v>
      </c>
      <c r="J1567">
        <v>133.63</v>
      </c>
      <c r="K1567">
        <v>18.8</v>
      </c>
      <c r="L1567" t="s">
        <v>14</v>
      </c>
      <c r="M1567">
        <v>0</v>
      </c>
      <c r="N1567" t="str">
        <f t="shared" si="72"/>
        <v>Under 40</v>
      </c>
      <c r="O1567" t="str">
        <f t="shared" si="73"/>
        <v>Normal</v>
      </c>
    </row>
    <row r="1568" spans="1:15" x14ac:dyDescent="0.3">
      <c r="A1568">
        <v>18141</v>
      </c>
      <c r="B1568" t="s">
        <v>2</v>
      </c>
      <c r="C1568">
        <v>76</v>
      </c>
      <c r="D1568">
        <v>0</v>
      </c>
      <c r="E1568">
        <v>1</v>
      </c>
      <c r="F1568" t="str">
        <f t="shared" si="74"/>
        <v>High Risk</v>
      </c>
      <c r="G1568" t="s">
        <v>3</v>
      </c>
      <c r="H1568" t="s">
        <v>8</v>
      </c>
      <c r="I1568" t="s">
        <v>9</v>
      </c>
      <c r="J1568">
        <v>101.43</v>
      </c>
      <c r="K1568">
        <v>29.1</v>
      </c>
      <c r="L1568" t="s">
        <v>14</v>
      </c>
      <c r="M1568">
        <v>0</v>
      </c>
      <c r="N1568" t="str">
        <f t="shared" si="72"/>
        <v>60+</v>
      </c>
      <c r="O1568" t="str">
        <f t="shared" si="73"/>
        <v>Overweight</v>
      </c>
    </row>
    <row r="1569" spans="1:15" x14ac:dyDescent="0.3">
      <c r="A1569">
        <v>58015</v>
      </c>
      <c r="B1569" t="s">
        <v>7</v>
      </c>
      <c r="C1569">
        <v>44</v>
      </c>
      <c r="D1569">
        <v>0</v>
      </c>
      <c r="E1569">
        <v>0</v>
      </c>
      <c r="F1569" t="str">
        <f t="shared" si="74"/>
        <v>Lower Risk</v>
      </c>
      <c r="G1569" t="s">
        <v>13</v>
      </c>
      <c r="H1569" t="s">
        <v>4</v>
      </c>
      <c r="I1569" t="s">
        <v>9</v>
      </c>
      <c r="J1569">
        <v>65.3</v>
      </c>
      <c r="K1569">
        <v>22.1</v>
      </c>
      <c r="L1569" t="s">
        <v>12</v>
      </c>
      <c r="M1569">
        <v>0</v>
      </c>
      <c r="N1569" t="str">
        <f t="shared" si="72"/>
        <v>40–59</v>
      </c>
      <c r="O1569" t="str">
        <f t="shared" si="73"/>
        <v>Normal</v>
      </c>
    </row>
    <row r="1570" spans="1:15" x14ac:dyDescent="0.3">
      <c r="A1570">
        <v>354</v>
      </c>
      <c r="B1570" t="s">
        <v>7</v>
      </c>
      <c r="C1570">
        <v>65</v>
      </c>
      <c r="D1570">
        <v>0</v>
      </c>
      <c r="E1570">
        <v>0</v>
      </c>
      <c r="F1570" t="str">
        <f t="shared" si="74"/>
        <v>Moderate Risk</v>
      </c>
      <c r="G1570" t="s">
        <v>3</v>
      </c>
      <c r="H1570" t="s">
        <v>4</v>
      </c>
      <c r="I1570" t="s">
        <v>5</v>
      </c>
      <c r="J1570">
        <v>72.489999999999995</v>
      </c>
      <c r="K1570">
        <v>28.9</v>
      </c>
      <c r="L1570" t="s">
        <v>12</v>
      </c>
      <c r="M1570">
        <v>0</v>
      </c>
      <c r="N1570" t="str">
        <f t="shared" si="72"/>
        <v>60+</v>
      </c>
      <c r="O1570" t="str">
        <f t="shared" si="73"/>
        <v>Overweight</v>
      </c>
    </row>
    <row r="1571" spans="1:15" x14ac:dyDescent="0.3">
      <c r="A1571">
        <v>5777</v>
      </c>
      <c r="B1571" t="s">
        <v>7</v>
      </c>
      <c r="C1571">
        <v>54</v>
      </c>
      <c r="D1571">
        <v>0</v>
      </c>
      <c r="E1571">
        <v>0</v>
      </c>
      <c r="F1571" t="str">
        <f t="shared" si="74"/>
        <v>Lower Risk</v>
      </c>
      <c r="G1571" t="s">
        <v>3</v>
      </c>
      <c r="H1571" t="s">
        <v>4</v>
      </c>
      <c r="I1571" t="s">
        <v>5</v>
      </c>
      <c r="J1571">
        <v>65.489999999999995</v>
      </c>
      <c r="K1571">
        <v>34.700000000000003</v>
      </c>
      <c r="L1571" t="s">
        <v>14</v>
      </c>
      <c r="M1571">
        <v>0</v>
      </c>
      <c r="N1571" t="str">
        <f t="shared" si="72"/>
        <v>40–59</v>
      </c>
      <c r="O1571" t="str">
        <f t="shared" si="73"/>
        <v>Obese</v>
      </c>
    </row>
    <row r="1572" spans="1:15" x14ac:dyDescent="0.3">
      <c r="A1572">
        <v>43271</v>
      </c>
      <c r="B1572" t="s">
        <v>7</v>
      </c>
      <c r="C1572">
        <v>24</v>
      </c>
      <c r="D1572">
        <v>0</v>
      </c>
      <c r="E1572">
        <v>0</v>
      </c>
      <c r="F1572" t="str">
        <f t="shared" si="74"/>
        <v>Lower Risk</v>
      </c>
      <c r="G1572" t="s">
        <v>13</v>
      </c>
      <c r="H1572" t="s">
        <v>15</v>
      </c>
      <c r="I1572" t="s">
        <v>5</v>
      </c>
      <c r="J1572">
        <v>63.4</v>
      </c>
      <c r="K1572">
        <v>20.3</v>
      </c>
      <c r="L1572" t="s">
        <v>12</v>
      </c>
      <c r="M1572">
        <v>0</v>
      </c>
      <c r="N1572" t="str">
        <f t="shared" si="72"/>
        <v>Under 40</v>
      </c>
      <c r="O1572" t="str">
        <f t="shared" si="73"/>
        <v>Normal</v>
      </c>
    </row>
    <row r="1573" spans="1:15" x14ac:dyDescent="0.3">
      <c r="A1573">
        <v>46210</v>
      </c>
      <c r="B1573" t="s">
        <v>7</v>
      </c>
      <c r="C1573">
        <v>65</v>
      </c>
      <c r="D1573">
        <v>0</v>
      </c>
      <c r="E1573">
        <v>0</v>
      </c>
      <c r="F1573" t="str">
        <f t="shared" si="74"/>
        <v>Moderate Risk</v>
      </c>
      <c r="G1573" t="s">
        <v>3</v>
      </c>
      <c r="H1573" t="s">
        <v>8</v>
      </c>
      <c r="I1573" t="s">
        <v>9</v>
      </c>
      <c r="J1573">
        <v>105.29</v>
      </c>
      <c r="K1573">
        <v>25.1</v>
      </c>
      <c r="L1573" t="s">
        <v>6</v>
      </c>
      <c r="M1573">
        <v>0</v>
      </c>
      <c r="N1573" t="str">
        <f t="shared" si="72"/>
        <v>60+</v>
      </c>
      <c r="O1573" t="str">
        <f t="shared" si="73"/>
        <v>Overweight</v>
      </c>
    </row>
    <row r="1574" spans="1:15" x14ac:dyDescent="0.3">
      <c r="A1574">
        <v>39714</v>
      </c>
      <c r="B1574" t="s">
        <v>2</v>
      </c>
      <c r="C1574">
        <v>12</v>
      </c>
      <c r="D1574">
        <v>0</v>
      </c>
      <c r="E1574">
        <v>0</v>
      </c>
      <c r="F1574" t="str">
        <f t="shared" si="74"/>
        <v>Lower Risk</v>
      </c>
      <c r="G1574" t="s">
        <v>13</v>
      </c>
      <c r="H1574" t="s">
        <v>16</v>
      </c>
      <c r="I1574" t="s">
        <v>5</v>
      </c>
      <c r="J1574">
        <v>64.08</v>
      </c>
      <c r="K1574">
        <v>18.2</v>
      </c>
      <c r="L1574" t="s">
        <v>14</v>
      </c>
      <c r="M1574">
        <v>0</v>
      </c>
      <c r="N1574" t="str">
        <f t="shared" si="72"/>
        <v>Under 40</v>
      </c>
      <c r="O1574" t="str">
        <f t="shared" si="73"/>
        <v>Underweight</v>
      </c>
    </row>
    <row r="1575" spans="1:15" x14ac:dyDescent="0.3">
      <c r="A1575">
        <v>21785</v>
      </c>
      <c r="B1575" t="s">
        <v>7</v>
      </c>
      <c r="C1575">
        <v>33</v>
      </c>
      <c r="D1575">
        <v>0</v>
      </c>
      <c r="E1575">
        <v>0</v>
      </c>
      <c r="F1575" t="str">
        <f t="shared" si="74"/>
        <v>Lower Risk</v>
      </c>
      <c r="G1575" t="s">
        <v>13</v>
      </c>
      <c r="H1575" t="s">
        <v>4</v>
      </c>
      <c r="I1575" t="s">
        <v>5</v>
      </c>
      <c r="J1575">
        <v>78.34</v>
      </c>
      <c r="K1575">
        <v>25.5</v>
      </c>
      <c r="L1575" t="s">
        <v>11</v>
      </c>
      <c r="M1575">
        <v>0</v>
      </c>
      <c r="N1575" t="str">
        <f t="shared" si="72"/>
        <v>Under 40</v>
      </c>
      <c r="O1575" t="str">
        <f t="shared" si="73"/>
        <v>Overweight</v>
      </c>
    </row>
    <row r="1576" spans="1:15" x14ac:dyDescent="0.3">
      <c r="A1576">
        <v>36620</v>
      </c>
      <c r="B1576" t="s">
        <v>7</v>
      </c>
      <c r="C1576">
        <v>74</v>
      </c>
      <c r="D1576">
        <v>0</v>
      </c>
      <c r="E1576">
        <v>0</v>
      </c>
      <c r="F1576" t="str">
        <f t="shared" si="74"/>
        <v>Moderate Risk</v>
      </c>
      <c r="G1576" t="s">
        <v>3</v>
      </c>
      <c r="H1576" t="s">
        <v>4</v>
      </c>
      <c r="I1576" t="s">
        <v>9</v>
      </c>
      <c r="J1576">
        <v>66.319999999999993</v>
      </c>
      <c r="K1576">
        <v>34.4</v>
      </c>
      <c r="L1576" t="s">
        <v>6</v>
      </c>
      <c r="M1576">
        <v>0</v>
      </c>
      <c r="N1576" t="str">
        <f t="shared" si="72"/>
        <v>60+</v>
      </c>
      <c r="O1576" t="str">
        <f t="shared" si="73"/>
        <v>Obese</v>
      </c>
    </row>
    <row r="1577" spans="1:15" x14ac:dyDescent="0.3">
      <c r="A1577">
        <v>49495</v>
      </c>
      <c r="B1577" t="s">
        <v>7</v>
      </c>
      <c r="C1577">
        <v>18</v>
      </c>
      <c r="D1577">
        <v>0</v>
      </c>
      <c r="E1577">
        <v>0</v>
      </c>
      <c r="F1577" t="str">
        <f t="shared" si="74"/>
        <v>Lower Risk</v>
      </c>
      <c r="G1577" t="s">
        <v>13</v>
      </c>
      <c r="H1577" t="s">
        <v>4</v>
      </c>
      <c r="I1577" t="s">
        <v>9</v>
      </c>
      <c r="J1577">
        <v>168.15</v>
      </c>
      <c r="K1577">
        <v>48.5</v>
      </c>
      <c r="L1577" t="s">
        <v>11</v>
      </c>
      <c r="M1577">
        <v>0</v>
      </c>
      <c r="N1577" t="str">
        <f t="shared" si="72"/>
        <v>Under 40</v>
      </c>
      <c r="O1577" t="str">
        <f t="shared" si="73"/>
        <v>Obese</v>
      </c>
    </row>
    <row r="1578" spans="1:15" x14ac:dyDescent="0.3">
      <c r="A1578">
        <v>21720</v>
      </c>
      <c r="B1578" t="s">
        <v>7</v>
      </c>
      <c r="C1578">
        <v>77</v>
      </c>
      <c r="D1578">
        <v>0</v>
      </c>
      <c r="E1578">
        <v>0</v>
      </c>
      <c r="F1578" t="str">
        <f t="shared" si="74"/>
        <v>Moderate Risk</v>
      </c>
      <c r="G1578" t="s">
        <v>3</v>
      </c>
      <c r="H1578" t="s">
        <v>4</v>
      </c>
      <c r="I1578" t="s">
        <v>9</v>
      </c>
      <c r="J1578">
        <v>93.48</v>
      </c>
      <c r="K1578">
        <v>25.2</v>
      </c>
      <c r="L1578" t="s">
        <v>6</v>
      </c>
      <c r="M1578">
        <v>0</v>
      </c>
      <c r="N1578" t="str">
        <f t="shared" si="72"/>
        <v>60+</v>
      </c>
      <c r="O1578" t="str">
        <f t="shared" si="73"/>
        <v>Overweight</v>
      </c>
    </row>
    <row r="1579" spans="1:15" x14ac:dyDescent="0.3">
      <c r="A1579">
        <v>6304</v>
      </c>
      <c r="B1579" t="s">
        <v>2</v>
      </c>
      <c r="C1579">
        <v>48</v>
      </c>
      <c r="D1579">
        <v>1</v>
      </c>
      <c r="E1579">
        <v>0</v>
      </c>
      <c r="F1579" t="str">
        <f t="shared" si="74"/>
        <v>Lower Risk</v>
      </c>
      <c r="G1579" t="s">
        <v>3</v>
      </c>
      <c r="H1579" t="s">
        <v>8</v>
      </c>
      <c r="I1579" t="s">
        <v>5</v>
      </c>
      <c r="J1579">
        <v>79.2</v>
      </c>
      <c r="K1579">
        <v>32.5</v>
      </c>
      <c r="L1579" t="s">
        <v>11</v>
      </c>
      <c r="M1579">
        <v>0</v>
      </c>
      <c r="N1579" t="str">
        <f t="shared" si="72"/>
        <v>40–59</v>
      </c>
      <c r="O1579" t="str">
        <f t="shared" si="73"/>
        <v>Obese</v>
      </c>
    </row>
    <row r="1580" spans="1:15" x14ac:dyDescent="0.3">
      <c r="A1580">
        <v>18887</v>
      </c>
      <c r="B1580" t="s">
        <v>2</v>
      </c>
      <c r="C1580">
        <v>52</v>
      </c>
      <c r="D1580">
        <v>0</v>
      </c>
      <c r="E1580">
        <v>0</v>
      </c>
      <c r="F1580" t="str">
        <f t="shared" si="74"/>
        <v>Lower Risk</v>
      </c>
      <c r="G1580" t="s">
        <v>3</v>
      </c>
      <c r="H1580" t="s">
        <v>4</v>
      </c>
      <c r="I1580" t="s">
        <v>9</v>
      </c>
      <c r="J1580">
        <v>107.45</v>
      </c>
      <c r="K1580">
        <v>42.1</v>
      </c>
      <c r="L1580" t="s">
        <v>6</v>
      </c>
      <c r="M1580">
        <v>0</v>
      </c>
      <c r="N1580" t="str">
        <f t="shared" si="72"/>
        <v>40–59</v>
      </c>
      <c r="O1580" t="str">
        <f t="shared" si="73"/>
        <v>Obese</v>
      </c>
    </row>
    <row r="1581" spans="1:15" x14ac:dyDescent="0.3">
      <c r="A1581">
        <v>30214</v>
      </c>
      <c r="B1581" t="s">
        <v>2</v>
      </c>
      <c r="C1581">
        <v>23</v>
      </c>
      <c r="D1581">
        <v>0</v>
      </c>
      <c r="E1581">
        <v>0</v>
      </c>
      <c r="F1581" t="str">
        <f t="shared" si="74"/>
        <v>Lower Risk</v>
      </c>
      <c r="G1581" t="s">
        <v>13</v>
      </c>
      <c r="H1581" t="s">
        <v>4</v>
      </c>
      <c r="I1581" t="s">
        <v>9</v>
      </c>
      <c r="J1581">
        <v>83.86</v>
      </c>
      <c r="K1581">
        <v>19.5</v>
      </c>
      <c r="L1581" t="s">
        <v>11</v>
      </c>
      <c r="M1581">
        <v>0</v>
      </c>
      <c r="N1581" t="str">
        <f t="shared" si="72"/>
        <v>Under 40</v>
      </c>
      <c r="O1581" t="str">
        <f t="shared" si="73"/>
        <v>Normal</v>
      </c>
    </row>
    <row r="1582" spans="1:15" x14ac:dyDescent="0.3">
      <c r="A1582">
        <v>66419</v>
      </c>
      <c r="B1582" t="s">
        <v>2</v>
      </c>
      <c r="C1582">
        <v>25</v>
      </c>
      <c r="D1582">
        <v>0</v>
      </c>
      <c r="E1582">
        <v>0</v>
      </c>
      <c r="F1582" t="str">
        <f t="shared" si="74"/>
        <v>Lower Risk</v>
      </c>
      <c r="G1582" t="s">
        <v>3</v>
      </c>
      <c r="H1582" t="s">
        <v>4</v>
      </c>
      <c r="I1582" t="s">
        <v>9</v>
      </c>
      <c r="J1582">
        <v>119.96</v>
      </c>
      <c r="K1582">
        <v>27.7</v>
      </c>
      <c r="L1582" t="s">
        <v>11</v>
      </c>
      <c r="M1582">
        <v>0</v>
      </c>
      <c r="N1582" t="str">
        <f t="shared" si="72"/>
        <v>Under 40</v>
      </c>
      <c r="O1582" t="str">
        <f t="shared" si="73"/>
        <v>Overweight</v>
      </c>
    </row>
    <row r="1583" spans="1:15" x14ac:dyDescent="0.3">
      <c r="A1583">
        <v>57468</v>
      </c>
      <c r="B1583" t="s">
        <v>7</v>
      </c>
      <c r="C1583">
        <v>44</v>
      </c>
      <c r="D1583">
        <v>0</v>
      </c>
      <c r="E1583">
        <v>0</v>
      </c>
      <c r="F1583" t="str">
        <f t="shared" si="74"/>
        <v>Lower Risk</v>
      </c>
      <c r="G1583" t="s">
        <v>3</v>
      </c>
      <c r="H1583" t="s">
        <v>4</v>
      </c>
      <c r="I1583" t="s">
        <v>9</v>
      </c>
      <c r="J1583">
        <v>70.58</v>
      </c>
      <c r="K1583">
        <v>25.1</v>
      </c>
      <c r="L1583" t="s">
        <v>11</v>
      </c>
      <c r="M1583">
        <v>0</v>
      </c>
      <c r="N1583" t="str">
        <f t="shared" si="72"/>
        <v>40–59</v>
      </c>
      <c r="O1583" t="str">
        <f t="shared" si="73"/>
        <v>Overweight</v>
      </c>
    </row>
    <row r="1584" spans="1:15" x14ac:dyDescent="0.3">
      <c r="A1584">
        <v>24218</v>
      </c>
      <c r="B1584" t="s">
        <v>7</v>
      </c>
      <c r="C1584">
        <v>78</v>
      </c>
      <c r="D1584">
        <v>0</v>
      </c>
      <c r="E1584">
        <v>0</v>
      </c>
      <c r="F1584" t="str">
        <f t="shared" si="74"/>
        <v>Moderate Risk</v>
      </c>
      <c r="G1584" t="s">
        <v>13</v>
      </c>
      <c r="H1584" t="s">
        <v>4</v>
      </c>
      <c r="I1584" t="s">
        <v>9</v>
      </c>
      <c r="J1584">
        <v>87.7</v>
      </c>
      <c r="K1584">
        <v>29.6</v>
      </c>
      <c r="L1584" t="s">
        <v>11</v>
      </c>
      <c r="M1584">
        <v>0</v>
      </c>
      <c r="N1584" t="str">
        <f t="shared" si="72"/>
        <v>60+</v>
      </c>
      <c r="O1584" t="str">
        <f t="shared" si="73"/>
        <v>Overweight</v>
      </c>
    </row>
    <row r="1585" spans="1:15" x14ac:dyDescent="0.3">
      <c r="A1585">
        <v>69792</v>
      </c>
      <c r="B1585" t="s">
        <v>7</v>
      </c>
      <c r="C1585">
        <v>37</v>
      </c>
      <c r="D1585">
        <v>0</v>
      </c>
      <c r="E1585">
        <v>0</v>
      </c>
      <c r="F1585" t="str">
        <f t="shared" si="74"/>
        <v>Lower Risk</v>
      </c>
      <c r="G1585" t="s">
        <v>3</v>
      </c>
      <c r="H1585" t="s">
        <v>15</v>
      </c>
      <c r="I1585" t="s">
        <v>5</v>
      </c>
      <c r="J1585">
        <v>65.290000000000006</v>
      </c>
      <c r="K1585">
        <v>32.9</v>
      </c>
      <c r="L1585" t="s">
        <v>11</v>
      </c>
      <c r="M1585">
        <v>0</v>
      </c>
      <c r="N1585" t="str">
        <f t="shared" si="72"/>
        <v>Under 40</v>
      </c>
      <c r="O1585" t="str">
        <f t="shared" si="73"/>
        <v>Obese</v>
      </c>
    </row>
    <row r="1586" spans="1:15" x14ac:dyDescent="0.3">
      <c r="A1586">
        <v>6372</v>
      </c>
      <c r="B1586" t="s">
        <v>7</v>
      </c>
      <c r="C1586">
        <v>32</v>
      </c>
      <c r="D1586">
        <v>0</v>
      </c>
      <c r="E1586">
        <v>0</v>
      </c>
      <c r="F1586" t="str">
        <f t="shared" si="74"/>
        <v>Lower Risk</v>
      </c>
      <c r="G1586" t="s">
        <v>3</v>
      </c>
      <c r="H1586" t="s">
        <v>4</v>
      </c>
      <c r="I1586" t="s">
        <v>5</v>
      </c>
      <c r="J1586">
        <v>97.14</v>
      </c>
      <c r="K1586">
        <v>55.9</v>
      </c>
      <c r="L1586" t="s">
        <v>11</v>
      </c>
      <c r="M1586">
        <v>0</v>
      </c>
      <c r="N1586" t="str">
        <f t="shared" si="72"/>
        <v>Under 40</v>
      </c>
      <c r="O1586" t="str">
        <f t="shared" si="73"/>
        <v>Obese</v>
      </c>
    </row>
    <row r="1587" spans="1:15" x14ac:dyDescent="0.3">
      <c r="A1587">
        <v>34664</v>
      </c>
      <c r="B1587" t="s">
        <v>2</v>
      </c>
      <c r="C1587">
        <v>67</v>
      </c>
      <c r="D1587">
        <v>0</v>
      </c>
      <c r="E1587">
        <v>0</v>
      </c>
      <c r="F1587" t="str">
        <f t="shared" si="74"/>
        <v>Moderate Risk</v>
      </c>
      <c r="G1587" t="s">
        <v>3</v>
      </c>
      <c r="H1587" t="s">
        <v>4</v>
      </c>
      <c r="I1587" t="s">
        <v>5</v>
      </c>
      <c r="J1587">
        <v>110.68</v>
      </c>
      <c r="K1587">
        <v>25.1</v>
      </c>
      <c r="L1587" t="s">
        <v>6</v>
      </c>
      <c r="M1587">
        <v>0</v>
      </c>
      <c r="N1587" t="str">
        <f t="shared" si="72"/>
        <v>60+</v>
      </c>
      <c r="O1587" t="str">
        <f t="shared" si="73"/>
        <v>Overweight</v>
      </c>
    </row>
    <row r="1588" spans="1:15" x14ac:dyDescent="0.3">
      <c r="A1588">
        <v>40931</v>
      </c>
      <c r="B1588" t="s">
        <v>7</v>
      </c>
      <c r="C1588">
        <v>41</v>
      </c>
      <c r="D1588">
        <v>0</v>
      </c>
      <c r="E1588">
        <v>0</v>
      </c>
      <c r="F1588" t="str">
        <f t="shared" si="74"/>
        <v>Lower Risk</v>
      </c>
      <c r="G1588" t="s">
        <v>3</v>
      </c>
      <c r="H1588" t="s">
        <v>15</v>
      </c>
      <c r="I1588" t="s">
        <v>5</v>
      </c>
      <c r="J1588">
        <v>91.93</v>
      </c>
      <c r="K1588">
        <v>24.7</v>
      </c>
      <c r="L1588" t="s">
        <v>12</v>
      </c>
      <c r="M1588">
        <v>0</v>
      </c>
      <c r="N1588" t="str">
        <f t="shared" si="72"/>
        <v>40–59</v>
      </c>
      <c r="O1588" t="str">
        <f t="shared" si="73"/>
        <v>Normal</v>
      </c>
    </row>
    <row r="1589" spans="1:15" x14ac:dyDescent="0.3">
      <c r="A1589">
        <v>28559</v>
      </c>
      <c r="B1589" t="s">
        <v>2</v>
      </c>
      <c r="C1589">
        <v>2</v>
      </c>
      <c r="D1589">
        <v>0</v>
      </c>
      <c r="E1589">
        <v>0</v>
      </c>
      <c r="F1589" t="str">
        <f t="shared" si="74"/>
        <v>Lower Risk</v>
      </c>
      <c r="G1589" t="s">
        <v>13</v>
      </c>
      <c r="H1589" t="s">
        <v>16</v>
      </c>
      <c r="I1589" t="s">
        <v>5</v>
      </c>
      <c r="J1589">
        <v>88.54</v>
      </c>
      <c r="K1589">
        <v>17.5</v>
      </c>
      <c r="L1589" t="s">
        <v>14</v>
      </c>
      <c r="M1589">
        <v>0</v>
      </c>
      <c r="N1589" t="str">
        <f t="shared" si="72"/>
        <v>Under 40</v>
      </c>
      <c r="O1589" t="str">
        <f t="shared" si="73"/>
        <v>Underweight</v>
      </c>
    </row>
    <row r="1590" spans="1:15" x14ac:dyDescent="0.3">
      <c r="A1590">
        <v>15166</v>
      </c>
      <c r="B1590" t="s">
        <v>7</v>
      </c>
      <c r="C1590">
        <v>75</v>
      </c>
      <c r="D1590">
        <v>1</v>
      </c>
      <c r="E1590">
        <v>0</v>
      </c>
      <c r="F1590" t="str">
        <f t="shared" si="74"/>
        <v>High Risk</v>
      </c>
      <c r="G1590" t="s">
        <v>3</v>
      </c>
      <c r="H1590" t="s">
        <v>4</v>
      </c>
      <c r="I1590" t="s">
        <v>5</v>
      </c>
      <c r="J1590">
        <v>183</v>
      </c>
      <c r="K1590">
        <v>20.8</v>
      </c>
      <c r="L1590" t="s">
        <v>14</v>
      </c>
      <c r="M1590">
        <v>0</v>
      </c>
      <c r="N1590" t="str">
        <f t="shared" si="72"/>
        <v>60+</v>
      </c>
      <c r="O1590" t="str">
        <f t="shared" si="73"/>
        <v>Normal</v>
      </c>
    </row>
    <row r="1591" spans="1:15" x14ac:dyDescent="0.3">
      <c r="A1591">
        <v>49815</v>
      </c>
      <c r="B1591" t="s">
        <v>7</v>
      </c>
      <c r="C1591">
        <v>17</v>
      </c>
      <c r="D1591">
        <v>0</v>
      </c>
      <c r="E1591">
        <v>0</v>
      </c>
      <c r="F1591" t="str">
        <f t="shared" si="74"/>
        <v>Lower Risk</v>
      </c>
      <c r="G1591" t="s">
        <v>13</v>
      </c>
      <c r="H1591" t="s">
        <v>15</v>
      </c>
      <c r="I1591" t="s">
        <v>9</v>
      </c>
      <c r="J1591">
        <v>115.93</v>
      </c>
      <c r="K1591">
        <v>23.3</v>
      </c>
      <c r="L1591" t="s">
        <v>11</v>
      </c>
      <c r="M1591">
        <v>0</v>
      </c>
      <c r="N1591" t="str">
        <f t="shared" si="72"/>
        <v>Under 40</v>
      </c>
      <c r="O1591" t="str">
        <f t="shared" si="73"/>
        <v>Normal</v>
      </c>
    </row>
    <row r="1592" spans="1:15" x14ac:dyDescent="0.3">
      <c r="A1592">
        <v>1625</v>
      </c>
      <c r="B1592" t="s">
        <v>7</v>
      </c>
      <c r="C1592">
        <v>13</v>
      </c>
      <c r="D1592">
        <v>0</v>
      </c>
      <c r="E1592">
        <v>0</v>
      </c>
      <c r="F1592" t="str">
        <f t="shared" si="74"/>
        <v>Lower Risk</v>
      </c>
      <c r="G1592" t="s">
        <v>13</v>
      </c>
      <c r="H1592" t="s">
        <v>16</v>
      </c>
      <c r="I1592" t="s">
        <v>5</v>
      </c>
      <c r="J1592">
        <v>99.13</v>
      </c>
      <c r="K1592">
        <v>22.8</v>
      </c>
      <c r="L1592" t="s">
        <v>14</v>
      </c>
      <c r="M1592">
        <v>0</v>
      </c>
      <c r="N1592" t="str">
        <f t="shared" si="72"/>
        <v>Under 40</v>
      </c>
      <c r="O1592" t="str">
        <f t="shared" si="73"/>
        <v>Normal</v>
      </c>
    </row>
    <row r="1593" spans="1:15" x14ac:dyDescent="0.3">
      <c r="A1593">
        <v>56309</v>
      </c>
      <c r="B1593" t="s">
        <v>7</v>
      </c>
      <c r="C1593">
        <v>25</v>
      </c>
      <c r="D1593">
        <v>0</v>
      </c>
      <c r="E1593">
        <v>0</v>
      </c>
      <c r="F1593" t="str">
        <f t="shared" si="74"/>
        <v>Lower Risk</v>
      </c>
      <c r="G1593" t="s">
        <v>3</v>
      </c>
      <c r="H1593" t="s">
        <v>4</v>
      </c>
      <c r="I1593" t="s">
        <v>9</v>
      </c>
      <c r="J1593">
        <v>69.239999999999995</v>
      </c>
      <c r="K1593">
        <v>26.6</v>
      </c>
      <c r="L1593" t="s">
        <v>11</v>
      </c>
      <c r="M1593">
        <v>0</v>
      </c>
      <c r="N1593" t="str">
        <f t="shared" si="72"/>
        <v>Under 40</v>
      </c>
      <c r="O1593" t="str">
        <f t="shared" si="73"/>
        <v>Overweight</v>
      </c>
    </row>
    <row r="1594" spans="1:15" x14ac:dyDescent="0.3">
      <c r="A1594">
        <v>30116</v>
      </c>
      <c r="B1594" t="s">
        <v>7</v>
      </c>
      <c r="C1594">
        <v>57</v>
      </c>
      <c r="D1594">
        <v>0</v>
      </c>
      <c r="E1594">
        <v>0</v>
      </c>
      <c r="F1594" t="str">
        <f t="shared" si="74"/>
        <v>Lower Risk</v>
      </c>
      <c r="G1594" t="s">
        <v>3</v>
      </c>
      <c r="H1594" t="s">
        <v>4</v>
      </c>
      <c r="I1594" t="s">
        <v>9</v>
      </c>
      <c r="J1594">
        <v>102.28</v>
      </c>
      <c r="K1594">
        <v>25.5</v>
      </c>
      <c r="L1594" t="s">
        <v>11</v>
      </c>
      <c r="M1594">
        <v>0</v>
      </c>
      <c r="N1594" t="str">
        <f t="shared" si="72"/>
        <v>40–59</v>
      </c>
      <c r="O1594" t="str">
        <f t="shared" si="73"/>
        <v>Overweight</v>
      </c>
    </row>
    <row r="1595" spans="1:15" x14ac:dyDescent="0.3">
      <c r="A1595">
        <v>52034</v>
      </c>
      <c r="B1595" t="s">
        <v>2</v>
      </c>
      <c r="C1595">
        <v>31</v>
      </c>
      <c r="D1595">
        <v>0</v>
      </c>
      <c r="E1595">
        <v>0</v>
      </c>
      <c r="F1595" t="str">
        <f t="shared" si="74"/>
        <v>Lower Risk</v>
      </c>
      <c r="G1595" t="s">
        <v>3</v>
      </c>
      <c r="H1595" t="s">
        <v>4</v>
      </c>
      <c r="I1595" t="s">
        <v>5</v>
      </c>
      <c r="J1595">
        <v>71.31</v>
      </c>
      <c r="K1595">
        <v>25.8</v>
      </c>
      <c r="L1595" t="s">
        <v>11</v>
      </c>
      <c r="M1595">
        <v>0</v>
      </c>
      <c r="N1595" t="str">
        <f t="shared" si="72"/>
        <v>Under 40</v>
      </c>
      <c r="O1595" t="str">
        <f t="shared" si="73"/>
        <v>Overweight</v>
      </c>
    </row>
    <row r="1596" spans="1:15" x14ac:dyDescent="0.3">
      <c r="A1596">
        <v>35584</v>
      </c>
      <c r="B1596" t="s">
        <v>2</v>
      </c>
      <c r="C1596">
        <v>61</v>
      </c>
      <c r="D1596">
        <v>0</v>
      </c>
      <c r="E1596">
        <v>0</v>
      </c>
      <c r="F1596" t="str">
        <f t="shared" si="74"/>
        <v>Moderate Risk</v>
      </c>
      <c r="G1596" t="s">
        <v>3</v>
      </c>
      <c r="H1596" t="s">
        <v>4</v>
      </c>
      <c r="I1596" t="s">
        <v>9</v>
      </c>
      <c r="J1596">
        <v>89.75</v>
      </c>
      <c r="K1596">
        <v>25.4</v>
      </c>
      <c r="L1596" t="s">
        <v>11</v>
      </c>
      <c r="M1596">
        <v>0</v>
      </c>
      <c r="N1596" t="str">
        <f t="shared" si="72"/>
        <v>60+</v>
      </c>
      <c r="O1596" t="str">
        <f t="shared" si="73"/>
        <v>Overweight</v>
      </c>
    </row>
    <row r="1597" spans="1:15" x14ac:dyDescent="0.3">
      <c r="A1597">
        <v>2898</v>
      </c>
      <c r="B1597" t="s">
        <v>2</v>
      </c>
      <c r="C1597">
        <v>46</v>
      </c>
      <c r="D1597">
        <v>0</v>
      </c>
      <c r="E1597">
        <v>0</v>
      </c>
      <c r="F1597" t="str">
        <f t="shared" si="74"/>
        <v>Lower Risk</v>
      </c>
      <c r="G1597" t="s">
        <v>3</v>
      </c>
      <c r="H1597" t="s">
        <v>4</v>
      </c>
      <c r="I1597" t="s">
        <v>5</v>
      </c>
      <c r="J1597">
        <v>87.66</v>
      </c>
      <c r="K1597">
        <v>57.3</v>
      </c>
      <c r="L1597" t="s">
        <v>11</v>
      </c>
      <c r="M1597">
        <v>0</v>
      </c>
      <c r="N1597" t="str">
        <f t="shared" si="72"/>
        <v>40–59</v>
      </c>
      <c r="O1597" t="str">
        <f t="shared" si="73"/>
        <v>Obese</v>
      </c>
    </row>
    <row r="1598" spans="1:15" x14ac:dyDescent="0.3">
      <c r="A1598">
        <v>16593</v>
      </c>
      <c r="B1598" t="s">
        <v>2</v>
      </c>
      <c r="C1598">
        <v>47</v>
      </c>
      <c r="D1598">
        <v>0</v>
      </c>
      <c r="E1598">
        <v>0</v>
      </c>
      <c r="F1598" t="str">
        <f t="shared" si="74"/>
        <v>Lower Risk</v>
      </c>
      <c r="G1598" t="s">
        <v>13</v>
      </c>
      <c r="H1598" t="s">
        <v>4</v>
      </c>
      <c r="I1598" t="s">
        <v>9</v>
      </c>
      <c r="J1598">
        <v>237.17</v>
      </c>
      <c r="K1598" t="s">
        <v>10</v>
      </c>
      <c r="L1598" t="s">
        <v>14</v>
      </c>
      <c r="M1598">
        <v>0</v>
      </c>
      <c r="N1598" t="str">
        <f t="shared" si="72"/>
        <v>40–59</v>
      </c>
      <c r="O1598" t="str">
        <f t="shared" si="73"/>
        <v>Unknown</v>
      </c>
    </row>
    <row r="1599" spans="1:15" x14ac:dyDescent="0.3">
      <c r="A1599">
        <v>17175</v>
      </c>
      <c r="B1599" t="s">
        <v>7</v>
      </c>
      <c r="C1599">
        <v>15</v>
      </c>
      <c r="D1599">
        <v>0</v>
      </c>
      <c r="E1599">
        <v>0</v>
      </c>
      <c r="F1599" t="str">
        <f t="shared" si="74"/>
        <v>Lower Risk</v>
      </c>
      <c r="G1599" t="s">
        <v>13</v>
      </c>
      <c r="H1599" t="s">
        <v>16</v>
      </c>
      <c r="I1599" t="s">
        <v>5</v>
      </c>
      <c r="J1599">
        <v>81.11</v>
      </c>
      <c r="K1599">
        <v>20.2</v>
      </c>
      <c r="L1599" t="s">
        <v>14</v>
      </c>
      <c r="M1599">
        <v>0</v>
      </c>
      <c r="N1599" t="str">
        <f t="shared" si="72"/>
        <v>Under 40</v>
      </c>
      <c r="O1599" t="str">
        <f t="shared" si="73"/>
        <v>Normal</v>
      </c>
    </row>
    <row r="1600" spans="1:15" x14ac:dyDescent="0.3">
      <c r="A1600">
        <v>63663</v>
      </c>
      <c r="B1600" t="s">
        <v>2</v>
      </c>
      <c r="C1600">
        <v>47</v>
      </c>
      <c r="D1600">
        <v>0</v>
      </c>
      <c r="E1600">
        <v>0</v>
      </c>
      <c r="F1600" t="str">
        <f t="shared" si="74"/>
        <v>Lower Risk</v>
      </c>
      <c r="G1600" t="s">
        <v>3</v>
      </c>
      <c r="H1600" t="s">
        <v>4</v>
      </c>
      <c r="I1600" t="s">
        <v>5</v>
      </c>
      <c r="J1600">
        <v>178.33</v>
      </c>
      <c r="K1600">
        <v>27.7</v>
      </c>
      <c r="L1600" t="s">
        <v>11</v>
      </c>
      <c r="M1600">
        <v>0</v>
      </c>
      <c r="N1600" t="str">
        <f t="shared" si="72"/>
        <v>40–59</v>
      </c>
      <c r="O1600" t="str">
        <f t="shared" si="73"/>
        <v>Overweight</v>
      </c>
    </row>
    <row r="1601" spans="1:15" x14ac:dyDescent="0.3">
      <c r="A1601">
        <v>10603</v>
      </c>
      <c r="B1601" t="s">
        <v>7</v>
      </c>
      <c r="C1601">
        <v>68</v>
      </c>
      <c r="D1601">
        <v>0</v>
      </c>
      <c r="E1601">
        <v>0</v>
      </c>
      <c r="F1601" t="str">
        <f t="shared" si="74"/>
        <v>Moderate Risk</v>
      </c>
      <c r="G1601" t="s">
        <v>3</v>
      </c>
      <c r="H1601" t="s">
        <v>4</v>
      </c>
      <c r="I1601" t="s">
        <v>9</v>
      </c>
      <c r="J1601">
        <v>81.38</v>
      </c>
      <c r="K1601">
        <v>23.1</v>
      </c>
      <c r="L1601" t="s">
        <v>14</v>
      </c>
      <c r="M1601">
        <v>0</v>
      </c>
      <c r="N1601" t="str">
        <f t="shared" si="72"/>
        <v>60+</v>
      </c>
      <c r="O1601" t="str">
        <f t="shared" si="73"/>
        <v>Normal</v>
      </c>
    </row>
    <row r="1602" spans="1:15" x14ac:dyDescent="0.3">
      <c r="A1602">
        <v>40544</v>
      </c>
      <c r="B1602" t="s">
        <v>2</v>
      </c>
      <c r="C1602">
        <v>0.4</v>
      </c>
      <c r="D1602">
        <v>0</v>
      </c>
      <c r="E1602">
        <v>0</v>
      </c>
      <c r="F1602" t="str">
        <f t="shared" si="74"/>
        <v>Lower Risk</v>
      </c>
      <c r="G1602" t="s">
        <v>13</v>
      </c>
      <c r="H1602" t="s">
        <v>16</v>
      </c>
      <c r="I1602" t="s">
        <v>5</v>
      </c>
      <c r="J1602">
        <v>109.56</v>
      </c>
      <c r="K1602">
        <v>14.3</v>
      </c>
      <c r="L1602" t="s">
        <v>14</v>
      </c>
      <c r="M1602">
        <v>0</v>
      </c>
      <c r="N1602" t="str">
        <f t="shared" ref="N1602:N1665" si="75">IF(C1602&lt;40,"Under 40",IF(C1602&lt;60,"40–59","60+"))</f>
        <v>Under 40</v>
      </c>
      <c r="O1602" t="str">
        <f t="shared" ref="O1602:O1665" si="76">IF(K1602="N/A","Unknown",
IF(K1602="","Unknown",
IF(K1602&lt;18.5,"Underweight",
IF(K1602&lt;25,"Normal",
IF(K1602&lt;30,"Overweight","Obese")))))</f>
        <v>Underweight</v>
      </c>
    </row>
    <row r="1603" spans="1:15" x14ac:dyDescent="0.3">
      <c r="A1603">
        <v>49152</v>
      </c>
      <c r="B1603" t="s">
        <v>7</v>
      </c>
      <c r="C1603">
        <v>40</v>
      </c>
      <c r="D1603">
        <v>0</v>
      </c>
      <c r="E1603">
        <v>0</v>
      </c>
      <c r="F1603" t="str">
        <f t="shared" ref="F1603:F1666" si="77">IF(C1603&gt;=60,
IF(OR(D1603=1,E1603=1),"High Risk","Moderate Risk"),
"Lower Risk")</f>
        <v>Lower Risk</v>
      </c>
      <c r="G1603" t="s">
        <v>13</v>
      </c>
      <c r="H1603" t="s">
        <v>4</v>
      </c>
      <c r="I1603" t="s">
        <v>9</v>
      </c>
      <c r="J1603">
        <v>70.45</v>
      </c>
      <c r="K1603">
        <v>23.3</v>
      </c>
      <c r="L1603" t="s">
        <v>12</v>
      </c>
      <c r="M1603">
        <v>0</v>
      </c>
      <c r="N1603" t="str">
        <f t="shared" si="75"/>
        <v>40–59</v>
      </c>
      <c r="O1603" t="str">
        <f t="shared" si="76"/>
        <v>Normal</v>
      </c>
    </row>
    <row r="1604" spans="1:15" x14ac:dyDescent="0.3">
      <c r="A1604">
        <v>1231</v>
      </c>
      <c r="B1604" t="s">
        <v>7</v>
      </c>
      <c r="C1604">
        <v>62</v>
      </c>
      <c r="D1604">
        <v>0</v>
      </c>
      <c r="E1604">
        <v>0</v>
      </c>
      <c r="F1604" t="str">
        <f t="shared" si="77"/>
        <v>Moderate Risk</v>
      </c>
      <c r="G1604" t="s">
        <v>3</v>
      </c>
      <c r="H1604" t="s">
        <v>15</v>
      </c>
      <c r="I1604" t="s">
        <v>9</v>
      </c>
      <c r="J1604">
        <v>73.44</v>
      </c>
      <c r="K1604">
        <v>23.4</v>
      </c>
      <c r="L1604" t="s">
        <v>14</v>
      </c>
      <c r="M1604">
        <v>0</v>
      </c>
      <c r="N1604" t="str">
        <f t="shared" si="75"/>
        <v>60+</v>
      </c>
      <c r="O1604" t="str">
        <f t="shared" si="76"/>
        <v>Normal</v>
      </c>
    </row>
    <row r="1605" spans="1:15" x14ac:dyDescent="0.3">
      <c r="A1605">
        <v>43672</v>
      </c>
      <c r="B1605" t="s">
        <v>7</v>
      </c>
      <c r="C1605">
        <v>45</v>
      </c>
      <c r="D1605">
        <v>0</v>
      </c>
      <c r="E1605">
        <v>0</v>
      </c>
      <c r="F1605" t="str">
        <f t="shared" si="77"/>
        <v>Lower Risk</v>
      </c>
      <c r="G1605" t="s">
        <v>3</v>
      </c>
      <c r="H1605" t="s">
        <v>4</v>
      </c>
      <c r="I1605" t="s">
        <v>5</v>
      </c>
      <c r="J1605">
        <v>146.44</v>
      </c>
      <c r="K1605">
        <v>22.8</v>
      </c>
      <c r="L1605" t="s">
        <v>6</v>
      </c>
      <c r="M1605">
        <v>0</v>
      </c>
      <c r="N1605" t="str">
        <f t="shared" si="75"/>
        <v>40–59</v>
      </c>
      <c r="O1605" t="str">
        <f t="shared" si="76"/>
        <v>Normal</v>
      </c>
    </row>
    <row r="1606" spans="1:15" x14ac:dyDescent="0.3">
      <c r="A1606">
        <v>25107</v>
      </c>
      <c r="B1606" t="s">
        <v>7</v>
      </c>
      <c r="C1606">
        <v>47</v>
      </c>
      <c r="D1606">
        <v>0</v>
      </c>
      <c r="E1606">
        <v>0</v>
      </c>
      <c r="F1606" t="str">
        <f t="shared" si="77"/>
        <v>Lower Risk</v>
      </c>
      <c r="G1606" t="s">
        <v>3</v>
      </c>
      <c r="H1606" t="s">
        <v>4</v>
      </c>
      <c r="I1606" t="s">
        <v>5</v>
      </c>
      <c r="J1606">
        <v>65.040000000000006</v>
      </c>
      <c r="K1606">
        <v>30.9</v>
      </c>
      <c r="L1606" t="s">
        <v>11</v>
      </c>
      <c r="M1606">
        <v>0</v>
      </c>
      <c r="N1606" t="str">
        <f t="shared" si="75"/>
        <v>40–59</v>
      </c>
      <c r="O1606" t="str">
        <f t="shared" si="76"/>
        <v>Obese</v>
      </c>
    </row>
    <row r="1607" spans="1:15" x14ac:dyDescent="0.3">
      <c r="A1607">
        <v>39286</v>
      </c>
      <c r="B1607" t="s">
        <v>7</v>
      </c>
      <c r="C1607">
        <v>35</v>
      </c>
      <c r="D1607">
        <v>0</v>
      </c>
      <c r="E1607">
        <v>0</v>
      </c>
      <c r="F1607" t="str">
        <f t="shared" si="77"/>
        <v>Lower Risk</v>
      </c>
      <c r="G1607" t="s">
        <v>3</v>
      </c>
      <c r="H1607" t="s">
        <v>8</v>
      </c>
      <c r="I1607" t="s">
        <v>9</v>
      </c>
      <c r="J1607">
        <v>151.25</v>
      </c>
      <c r="K1607">
        <v>28.4</v>
      </c>
      <c r="L1607" t="s">
        <v>14</v>
      </c>
      <c r="M1607">
        <v>0</v>
      </c>
      <c r="N1607" t="str">
        <f t="shared" si="75"/>
        <v>Under 40</v>
      </c>
      <c r="O1607" t="str">
        <f t="shared" si="76"/>
        <v>Overweight</v>
      </c>
    </row>
    <row r="1608" spans="1:15" x14ac:dyDescent="0.3">
      <c r="A1608">
        <v>32766</v>
      </c>
      <c r="B1608" t="s">
        <v>2</v>
      </c>
      <c r="C1608">
        <v>51</v>
      </c>
      <c r="D1608">
        <v>0</v>
      </c>
      <c r="E1608">
        <v>0</v>
      </c>
      <c r="F1608" t="str">
        <f t="shared" si="77"/>
        <v>Lower Risk</v>
      </c>
      <c r="G1608" t="s">
        <v>13</v>
      </c>
      <c r="H1608" t="s">
        <v>4</v>
      </c>
      <c r="I1608" t="s">
        <v>9</v>
      </c>
      <c r="J1608">
        <v>106.41</v>
      </c>
      <c r="K1608">
        <v>41.9</v>
      </c>
      <c r="L1608" t="s">
        <v>12</v>
      </c>
      <c r="M1608">
        <v>0</v>
      </c>
      <c r="N1608" t="str">
        <f t="shared" si="75"/>
        <v>40–59</v>
      </c>
      <c r="O1608" t="str">
        <f t="shared" si="76"/>
        <v>Obese</v>
      </c>
    </row>
    <row r="1609" spans="1:15" x14ac:dyDescent="0.3">
      <c r="A1609">
        <v>15988</v>
      </c>
      <c r="B1609" t="s">
        <v>2</v>
      </c>
      <c r="C1609">
        <v>60</v>
      </c>
      <c r="D1609">
        <v>1</v>
      </c>
      <c r="E1609">
        <v>0</v>
      </c>
      <c r="F1609" t="str">
        <f t="shared" si="77"/>
        <v>High Risk</v>
      </c>
      <c r="G1609" t="s">
        <v>3</v>
      </c>
      <c r="H1609" t="s">
        <v>4</v>
      </c>
      <c r="I1609" t="s">
        <v>5</v>
      </c>
      <c r="J1609">
        <v>197.09</v>
      </c>
      <c r="K1609">
        <v>34.299999999999997</v>
      </c>
      <c r="L1609" t="s">
        <v>14</v>
      </c>
      <c r="M1609">
        <v>0</v>
      </c>
      <c r="N1609" t="str">
        <f t="shared" si="75"/>
        <v>60+</v>
      </c>
      <c r="O1609" t="str">
        <f t="shared" si="76"/>
        <v>Obese</v>
      </c>
    </row>
    <row r="1610" spans="1:15" x14ac:dyDescent="0.3">
      <c r="A1610">
        <v>9011</v>
      </c>
      <c r="B1610" t="s">
        <v>2</v>
      </c>
      <c r="C1610">
        <v>59</v>
      </c>
      <c r="D1610">
        <v>0</v>
      </c>
      <c r="E1610">
        <v>0</v>
      </c>
      <c r="F1610" t="str">
        <f t="shared" si="77"/>
        <v>Lower Risk</v>
      </c>
      <c r="G1610" t="s">
        <v>3</v>
      </c>
      <c r="H1610" t="s">
        <v>4</v>
      </c>
      <c r="I1610" t="s">
        <v>5</v>
      </c>
      <c r="J1610">
        <v>93.58</v>
      </c>
      <c r="K1610">
        <v>25.1</v>
      </c>
      <c r="L1610" t="s">
        <v>12</v>
      </c>
      <c r="M1610">
        <v>0</v>
      </c>
      <c r="N1610" t="str">
        <f t="shared" si="75"/>
        <v>40–59</v>
      </c>
      <c r="O1610" t="str">
        <f t="shared" si="76"/>
        <v>Overweight</v>
      </c>
    </row>
    <row r="1611" spans="1:15" x14ac:dyDescent="0.3">
      <c r="A1611">
        <v>38043</v>
      </c>
      <c r="B1611" t="s">
        <v>7</v>
      </c>
      <c r="C1611">
        <v>1.24</v>
      </c>
      <c r="D1611">
        <v>0</v>
      </c>
      <c r="E1611">
        <v>0</v>
      </c>
      <c r="F1611" t="str">
        <f t="shared" si="77"/>
        <v>Lower Risk</v>
      </c>
      <c r="G1611" t="s">
        <v>13</v>
      </c>
      <c r="H1611" t="s">
        <v>16</v>
      </c>
      <c r="I1611" t="s">
        <v>9</v>
      </c>
      <c r="J1611">
        <v>122.04</v>
      </c>
      <c r="K1611">
        <v>10.3</v>
      </c>
      <c r="L1611" t="s">
        <v>14</v>
      </c>
      <c r="M1611">
        <v>0</v>
      </c>
      <c r="N1611" t="str">
        <f t="shared" si="75"/>
        <v>Under 40</v>
      </c>
      <c r="O1611" t="str">
        <f t="shared" si="76"/>
        <v>Underweight</v>
      </c>
    </row>
    <row r="1612" spans="1:15" x14ac:dyDescent="0.3">
      <c r="A1612">
        <v>71721</v>
      </c>
      <c r="B1612" t="s">
        <v>7</v>
      </c>
      <c r="C1612">
        <v>18</v>
      </c>
      <c r="D1612">
        <v>0</v>
      </c>
      <c r="E1612">
        <v>0</v>
      </c>
      <c r="F1612" t="str">
        <f t="shared" si="77"/>
        <v>Lower Risk</v>
      </c>
      <c r="G1612" t="s">
        <v>13</v>
      </c>
      <c r="H1612" t="s">
        <v>4</v>
      </c>
      <c r="I1612" t="s">
        <v>9</v>
      </c>
      <c r="J1612">
        <v>80.06</v>
      </c>
      <c r="K1612">
        <v>31.8</v>
      </c>
      <c r="L1612" t="s">
        <v>14</v>
      </c>
      <c r="M1612">
        <v>0</v>
      </c>
      <c r="N1612" t="str">
        <f t="shared" si="75"/>
        <v>Under 40</v>
      </c>
      <c r="O1612" t="str">
        <f t="shared" si="76"/>
        <v>Obese</v>
      </c>
    </row>
    <row r="1613" spans="1:15" x14ac:dyDescent="0.3">
      <c r="A1613">
        <v>14832</v>
      </c>
      <c r="B1613" t="s">
        <v>7</v>
      </c>
      <c r="C1613">
        <v>81</v>
      </c>
      <c r="D1613">
        <v>0</v>
      </c>
      <c r="E1613">
        <v>1</v>
      </c>
      <c r="F1613" t="str">
        <f t="shared" si="77"/>
        <v>High Risk</v>
      </c>
      <c r="G1613" t="s">
        <v>3</v>
      </c>
      <c r="H1613" t="s">
        <v>4</v>
      </c>
      <c r="I1613" t="s">
        <v>5</v>
      </c>
      <c r="J1613">
        <v>84.93</v>
      </c>
      <c r="K1613">
        <v>31.8</v>
      </c>
      <c r="L1613" t="s">
        <v>14</v>
      </c>
      <c r="M1613">
        <v>0</v>
      </c>
      <c r="N1613" t="str">
        <f t="shared" si="75"/>
        <v>60+</v>
      </c>
      <c r="O1613" t="str">
        <f t="shared" si="76"/>
        <v>Obese</v>
      </c>
    </row>
    <row r="1614" spans="1:15" x14ac:dyDescent="0.3">
      <c r="A1614">
        <v>38094</v>
      </c>
      <c r="B1614" t="s">
        <v>2</v>
      </c>
      <c r="C1614">
        <v>15</v>
      </c>
      <c r="D1614">
        <v>0</v>
      </c>
      <c r="E1614">
        <v>0</v>
      </c>
      <c r="F1614" t="str">
        <f t="shared" si="77"/>
        <v>Lower Risk</v>
      </c>
      <c r="G1614" t="s">
        <v>13</v>
      </c>
      <c r="H1614" t="s">
        <v>8</v>
      </c>
      <c r="I1614" t="s">
        <v>5</v>
      </c>
      <c r="J1614">
        <v>68.400000000000006</v>
      </c>
      <c r="K1614">
        <v>23</v>
      </c>
      <c r="L1614" t="s">
        <v>11</v>
      </c>
      <c r="M1614">
        <v>0</v>
      </c>
      <c r="N1614" t="str">
        <f t="shared" si="75"/>
        <v>Under 40</v>
      </c>
      <c r="O1614" t="str">
        <f t="shared" si="76"/>
        <v>Normal</v>
      </c>
    </row>
    <row r="1615" spans="1:15" x14ac:dyDescent="0.3">
      <c r="A1615">
        <v>49789</v>
      </c>
      <c r="B1615" t="s">
        <v>7</v>
      </c>
      <c r="C1615">
        <v>73</v>
      </c>
      <c r="D1615">
        <v>0</v>
      </c>
      <c r="E1615">
        <v>0</v>
      </c>
      <c r="F1615" t="str">
        <f t="shared" si="77"/>
        <v>Moderate Risk</v>
      </c>
      <c r="G1615" t="s">
        <v>13</v>
      </c>
      <c r="H1615" t="s">
        <v>15</v>
      </c>
      <c r="I1615" t="s">
        <v>5</v>
      </c>
      <c r="J1615">
        <v>62.99</v>
      </c>
      <c r="K1615">
        <v>25.4</v>
      </c>
      <c r="L1615" t="s">
        <v>6</v>
      </c>
      <c r="M1615">
        <v>0</v>
      </c>
      <c r="N1615" t="str">
        <f t="shared" si="75"/>
        <v>60+</v>
      </c>
      <c r="O1615" t="str">
        <f t="shared" si="76"/>
        <v>Overweight</v>
      </c>
    </row>
    <row r="1616" spans="1:15" x14ac:dyDescent="0.3">
      <c r="A1616">
        <v>47350</v>
      </c>
      <c r="B1616" t="s">
        <v>7</v>
      </c>
      <c r="C1616">
        <v>0.08</v>
      </c>
      <c r="D1616">
        <v>0</v>
      </c>
      <c r="E1616">
        <v>0</v>
      </c>
      <c r="F1616" t="str">
        <f t="shared" si="77"/>
        <v>Lower Risk</v>
      </c>
      <c r="G1616" t="s">
        <v>13</v>
      </c>
      <c r="H1616" t="s">
        <v>16</v>
      </c>
      <c r="I1616" t="s">
        <v>5</v>
      </c>
      <c r="J1616">
        <v>139.66999999999999</v>
      </c>
      <c r="K1616">
        <v>14.1</v>
      </c>
      <c r="L1616" t="s">
        <v>14</v>
      </c>
      <c r="M1616">
        <v>0</v>
      </c>
      <c r="N1616" t="str">
        <f t="shared" si="75"/>
        <v>Under 40</v>
      </c>
      <c r="O1616" t="str">
        <f t="shared" si="76"/>
        <v>Underweight</v>
      </c>
    </row>
    <row r="1617" spans="1:15" x14ac:dyDescent="0.3">
      <c r="A1617">
        <v>33525</v>
      </c>
      <c r="B1617" t="s">
        <v>2</v>
      </c>
      <c r="C1617">
        <v>53</v>
      </c>
      <c r="D1617">
        <v>0</v>
      </c>
      <c r="E1617">
        <v>0</v>
      </c>
      <c r="F1617" t="str">
        <f t="shared" si="77"/>
        <v>Lower Risk</v>
      </c>
      <c r="G1617" t="s">
        <v>3</v>
      </c>
      <c r="H1617" t="s">
        <v>15</v>
      </c>
      <c r="I1617" t="s">
        <v>5</v>
      </c>
      <c r="J1617">
        <v>113.4</v>
      </c>
      <c r="K1617">
        <v>35.1</v>
      </c>
      <c r="L1617" t="s">
        <v>12</v>
      </c>
      <c r="M1617">
        <v>0</v>
      </c>
      <c r="N1617" t="str">
        <f t="shared" si="75"/>
        <v>40–59</v>
      </c>
      <c r="O1617" t="str">
        <f t="shared" si="76"/>
        <v>Obese</v>
      </c>
    </row>
    <row r="1618" spans="1:15" x14ac:dyDescent="0.3">
      <c r="A1618">
        <v>12318</v>
      </c>
      <c r="B1618" t="s">
        <v>2</v>
      </c>
      <c r="C1618">
        <v>45</v>
      </c>
      <c r="D1618">
        <v>0</v>
      </c>
      <c r="E1618">
        <v>0</v>
      </c>
      <c r="F1618" t="str">
        <f t="shared" si="77"/>
        <v>Lower Risk</v>
      </c>
      <c r="G1618" t="s">
        <v>3</v>
      </c>
      <c r="H1618" t="s">
        <v>8</v>
      </c>
      <c r="I1618" t="s">
        <v>5</v>
      </c>
      <c r="J1618">
        <v>101.92</v>
      </c>
      <c r="K1618">
        <v>26.9</v>
      </c>
      <c r="L1618" t="s">
        <v>14</v>
      </c>
      <c r="M1618">
        <v>0</v>
      </c>
      <c r="N1618" t="str">
        <f t="shared" si="75"/>
        <v>40–59</v>
      </c>
      <c r="O1618" t="str">
        <f t="shared" si="76"/>
        <v>Overweight</v>
      </c>
    </row>
    <row r="1619" spans="1:15" x14ac:dyDescent="0.3">
      <c r="A1619">
        <v>54553</v>
      </c>
      <c r="B1619" t="s">
        <v>2</v>
      </c>
      <c r="C1619">
        <v>70</v>
      </c>
      <c r="D1619">
        <v>1</v>
      </c>
      <c r="E1619">
        <v>0</v>
      </c>
      <c r="F1619" t="str">
        <f t="shared" si="77"/>
        <v>High Risk</v>
      </c>
      <c r="G1619" t="s">
        <v>3</v>
      </c>
      <c r="H1619" t="s">
        <v>4</v>
      </c>
      <c r="I1619" t="s">
        <v>5</v>
      </c>
      <c r="J1619">
        <v>65.98</v>
      </c>
      <c r="K1619">
        <v>33</v>
      </c>
      <c r="L1619" t="s">
        <v>6</v>
      </c>
      <c r="M1619">
        <v>0</v>
      </c>
      <c r="N1619" t="str">
        <f t="shared" si="75"/>
        <v>60+</v>
      </c>
      <c r="O1619" t="str">
        <f t="shared" si="76"/>
        <v>Obese</v>
      </c>
    </row>
    <row r="1620" spans="1:15" x14ac:dyDescent="0.3">
      <c r="A1620">
        <v>45976</v>
      </c>
      <c r="B1620" t="s">
        <v>2</v>
      </c>
      <c r="C1620">
        <v>56</v>
      </c>
      <c r="D1620">
        <v>0</v>
      </c>
      <c r="E1620">
        <v>0</v>
      </c>
      <c r="F1620" t="str">
        <f t="shared" si="77"/>
        <v>Lower Risk</v>
      </c>
      <c r="G1620" t="s">
        <v>3</v>
      </c>
      <c r="H1620" t="s">
        <v>4</v>
      </c>
      <c r="I1620" t="s">
        <v>5</v>
      </c>
      <c r="J1620">
        <v>84.3</v>
      </c>
      <c r="K1620">
        <v>22.1</v>
      </c>
      <c r="L1620" t="s">
        <v>14</v>
      </c>
      <c r="M1620">
        <v>0</v>
      </c>
      <c r="N1620" t="str">
        <f t="shared" si="75"/>
        <v>40–59</v>
      </c>
      <c r="O1620" t="str">
        <f t="shared" si="76"/>
        <v>Normal</v>
      </c>
    </row>
    <row r="1621" spans="1:15" x14ac:dyDescent="0.3">
      <c r="A1621">
        <v>43675</v>
      </c>
      <c r="B1621" t="s">
        <v>7</v>
      </c>
      <c r="C1621">
        <v>7</v>
      </c>
      <c r="D1621">
        <v>0</v>
      </c>
      <c r="E1621">
        <v>0</v>
      </c>
      <c r="F1621" t="str">
        <f t="shared" si="77"/>
        <v>Lower Risk</v>
      </c>
      <c r="G1621" t="s">
        <v>13</v>
      </c>
      <c r="H1621" t="s">
        <v>16</v>
      </c>
      <c r="I1621" t="s">
        <v>5</v>
      </c>
      <c r="J1621">
        <v>61.42</v>
      </c>
      <c r="K1621">
        <v>20.8</v>
      </c>
      <c r="L1621" t="s">
        <v>14</v>
      </c>
      <c r="M1621">
        <v>0</v>
      </c>
      <c r="N1621" t="str">
        <f t="shared" si="75"/>
        <v>Under 40</v>
      </c>
      <c r="O1621" t="str">
        <f t="shared" si="76"/>
        <v>Normal</v>
      </c>
    </row>
    <row r="1622" spans="1:15" x14ac:dyDescent="0.3">
      <c r="A1622">
        <v>12915</v>
      </c>
      <c r="B1622" t="s">
        <v>7</v>
      </c>
      <c r="C1622">
        <v>66</v>
      </c>
      <c r="D1622">
        <v>0</v>
      </c>
      <c r="E1622">
        <v>0</v>
      </c>
      <c r="F1622" t="str">
        <f t="shared" si="77"/>
        <v>Moderate Risk</v>
      </c>
      <c r="G1622" t="s">
        <v>3</v>
      </c>
      <c r="H1622" t="s">
        <v>15</v>
      </c>
      <c r="I1622" t="s">
        <v>9</v>
      </c>
      <c r="J1622">
        <v>85.52</v>
      </c>
      <c r="K1622">
        <v>30</v>
      </c>
      <c r="L1622" t="s">
        <v>11</v>
      </c>
      <c r="M1622">
        <v>0</v>
      </c>
      <c r="N1622" t="str">
        <f t="shared" si="75"/>
        <v>60+</v>
      </c>
      <c r="O1622" t="str">
        <f t="shared" si="76"/>
        <v>Obese</v>
      </c>
    </row>
    <row r="1623" spans="1:15" x14ac:dyDescent="0.3">
      <c r="A1623">
        <v>4542</v>
      </c>
      <c r="B1623" t="s">
        <v>7</v>
      </c>
      <c r="C1623">
        <v>53</v>
      </c>
      <c r="D1623">
        <v>0</v>
      </c>
      <c r="E1623">
        <v>0</v>
      </c>
      <c r="F1623" t="str">
        <f t="shared" si="77"/>
        <v>Lower Risk</v>
      </c>
      <c r="G1623" t="s">
        <v>3</v>
      </c>
      <c r="H1623" t="s">
        <v>15</v>
      </c>
      <c r="I1623" t="s">
        <v>5</v>
      </c>
      <c r="J1623">
        <v>83.79</v>
      </c>
      <c r="K1623">
        <v>44</v>
      </c>
      <c r="L1623" t="s">
        <v>14</v>
      </c>
      <c r="M1623">
        <v>0</v>
      </c>
      <c r="N1623" t="str">
        <f t="shared" si="75"/>
        <v>40–59</v>
      </c>
      <c r="O1623" t="str">
        <f t="shared" si="76"/>
        <v>Obese</v>
      </c>
    </row>
    <row r="1624" spans="1:15" x14ac:dyDescent="0.3">
      <c r="A1624">
        <v>65801</v>
      </c>
      <c r="B1624" t="s">
        <v>7</v>
      </c>
      <c r="C1624">
        <v>20</v>
      </c>
      <c r="D1624">
        <v>0</v>
      </c>
      <c r="E1624">
        <v>0</v>
      </c>
      <c r="F1624" t="str">
        <f t="shared" si="77"/>
        <v>Lower Risk</v>
      </c>
      <c r="G1624" t="s">
        <v>13</v>
      </c>
      <c r="H1624" t="s">
        <v>4</v>
      </c>
      <c r="I1624" t="s">
        <v>5</v>
      </c>
      <c r="J1624">
        <v>73.83</v>
      </c>
      <c r="K1624">
        <v>16.600000000000001</v>
      </c>
      <c r="L1624" t="s">
        <v>14</v>
      </c>
      <c r="M1624">
        <v>0</v>
      </c>
      <c r="N1624" t="str">
        <f t="shared" si="75"/>
        <v>Under 40</v>
      </c>
      <c r="O1624" t="str">
        <f t="shared" si="76"/>
        <v>Underweight</v>
      </c>
    </row>
    <row r="1625" spans="1:15" x14ac:dyDescent="0.3">
      <c r="A1625">
        <v>59953</v>
      </c>
      <c r="B1625" t="s">
        <v>7</v>
      </c>
      <c r="C1625">
        <v>15</v>
      </c>
      <c r="D1625">
        <v>0</v>
      </c>
      <c r="E1625">
        <v>0</v>
      </c>
      <c r="F1625" t="str">
        <f t="shared" si="77"/>
        <v>Lower Risk</v>
      </c>
      <c r="G1625" t="s">
        <v>13</v>
      </c>
      <c r="H1625" t="s">
        <v>4</v>
      </c>
      <c r="I1625" t="s">
        <v>9</v>
      </c>
      <c r="J1625">
        <v>69.38</v>
      </c>
      <c r="K1625">
        <v>28.4</v>
      </c>
      <c r="L1625" t="s">
        <v>11</v>
      </c>
      <c r="M1625">
        <v>0</v>
      </c>
      <c r="N1625" t="str">
        <f t="shared" si="75"/>
        <v>Under 40</v>
      </c>
      <c r="O1625" t="str">
        <f t="shared" si="76"/>
        <v>Overweight</v>
      </c>
    </row>
    <row r="1626" spans="1:15" x14ac:dyDescent="0.3">
      <c r="A1626">
        <v>60973</v>
      </c>
      <c r="B1626" t="s">
        <v>2</v>
      </c>
      <c r="C1626">
        <v>51</v>
      </c>
      <c r="D1626">
        <v>0</v>
      </c>
      <c r="E1626">
        <v>0</v>
      </c>
      <c r="F1626" t="str">
        <f t="shared" si="77"/>
        <v>Lower Risk</v>
      </c>
      <c r="G1626" t="s">
        <v>3</v>
      </c>
      <c r="H1626" t="s">
        <v>4</v>
      </c>
      <c r="I1626" t="s">
        <v>5</v>
      </c>
      <c r="J1626">
        <v>66.11</v>
      </c>
      <c r="K1626">
        <v>26.3</v>
      </c>
      <c r="L1626" t="s">
        <v>11</v>
      </c>
      <c r="M1626">
        <v>0</v>
      </c>
      <c r="N1626" t="str">
        <f t="shared" si="75"/>
        <v>40–59</v>
      </c>
      <c r="O1626" t="str">
        <f t="shared" si="76"/>
        <v>Overweight</v>
      </c>
    </row>
    <row r="1627" spans="1:15" x14ac:dyDescent="0.3">
      <c r="A1627">
        <v>68739</v>
      </c>
      <c r="B1627" t="s">
        <v>2</v>
      </c>
      <c r="C1627">
        <v>34</v>
      </c>
      <c r="D1627">
        <v>0</v>
      </c>
      <c r="E1627">
        <v>0</v>
      </c>
      <c r="F1627" t="str">
        <f t="shared" si="77"/>
        <v>Lower Risk</v>
      </c>
      <c r="G1627" t="s">
        <v>3</v>
      </c>
      <c r="H1627" t="s">
        <v>4</v>
      </c>
      <c r="I1627" t="s">
        <v>5</v>
      </c>
      <c r="J1627">
        <v>149.62</v>
      </c>
      <c r="K1627">
        <v>39.4</v>
      </c>
      <c r="L1627" t="s">
        <v>6</v>
      </c>
      <c r="M1627">
        <v>0</v>
      </c>
      <c r="N1627" t="str">
        <f t="shared" si="75"/>
        <v>Under 40</v>
      </c>
      <c r="O1627" t="str">
        <f t="shared" si="76"/>
        <v>Obese</v>
      </c>
    </row>
    <row r="1628" spans="1:15" x14ac:dyDescent="0.3">
      <c r="A1628">
        <v>35829</v>
      </c>
      <c r="B1628" t="s">
        <v>7</v>
      </c>
      <c r="C1628">
        <v>33</v>
      </c>
      <c r="D1628">
        <v>0</v>
      </c>
      <c r="E1628">
        <v>0</v>
      </c>
      <c r="F1628" t="str">
        <f t="shared" si="77"/>
        <v>Lower Risk</v>
      </c>
      <c r="G1628" t="s">
        <v>3</v>
      </c>
      <c r="H1628" t="s">
        <v>4</v>
      </c>
      <c r="I1628" t="s">
        <v>5</v>
      </c>
      <c r="J1628">
        <v>242.84</v>
      </c>
      <c r="K1628">
        <v>15.7</v>
      </c>
      <c r="L1628" t="s">
        <v>12</v>
      </c>
      <c r="M1628">
        <v>0</v>
      </c>
      <c r="N1628" t="str">
        <f t="shared" si="75"/>
        <v>Under 40</v>
      </c>
      <c r="O1628" t="str">
        <f t="shared" si="76"/>
        <v>Underweight</v>
      </c>
    </row>
    <row r="1629" spans="1:15" x14ac:dyDescent="0.3">
      <c r="A1629">
        <v>53909</v>
      </c>
      <c r="B1629" t="s">
        <v>7</v>
      </c>
      <c r="C1629">
        <v>53</v>
      </c>
      <c r="D1629">
        <v>1</v>
      </c>
      <c r="E1629">
        <v>0</v>
      </c>
      <c r="F1629" t="str">
        <f t="shared" si="77"/>
        <v>Lower Risk</v>
      </c>
      <c r="G1629" t="s">
        <v>3</v>
      </c>
      <c r="H1629" t="s">
        <v>4</v>
      </c>
      <c r="I1629" t="s">
        <v>5</v>
      </c>
      <c r="J1629">
        <v>202.66</v>
      </c>
      <c r="K1629">
        <v>34.1</v>
      </c>
      <c r="L1629" t="s">
        <v>12</v>
      </c>
      <c r="M1629">
        <v>0</v>
      </c>
      <c r="N1629" t="str">
        <f t="shared" si="75"/>
        <v>40–59</v>
      </c>
      <c r="O1629" t="str">
        <f t="shared" si="76"/>
        <v>Obese</v>
      </c>
    </row>
    <row r="1630" spans="1:15" x14ac:dyDescent="0.3">
      <c r="A1630">
        <v>5799</v>
      </c>
      <c r="B1630" t="s">
        <v>2</v>
      </c>
      <c r="C1630">
        <v>69</v>
      </c>
      <c r="D1630">
        <v>0</v>
      </c>
      <c r="E1630">
        <v>1</v>
      </c>
      <c r="F1630" t="str">
        <f t="shared" si="77"/>
        <v>High Risk</v>
      </c>
      <c r="G1630" t="s">
        <v>3</v>
      </c>
      <c r="H1630" t="s">
        <v>4</v>
      </c>
      <c r="I1630" t="s">
        <v>9</v>
      </c>
      <c r="J1630">
        <v>216.9</v>
      </c>
      <c r="K1630">
        <v>29.8</v>
      </c>
      <c r="L1630" t="s">
        <v>6</v>
      </c>
      <c r="M1630">
        <v>0</v>
      </c>
      <c r="N1630" t="str">
        <f t="shared" si="75"/>
        <v>60+</v>
      </c>
      <c r="O1630" t="str">
        <f t="shared" si="76"/>
        <v>Overweight</v>
      </c>
    </row>
    <row r="1631" spans="1:15" x14ac:dyDescent="0.3">
      <c r="A1631">
        <v>43772</v>
      </c>
      <c r="B1631" t="s">
        <v>7</v>
      </c>
      <c r="C1631">
        <v>28</v>
      </c>
      <c r="D1631">
        <v>0</v>
      </c>
      <c r="E1631">
        <v>0</v>
      </c>
      <c r="F1631" t="str">
        <f t="shared" si="77"/>
        <v>Lower Risk</v>
      </c>
      <c r="G1631" t="s">
        <v>13</v>
      </c>
      <c r="H1631" t="s">
        <v>4</v>
      </c>
      <c r="I1631" t="s">
        <v>5</v>
      </c>
      <c r="J1631">
        <v>103.78</v>
      </c>
      <c r="K1631">
        <v>23.6</v>
      </c>
      <c r="L1631" t="s">
        <v>14</v>
      </c>
      <c r="M1631">
        <v>0</v>
      </c>
      <c r="N1631" t="str">
        <f t="shared" si="75"/>
        <v>Under 40</v>
      </c>
      <c r="O1631" t="str">
        <f t="shared" si="76"/>
        <v>Normal</v>
      </c>
    </row>
    <row r="1632" spans="1:15" x14ac:dyDescent="0.3">
      <c r="A1632">
        <v>3154</v>
      </c>
      <c r="B1632" t="s">
        <v>7</v>
      </c>
      <c r="C1632">
        <v>81</v>
      </c>
      <c r="D1632">
        <v>0</v>
      </c>
      <c r="E1632">
        <v>0</v>
      </c>
      <c r="F1632" t="str">
        <f t="shared" si="77"/>
        <v>Moderate Risk</v>
      </c>
      <c r="G1632" t="s">
        <v>3</v>
      </c>
      <c r="H1632" t="s">
        <v>8</v>
      </c>
      <c r="I1632" t="s">
        <v>9</v>
      </c>
      <c r="J1632">
        <v>114.88</v>
      </c>
      <c r="K1632">
        <v>18.3</v>
      </c>
      <c r="L1632" t="s">
        <v>6</v>
      </c>
      <c r="M1632">
        <v>0</v>
      </c>
      <c r="N1632" t="str">
        <f t="shared" si="75"/>
        <v>60+</v>
      </c>
      <c r="O1632" t="str">
        <f t="shared" si="76"/>
        <v>Underweight</v>
      </c>
    </row>
    <row r="1633" spans="1:15" x14ac:dyDescent="0.3">
      <c r="A1633">
        <v>45754</v>
      </c>
      <c r="B1633" t="s">
        <v>7</v>
      </c>
      <c r="C1633">
        <v>20</v>
      </c>
      <c r="D1633">
        <v>0</v>
      </c>
      <c r="E1633">
        <v>0</v>
      </c>
      <c r="F1633" t="str">
        <f t="shared" si="77"/>
        <v>Lower Risk</v>
      </c>
      <c r="G1633" t="s">
        <v>13</v>
      </c>
      <c r="H1633" t="s">
        <v>4</v>
      </c>
      <c r="I1633" t="s">
        <v>5</v>
      </c>
      <c r="J1633">
        <v>75.94</v>
      </c>
      <c r="K1633">
        <v>28.3</v>
      </c>
      <c r="L1633" t="s">
        <v>11</v>
      </c>
      <c r="M1633">
        <v>0</v>
      </c>
      <c r="N1633" t="str">
        <f t="shared" si="75"/>
        <v>Under 40</v>
      </c>
      <c r="O1633" t="str">
        <f t="shared" si="76"/>
        <v>Overweight</v>
      </c>
    </row>
    <row r="1634" spans="1:15" x14ac:dyDescent="0.3">
      <c r="A1634">
        <v>57485</v>
      </c>
      <c r="B1634" t="s">
        <v>7</v>
      </c>
      <c r="C1634">
        <v>1.48</v>
      </c>
      <c r="D1634">
        <v>0</v>
      </c>
      <c r="E1634">
        <v>0</v>
      </c>
      <c r="F1634" t="str">
        <f t="shared" si="77"/>
        <v>Lower Risk</v>
      </c>
      <c r="G1634" t="s">
        <v>13</v>
      </c>
      <c r="H1634" t="s">
        <v>16</v>
      </c>
      <c r="I1634" t="s">
        <v>9</v>
      </c>
      <c r="J1634">
        <v>55.51</v>
      </c>
      <c r="K1634">
        <v>18.5</v>
      </c>
      <c r="L1634" t="s">
        <v>14</v>
      </c>
      <c r="M1634">
        <v>0</v>
      </c>
      <c r="N1634" t="str">
        <f t="shared" si="75"/>
        <v>Under 40</v>
      </c>
      <c r="O1634" t="str">
        <f t="shared" si="76"/>
        <v>Normal</v>
      </c>
    </row>
    <row r="1635" spans="1:15" x14ac:dyDescent="0.3">
      <c r="A1635">
        <v>6128</v>
      </c>
      <c r="B1635" t="s">
        <v>2</v>
      </c>
      <c r="C1635">
        <v>2</v>
      </c>
      <c r="D1635">
        <v>0</v>
      </c>
      <c r="E1635">
        <v>0</v>
      </c>
      <c r="F1635" t="str">
        <f t="shared" si="77"/>
        <v>Lower Risk</v>
      </c>
      <c r="G1635" t="s">
        <v>13</v>
      </c>
      <c r="H1635" t="s">
        <v>16</v>
      </c>
      <c r="I1635" t="s">
        <v>9</v>
      </c>
      <c r="J1635">
        <v>93.74</v>
      </c>
      <c r="K1635">
        <v>18.399999999999999</v>
      </c>
      <c r="L1635" t="s">
        <v>14</v>
      </c>
      <c r="M1635">
        <v>0</v>
      </c>
      <c r="N1635" t="str">
        <f t="shared" si="75"/>
        <v>Under 40</v>
      </c>
      <c r="O1635" t="str">
        <f t="shared" si="76"/>
        <v>Underweight</v>
      </c>
    </row>
    <row r="1636" spans="1:15" x14ac:dyDescent="0.3">
      <c r="A1636">
        <v>22623</v>
      </c>
      <c r="B1636" t="s">
        <v>2</v>
      </c>
      <c r="C1636">
        <v>77</v>
      </c>
      <c r="D1636">
        <v>0</v>
      </c>
      <c r="E1636">
        <v>0</v>
      </c>
      <c r="F1636" t="str">
        <f t="shared" si="77"/>
        <v>Moderate Risk</v>
      </c>
      <c r="G1636" t="s">
        <v>3</v>
      </c>
      <c r="H1636" t="s">
        <v>4</v>
      </c>
      <c r="I1636" t="s">
        <v>5</v>
      </c>
      <c r="J1636">
        <v>71.44</v>
      </c>
      <c r="K1636">
        <v>24.1</v>
      </c>
      <c r="L1636" t="s">
        <v>12</v>
      </c>
      <c r="M1636">
        <v>0</v>
      </c>
      <c r="N1636" t="str">
        <f t="shared" si="75"/>
        <v>60+</v>
      </c>
      <c r="O1636" t="str">
        <f t="shared" si="76"/>
        <v>Normal</v>
      </c>
    </row>
    <row r="1637" spans="1:15" x14ac:dyDescent="0.3">
      <c r="A1637">
        <v>37082</v>
      </c>
      <c r="B1637" t="s">
        <v>7</v>
      </c>
      <c r="C1637">
        <v>38</v>
      </c>
      <c r="D1637">
        <v>0</v>
      </c>
      <c r="E1637">
        <v>0</v>
      </c>
      <c r="F1637" t="str">
        <f t="shared" si="77"/>
        <v>Lower Risk</v>
      </c>
      <c r="G1637" t="s">
        <v>3</v>
      </c>
      <c r="H1637" t="s">
        <v>15</v>
      </c>
      <c r="I1637" t="s">
        <v>5</v>
      </c>
      <c r="J1637">
        <v>58.29</v>
      </c>
      <c r="K1637">
        <v>25.5</v>
      </c>
      <c r="L1637" t="s">
        <v>6</v>
      </c>
      <c r="M1637">
        <v>0</v>
      </c>
      <c r="N1637" t="str">
        <f t="shared" si="75"/>
        <v>Under 40</v>
      </c>
      <c r="O1637" t="str">
        <f t="shared" si="76"/>
        <v>Overweight</v>
      </c>
    </row>
    <row r="1638" spans="1:15" x14ac:dyDescent="0.3">
      <c r="A1638">
        <v>64541</v>
      </c>
      <c r="B1638" t="s">
        <v>2</v>
      </c>
      <c r="C1638">
        <v>23</v>
      </c>
      <c r="D1638">
        <v>0</v>
      </c>
      <c r="E1638">
        <v>0</v>
      </c>
      <c r="F1638" t="str">
        <f t="shared" si="77"/>
        <v>Lower Risk</v>
      </c>
      <c r="G1638" t="s">
        <v>3</v>
      </c>
      <c r="H1638" t="s">
        <v>4</v>
      </c>
      <c r="I1638" t="s">
        <v>5</v>
      </c>
      <c r="J1638">
        <v>115.83</v>
      </c>
      <c r="K1638">
        <v>25.3</v>
      </c>
      <c r="L1638" t="s">
        <v>11</v>
      </c>
      <c r="M1638">
        <v>0</v>
      </c>
      <c r="N1638" t="str">
        <f t="shared" si="75"/>
        <v>Under 40</v>
      </c>
      <c r="O1638" t="str">
        <f t="shared" si="76"/>
        <v>Overweight</v>
      </c>
    </row>
    <row r="1639" spans="1:15" x14ac:dyDescent="0.3">
      <c r="A1639">
        <v>47037</v>
      </c>
      <c r="B1639" t="s">
        <v>7</v>
      </c>
      <c r="C1639">
        <v>67</v>
      </c>
      <c r="D1639">
        <v>0</v>
      </c>
      <c r="E1639">
        <v>0</v>
      </c>
      <c r="F1639" t="str">
        <f t="shared" si="77"/>
        <v>Moderate Risk</v>
      </c>
      <c r="G1639" t="s">
        <v>3</v>
      </c>
      <c r="H1639" t="s">
        <v>4</v>
      </c>
      <c r="I1639" t="s">
        <v>5</v>
      </c>
      <c r="J1639">
        <v>102.71</v>
      </c>
      <c r="K1639">
        <v>39.9</v>
      </c>
      <c r="L1639" t="s">
        <v>6</v>
      </c>
      <c r="M1639">
        <v>0</v>
      </c>
      <c r="N1639" t="str">
        <f t="shared" si="75"/>
        <v>60+</v>
      </c>
      <c r="O1639" t="str">
        <f t="shared" si="76"/>
        <v>Obese</v>
      </c>
    </row>
    <row r="1640" spans="1:15" x14ac:dyDescent="0.3">
      <c r="A1640">
        <v>48614</v>
      </c>
      <c r="B1640" t="s">
        <v>2</v>
      </c>
      <c r="C1640">
        <v>59</v>
      </c>
      <c r="D1640">
        <v>0</v>
      </c>
      <c r="E1640">
        <v>0</v>
      </c>
      <c r="F1640" t="str">
        <f t="shared" si="77"/>
        <v>Lower Risk</v>
      </c>
      <c r="G1640" t="s">
        <v>3</v>
      </c>
      <c r="H1640" t="s">
        <v>15</v>
      </c>
      <c r="I1640" t="s">
        <v>5</v>
      </c>
      <c r="J1640">
        <v>99.69</v>
      </c>
      <c r="K1640">
        <v>28.8</v>
      </c>
      <c r="L1640" t="s">
        <v>12</v>
      </c>
      <c r="M1640">
        <v>0</v>
      </c>
      <c r="N1640" t="str">
        <f t="shared" si="75"/>
        <v>40–59</v>
      </c>
      <c r="O1640" t="str">
        <f t="shared" si="76"/>
        <v>Overweight</v>
      </c>
    </row>
    <row r="1641" spans="1:15" x14ac:dyDescent="0.3">
      <c r="A1641">
        <v>15969</v>
      </c>
      <c r="B1641" t="s">
        <v>7</v>
      </c>
      <c r="C1641">
        <v>41</v>
      </c>
      <c r="D1641">
        <v>0</v>
      </c>
      <c r="E1641">
        <v>0</v>
      </c>
      <c r="F1641" t="str">
        <f t="shared" si="77"/>
        <v>Lower Risk</v>
      </c>
      <c r="G1641" t="s">
        <v>3</v>
      </c>
      <c r="H1641" t="s">
        <v>8</v>
      </c>
      <c r="I1641" t="s">
        <v>9</v>
      </c>
      <c r="J1641">
        <v>102.89</v>
      </c>
      <c r="K1641">
        <v>37.200000000000003</v>
      </c>
      <c r="L1641" t="s">
        <v>6</v>
      </c>
      <c r="M1641">
        <v>0</v>
      </c>
      <c r="N1641" t="str">
        <f t="shared" si="75"/>
        <v>40–59</v>
      </c>
      <c r="O1641" t="str">
        <f t="shared" si="76"/>
        <v>Obese</v>
      </c>
    </row>
    <row r="1642" spans="1:15" x14ac:dyDescent="0.3">
      <c r="A1642">
        <v>17752</v>
      </c>
      <c r="B1642" t="s">
        <v>2</v>
      </c>
      <c r="C1642">
        <v>76</v>
      </c>
      <c r="D1642">
        <v>0</v>
      </c>
      <c r="E1642">
        <v>1</v>
      </c>
      <c r="F1642" t="str">
        <f t="shared" si="77"/>
        <v>High Risk</v>
      </c>
      <c r="G1642" t="s">
        <v>3</v>
      </c>
      <c r="H1642" t="s">
        <v>4</v>
      </c>
      <c r="I1642" t="s">
        <v>5</v>
      </c>
      <c r="J1642">
        <v>79.05</v>
      </c>
      <c r="K1642" t="s">
        <v>10</v>
      </c>
      <c r="L1642" t="s">
        <v>14</v>
      </c>
      <c r="M1642">
        <v>0</v>
      </c>
      <c r="N1642" t="str">
        <f t="shared" si="75"/>
        <v>60+</v>
      </c>
      <c r="O1642" t="str">
        <f t="shared" si="76"/>
        <v>Unknown</v>
      </c>
    </row>
    <row r="1643" spans="1:15" x14ac:dyDescent="0.3">
      <c r="A1643">
        <v>50889</v>
      </c>
      <c r="B1643" t="s">
        <v>7</v>
      </c>
      <c r="C1643">
        <v>21</v>
      </c>
      <c r="D1643">
        <v>0</v>
      </c>
      <c r="E1643">
        <v>0</v>
      </c>
      <c r="F1643" t="str">
        <f t="shared" si="77"/>
        <v>Lower Risk</v>
      </c>
      <c r="G1643" t="s">
        <v>13</v>
      </c>
      <c r="H1643" t="s">
        <v>15</v>
      </c>
      <c r="I1643" t="s">
        <v>9</v>
      </c>
      <c r="J1643">
        <v>56.63</v>
      </c>
      <c r="K1643">
        <v>49.8</v>
      </c>
      <c r="L1643" t="s">
        <v>11</v>
      </c>
      <c r="M1643">
        <v>0</v>
      </c>
      <c r="N1643" t="str">
        <f t="shared" si="75"/>
        <v>Under 40</v>
      </c>
      <c r="O1643" t="str">
        <f t="shared" si="76"/>
        <v>Obese</v>
      </c>
    </row>
    <row r="1644" spans="1:15" x14ac:dyDescent="0.3">
      <c r="A1644">
        <v>56459</v>
      </c>
      <c r="B1644" t="s">
        <v>2</v>
      </c>
      <c r="C1644">
        <v>41</v>
      </c>
      <c r="D1644">
        <v>0</v>
      </c>
      <c r="E1644">
        <v>0</v>
      </c>
      <c r="F1644" t="str">
        <f t="shared" si="77"/>
        <v>Lower Risk</v>
      </c>
      <c r="G1644" t="s">
        <v>3</v>
      </c>
      <c r="H1644" t="s">
        <v>4</v>
      </c>
      <c r="I1644" t="s">
        <v>9</v>
      </c>
      <c r="J1644">
        <v>87.34</v>
      </c>
      <c r="K1644">
        <v>34.299999999999997</v>
      </c>
      <c r="L1644" t="s">
        <v>6</v>
      </c>
      <c r="M1644">
        <v>0</v>
      </c>
      <c r="N1644" t="str">
        <f t="shared" si="75"/>
        <v>40–59</v>
      </c>
      <c r="O1644" t="str">
        <f t="shared" si="76"/>
        <v>Obese</v>
      </c>
    </row>
    <row r="1645" spans="1:15" x14ac:dyDescent="0.3">
      <c r="A1645">
        <v>34163</v>
      </c>
      <c r="B1645" t="s">
        <v>2</v>
      </c>
      <c r="C1645">
        <v>54</v>
      </c>
      <c r="D1645">
        <v>0</v>
      </c>
      <c r="E1645">
        <v>0</v>
      </c>
      <c r="F1645" t="str">
        <f t="shared" si="77"/>
        <v>Lower Risk</v>
      </c>
      <c r="G1645" t="s">
        <v>3</v>
      </c>
      <c r="H1645" t="s">
        <v>4</v>
      </c>
      <c r="I1645" t="s">
        <v>9</v>
      </c>
      <c r="J1645">
        <v>109.51</v>
      </c>
      <c r="K1645">
        <v>29</v>
      </c>
      <c r="L1645" t="s">
        <v>11</v>
      </c>
      <c r="M1645">
        <v>0</v>
      </c>
      <c r="N1645" t="str">
        <f t="shared" si="75"/>
        <v>40–59</v>
      </c>
      <c r="O1645" t="str">
        <f t="shared" si="76"/>
        <v>Overweight</v>
      </c>
    </row>
    <row r="1646" spans="1:15" x14ac:dyDescent="0.3">
      <c r="A1646">
        <v>4538</v>
      </c>
      <c r="B1646" t="s">
        <v>7</v>
      </c>
      <c r="C1646">
        <v>29</v>
      </c>
      <c r="D1646">
        <v>0</v>
      </c>
      <c r="E1646">
        <v>0</v>
      </c>
      <c r="F1646" t="str">
        <f t="shared" si="77"/>
        <v>Lower Risk</v>
      </c>
      <c r="G1646" t="s">
        <v>13</v>
      </c>
      <c r="H1646" t="s">
        <v>4</v>
      </c>
      <c r="I1646" t="s">
        <v>5</v>
      </c>
      <c r="J1646">
        <v>81.430000000000007</v>
      </c>
      <c r="K1646" t="s">
        <v>10</v>
      </c>
      <c r="L1646" t="s">
        <v>6</v>
      </c>
      <c r="M1646">
        <v>0</v>
      </c>
      <c r="N1646" t="str">
        <f t="shared" si="75"/>
        <v>Under 40</v>
      </c>
      <c r="O1646" t="str">
        <f t="shared" si="76"/>
        <v>Unknown</v>
      </c>
    </row>
    <row r="1647" spans="1:15" x14ac:dyDescent="0.3">
      <c r="A1647">
        <v>14222</v>
      </c>
      <c r="B1647" t="s">
        <v>7</v>
      </c>
      <c r="C1647">
        <v>25</v>
      </c>
      <c r="D1647">
        <v>0</v>
      </c>
      <c r="E1647">
        <v>0</v>
      </c>
      <c r="F1647" t="str">
        <f t="shared" si="77"/>
        <v>Lower Risk</v>
      </c>
      <c r="G1647" t="s">
        <v>13</v>
      </c>
      <c r="H1647" t="s">
        <v>4</v>
      </c>
      <c r="I1647" t="s">
        <v>5</v>
      </c>
      <c r="J1647">
        <v>78.59</v>
      </c>
      <c r="K1647">
        <v>37.200000000000003</v>
      </c>
      <c r="L1647" t="s">
        <v>11</v>
      </c>
      <c r="M1647">
        <v>0</v>
      </c>
      <c r="N1647" t="str">
        <f t="shared" si="75"/>
        <v>Under 40</v>
      </c>
      <c r="O1647" t="str">
        <f t="shared" si="76"/>
        <v>Obese</v>
      </c>
    </row>
    <row r="1648" spans="1:15" x14ac:dyDescent="0.3">
      <c r="A1648">
        <v>31461</v>
      </c>
      <c r="B1648" t="s">
        <v>7</v>
      </c>
      <c r="C1648">
        <v>48</v>
      </c>
      <c r="D1648">
        <v>0</v>
      </c>
      <c r="E1648">
        <v>1</v>
      </c>
      <c r="F1648" t="str">
        <f t="shared" si="77"/>
        <v>Lower Risk</v>
      </c>
      <c r="G1648" t="s">
        <v>3</v>
      </c>
      <c r="H1648" t="s">
        <v>8</v>
      </c>
      <c r="I1648" t="s">
        <v>5</v>
      </c>
      <c r="J1648">
        <v>101.22</v>
      </c>
      <c r="K1648" t="s">
        <v>10</v>
      </c>
      <c r="L1648" t="s">
        <v>6</v>
      </c>
      <c r="M1648">
        <v>0</v>
      </c>
      <c r="N1648" t="str">
        <f t="shared" si="75"/>
        <v>40–59</v>
      </c>
      <c r="O1648" t="str">
        <f t="shared" si="76"/>
        <v>Unknown</v>
      </c>
    </row>
    <row r="1649" spans="1:15" x14ac:dyDescent="0.3">
      <c r="A1649">
        <v>34001</v>
      </c>
      <c r="B1649" t="s">
        <v>7</v>
      </c>
      <c r="C1649">
        <v>6</v>
      </c>
      <c r="D1649">
        <v>0</v>
      </c>
      <c r="E1649">
        <v>0</v>
      </c>
      <c r="F1649" t="str">
        <f t="shared" si="77"/>
        <v>Lower Risk</v>
      </c>
      <c r="G1649" t="s">
        <v>13</v>
      </c>
      <c r="H1649" t="s">
        <v>16</v>
      </c>
      <c r="I1649" t="s">
        <v>5</v>
      </c>
      <c r="J1649">
        <v>78.260000000000005</v>
      </c>
      <c r="K1649">
        <v>19.399999999999999</v>
      </c>
      <c r="L1649" t="s">
        <v>14</v>
      </c>
      <c r="M1649">
        <v>0</v>
      </c>
      <c r="N1649" t="str">
        <f t="shared" si="75"/>
        <v>Under 40</v>
      </c>
      <c r="O1649" t="str">
        <f t="shared" si="76"/>
        <v>Normal</v>
      </c>
    </row>
    <row r="1650" spans="1:15" x14ac:dyDescent="0.3">
      <c r="A1650">
        <v>48964</v>
      </c>
      <c r="B1650" t="s">
        <v>2</v>
      </c>
      <c r="C1650">
        <v>21</v>
      </c>
      <c r="D1650">
        <v>0</v>
      </c>
      <c r="E1650">
        <v>0</v>
      </c>
      <c r="F1650" t="str">
        <f t="shared" si="77"/>
        <v>Lower Risk</v>
      </c>
      <c r="G1650" t="s">
        <v>13</v>
      </c>
      <c r="H1650" t="s">
        <v>4</v>
      </c>
      <c r="I1650" t="s">
        <v>9</v>
      </c>
      <c r="J1650">
        <v>105.47</v>
      </c>
      <c r="K1650">
        <v>26.2</v>
      </c>
      <c r="L1650" t="s">
        <v>11</v>
      </c>
      <c r="M1650">
        <v>0</v>
      </c>
      <c r="N1650" t="str">
        <f t="shared" si="75"/>
        <v>Under 40</v>
      </c>
      <c r="O1650" t="str">
        <f t="shared" si="76"/>
        <v>Overweight</v>
      </c>
    </row>
    <row r="1651" spans="1:15" x14ac:dyDescent="0.3">
      <c r="A1651">
        <v>40393</v>
      </c>
      <c r="B1651" t="s">
        <v>7</v>
      </c>
      <c r="C1651">
        <v>32</v>
      </c>
      <c r="D1651">
        <v>0</v>
      </c>
      <c r="E1651">
        <v>0</v>
      </c>
      <c r="F1651" t="str">
        <f t="shared" si="77"/>
        <v>Lower Risk</v>
      </c>
      <c r="G1651" t="s">
        <v>13</v>
      </c>
      <c r="H1651" t="s">
        <v>4</v>
      </c>
      <c r="I1651" t="s">
        <v>5</v>
      </c>
      <c r="J1651">
        <v>68.19</v>
      </c>
      <c r="K1651">
        <v>21.1</v>
      </c>
      <c r="L1651" t="s">
        <v>11</v>
      </c>
      <c r="M1651">
        <v>0</v>
      </c>
      <c r="N1651" t="str">
        <f t="shared" si="75"/>
        <v>Under 40</v>
      </c>
      <c r="O1651" t="str">
        <f t="shared" si="76"/>
        <v>Normal</v>
      </c>
    </row>
    <row r="1652" spans="1:15" x14ac:dyDescent="0.3">
      <c r="A1652">
        <v>16488</v>
      </c>
      <c r="B1652" t="s">
        <v>7</v>
      </c>
      <c r="C1652">
        <v>57</v>
      </c>
      <c r="D1652">
        <v>1</v>
      </c>
      <c r="E1652">
        <v>0</v>
      </c>
      <c r="F1652" t="str">
        <f t="shared" si="77"/>
        <v>Lower Risk</v>
      </c>
      <c r="G1652" t="s">
        <v>3</v>
      </c>
      <c r="H1652" t="s">
        <v>4</v>
      </c>
      <c r="I1652" t="s">
        <v>5</v>
      </c>
      <c r="J1652">
        <v>210</v>
      </c>
      <c r="K1652" t="s">
        <v>10</v>
      </c>
      <c r="L1652" t="s">
        <v>11</v>
      </c>
      <c r="M1652">
        <v>0</v>
      </c>
      <c r="N1652" t="str">
        <f t="shared" si="75"/>
        <v>40–59</v>
      </c>
      <c r="O1652" t="str">
        <f t="shared" si="76"/>
        <v>Unknown</v>
      </c>
    </row>
    <row r="1653" spans="1:15" x14ac:dyDescent="0.3">
      <c r="A1653">
        <v>47947</v>
      </c>
      <c r="B1653" t="s">
        <v>7</v>
      </c>
      <c r="C1653">
        <v>64</v>
      </c>
      <c r="D1653">
        <v>0</v>
      </c>
      <c r="E1653">
        <v>0</v>
      </c>
      <c r="F1653" t="str">
        <f t="shared" si="77"/>
        <v>Moderate Risk</v>
      </c>
      <c r="G1653" t="s">
        <v>3</v>
      </c>
      <c r="H1653" t="s">
        <v>8</v>
      </c>
      <c r="I1653" t="s">
        <v>9</v>
      </c>
      <c r="J1653">
        <v>114.47</v>
      </c>
      <c r="K1653">
        <v>31.6</v>
      </c>
      <c r="L1653" t="s">
        <v>12</v>
      </c>
      <c r="M1653">
        <v>0</v>
      </c>
      <c r="N1653" t="str">
        <f t="shared" si="75"/>
        <v>60+</v>
      </c>
      <c r="O1653" t="str">
        <f t="shared" si="76"/>
        <v>Obese</v>
      </c>
    </row>
    <row r="1654" spans="1:15" x14ac:dyDescent="0.3">
      <c r="A1654">
        <v>51149</v>
      </c>
      <c r="B1654" t="s">
        <v>2</v>
      </c>
      <c r="C1654">
        <v>70</v>
      </c>
      <c r="D1654">
        <v>0</v>
      </c>
      <c r="E1654">
        <v>0</v>
      </c>
      <c r="F1654" t="str">
        <f t="shared" si="77"/>
        <v>Moderate Risk</v>
      </c>
      <c r="G1654" t="s">
        <v>3</v>
      </c>
      <c r="H1654" t="s">
        <v>4</v>
      </c>
      <c r="I1654" t="s">
        <v>5</v>
      </c>
      <c r="J1654">
        <v>66.849999999999994</v>
      </c>
      <c r="K1654">
        <v>29.3</v>
      </c>
      <c r="L1654" t="s">
        <v>14</v>
      </c>
      <c r="M1654">
        <v>0</v>
      </c>
      <c r="N1654" t="str">
        <f t="shared" si="75"/>
        <v>60+</v>
      </c>
      <c r="O1654" t="str">
        <f t="shared" si="76"/>
        <v>Overweight</v>
      </c>
    </row>
    <row r="1655" spans="1:15" x14ac:dyDescent="0.3">
      <c r="A1655">
        <v>17079</v>
      </c>
      <c r="B1655" t="s">
        <v>2</v>
      </c>
      <c r="C1655">
        <v>44</v>
      </c>
      <c r="D1655">
        <v>0</v>
      </c>
      <c r="E1655">
        <v>0</v>
      </c>
      <c r="F1655" t="str">
        <f t="shared" si="77"/>
        <v>Lower Risk</v>
      </c>
      <c r="G1655" t="s">
        <v>3</v>
      </c>
      <c r="H1655" t="s">
        <v>4</v>
      </c>
      <c r="I1655" t="s">
        <v>9</v>
      </c>
      <c r="J1655">
        <v>94.71</v>
      </c>
      <c r="K1655">
        <v>28.4</v>
      </c>
      <c r="L1655" t="s">
        <v>12</v>
      </c>
      <c r="M1655">
        <v>0</v>
      </c>
      <c r="N1655" t="str">
        <f t="shared" si="75"/>
        <v>40–59</v>
      </c>
      <c r="O1655" t="str">
        <f t="shared" si="76"/>
        <v>Overweight</v>
      </c>
    </row>
    <row r="1656" spans="1:15" x14ac:dyDescent="0.3">
      <c r="A1656">
        <v>44781</v>
      </c>
      <c r="B1656" t="s">
        <v>7</v>
      </c>
      <c r="C1656">
        <v>60</v>
      </c>
      <c r="D1656">
        <v>0</v>
      </c>
      <c r="E1656">
        <v>1</v>
      </c>
      <c r="F1656" t="str">
        <f t="shared" si="77"/>
        <v>High Risk</v>
      </c>
      <c r="G1656" t="s">
        <v>3</v>
      </c>
      <c r="H1656" t="s">
        <v>4</v>
      </c>
      <c r="I1656" t="s">
        <v>5</v>
      </c>
      <c r="J1656">
        <v>208.05</v>
      </c>
      <c r="K1656">
        <v>35.299999999999997</v>
      </c>
      <c r="L1656" t="s">
        <v>12</v>
      </c>
      <c r="M1656">
        <v>0</v>
      </c>
      <c r="N1656" t="str">
        <f t="shared" si="75"/>
        <v>60+</v>
      </c>
      <c r="O1656" t="str">
        <f t="shared" si="76"/>
        <v>Obese</v>
      </c>
    </row>
    <row r="1657" spans="1:15" x14ac:dyDescent="0.3">
      <c r="A1657">
        <v>29385</v>
      </c>
      <c r="B1657" t="s">
        <v>7</v>
      </c>
      <c r="C1657">
        <v>56</v>
      </c>
      <c r="D1657">
        <v>0</v>
      </c>
      <c r="E1657">
        <v>0</v>
      </c>
      <c r="F1657" t="str">
        <f t="shared" si="77"/>
        <v>Lower Risk</v>
      </c>
      <c r="G1657" t="s">
        <v>3</v>
      </c>
      <c r="H1657" t="s">
        <v>4</v>
      </c>
      <c r="I1657" t="s">
        <v>9</v>
      </c>
      <c r="J1657">
        <v>222.6</v>
      </c>
      <c r="K1657">
        <v>40.1</v>
      </c>
      <c r="L1657" t="s">
        <v>12</v>
      </c>
      <c r="M1657">
        <v>0</v>
      </c>
      <c r="N1657" t="str">
        <f t="shared" si="75"/>
        <v>40–59</v>
      </c>
      <c r="O1657" t="str">
        <f t="shared" si="76"/>
        <v>Obese</v>
      </c>
    </row>
    <row r="1658" spans="1:15" x14ac:dyDescent="0.3">
      <c r="A1658">
        <v>53610</v>
      </c>
      <c r="B1658" t="s">
        <v>2</v>
      </c>
      <c r="C1658">
        <v>53</v>
      </c>
      <c r="D1658">
        <v>0</v>
      </c>
      <c r="E1658">
        <v>0</v>
      </c>
      <c r="F1658" t="str">
        <f t="shared" si="77"/>
        <v>Lower Risk</v>
      </c>
      <c r="G1658" t="s">
        <v>3</v>
      </c>
      <c r="H1658" t="s">
        <v>4</v>
      </c>
      <c r="I1658" t="s">
        <v>5</v>
      </c>
      <c r="J1658">
        <v>80.81</v>
      </c>
      <c r="K1658">
        <v>39</v>
      </c>
      <c r="L1658" t="s">
        <v>6</v>
      </c>
      <c r="M1658">
        <v>0</v>
      </c>
      <c r="N1658" t="str">
        <f t="shared" si="75"/>
        <v>40–59</v>
      </c>
      <c r="O1658" t="str">
        <f t="shared" si="76"/>
        <v>Obese</v>
      </c>
    </row>
    <row r="1659" spans="1:15" x14ac:dyDescent="0.3">
      <c r="A1659">
        <v>48210</v>
      </c>
      <c r="B1659" t="s">
        <v>2</v>
      </c>
      <c r="C1659">
        <v>59</v>
      </c>
      <c r="D1659">
        <v>0</v>
      </c>
      <c r="E1659">
        <v>0</v>
      </c>
      <c r="F1659" t="str">
        <f t="shared" si="77"/>
        <v>Lower Risk</v>
      </c>
      <c r="G1659" t="s">
        <v>3</v>
      </c>
      <c r="H1659" t="s">
        <v>4</v>
      </c>
      <c r="I1659" t="s">
        <v>9</v>
      </c>
      <c r="J1659">
        <v>64.510000000000005</v>
      </c>
      <c r="K1659">
        <v>31.5</v>
      </c>
      <c r="L1659" t="s">
        <v>11</v>
      </c>
      <c r="M1659">
        <v>0</v>
      </c>
      <c r="N1659" t="str">
        <f t="shared" si="75"/>
        <v>40–59</v>
      </c>
      <c r="O1659" t="str">
        <f t="shared" si="76"/>
        <v>Obese</v>
      </c>
    </row>
    <row r="1660" spans="1:15" x14ac:dyDescent="0.3">
      <c r="A1660">
        <v>48072</v>
      </c>
      <c r="B1660" t="s">
        <v>7</v>
      </c>
      <c r="C1660">
        <v>53</v>
      </c>
      <c r="D1660">
        <v>1</v>
      </c>
      <c r="E1660">
        <v>0</v>
      </c>
      <c r="F1660" t="str">
        <f t="shared" si="77"/>
        <v>Lower Risk</v>
      </c>
      <c r="G1660" t="s">
        <v>3</v>
      </c>
      <c r="H1660" t="s">
        <v>4</v>
      </c>
      <c r="I1660" t="s">
        <v>5</v>
      </c>
      <c r="J1660">
        <v>151.56</v>
      </c>
      <c r="K1660">
        <v>28.5</v>
      </c>
      <c r="L1660" t="s">
        <v>14</v>
      </c>
      <c r="M1660">
        <v>0</v>
      </c>
      <c r="N1660" t="str">
        <f t="shared" si="75"/>
        <v>40–59</v>
      </c>
      <c r="O1660" t="str">
        <f t="shared" si="76"/>
        <v>Overweight</v>
      </c>
    </row>
    <row r="1661" spans="1:15" x14ac:dyDescent="0.3">
      <c r="A1661">
        <v>32776</v>
      </c>
      <c r="B1661" t="s">
        <v>2</v>
      </c>
      <c r="C1661">
        <v>63</v>
      </c>
      <c r="D1661">
        <v>0</v>
      </c>
      <c r="E1661">
        <v>0</v>
      </c>
      <c r="F1661" t="str">
        <f t="shared" si="77"/>
        <v>Moderate Risk</v>
      </c>
      <c r="G1661" t="s">
        <v>3</v>
      </c>
      <c r="H1661" t="s">
        <v>4</v>
      </c>
      <c r="I1661" t="s">
        <v>5</v>
      </c>
      <c r="J1661">
        <v>199.14</v>
      </c>
      <c r="K1661">
        <v>28.5</v>
      </c>
      <c r="L1661" t="s">
        <v>11</v>
      </c>
      <c r="M1661">
        <v>0</v>
      </c>
      <c r="N1661" t="str">
        <f t="shared" si="75"/>
        <v>60+</v>
      </c>
      <c r="O1661" t="str">
        <f t="shared" si="76"/>
        <v>Overweight</v>
      </c>
    </row>
    <row r="1662" spans="1:15" x14ac:dyDescent="0.3">
      <c r="A1662">
        <v>8960</v>
      </c>
      <c r="B1662" t="s">
        <v>7</v>
      </c>
      <c r="C1662">
        <v>42</v>
      </c>
      <c r="D1662">
        <v>0</v>
      </c>
      <c r="E1662">
        <v>0</v>
      </c>
      <c r="F1662" t="str">
        <f t="shared" si="77"/>
        <v>Lower Risk</v>
      </c>
      <c r="G1662" t="s">
        <v>13</v>
      </c>
      <c r="H1662" t="s">
        <v>8</v>
      </c>
      <c r="I1662" t="s">
        <v>9</v>
      </c>
      <c r="J1662">
        <v>73.41</v>
      </c>
      <c r="K1662">
        <v>56</v>
      </c>
      <c r="L1662" t="s">
        <v>12</v>
      </c>
      <c r="M1662">
        <v>0</v>
      </c>
      <c r="N1662" t="str">
        <f t="shared" si="75"/>
        <v>40–59</v>
      </c>
      <c r="O1662" t="str">
        <f t="shared" si="76"/>
        <v>Obese</v>
      </c>
    </row>
    <row r="1663" spans="1:15" x14ac:dyDescent="0.3">
      <c r="A1663">
        <v>63491</v>
      </c>
      <c r="B1663" t="s">
        <v>7</v>
      </c>
      <c r="C1663">
        <v>63</v>
      </c>
      <c r="D1663">
        <v>0</v>
      </c>
      <c r="E1663">
        <v>0</v>
      </c>
      <c r="F1663" t="str">
        <f t="shared" si="77"/>
        <v>Moderate Risk</v>
      </c>
      <c r="G1663" t="s">
        <v>3</v>
      </c>
      <c r="H1663" t="s">
        <v>4</v>
      </c>
      <c r="I1663" t="s">
        <v>5</v>
      </c>
      <c r="J1663">
        <v>109.65</v>
      </c>
      <c r="K1663">
        <v>28.6</v>
      </c>
      <c r="L1663" t="s">
        <v>6</v>
      </c>
      <c r="M1663">
        <v>0</v>
      </c>
      <c r="N1663" t="str">
        <f t="shared" si="75"/>
        <v>60+</v>
      </c>
      <c r="O1663" t="str">
        <f t="shared" si="76"/>
        <v>Overweight</v>
      </c>
    </row>
    <row r="1664" spans="1:15" x14ac:dyDescent="0.3">
      <c r="A1664">
        <v>51883</v>
      </c>
      <c r="B1664" t="s">
        <v>7</v>
      </c>
      <c r="C1664">
        <v>52</v>
      </c>
      <c r="D1664">
        <v>0</v>
      </c>
      <c r="E1664">
        <v>0</v>
      </c>
      <c r="F1664" t="str">
        <f t="shared" si="77"/>
        <v>Lower Risk</v>
      </c>
      <c r="G1664" t="s">
        <v>3</v>
      </c>
      <c r="H1664" t="s">
        <v>15</v>
      </c>
      <c r="I1664" t="s">
        <v>9</v>
      </c>
      <c r="J1664">
        <v>69.11</v>
      </c>
      <c r="K1664">
        <v>35.200000000000003</v>
      </c>
      <c r="L1664" t="s">
        <v>11</v>
      </c>
      <c r="M1664">
        <v>0</v>
      </c>
      <c r="N1664" t="str">
        <f t="shared" si="75"/>
        <v>40–59</v>
      </c>
      <c r="O1664" t="str">
        <f t="shared" si="76"/>
        <v>Obese</v>
      </c>
    </row>
    <row r="1665" spans="1:15" x14ac:dyDescent="0.3">
      <c r="A1665">
        <v>20460</v>
      </c>
      <c r="B1665" t="s">
        <v>7</v>
      </c>
      <c r="C1665">
        <v>62</v>
      </c>
      <c r="D1665">
        <v>0</v>
      </c>
      <c r="E1665">
        <v>0</v>
      </c>
      <c r="F1665" t="str">
        <f t="shared" si="77"/>
        <v>Moderate Risk</v>
      </c>
      <c r="G1665" t="s">
        <v>3</v>
      </c>
      <c r="H1665" t="s">
        <v>4</v>
      </c>
      <c r="I1665" t="s">
        <v>5</v>
      </c>
      <c r="J1665">
        <v>114.41</v>
      </c>
      <c r="K1665">
        <v>32.5</v>
      </c>
      <c r="L1665" t="s">
        <v>11</v>
      </c>
      <c r="M1665">
        <v>0</v>
      </c>
      <c r="N1665" t="str">
        <f t="shared" si="75"/>
        <v>60+</v>
      </c>
      <c r="O1665" t="str">
        <f t="shared" si="76"/>
        <v>Obese</v>
      </c>
    </row>
    <row r="1666" spans="1:15" x14ac:dyDescent="0.3">
      <c r="A1666">
        <v>47181</v>
      </c>
      <c r="B1666" t="s">
        <v>7</v>
      </c>
      <c r="C1666">
        <v>68</v>
      </c>
      <c r="D1666">
        <v>0</v>
      </c>
      <c r="E1666">
        <v>0</v>
      </c>
      <c r="F1666" t="str">
        <f t="shared" si="77"/>
        <v>Moderate Risk</v>
      </c>
      <c r="G1666" t="s">
        <v>3</v>
      </c>
      <c r="H1666" t="s">
        <v>4</v>
      </c>
      <c r="I1666" t="s">
        <v>5</v>
      </c>
      <c r="J1666">
        <v>103.46</v>
      </c>
      <c r="K1666">
        <v>35.9</v>
      </c>
      <c r="L1666" t="s">
        <v>11</v>
      </c>
      <c r="M1666">
        <v>0</v>
      </c>
      <c r="N1666" t="str">
        <f t="shared" ref="N1666:N1729" si="78">IF(C1666&lt;40,"Under 40",IF(C1666&lt;60,"40–59","60+"))</f>
        <v>60+</v>
      </c>
      <c r="O1666" t="str">
        <f t="shared" ref="O1666:O1729" si="79">IF(K1666="N/A","Unknown",
IF(K1666="","Unknown",
IF(K1666&lt;18.5,"Underweight",
IF(K1666&lt;25,"Normal",
IF(K1666&lt;30,"Overweight","Obese")))))</f>
        <v>Obese</v>
      </c>
    </row>
    <row r="1667" spans="1:15" x14ac:dyDescent="0.3">
      <c r="A1667">
        <v>35432</v>
      </c>
      <c r="B1667" t="s">
        <v>7</v>
      </c>
      <c r="C1667">
        <v>36</v>
      </c>
      <c r="D1667">
        <v>0</v>
      </c>
      <c r="E1667">
        <v>0</v>
      </c>
      <c r="F1667" t="str">
        <f t="shared" ref="F1667:F1730" si="80">IF(C1667&gt;=60,
IF(OR(D1667=1,E1667=1),"High Risk","Moderate Risk"),
"Lower Risk")</f>
        <v>Lower Risk</v>
      </c>
      <c r="G1667" t="s">
        <v>3</v>
      </c>
      <c r="H1667" t="s">
        <v>4</v>
      </c>
      <c r="I1667" t="s">
        <v>9</v>
      </c>
      <c r="J1667">
        <v>95.36</v>
      </c>
      <c r="K1667">
        <v>25.1</v>
      </c>
      <c r="L1667" t="s">
        <v>11</v>
      </c>
      <c r="M1667">
        <v>0</v>
      </c>
      <c r="N1667" t="str">
        <f t="shared" si="78"/>
        <v>Under 40</v>
      </c>
      <c r="O1667" t="str">
        <f t="shared" si="79"/>
        <v>Overweight</v>
      </c>
    </row>
    <row r="1668" spans="1:15" x14ac:dyDescent="0.3">
      <c r="A1668">
        <v>44010</v>
      </c>
      <c r="B1668" t="s">
        <v>7</v>
      </c>
      <c r="C1668">
        <v>3</v>
      </c>
      <c r="D1668">
        <v>0</v>
      </c>
      <c r="E1668">
        <v>0</v>
      </c>
      <c r="F1668" t="str">
        <f t="shared" si="80"/>
        <v>Lower Risk</v>
      </c>
      <c r="G1668" t="s">
        <v>13</v>
      </c>
      <c r="H1668" t="s">
        <v>16</v>
      </c>
      <c r="I1668" t="s">
        <v>5</v>
      </c>
      <c r="J1668">
        <v>57.33</v>
      </c>
      <c r="K1668">
        <v>16.8</v>
      </c>
      <c r="L1668" t="s">
        <v>14</v>
      </c>
      <c r="M1668">
        <v>0</v>
      </c>
      <c r="N1668" t="str">
        <f t="shared" si="78"/>
        <v>Under 40</v>
      </c>
      <c r="O1668" t="str">
        <f t="shared" si="79"/>
        <v>Underweight</v>
      </c>
    </row>
    <row r="1669" spans="1:15" x14ac:dyDescent="0.3">
      <c r="A1669">
        <v>50841</v>
      </c>
      <c r="B1669" t="s">
        <v>7</v>
      </c>
      <c r="C1669">
        <v>40</v>
      </c>
      <c r="D1669">
        <v>0</v>
      </c>
      <c r="E1669">
        <v>0</v>
      </c>
      <c r="F1669" t="str">
        <f t="shared" si="80"/>
        <v>Lower Risk</v>
      </c>
      <c r="G1669" t="s">
        <v>3</v>
      </c>
      <c r="H1669" t="s">
        <v>4</v>
      </c>
      <c r="I1669" t="s">
        <v>9</v>
      </c>
      <c r="J1669">
        <v>191.48</v>
      </c>
      <c r="K1669">
        <v>27.9</v>
      </c>
      <c r="L1669" t="s">
        <v>12</v>
      </c>
      <c r="M1669">
        <v>0</v>
      </c>
      <c r="N1669" t="str">
        <f t="shared" si="78"/>
        <v>40–59</v>
      </c>
      <c r="O1669" t="str">
        <f t="shared" si="79"/>
        <v>Overweight</v>
      </c>
    </row>
    <row r="1670" spans="1:15" x14ac:dyDescent="0.3">
      <c r="A1670">
        <v>71044</v>
      </c>
      <c r="B1670" t="s">
        <v>7</v>
      </c>
      <c r="C1670">
        <v>8</v>
      </c>
      <c r="D1670">
        <v>0</v>
      </c>
      <c r="E1670">
        <v>0</v>
      </c>
      <c r="F1670" t="str">
        <f t="shared" si="80"/>
        <v>Lower Risk</v>
      </c>
      <c r="G1670" t="s">
        <v>13</v>
      </c>
      <c r="H1670" t="s">
        <v>16</v>
      </c>
      <c r="I1670" t="s">
        <v>9</v>
      </c>
      <c r="J1670">
        <v>71.63</v>
      </c>
      <c r="K1670">
        <v>16.3</v>
      </c>
      <c r="L1670" t="s">
        <v>14</v>
      </c>
      <c r="M1670">
        <v>0</v>
      </c>
      <c r="N1670" t="str">
        <f t="shared" si="78"/>
        <v>Under 40</v>
      </c>
      <c r="O1670" t="str">
        <f t="shared" si="79"/>
        <v>Underweight</v>
      </c>
    </row>
    <row r="1671" spans="1:15" x14ac:dyDescent="0.3">
      <c r="A1671">
        <v>1842</v>
      </c>
      <c r="B1671" t="s">
        <v>2</v>
      </c>
      <c r="C1671">
        <v>58</v>
      </c>
      <c r="D1671">
        <v>0</v>
      </c>
      <c r="E1671">
        <v>0</v>
      </c>
      <c r="F1671" t="str">
        <f t="shared" si="80"/>
        <v>Lower Risk</v>
      </c>
      <c r="G1671" t="s">
        <v>3</v>
      </c>
      <c r="H1671" t="s">
        <v>4</v>
      </c>
      <c r="I1671" t="s">
        <v>5</v>
      </c>
      <c r="J1671">
        <v>94</v>
      </c>
      <c r="K1671" t="s">
        <v>10</v>
      </c>
      <c r="L1671" t="s">
        <v>14</v>
      </c>
      <c r="M1671">
        <v>0</v>
      </c>
      <c r="N1671" t="str">
        <f t="shared" si="78"/>
        <v>40–59</v>
      </c>
      <c r="O1671" t="str">
        <f t="shared" si="79"/>
        <v>Unknown</v>
      </c>
    </row>
    <row r="1672" spans="1:15" x14ac:dyDescent="0.3">
      <c r="A1672">
        <v>34720</v>
      </c>
      <c r="B1672" t="s">
        <v>2</v>
      </c>
      <c r="C1672">
        <v>45</v>
      </c>
      <c r="D1672">
        <v>0</v>
      </c>
      <c r="E1672">
        <v>1</v>
      </c>
      <c r="F1672" t="str">
        <f t="shared" si="80"/>
        <v>Lower Risk</v>
      </c>
      <c r="G1672" t="s">
        <v>3</v>
      </c>
      <c r="H1672" t="s">
        <v>4</v>
      </c>
      <c r="I1672" t="s">
        <v>9</v>
      </c>
      <c r="J1672">
        <v>93.77</v>
      </c>
      <c r="K1672" t="s">
        <v>10</v>
      </c>
      <c r="L1672" t="s">
        <v>14</v>
      </c>
      <c r="M1672">
        <v>0</v>
      </c>
      <c r="N1672" t="str">
        <f t="shared" si="78"/>
        <v>40–59</v>
      </c>
      <c r="O1672" t="str">
        <f t="shared" si="79"/>
        <v>Unknown</v>
      </c>
    </row>
    <row r="1673" spans="1:15" x14ac:dyDescent="0.3">
      <c r="A1673">
        <v>9489</v>
      </c>
      <c r="B1673" t="s">
        <v>7</v>
      </c>
      <c r="C1673">
        <v>65</v>
      </c>
      <c r="D1673">
        <v>0</v>
      </c>
      <c r="E1673">
        <v>0</v>
      </c>
      <c r="F1673" t="str">
        <f t="shared" si="80"/>
        <v>Moderate Risk</v>
      </c>
      <c r="G1673" t="s">
        <v>3</v>
      </c>
      <c r="H1673" t="s">
        <v>4</v>
      </c>
      <c r="I1673" t="s">
        <v>5</v>
      </c>
      <c r="J1673">
        <v>84.75</v>
      </c>
      <c r="K1673">
        <v>21.4</v>
      </c>
      <c r="L1673" t="s">
        <v>14</v>
      </c>
      <c r="M1673">
        <v>0</v>
      </c>
      <c r="N1673" t="str">
        <f t="shared" si="78"/>
        <v>60+</v>
      </c>
      <c r="O1673" t="str">
        <f t="shared" si="79"/>
        <v>Normal</v>
      </c>
    </row>
    <row r="1674" spans="1:15" x14ac:dyDescent="0.3">
      <c r="A1674">
        <v>28725</v>
      </c>
      <c r="B1674" t="s">
        <v>7</v>
      </c>
      <c r="C1674">
        <v>28</v>
      </c>
      <c r="D1674">
        <v>0</v>
      </c>
      <c r="E1674">
        <v>0</v>
      </c>
      <c r="F1674" t="str">
        <f t="shared" si="80"/>
        <v>Lower Risk</v>
      </c>
      <c r="G1674" t="s">
        <v>13</v>
      </c>
      <c r="H1674" t="s">
        <v>4</v>
      </c>
      <c r="I1674" t="s">
        <v>9</v>
      </c>
      <c r="J1674">
        <v>89.24</v>
      </c>
      <c r="K1674">
        <v>32.700000000000003</v>
      </c>
      <c r="L1674" t="s">
        <v>6</v>
      </c>
      <c r="M1674">
        <v>0</v>
      </c>
      <c r="N1674" t="str">
        <f t="shared" si="78"/>
        <v>Under 40</v>
      </c>
      <c r="O1674" t="str">
        <f t="shared" si="79"/>
        <v>Obese</v>
      </c>
    </row>
    <row r="1675" spans="1:15" x14ac:dyDescent="0.3">
      <c r="A1675">
        <v>30290</v>
      </c>
      <c r="B1675" t="s">
        <v>7</v>
      </c>
      <c r="C1675">
        <v>40</v>
      </c>
      <c r="D1675">
        <v>0</v>
      </c>
      <c r="E1675">
        <v>0</v>
      </c>
      <c r="F1675" t="str">
        <f t="shared" si="80"/>
        <v>Lower Risk</v>
      </c>
      <c r="G1675" t="s">
        <v>3</v>
      </c>
      <c r="H1675" t="s">
        <v>4</v>
      </c>
      <c r="I1675" t="s">
        <v>5</v>
      </c>
      <c r="J1675">
        <v>70.13</v>
      </c>
      <c r="K1675">
        <v>23.6</v>
      </c>
      <c r="L1675" t="s">
        <v>11</v>
      </c>
      <c r="M1675">
        <v>0</v>
      </c>
      <c r="N1675" t="str">
        <f t="shared" si="78"/>
        <v>40–59</v>
      </c>
      <c r="O1675" t="str">
        <f t="shared" si="79"/>
        <v>Normal</v>
      </c>
    </row>
    <row r="1676" spans="1:15" x14ac:dyDescent="0.3">
      <c r="A1676">
        <v>13723</v>
      </c>
      <c r="B1676" t="s">
        <v>7</v>
      </c>
      <c r="C1676">
        <v>65</v>
      </c>
      <c r="D1676">
        <v>0</v>
      </c>
      <c r="E1676">
        <v>0</v>
      </c>
      <c r="F1676" t="str">
        <f t="shared" si="80"/>
        <v>Moderate Risk</v>
      </c>
      <c r="G1676" t="s">
        <v>3</v>
      </c>
      <c r="H1676" t="s">
        <v>4</v>
      </c>
      <c r="I1676" t="s">
        <v>5</v>
      </c>
      <c r="J1676">
        <v>82.26</v>
      </c>
      <c r="K1676">
        <v>19.8</v>
      </c>
      <c r="L1676" t="s">
        <v>6</v>
      </c>
      <c r="M1676">
        <v>0</v>
      </c>
      <c r="N1676" t="str">
        <f t="shared" si="78"/>
        <v>60+</v>
      </c>
      <c r="O1676" t="str">
        <f t="shared" si="79"/>
        <v>Normal</v>
      </c>
    </row>
    <row r="1677" spans="1:15" x14ac:dyDescent="0.3">
      <c r="A1677">
        <v>26328</v>
      </c>
      <c r="B1677" t="s">
        <v>2</v>
      </c>
      <c r="C1677">
        <v>58</v>
      </c>
      <c r="D1677">
        <v>1</v>
      </c>
      <c r="E1677">
        <v>0</v>
      </c>
      <c r="F1677" t="str">
        <f t="shared" si="80"/>
        <v>Lower Risk</v>
      </c>
      <c r="G1677" t="s">
        <v>3</v>
      </c>
      <c r="H1677" t="s">
        <v>4</v>
      </c>
      <c r="I1677" t="s">
        <v>5</v>
      </c>
      <c r="J1677">
        <v>200.16</v>
      </c>
      <c r="K1677">
        <v>33.1</v>
      </c>
      <c r="L1677" t="s">
        <v>11</v>
      </c>
      <c r="M1677">
        <v>0</v>
      </c>
      <c r="N1677" t="str">
        <f t="shared" si="78"/>
        <v>40–59</v>
      </c>
      <c r="O1677" t="str">
        <f t="shared" si="79"/>
        <v>Obese</v>
      </c>
    </row>
    <row r="1678" spans="1:15" x14ac:dyDescent="0.3">
      <c r="A1678">
        <v>60104</v>
      </c>
      <c r="B1678" t="s">
        <v>2</v>
      </c>
      <c r="C1678">
        <v>44</v>
      </c>
      <c r="D1678">
        <v>0</v>
      </c>
      <c r="E1678">
        <v>0</v>
      </c>
      <c r="F1678" t="str">
        <f t="shared" si="80"/>
        <v>Lower Risk</v>
      </c>
      <c r="G1678" t="s">
        <v>3</v>
      </c>
      <c r="H1678" t="s">
        <v>4</v>
      </c>
      <c r="I1678" t="s">
        <v>5</v>
      </c>
      <c r="J1678">
        <v>80.73</v>
      </c>
      <c r="K1678">
        <v>28.1</v>
      </c>
      <c r="L1678" t="s">
        <v>12</v>
      </c>
      <c r="M1678">
        <v>0</v>
      </c>
      <c r="N1678" t="str">
        <f t="shared" si="78"/>
        <v>40–59</v>
      </c>
      <c r="O1678" t="str">
        <f t="shared" si="79"/>
        <v>Overweight</v>
      </c>
    </row>
    <row r="1679" spans="1:15" x14ac:dyDescent="0.3">
      <c r="A1679">
        <v>48722</v>
      </c>
      <c r="B1679" t="s">
        <v>7</v>
      </c>
      <c r="C1679">
        <v>54</v>
      </c>
      <c r="D1679">
        <v>0</v>
      </c>
      <c r="E1679">
        <v>0</v>
      </c>
      <c r="F1679" t="str">
        <f t="shared" si="80"/>
        <v>Lower Risk</v>
      </c>
      <c r="G1679" t="s">
        <v>3</v>
      </c>
      <c r="H1679" t="s">
        <v>4</v>
      </c>
      <c r="I1679" t="s">
        <v>5</v>
      </c>
      <c r="J1679">
        <v>75.09</v>
      </c>
      <c r="K1679">
        <v>38.9</v>
      </c>
      <c r="L1679" t="s">
        <v>6</v>
      </c>
      <c r="M1679">
        <v>0</v>
      </c>
      <c r="N1679" t="str">
        <f t="shared" si="78"/>
        <v>40–59</v>
      </c>
      <c r="O1679" t="str">
        <f t="shared" si="79"/>
        <v>Obese</v>
      </c>
    </row>
    <row r="1680" spans="1:15" x14ac:dyDescent="0.3">
      <c r="A1680">
        <v>14481</v>
      </c>
      <c r="B1680" t="s">
        <v>7</v>
      </c>
      <c r="C1680">
        <v>79</v>
      </c>
      <c r="D1680">
        <v>0</v>
      </c>
      <c r="E1680">
        <v>0</v>
      </c>
      <c r="F1680" t="str">
        <f t="shared" si="80"/>
        <v>Moderate Risk</v>
      </c>
      <c r="G1680" t="s">
        <v>3</v>
      </c>
      <c r="H1680" t="s">
        <v>8</v>
      </c>
      <c r="I1680" t="s">
        <v>5</v>
      </c>
      <c r="J1680">
        <v>80.569999999999993</v>
      </c>
      <c r="K1680">
        <v>23.8</v>
      </c>
      <c r="L1680" t="s">
        <v>11</v>
      </c>
      <c r="M1680">
        <v>0</v>
      </c>
      <c r="N1680" t="str">
        <f t="shared" si="78"/>
        <v>60+</v>
      </c>
      <c r="O1680" t="str">
        <f t="shared" si="79"/>
        <v>Normal</v>
      </c>
    </row>
    <row r="1681" spans="1:15" x14ac:dyDescent="0.3">
      <c r="A1681">
        <v>67963</v>
      </c>
      <c r="B1681" t="s">
        <v>7</v>
      </c>
      <c r="C1681">
        <v>62</v>
      </c>
      <c r="D1681">
        <v>1</v>
      </c>
      <c r="E1681">
        <v>0</v>
      </c>
      <c r="F1681" t="str">
        <f t="shared" si="80"/>
        <v>High Risk</v>
      </c>
      <c r="G1681" t="s">
        <v>13</v>
      </c>
      <c r="H1681" t="s">
        <v>4</v>
      </c>
      <c r="I1681" t="s">
        <v>9</v>
      </c>
      <c r="J1681">
        <v>77.040000000000006</v>
      </c>
      <c r="K1681">
        <v>33.799999999999997</v>
      </c>
      <c r="L1681" t="s">
        <v>6</v>
      </c>
      <c r="M1681">
        <v>0</v>
      </c>
      <c r="N1681" t="str">
        <f t="shared" si="78"/>
        <v>60+</v>
      </c>
      <c r="O1681" t="str">
        <f t="shared" si="79"/>
        <v>Obese</v>
      </c>
    </row>
    <row r="1682" spans="1:15" x14ac:dyDescent="0.3">
      <c r="A1682">
        <v>70752</v>
      </c>
      <c r="B1682" t="s">
        <v>2</v>
      </c>
      <c r="C1682">
        <v>37</v>
      </c>
      <c r="D1682">
        <v>0</v>
      </c>
      <c r="E1682">
        <v>0</v>
      </c>
      <c r="F1682" t="str">
        <f t="shared" si="80"/>
        <v>Lower Risk</v>
      </c>
      <c r="G1682" t="s">
        <v>3</v>
      </c>
      <c r="H1682" t="s">
        <v>4</v>
      </c>
      <c r="I1682" t="s">
        <v>5</v>
      </c>
      <c r="J1682">
        <v>145.26</v>
      </c>
      <c r="K1682">
        <v>26.7</v>
      </c>
      <c r="L1682" t="s">
        <v>14</v>
      </c>
      <c r="M1682">
        <v>0</v>
      </c>
      <c r="N1682" t="str">
        <f t="shared" si="78"/>
        <v>Under 40</v>
      </c>
      <c r="O1682" t="str">
        <f t="shared" si="79"/>
        <v>Overweight</v>
      </c>
    </row>
    <row r="1683" spans="1:15" x14ac:dyDescent="0.3">
      <c r="A1683">
        <v>52419</v>
      </c>
      <c r="B1683" t="s">
        <v>2</v>
      </c>
      <c r="C1683">
        <v>66</v>
      </c>
      <c r="D1683">
        <v>0</v>
      </c>
      <c r="E1683">
        <v>0</v>
      </c>
      <c r="F1683" t="str">
        <f t="shared" si="80"/>
        <v>Moderate Risk</v>
      </c>
      <c r="G1683" t="s">
        <v>3</v>
      </c>
      <c r="H1683" t="s">
        <v>4</v>
      </c>
      <c r="I1683" t="s">
        <v>5</v>
      </c>
      <c r="J1683">
        <v>190.4</v>
      </c>
      <c r="K1683" t="s">
        <v>10</v>
      </c>
      <c r="L1683" t="s">
        <v>6</v>
      </c>
      <c r="M1683">
        <v>0</v>
      </c>
      <c r="N1683" t="str">
        <f t="shared" si="78"/>
        <v>60+</v>
      </c>
      <c r="O1683" t="str">
        <f t="shared" si="79"/>
        <v>Unknown</v>
      </c>
    </row>
    <row r="1684" spans="1:15" x14ac:dyDescent="0.3">
      <c r="A1684">
        <v>14711</v>
      </c>
      <c r="B1684" t="s">
        <v>2</v>
      </c>
      <c r="C1684">
        <v>63</v>
      </c>
      <c r="D1684">
        <v>0</v>
      </c>
      <c r="E1684">
        <v>0</v>
      </c>
      <c r="F1684" t="str">
        <f t="shared" si="80"/>
        <v>Moderate Risk</v>
      </c>
      <c r="G1684" t="s">
        <v>3</v>
      </c>
      <c r="H1684" t="s">
        <v>8</v>
      </c>
      <c r="I1684" t="s">
        <v>5</v>
      </c>
      <c r="J1684">
        <v>82.08</v>
      </c>
      <c r="K1684">
        <v>32.200000000000003</v>
      </c>
      <c r="L1684" t="s">
        <v>6</v>
      </c>
      <c r="M1684">
        <v>0</v>
      </c>
      <c r="N1684" t="str">
        <f t="shared" si="78"/>
        <v>60+</v>
      </c>
      <c r="O1684" t="str">
        <f t="shared" si="79"/>
        <v>Obese</v>
      </c>
    </row>
    <row r="1685" spans="1:15" x14ac:dyDescent="0.3">
      <c r="A1685">
        <v>26366</v>
      </c>
      <c r="B1685" t="s">
        <v>7</v>
      </c>
      <c r="C1685">
        <v>27</v>
      </c>
      <c r="D1685">
        <v>0</v>
      </c>
      <c r="E1685">
        <v>0</v>
      </c>
      <c r="F1685" t="str">
        <f t="shared" si="80"/>
        <v>Lower Risk</v>
      </c>
      <c r="G1685" t="s">
        <v>13</v>
      </c>
      <c r="H1685" t="s">
        <v>4</v>
      </c>
      <c r="I1685" t="s">
        <v>9</v>
      </c>
      <c r="J1685">
        <v>103.35</v>
      </c>
      <c r="K1685">
        <v>28.1</v>
      </c>
      <c r="L1685" t="s">
        <v>6</v>
      </c>
      <c r="M1685">
        <v>0</v>
      </c>
      <c r="N1685" t="str">
        <f t="shared" si="78"/>
        <v>Under 40</v>
      </c>
      <c r="O1685" t="str">
        <f t="shared" si="79"/>
        <v>Overweight</v>
      </c>
    </row>
    <row r="1686" spans="1:15" x14ac:dyDescent="0.3">
      <c r="A1686">
        <v>12436</v>
      </c>
      <c r="B1686" t="s">
        <v>2</v>
      </c>
      <c r="C1686">
        <v>6</v>
      </c>
      <c r="D1686">
        <v>0</v>
      </c>
      <c r="E1686">
        <v>0</v>
      </c>
      <c r="F1686" t="str">
        <f t="shared" si="80"/>
        <v>Lower Risk</v>
      </c>
      <c r="G1686" t="s">
        <v>13</v>
      </c>
      <c r="H1686" t="s">
        <v>16</v>
      </c>
      <c r="I1686" t="s">
        <v>5</v>
      </c>
      <c r="J1686">
        <v>97.46</v>
      </c>
      <c r="K1686">
        <v>21.3</v>
      </c>
      <c r="L1686" t="s">
        <v>14</v>
      </c>
      <c r="M1686">
        <v>0</v>
      </c>
      <c r="N1686" t="str">
        <f t="shared" si="78"/>
        <v>Under 40</v>
      </c>
      <c r="O1686" t="str">
        <f t="shared" si="79"/>
        <v>Normal</v>
      </c>
    </row>
    <row r="1687" spans="1:15" x14ac:dyDescent="0.3">
      <c r="A1687">
        <v>36722</v>
      </c>
      <c r="B1687" t="s">
        <v>7</v>
      </c>
      <c r="C1687">
        <v>30</v>
      </c>
      <c r="D1687">
        <v>0</v>
      </c>
      <c r="E1687">
        <v>0</v>
      </c>
      <c r="F1687" t="str">
        <f t="shared" si="80"/>
        <v>Lower Risk</v>
      </c>
      <c r="G1687" t="s">
        <v>3</v>
      </c>
      <c r="H1687" t="s">
        <v>4</v>
      </c>
      <c r="I1687" t="s">
        <v>5</v>
      </c>
      <c r="J1687">
        <v>123.65</v>
      </c>
      <c r="K1687">
        <v>44</v>
      </c>
      <c r="L1687" t="s">
        <v>12</v>
      </c>
      <c r="M1687">
        <v>0</v>
      </c>
      <c r="N1687" t="str">
        <f t="shared" si="78"/>
        <v>Under 40</v>
      </c>
      <c r="O1687" t="str">
        <f t="shared" si="79"/>
        <v>Obese</v>
      </c>
    </row>
    <row r="1688" spans="1:15" x14ac:dyDescent="0.3">
      <c r="A1688">
        <v>37698</v>
      </c>
      <c r="B1688" t="s">
        <v>7</v>
      </c>
      <c r="C1688">
        <v>15</v>
      </c>
      <c r="D1688">
        <v>0</v>
      </c>
      <c r="E1688">
        <v>0</v>
      </c>
      <c r="F1688" t="str">
        <f t="shared" si="80"/>
        <v>Lower Risk</v>
      </c>
      <c r="G1688" t="s">
        <v>13</v>
      </c>
      <c r="H1688" t="s">
        <v>16</v>
      </c>
      <c r="I1688" t="s">
        <v>5</v>
      </c>
      <c r="J1688">
        <v>87.96</v>
      </c>
      <c r="K1688">
        <v>21.5</v>
      </c>
      <c r="L1688" t="s">
        <v>6</v>
      </c>
      <c r="M1688">
        <v>0</v>
      </c>
      <c r="N1688" t="str">
        <f t="shared" si="78"/>
        <v>Under 40</v>
      </c>
      <c r="O1688" t="str">
        <f t="shared" si="79"/>
        <v>Normal</v>
      </c>
    </row>
    <row r="1689" spans="1:15" x14ac:dyDescent="0.3">
      <c r="A1689">
        <v>55235</v>
      </c>
      <c r="B1689" t="s">
        <v>7</v>
      </c>
      <c r="C1689">
        <v>50</v>
      </c>
      <c r="D1689">
        <v>0</v>
      </c>
      <c r="E1689">
        <v>0</v>
      </c>
      <c r="F1689" t="str">
        <f t="shared" si="80"/>
        <v>Lower Risk</v>
      </c>
      <c r="G1689" t="s">
        <v>3</v>
      </c>
      <c r="H1689" t="s">
        <v>8</v>
      </c>
      <c r="I1689" t="s">
        <v>5</v>
      </c>
      <c r="J1689">
        <v>85.92</v>
      </c>
      <c r="K1689">
        <v>37.299999999999997</v>
      </c>
      <c r="L1689" t="s">
        <v>12</v>
      </c>
      <c r="M1689">
        <v>0</v>
      </c>
      <c r="N1689" t="str">
        <f t="shared" si="78"/>
        <v>40–59</v>
      </c>
      <c r="O1689" t="str">
        <f t="shared" si="79"/>
        <v>Obese</v>
      </c>
    </row>
    <row r="1690" spans="1:15" x14ac:dyDescent="0.3">
      <c r="A1690">
        <v>20468</v>
      </c>
      <c r="B1690" t="s">
        <v>7</v>
      </c>
      <c r="C1690">
        <v>32</v>
      </c>
      <c r="D1690">
        <v>0</v>
      </c>
      <c r="E1690">
        <v>0</v>
      </c>
      <c r="F1690" t="str">
        <f t="shared" si="80"/>
        <v>Lower Risk</v>
      </c>
      <c r="G1690" t="s">
        <v>3</v>
      </c>
      <c r="H1690" t="s">
        <v>4</v>
      </c>
      <c r="I1690" t="s">
        <v>5</v>
      </c>
      <c r="J1690">
        <v>80.8</v>
      </c>
      <c r="K1690">
        <v>44.8</v>
      </c>
      <c r="L1690" t="s">
        <v>11</v>
      </c>
      <c r="M1690">
        <v>0</v>
      </c>
      <c r="N1690" t="str">
        <f t="shared" si="78"/>
        <v>Under 40</v>
      </c>
      <c r="O1690" t="str">
        <f t="shared" si="79"/>
        <v>Obese</v>
      </c>
    </row>
    <row r="1691" spans="1:15" x14ac:dyDescent="0.3">
      <c r="A1691">
        <v>14677</v>
      </c>
      <c r="B1691" t="s">
        <v>7</v>
      </c>
      <c r="C1691">
        <v>33</v>
      </c>
      <c r="D1691">
        <v>0</v>
      </c>
      <c r="E1691">
        <v>0</v>
      </c>
      <c r="F1691" t="str">
        <f t="shared" si="80"/>
        <v>Lower Risk</v>
      </c>
      <c r="G1691" t="s">
        <v>3</v>
      </c>
      <c r="H1691" t="s">
        <v>8</v>
      </c>
      <c r="I1691" t="s">
        <v>9</v>
      </c>
      <c r="J1691">
        <v>99.3</v>
      </c>
      <c r="K1691">
        <v>21.4</v>
      </c>
      <c r="L1691" t="s">
        <v>11</v>
      </c>
      <c r="M1691">
        <v>0</v>
      </c>
      <c r="N1691" t="str">
        <f t="shared" si="78"/>
        <v>Under 40</v>
      </c>
      <c r="O1691" t="str">
        <f t="shared" si="79"/>
        <v>Normal</v>
      </c>
    </row>
    <row r="1692" spans="1:15" x14ac:dyDescent="0.3">
      <c r="A1692">
        <v>44171</v>
      </c>
      <c r="B1692" t="s">
        <v>2</v>
      </c>
      <c r="C1692">
        <v>62</v>
      </c>
      <c r="D1692">
        <v>0</v>
      </c>
      <c r="E1692">
        <v>0</v>
      </c>
      <c r="F1692" t="str">
        <f t="shared" si="80"/>
        <v>Moderate Risk</v>
      </c>
      <c r="G1692" t="s">
        <v>3</v>
      </c>
      <c r="H1692" t="s">
        <v>4</v>
      </c>
      <c r="I1692" t="s">
        <v>9</v>
      </c>
      <c r="J1692">
        <v>62.56</v>
      </c>
      <c r="K1692">
        <v>32.299999999999997</v>
      </c>
      <c r="L1692" t="s">
        <v>11</v>
      </c>
      <c r="M1692">
        <v>0</v>
      </c>
      <c r="N1692" t="str">
        <f t="shared" si="78"/>
        <v>60+</v>
      </c>
      <c r="O1692" t="str">
        <f t="shared" si="79"/>
        <v>Obese</v>
      </c>
    </row>
    <row r="1693" spans="1:15" x14ac:dyDescent="0.3">
      <c r="A1693">
        <v>70344</v>
      </c>
      <c r="B1693" t="s">
        <v>2</v>
      </c>
      <c r="C1693">
        <v>82</v>
      </c>
      <c r="D1693">
        <v>0</v>
      </c>
      <c r="E1693">
        <v>0</v>
      </c>
      <c r="F1693" t="str">
        <f t="shared" si="80"/>
        <v>Moderate Risk</v>
      </c>
      <c r="G1693" t="s">
        <v>3</v>
      </c>
      <c r="H1693" t="s">
        <v>4</v>
      </c>
      <c r="I1693" t="s">
        <v>5</v>
      </c>
      <c r="J1693">
        <v>144.19999999999999</v>
      </c>
      <c r="K1693">
        <v>35.4</v>
      </c>
      <c r="L1693" t="s">
        <v>12</v>
      </c>
      <c r="M1693">
        <v>0</v>
      </c>
      <c r="N1693" t="str">
        <f t="shared" si="78"/>
        <v>60+</v>
      </c>
      <c r="O1693" t="str">
        <f t="shared" si="79"/>
        <v>Obese</v>
      </c>
    </row>
    <row r="1694" spans="1:15" x14ac:dyDescent="0.3">
      <c r="A1694">
        <v>8470</v>
      </c>
      <c r="B1694" t="s">
        <v>7</v>
      </c>
      <c r="C1694">
        <v>71</v>
      </c>
      <c r="D1694">
        <v>0</v>
      </c>
      <c r="E1694">
        <v>0</v>
      </c>
      <c r="F1694" t="str">
        <f t="shared" si="80"/>
        <v>Moderate Risk</v>
      </c>
      <c r="G1694" t="s">
        <v>3</v>
      </c>
      <c r="H1694" t="s">
        <v>4</v>
      </c>
      <c r="I1694" t="s">
        <v>5</v>
      </c>
      <c r="J1694">
        <v>71.38</v>
      </c>
      <c r="K1694">
        <v>19.7</v>
      </c>
      <c r="L1694" t="s">
        <v>11</v>
      </c>
      <c r="M1694">
        <v>0</v>
      </c>
      <c r="N1694" t="str">
        <f t="shared" si="78"/>
        <v>60+</v>
      </c>
      <c r="O1694" t="str">
        <f t="shared" si="79"/>
        <v>Normal</v>
      </c>
    </row>
    <row r="1695" spans="1:15" x14ac:dyDescent="0.3">
      <c r="A1695">
        <v>42743</v>
      </c>
      <c r="B1695" t="s">
        <v>7</v>
      </c>
      <c r="C1695">
        <v>20</v>
      </c>
      <c r="D1695">
        <v>0</v>
      </c>
      <c r="E1695">
        <v>0</v>
      </c>
      <c r="F1695" t="str">
        <f t="shared" si="80"/>
        <v>Lower Risk</v>
      </c>
      <c r="G1695" t="s">
        <v>13</v>
      </c>
      <c r="H1695" t="s">
        <v>4</v>
      </c>
      <c r="I1695" t="s">
        <v>5</v>
      </c>
      <c r="J1695">
        <v>95.5</v>
      </c>
      <c r="K1695">
        <v>31.3</v>
      </c>
      <c r="L1695" t="s">
        <v>14</v>
      </c>
      <c r="M1695">
        <v>0</v>
      </c>
      <c r="N1695" t="str">
        <f t="shared" si="78"/>
        <v>Under 40</v>
      </c>
      <c r="O1695" t="str">
        <f t="shared" si="79"/>
        <v>Obese</v>
      </c>
    </row>
    <row r="1696" spans="1:15" x14ac:dyDescent="0.3">
      <c r="A1696">
        <v>13949</v>
      </c>
      <c r="B1696" t="s">
        <v>7</v>
      </c>
      <c r="C1696">
        <v>44</v>
      </c>
      <c r="D1696">
        <v>0</v>
      </c>
      <c r="E1696">
        <v>0</v>
      </c>
      <c r="F1696" t="str">
        <f t="shared" si="80"/>
        <v>Lower Risk</v>
      </c>
      <c r="G1696" t="s">
        <v>3</v>
      </c>
      <c r="H1696" t="s">
        <v>15</v>
      </c>
      <c r="I1696" t="s">
        <v>5</v>
      </c>
      <c r="J1696">
        <v>67.06</v>
      </c>
      <c r="K1696">
        <v>35.5</v>
      </c>
      <c r="L1696" t="s">
        <v>11</v>
      </c>
      <c r="M1696">
        <v>0</v>
      </c>
      <c r="N1696" t="str">
        <f t="shared" si="78"/>
        <v>40–59</v>
      </c>
      <c r="O1696" t="str">
        <f t="shared" si="79"/>
        <v>Obese</v>
      </c>
    </row>
    <row r="1697" spans="1:15" x14ac:dyDescent="0.3">
      <c r="A1697">
        <v>61096</v>
      </c>
      <c r="B1697" t="s">
        <v>2</v>
      </c>
      <c r="C1697">
        <v>57</v>
      </c>
      <c r="D1697">
        <v>0</v>
      </c>
      <c r="E1697">
        <v>0</v>
      </c>
      <c r="F1697" t="str">
        <f t="shared" si="80"/>
        <v>Lower Risk</v>
      </c>
      <c r="G1697" t="s">
        <v>3</v>
      </c>
      <c r="H1697" t="s">
        <v>4</v>
      </c>
      <c r="I1697" t="s">
        <v>9</v>
      </c>
      <c r="J1697">
        <v>70.16</v>
      </c>
      <c r="K1697">
        <v>25.8</v>
      </c>
      <c r="L1697" t="s">
        <v>6</v>
      </c>
      <c r="M1697">
        <v>0</v>
      </c>
      <c r="N1697" t="str">
        <f t="shared" si="78"/>
        <v>40–59</v>
      </c>
      <c r="O1697" t="str">
        <f t="shared" si="79"/>
        <v>Overweight</v>
      </c>
    </row>
    <row r="1698" spans="1:15" x14ac:dyDescent="0.3">
      <c r="A1698">
        <v>19239</v>
      </c>
      <c r="B1698" t="s">
        <v>7</v>
      </c>
      <c r="C1698">
        <v>50</v>
      </c>
      <c r="D1698">
        <v>0</v>
      </c>
      <c r="E1698">
        <v>0</v>
      </c>
      <c r="F1698" t="str">
        <f t="shared" si="80"/>
        <v>Lower Risk</v>
      </c>
      <c r="G1698" t="s">
        <v>3</v>
      </c>
      <c r="H1698" t="s">
        <v>15</v>
      </c>
      <c r="I1698" t="s">
        <v>5</v>
      </c>
      <c r="J1698">
        <v>104.24</v>
      </c>
      <c r="K1698">
        <v>32.799999999999997</v>
      </c>
      <c r="L1698" t="s">
        <v>14</v>
      </c>
      <c r="M1698">
        <v>0</v>
      </c>
      <c r="N1698" t="str">
        <f t="shared" si="78"/>
        <v>40–59</v>
      </c>
      <c r="O1698" t="str">
        <f t="shared" si="79"/>
        <v>Obese</v>
      </c>
    </row>
    <row r="1699" spans="1:15" x14ac:dyDescent="0.3">
      <c r="A1699">
        <v>70447</v>
      </c>
      <c r="B1699" t="s">
        <v>2</v>
      </c>
      <c r="C1699">
        <v>50</v>
      </c>
      <c r="D1699">
        <v>0</v>
      </c>
      <c r="E1699">
        <v>0</v>
      </c>
      <c r="F1699" t="str">
        <f t="shared" si="80"/>
        <v>Lower Risk</v>
      </c>
      <c r="G1699" t="s">
        <v>3</v>
      </c>
      <c r="H1699" t="s">
        <v>4</v>
      </c>
      <c r="I1699" t="s">
        <v>9</v>
      </c>
      <c r="J1699">
        <v>122.48</v>
      </c>
      <c r="K1699">
        <v>35.9</v>
      </c>
      <c r="L1699" t="s">
        <v>12</v>
      </c>
      <c r="M1699">
        <v>0</v>
      </c>
      <c r="N1699" t="str">
        <f t="shared" si="78"/>
        <v>40–59</v>
      </c>
      <c r="O1699" t="str">
        <f t="shared" si="79"/>
        <v>Obese</v>
      </c>
    </row>
    <row r="1700" spans="1:15" x14ac:dyDescent="0.3">
      <c r="A1700">
        <v>6879</v>
      </c>
      <c r="B1700" t="s">
        <v>7</v>
      </c>
      <c r="C1700">
        <v>44</v>
      </c>
      <c r="D1700">
        <v>0</v>
      </c>
      <c r="E1700">
        <v>0</v>
      </c>
      <c r="F1700" t="str">
        <f t="shared" si="80"/>
        <v>Lower Risk</v>
      </c>
      <c r="G1700" t="s">
        <v>13</v>
      </c>
      <c r="H1700" t="s">
        <v>15</v>
      </c>
      <c r="I1700" t="s">
        <v>5</v>
      </c>
      <c r="J1700">
        <v>215.9</v>
      </c>
      <c r="K1700">
        <v>41.8</v>
      </c>
      <c r="L1700" t="s">
        <v>12</v>
      </c>
      <c r="M1700">
        <v>0</v>
      </c>
      <c r="N1700" t="str">
        <f t="shared" si="78"/>
        <v>40–59</v>
      </c>
      <c r="O1700" t="str">
        <f t="shared" si="79"/>
        <v>Obese</v>
      </c>
    </row>
    <row r="1701" spans="1:15" x14ac:dyDescent="0.3">
      <c r="A1701">
        <v>37451</v>
      </c>
      <c r="B1701" t="s">
        <v>7</v>
      </c>
      <c r="C1701">
        <v>47</v>
      </c>
      <c r="D1701">
        <v>0</v>
      </c>
      <c r="E1701">
        <v>0</v>
      </c>
      <c r="F1701" t="str">
        <f t="shared" si="80"/>
        <v>Lower Risk</v>
      </c>
      <c r="G1701" t="s">
        <v>3</v>
      </c>
      <c r="H1701" t="s">
        <v>15</v>
      </c>
      <c r="I1701" t="s">
        <v>9</v>
      </c>
      <c r="J1701">
        <v>108.56</v>
      </c>
      <c r="K1701">
        <v>27.3</v>
      </c>
      <c r="L1701" t="s">
        <v>6</v>
      </c>
      <c r="M1701">
        <v>0</v>
      </c>
      <c r="N1701" t="str">
        <f t="shared" si="78"/>
        <v>40–59</v>
      </c>
      <c r="O1701" t="str">
        <f t="shared" si="79"/>
        <v>Overweight</v>
      </c>
    </row>
    <row r="1702" spans="1:15" x14ac:dyDescent="0.3">
      <c r="A1702">
        <v>5686</v>
      </c>
      <c r="B1702" t="s">
        <v>2</v>
      </c>
      <c r="C1702">
        <v>35</v>
      </c>
      <c r="D1702">
        <v>0</v>
      </c>
      <c r="E1702">
        <v>0</v>
      </c>
      <c r="F1702" t="str">
        <f t="shared" si="80"/>
        <v>Lower Risk</v>
      </c>
      <c r="G1702" t="s">
        <v>3</v>
      </c>
      <c r="H1702" t="s">
        <v>4</v>
      </c>
      <c r="I1702" t="s">
        <v>5</v>
      </c>
      <c r="J1702">
        <v>69.88</v>
      </c>
      <c r="K1702">
        <v>27.7</v>
      </c>
      <c r="L1702" t="s">
        <v>14</v>
      </c>
      <c r="M1702">
        <v>0</v>
      </c>
      <c r="N1702" t="str">
        <f t="shared" si="78"/>
        <v>Under 40</v>
      </c>
      <c r="O1702" t="str">
        <f t="shared" si="79"/>
        <v>Overweight</v>
      </c>
    </row>
    <row r="1703" spans="1:15" x14ac:dyDescent="0.3">
      <c r="A1703">
        <v>4789</v>
      </c>
      <c r="B1703" t="s">
        <v>2</v>
      </c>
      <c r="C1703">
        <v>8</v>
      </c>
      <c r="D1703">
        <v>0</v>
      </c>
      <c r="E1703">
        <v>0</v>
      </c>
      <c r="F1703" t="str">
        <f t="shared" si="80"/>
        <v>Lower Risk</v>
      </c>
      <c r="G1703" t="s">
        <v>13</v>
      </c>
      <c r="H1703" t="s">
        <v>16</v>
      </c>
      <c r="I1703" t="s">
        <v>9</v>
      </c>
      <c r="J1703">
        <v>91.54</v>
      </c>
      <c r="K1703">
        <v>13.4</v>
      </c>
      <c r="L1703" t="s">
        <v>14</v>
      </c>
      <c r="M1703">
        <v>0</v>
      </c>
      <c r="N1703" t="str">
        <f t="shared" si="78"/>
        <v>Under 40</v>
      </c>
      <c r="O1703" t="str">
        <f t="shared" si="79"/>
        <v>Underweight</v>
      </c>
    </row>
    <row r="1704" spans="1:15" x14ac:dyDescent="0.3">
      <c r="A1704">
        <v>897</v>
      </c>
      <c r="B1704" t="s">
        <v>2</v>
      </c>
      <c r="C1704">
        <v>3</v>
      </c>
      <c r="D1704">
        <v>0</v>
      </c>
      <c r="E1704">
        <v>0</v>
      </c>
      <c r="F1704" t="str">
        <f t="shared" si="80"/>
        <v>Lower Risk</v>
      </c>
      <c r="G1704" t="s">
        <v>13</v>
      </c>
      <c r="H1704" t="s">
        <v>16</v>
      </c>
      <c r="I1704" t="s">
        <v>9</v>
      </c>
      <c r="J1704">
        <v>65.849999999999994</v>
      </c>
      <c r="K1704">
        <v>17</v>
      </c>
      <c r="L1704" t="s">
        <v>14</v>
      </c>
      <c r="M1704">
        <v>0</v>
      </c>
      <c r="N1704" t="str">
        <f t="shared" si="78"/>
        <v>Under 40</v>
      </c>
      <c r="O1704" t="str">
        <f t="shared" si="79"/>
        <v>Underweight</v>
      </c>
    </row>
    <row r="1705" spans="1:15" x14ac:dyDescent="0.3">
      <c r="A1705">
        <v>69553</v>
      </c>
      <c r="B1705" t="s">
        <v>7</v>
      </c>
      <c r="C1705">
        <v>29</v>
      </c>
      <c r="D1705">
        <v>0</v>
      </c>
      <c r="E1705">
        <v>0</v>
      </c>
      <c r="F1705" t="str">
        <f t="shared" si="80"/>
        <v>Lower Risk</v>
      </c>
      <c r="G1705" t="s">
        <v>3</v>
      </c>
      <c r="H1705" t="s">
        <v>4</v>
      </c>
      <c r="I1705" t="s">
        <v>9</v>
      </c>
      <c r="J1705">
        <v>60.74</v>
      </c>
      <c r="K1705">
        <v>20</v>
      </c>
      <c r="L1705" t="s">
        <v>11</v>
      </c>
      <c r="M1705">
        <v>0</v>
      </c>
      <c r="N1705" t="str">
        <f t="shared" si="78"/>
        <v>Under 40</v>
      </c>
      <c r="O1705" t="str">
        <f t="shared" si="79"/>
        <v>Normal</v>
      </c>
    </row>
    <row r="1706" spans="1:15" x14ac:dyDescent="0.3">
      <c r="A1706">
        <v>58438</v>
      </c>
      <c r="B1706" t="s">
        <v>2</v>
      </c>
      <c r="C1706">
        <v>36</v>
      </c>
      <c r="D1706">
        <v>0</v>
      </c>
      <c r="E1706">
        <v>0</v>
      </c>
      <c r="F1706" t="str">
        <f t="shared" si="80"/>
        <v>Lower Risk</v>
      </c>
      <c r="G1706" t="s">
        <v>13</v>
      </c>
      <c r="H1706" t="s">
        <v>4</v>
      </c>
      <c r="I1706" t="s">
        <v>9</v>
      </c>
      <c r="J1706">
        <v>233.52</v>
      </c>
      <c r="K1706">
        <v>40.9</v>
      </c>
      <c r="L1706" t="s">
        <v>11</v>
      </c>
      <c r="M1706">
        <v>0</v>
      </c>
      <c r="N1706" t="str">
        <f t="shared" si="78"/>
        <v>Under 40</v>
      </c>
      <c r="O1706" t="str">
        <f t="shared" si="79"/>
        <v>Obese</v>
      </c>
    </row>
    <row r="1707" spans="1:15" x14ac:dyDescent="0.3">
      <c r="A1707">
        <v>29104</v>
      </c>
      <c r="B1707" t="s">
        <v>7</v>
      </c>
      <c r="C1707">
        <v>19</v>
      </c>
      <c r="D1707">
        <v>0</v>
      </c>
      <c r="E1707">
        <v>0</v>
      </c>
      <c r="F1707" t="str">
        <f t="shared" si="80"/>
        <v>Lower Risk</v>
      </c>
      <c r="G1707" t="s">
        <v>13</v>
      </c>
      <c r="H1707" t="s">
        <v>4</v>
      </c>
      <c r="I1707" t="s">
        <v>5</v>
      </c>
      <c r="J1707">
        <v>110.7</v>
      </c>
      <c r="K1707">
        <v>38.5</v>
      </c>
      <c r="L1707" t="s">
        <v>11</v>
      </c>
      <c r="M1707">
        <v>0</v>
      </c>
      <c r="N1707" t="str">
        <f t="shared" si="78"/>
        <v>Under 40</v>
      </c>
      <c r="O1707" t="str">
        <f t="shared" si="79"/>
        <v>Obese</v>
      </c>
    </row>
    <row r="1708" spans="1:15" x14ac:dyDescent="0.3">
      <c r="A1708">
        <v>26862</v>
      </c>
      <c r="B1708" t="s">
        <v>7</v>
      </c>
      <c r="C1708">
        <v>41</v>
      </c>
      <c r="D1708">
        <v>0</v>
      </c>
      <c r="E1708">
        <v>0</v>
      </c>
      <c r="F1708" t="str">
        <f t="shared" si="80"/>
        <v>Lower Risk</v>
      </c>
      <c r="G1708" t="s">
        <v>3</v>
      </c>
      <c r="H1708" t="s">
        <v>15</v>
      </c>
      <c r="I1708" t="s">
        <v>9</v>
      </c>
      <c r="J1708">
        <v>78.930000000000007</v>
      </c>
      <c r="K1708">
        <v>30.9</v>
      </c>
      <c r="L1708" t="s">
        <v>6</v>
      </c>
      <c r="M1708">
        <v>0</v>
      </c>
      <c r="N1708" t="str">
        <f t="shared" si="78"/>
        <v>40–59</v>
      </c>
      <c r="O1708" t="str">
        <f t="shared" si="79"/>
        <v>Obese</v>
      </c>
    </row>
    <row r="1709" spans="1:15" x14ac:dyDescent="0.3">
      <c r="A1709">
        <v>38036</v>
      </c>
      <c r="B1709" t="s">
        <v>7</v>
      </c>
      <c r="C1709">
        <v>23</v>
      </c>
      <c r="D1709">
        <v>0</v>
      </c>
      <c r="E1709">
        <v>0</v>
      </c>
      <c r="F1709" t="str">
        <f t="shared" si="80"/>
        <v>Lower Risk</v>
      </c>
      <c r="G1709" t="s">
        <v>13</v>
      </c>
      <c r="H1709" t="s">
        <v>4</v>
      </c>
      <c r="I1709" t="s">
        <v>5</v>
      </c>
      <c r="J1709">
        <v>124.5</v>
      </c>
      <c r="K1709">
        <v>33.4</v>
      </c>
      <c r="L1709" t="s">
        <v>14</v>
      </c>
      <c r="M1709">
        <v>0</v>
      </c>
      <c r="N1709" t="str">
        <f t="shared" si="78"/>
        <v>Under 40</v>
      </c>
      <c r="O1709" t="str">
        <f t="shared" si="79"/>
        <v>Obese</v>
      </c>
    </row>
    <row r="1710" spans="1:15" x14ac:dyDescent="0.3">
      <c r="A1710">
        <v>36666</v>
      </c>
      <c r="B1710" t="s">
        <v>2</v>
      </c>
      <c r="C1710">
        <v>14</v>
      </c>
      <c r="D1710">
        <v>0</v>
      </c>
      <c r="E1710">
        <v>0</v>
      </c>
      <c r="F1710" t="str">
        <f t="shared" si="80"/>
        <v>Lower Risk</v>
      </c>
      <c r="G1710" t="s">
        <v>13</v>
      </c>
      <c r="H1710" t="s">
        <v>16</v>
      </c>
      <c r="I1710" t="s">
        <v>5</v>
      </c>
      <c r="J1710">
        <v>57.95</v>
      </c>
      <c r="K1710">
        <v>17.100000000000001</v>
      </c>
      <c r="L1710" t="s">
        <v>14</v>
      </c>
      <c r="M1710">
        <v>0</v>
      </c>
      <c r="N1710" t="str">
        <f t="shared" si="78"/>
        <v>Under 40</v>
      </c>
      <c r="O1710" t="str">
        <f t="shared" si="79"/>
        <v>Underweight</v>
      </c>
    </row>
    <row r="1711" spans="1:15" x14ac:dyDescent="0.3">
      <c r="A1711">
        <v>16316</v>
      </c>
      <c r="B1711" t="s">
        <v>2</v>
      </c>
      <c r="C1711">
        <v>35</v>
      </c>
      <c r="D1711">
        <v>0</v>
      </c>
      <c r="E1711">
        <v>0</v>
      </c>
      <c r="F1711" t="str">
        <f t="shared" si="80"/>
        <v>Lower Risk</v>
      </c>
      <c r="G1711" t="s">
        <v>3</v>
      </c>
      <c r="H1711" t="s">
        <v>4</v>
      </c>
      <c r="I1711" t="s">
        <v>9</v>
      </c>
      <c r="J1711">
        <v>92.82</v>
      </c>
      <c r="K1711">
        <v>28.6</v>
      </c>
      <c r="L1711" t="s">
        <v>14</v>
      </c>
      <c r="M1711">
        <v>0</v>
      </c>
      <c r="N1711" t="str">
        <f t="shared" si="78"/>
        <v>Under 40</v>
      </c>
      <c r="O1711" t="str">
        <f t="shared" si="79"/>
        <v>Overweight</v>
      </c>
    </row>
    <row r="1712" spans="1:15" x14ac:dyDescent="0.3">
      <c r="A1712">
        <v>61365</v>
      </c>
      <c r="B1712" t="s">
        <v>2</v>
      </c>
      <c r="C1712">
        <v>45</v>
      </c>
      <c r="D1712">
        <v>0</v>
      </c>
      <c r="E1712">
        <v>0</v>
      </c>
      <c r="F1712" t="str">
        <f t="shared" si="80"/>
        <v>Lower Risk</v>
      </c>
      <c r="G1712" t="s">
        <v>3</v>
      </c>
      <c r="H1712" t="s">
        <v>4</v>
      </c>
      <c r="I1712" t="s">
        <v>9</v>
      </c>
      <c r="J1712">
        <v>58.25</v>
      </c>
      <c r="K1712">
        <v>24</v>
      </c>
      <c r="L1712" t="s">
        <v>12</v>
      </c>
      <c r="M1712">
        <v>0</v>
      </c>
      <c r="N1712" t="str">
        <f t="shared" si="78"/>
        <v>40–59</v>
      </c>
      <c r="O1712" t="str">
        <f t="shared" si="79"/>
        <v>Normal</v>
      </c>
    </row>
    <row r="1713" spans="1:15" x14ac:dyDescent="0.3">
      <c r="A1713">
        <v>12512</v>
      </c>
      <c r="B1713" t="s">
        <v>7</v>
      </c>
      <c r="C1713">
        <v>52</v>
      </c>
      <c r="D1713">
        <v>1</v>
      </c>
      <c r="E1713">
        <v>0</v>
      </c>
      <c r="F1713" t="str">
        <f t="shared" si="80"/>
        <v>Lower Risk</v>
      </c>
      <c r="G1713" t="s">
        <v>3</v>
      </c>
      <c r="H1713" t="s">
        <v>4</v>
      </c>
      <c r="I1713" t="s">
        <v>9</v>
      </c>
      <c r="J1713">
        <v>213.54</v>
      </c>
      <c r="K1713">
        <v>32</v>
      </c>
      <c r="L1713" t="s">
        <v>11</v>
      </c>
      <c r="M1713">
        <v>0</v>
      </c>
      <c r="N1713" t="str">
        <f t="shared" si="78"/>
        <v>40–59</v>
      </c>
      <c r="O1713" t="str">
        <f t="shared" si="79"/>
        <v>Obese</v>
      </c>
    </row>
    <row r="1714" spans="1:15" x14ac:dyDescent="0.3">
      <c r="A1714">
        <v>31835</v>
      </c>
      <c r="B1714" t="s">
        <v>2</v>
      </c>
      <c r="C1714">
        <v>19</v>
      </c>
      <c r="D1714">
        <v>0</v>
      </c>
      <c r="E1714">
        <v>0</v>
      </c>
      <c r="F1714" t="str">
        <f t="shared" si="80"/>
        <v>Lower Risk</v>
      </c>
      <c r="G1714" t="s">
        <v>13</v>
      </c>
      <c r="H1714" t="s">
        <v>4</v>
      </c>
      <c r="I1714" t="s">
        <v>5</v>
      </c>
      <c r="J1714">
        <v>74.86</v>
      </c>
      <c r="K1714">
        <v>28.4</v>
      </c>
      <c r="L1714" t="s">
        <v>11</v>
      </c>
      <c r="M1714">
        <v>0</v>
      </c>
      <c r="N1714" t="str">
        <f t="shared" si="78"/>
        <v>Under 40</v>
      </c>
      <c r="O1714" t="str">
        <f t="shared" si="79"/>
        <v>Overweight</v>
      </c>
    </row>
    <row r="1715" spans="1:15" x14ac:dyDescent="0.3">
      <c r="A1715">
        <v>4099</v>
      </c>
      <c r="B1715" t="s">
        <v>7</v>
      </c>
      <c r="C1715">
        <v>21</v>
      </c>
      <c r="D1715">
        <v>0</v>
      </c>
      <c r="E1715">
        <v>0</v>
      </c>
      <c r="F1715" t="str">
        <f t="shared" si="80"/>
        <v>Lower Risk</v>
      </c>
      <c r="G1715" t="s">
        <v>13</v>
      </c>
      <c r="H1715" t="s">
        <v>4</v>
      </c>
      <c r="I1715" t="s">
        <v>5</v>
      </c>
      <c r="J1715">
        <v>78.349999999999994</v>
      </c>
      <c r="K1715">
        <v>20.3</v>
      </c>
      <c r="L1715" t="s">
        <v>14</v>
      </c>
      <c r="M1715">
        <v>0</v>
      </c>
      <c r="N1715" t="str">
        <f t="shared" si="78"/>
        <v>Under 40</v>
      </c>
      <c r="O1715" t="str">
        <f t="shared" si="79"/>
        <v>Normal</v>
      </c>
    </row>
    <row r="1716" spans="1:15" x14ac:dyDescent="0.3">
      <c r="A1716">
        <v>26893</v>
      </c>
      <c r="B1716" t="s">
        <v>2</v>
      </c>
      <c r="C1716">
        <v>8</v>
      </c>
      <c r="D1716">
        <v>0</v>
      </c>
      <c r="E1716">
        <v>0</v>
      </c>
      <c r="F1716" t="str">
        <f t="shared" si="80"/>
        <v>Lower Risk</v>
      </c>
      <c r="G1716" t="s">
        <v>13</v>
      </c>
      <c r="H1716" t="s">
        <v>16</v>
      </c>
      <c r="I1716" t="s">
        <v>5</v>
      </c>
      <c r="J1716">
        <v>101.26</v>
      </c>
      <c r="K1716">
        <v>33.799999999999997</v>
      </c>
      <c r="L1716" t="s">
        <v>14</v>
      </c>
      <c r="M1716">
        <v>0</v>
      </c>
      <c r="N1716" t="str">
        <f t="shared" si="78"/>
        <v>Under 40</v>
      </c>
      <c r="O1716" t="str">
        <f t="shared" si="79"/>
        <v>Obese</v>
      </c>
    </row>
    <row r="1717" spans="1:15" x14ac:dyDescent="0.3">
      <c r="A1717">
        <v>35143</v>
      </c>
      <c r="B1717" t="s">
        <v>7</v>
      </c>
      <c r="C1717">
        <v>35</v>
      </c>
      <c r="D1717">
        <v>0</v>
      </c>
      <c r="E1717">
        <v>0</v>
      </c>
      <c r="F1717" t="str">
        <f t="shared" si="80"/>
        <v>Lower Risk</v>
      </c>
      <c r="G1717" t="s">
        <v>3</v>
      </c>
      <c r="H1717" t="s">
        <v>4</v>
      </c>
      <c r="I1717" t="s">
        <v>5</v>
      </c>
      <c r="J1717">
        <v>86.87</v>
      </c>
      <c r="K1717">
        <v>43.2</v>
      </c>
      <c r="L1717" t="s">
        <v>14</v>
      </c>
      <c r="M1717">
        <v>0</v>
      </c>
      <c r="N1717" t="str">
        <f t="shared" si="78"/>
        <v>Under 40</v>
      </c>
      <c r="O1717" t="str">
        <f t="shared" si="79"/>
        <v>Obese</v>
      </c>
    </row>
    <row r="1718" spans="1:15" x14ac:dyDescent="0.3">
      <c r="A1718">
        <v>1486</v>
      </c>
      <c r="B1718" t="s">
        <v>7</v>
      </c>
      <c r="C1718">
        <v>33</v>
      </c>
      <c r="D1718">
        <v>0</v>
      </c>
      <c r="E1718">
        <v>0</v>
      </c>
      <c r="F1718" t="str">
        <f t="shared" si="80"/>
        <v>Lower Risk</v>
      </c>
      <c r="G1718" t="s">
        <v>3</v>
      </c>
      <c r="H1718" t="s">
        <v>4</v>
      </c>
      <c r="I1718" t="s">
        <v>9</v>
      </c>
      <c r="J1718">
        <v>124.01</v>
      </c>
      <c r="K1718">
        <v>22.7</v>
      </c>
      <c r="L1718" t="s">
        <v>14</v>
      </c>
      <c r="M1718">
        <v>0</v>
      </c>
      <c r="N1718" t="str">
        <f t="shared" si="78"/>
        <v>Under 40</v>
      </c>
      <c r="O1718" t="str">
        <f t="shared" si="79"/>
        <v>Normal</v>
      </c>
    </row>
    <row r="1719" spans="1:15" x14ac:dyDescent="0.3">
      <c r="A1719">
        <v>5043</v>
      </c>
      <c r="B1719" t="s">
        <v>7</v>
      </c>
      <c r="C1719">
        <v>53</v>
      </c>
      <c r="D1719">
        <v>0</v>
      </c>
      <c r="E1719">
        <v>0</v>
      </c>
      <c r="F1719" t="str">
        <f t="shared" si="80"/>
        <v>Lower Risk</v>
      </c>
      <c r="G1719" t="s">
        <v>3</v>
      </c>
      <c r="H1719" t="s">
        <v>4</v>
      </c>
      <c r="I1719" t="s">
        <v>5</v>
      </c>
      <c r="J1719">
        <v>83.41</v>
      </c>
      <c r="K1719">
        <v>29.9</v>
      </c>
      <c r="L1719" t="s">
        <v>11</v>
      </c>
      <c r="M1719">
        <v>0</v>
      </c>
      <c r="N1719" t="str">
        <f t="shared" si="78"/>
        <v>40–59</v>
      </c>
      <c r="O1719" t="str">
        <f t="shared" si="79"/>
        <v>Overweight</v>
      </c>
    </row>
    <row r="1720" spans="1:15" x14ac:dyDescent="0.3">
      <c r="A1720">
        <v>2513</v>
      </c>
      <c r="B1720" t="s">
        <v>2</v>
      </c>
      <c r="C1720">
        <v>59</v>
      </c>
      <c r="D1720">
        <v>0</v>
      </c>
      <c r="E1720">
        <v>1</v>
      </c>
      <c r="F1720" t="str">
        <f t="shared" si="80"/>
        <v>Lower Risk</v>
      </c>
      <c r="G1720" t="s">
        <v>3</v>
      </c>
      <c r="H1720" t="s">
        <v>15</v>
      </c>
      <c r="I1720" t="s">
        <v>5</v>
      </c>
      <c r="J1720">
        <v>188.69</v>
      </c>
      <c r="K1720" t="s">
        <v>10</v>
      </c>
      <c r="L1720" t="s">
        <v>6</v>
      </c>
      <c r="M1720">
        <v>0</v>
      </c>
      <c r="N1720" t="str">
        <f t="shared" si="78"/>
        <v>40–59</v>
      </c>
      <c r="O1720" t="str">
        <f t="shared" si="79"/>
        <v>Unknown</v>
      </c>
    </row>
    <row r="1721" spans="1:15" x14ac:dyDescent="0.3">
      <c r="A1721">
        <v>5451</v>
      </c>
      <c r="B1721" t="s">
        <v>2</v>
      </c>
      <c r="C1721">
        <v>34</v>
      </c>
      <c r="D1721">
        <v>0</v>
      </c>
      <c r="E1721">
        <v>0</v>
      </c>
      <c r="F1721" t="str">
        <f t="shared" si="80"/>
        <v>Lower Risk</v>
      </c>
      <c r="G1721" t="s">
        <v>3</v>
      </c>
      <c r="H1721" t="s">
        <v>4</v>
      </c>
      <c r="I1721" t="s">
        <v>9</v>
      </c>
      <c r="J1721">
        <v>86.51</v>
      </c>
      <c r="K1721" t="s">
        <v>10</v>
      </c>
      <c r="L1721" t="s">
        <v>6</v>
      </c>
      <c r="M1721">
        <v>0</v>
      </c>
      <c r="N1721" t="str">
        <f t="shared" si="78"/>
        <v>Under 40</v>
      </c>
      <c r="O1721" t="str">
        <f t="shared" si="79"/>
        <v>Unknown</v>
      </c>
    </row>
    <row r="1722" spans="1:15" x14ac:dyDescent="0.3">
      <c r="A1722">
        <v>3640</v>
      </c>
      <c r="B1722" t="s">
        <v>7</v>
      </c>
      <c r="C1722">
        <v>31</v>
      </c>
      <c r="D1722">
        <v>0</v>
      </c>
      <c r="E1722">
        <v>0</v>
      </c>
      <c r="F1722" t="str">
        <f t="shared" si="80"/>
        <v>Lower Risk</v>
      </c>
      <c r="G1722" t="s">
        <v>13</v>
      </c>
      <c r="H1722" t="s">
        <v>8</v>
      </c>
      <c r="I1722" t="s">
        <v>9</v>
      </c>
      <c r="J1722">
        <v>70.650000000000006</v>
      </c>
      <c r="K1722">
        <v>29.9</v>
      </c>
      <c r="L1722" t="s">
        <v>14</v>
      </c>
      <c r="M1722">
        <v>0</v>
      </c>
      <c r="N1722" t="str">
        <f t="shared" si="78"/>
        <v>Under 40</v>
      </c>
      <c r="O1722" t="str">
        <f t="shared" si="79"/>
        <v>Overweight</v>
      </c>
    </row>
    <row r="1723" spans="1:15" x14ac:dyDescent="0.3">
      <c r="A1723">
        <v>17835</v>
      </c>
      <c r="B1723" t="s">
        <v>7</v>
      </c>
      <c r="C1723">
        <v>43</v>
      </c>
      <c r="D1723">
        <v>0</v>
      </c>
      <c r="E1723">
        <v>0</v>
      </c>
      <c r="F1723" t="str">
        <f t="shared" si="80"/>
        <v>Lower Risk</v>
      </c>
      <c r="G1723" t="s">
        <v>13</v>
      </c>
      <c r="H1723" t="s">
        <v>8</v>
      </c>
      <c r="I1723" t="s">
        <v>9</v>
      </c>
      <c r="J1723">
        <v>92.4</v>
      </c>
      <c r="K1723">
        <v>22.7</v>
      </c>
      <c r="L1723" t="s">
        <v>14</v>
      </c>
      <c r="M1723">
        <v>0</v>
      </c>
      <c r="N1723" t="str">
        <f t="shared" si="78"/>
        <v>40–59</v>
      </c>
      <c r="O1723" t="str">
        <f t="shared" si="79"/>
        <v>Normal</v>
      </c>
    </row>
    <row r="1724" spans="1:15" x14ac:dyDescent="0.3">
      <c r="A1724">
        <v>26826</v>
      </c>
      <c r="B1724" t="s">
        <v>7</v>
      </c>
      <c r="C1724">
        <v>61</v>
      </c>
      <c r="D1724">
        <v>0</v>
      </c>
      <c r="E1724">
        <v>0</v>
      </c>
      <c r="F1724" t="str">
        <f t="shared" si="80"/>
        <v>Moderate Risk</v>
      </c>
      <c r="G1724" t="s">
        <v>3</v>
      </c>
      <c r="H1724" t="s">
        <v>8</v>
      </c>
      <c r="I1724" t="s">
        <v>5</v>
      </c>
      <c r="J1724">
        <v>73.36</v>
      </c>
      <c r="K1724">
        <v>16.100000000000001</v>
      </c>
      <c r="L1724" t="s">
        <v>11</v>
      </c>
      <c r="M1724">
        <v>0</v>
      </c>
      <c r="N1724" t="str">
        <f t="shared" si="78"/>
        <v>60+</v>
      </c>
      <c r="O1724" t="str">
        <f t="shared" si="79"/>
        <v>Underweight</v>
      </c>
    </row>
    <row r="1725" spans="1:15" x14ac:dyDescent="0.3">
      <c r="A1725">
        <v>45713</v>
      </c>
      <c r="B1725" t="s">
        <v>7</v>
      </c>
      <c r="C1725">
        <v>57</v>
      </c>
      <c r="D1725">
        <v>0</v>
      </c>
      <c r="E1725">
        <v>0</v>
      </c>
      <c r="F1725" t="str">
        <f t="shared" si="80"/>
        <v>Lower Risk</v>
      </c>
      <c r="G1725" t="s">
        <v>3</v>
      </c>
      <c r="H1725" t="s">
        <v>15</v>
      </c>
      <c r="I1725" t="s">
        <v>5</v>
      </c>
      <c r="J1725">
        <v>219.5</v>
      </c>
      <c r="K1725">
        <v>33.799999999999997</v>
      </c>
      <c r="L1725" t="s">
        <v>6</v>
      </c>
      <c r="M1725">
        <v>0</v>
      </c>
      <c r="N1725" t="str">
        <f t="shared" si="78"/>
        <v>40–59</v>
      </c>
      <c r="O1725" t="str">
        <f t="shared" si="79"/>
        <v>Obese</v>
      </c>
    </row>
    <row r="1726" spans="1:15" x14ac:dyDescent="0.3">
      <c r="A1726">
        <v>37660</v>
      </c>
      <c r="B1726" t="s">
        <v>2</v>
      </c>
      <c r="C1726">
        <v>11</v>
      </c>
      <c r="D1726">
        <v>0</v>
      </c>
      <c r="E1726">
        <v>0</v>
      </c>
      <c r="F1726" t="str">
        <f t="shared" si="80"/>
        <v>Lower Risk</v>
      </c>
      <c r="G1726" t="s">
        <v>13</v>
      </c>
      <c r="H1726" t="s">
        <v>16</v>
      </c>
      <c r="I1726" t="s">
        <v>9</v>
      </c>
      <c r="J1726">
        <v>105.73</v>
      </c>
      <c r="K1726">
        <v>22.6</v>
      </c>
      <c r="L1726" t="s">
        <v>11</v>
      </c>
      <c r="M1726">
        <v>0</v>
      </c>
      <c r="N1726" t="str">
        <f t="shared" si="78"/>
        <v>Under 40</v>
      </c>
      <c r="O1726" t="str">
        <f t="shared" si="79"/>
        <v>Normal</v>
      </c>
    </row>
    <row r="1727" spans="1:15" x14ac:dyDescent="0.3">
      <c r="A1727">
        <v>24782</v>
      </c>
      <c r="B1727" t="s">
        <v>2</v>
      </c>
      <c r="C1727">
        <v>36</v>
      </c>
      <c r="D1727">
        <v>0</v>
      </c>
      <c r="E1727">
        <v>0</v>
      </c>
      <c r="F1727" t="str">
        <f t="shared" si="80"/>
        <v>Lower Risk</v>
      </c>
      <c r="G1727" t="s">
        <v>3</v>
      </c>
      <c r="H1727" t="s">
        <v>4</v>
      </c>
      <c r="I1727" t="s">
        <v>9</v>
      </c>
      <c r="J1727">
        <v>83.79</v>
      </c>
      <c r="K1727">
        <v>25.5</v>
      </c>
      <c r="L1727" t="s">
        <v>12</v>
      </c>
      <c r="M1727">
        <v>0</v>
      </c>
      <c r="N1727" t="str">
        <f t="shared" si="78"/>
        <v>Under 40</v>
      </c>
      <c r="O1727" t="str">
        <f t="shared" si="79"/>
        <v>Overweight</v>
      </c>
    </row>
    <row r="1728" spans="1:15" x14ac:dyDescent="0.3">
      <c r="A1728">
        <v>63416</v>
      </c>
      <c r="B1728" t="s">
        <v>7</v>
      </c>
      <c r="C1728">
        <v>16</v>
      </c>
      <c r="D1728">
        <v>0</v>
      </c>
      <c r="E1728">
        <v>0</v>
      </c>
      <c r="F1728" t="str">
        <f t="shared" si="80"/>
        <v>Lower Risk</v>
      </c>
      <c r="G1728" t="s">
        <v>13</v>
      </c>
      <c r="H1728" t="s">
        <v>4</v>
      </c>
      <c r="I1728" t="s">
        <v>5</v>
      </c>
      <c r="J1728">
        <v>58.02</v>
      </c>
      <c r="K1728">
        <v>22.5</v>
      </c>
      <c r="L1728" t="s">
        <v>14</v>
      </c>
      <c r="M1728">
        <v>0</v>
      </c>
      <c r="N1728" t="str">
        <f t="shared" si="78"/>
        <v>Under 40</v>
      </c>
      <c r="O1728" t="str">
        <f t="shared" si="79"/>
        <v>Normal</v>
      </c>
    </row>
    <row r="1729" spans="1:15" x14ac:dyDescent="0.3">
      <c r="A1729">
        <v>16953</v>
      </c>
      <c r="B1729" t="s">
        <v>7</v>
      </c>
      <c r="C1729">
        <v>60</v>
      </c>
      <c r="D1729">
        <v>0</v>
      </c>
      <c r="E1729">
        <v>0</v>
      </c>
      <c r="F1729" t="str">
        <f t="shared" si="80"/>
        <v>Moderate Risk</v>
      </c>
      <c r="G1729" t="s">
        <v>3</v>
      </c>
      <c r="H1729" t="s">
        <v>15</v>
      </c>
      <c r="I1729" t="s">
        <v>9</v>
      </c>
      <c r="J1729">
        <v>61.94</v>
      </c>
      <c r="K1729">
        <v>27.9</v>
      </c>
      <c r="L1729" t="s">
        <v>6</v>
      </c>
      <c r="M1729">
        <v>0</v>
      </c>
      <c r="N1729" t="str">
        <f t="shared" si="78"/>
        <v>60+</v>
      </c>
      <c r="O1729" t="str">
        <f t="shared" si="79"/>
        <v>Overweight</v>
      </c>
    </row>
    <row r="1730" spans="1:15" x14ac:dyDescent="0.3">
      <c r="A1730">
        <v>42082</v>
      </c>
      <c r="B1730" t="s">
        <v>2</v>
      </c>
      <c r="C1730">
        <v>13</v>
      </c>
      <c r="D1730">
        <v>0</v>
      </c>
      <c r="E1730">
        <v>0</v>
      </c>
      <c r="F1730" t="str">
        <f t="shared" si="80"/>
        <v>Lower Risk</v>
      </c>
      <c r="G1730" t="s">
        <v>13</v>
      </c>
      <c r="H1730" t="s">
        <v>16</v>
      </c>
      <c r="I1730" t="s">
        <v>9</v>
      </c>
      <c r="J1730">
        <v>99.71</v>
      </c>
      <c r="K1730">
        <v>23.5</v>
      </c>
      <c r="L1730" t="s">
        <v>14</v>
      </c>
      <c r="M1730">
        <v>0</v>
      </c>
      <c r="N1730" t="str">
        <f t="shared" ref="N1730:N1793" si="81">IF(C1730&lt;40,"Under 40",IF(C1730&lt;60,"40–59","60+"))</f>
        <v>Under 40</v>
      </c>
      <c r="O1730" t="str">
        <f t="shared" ref="O1730:O1793" si="82">IF(K1730="N/A","Unknown",
IF(K1730="","Unknown",
IF(K1730&lt;18.5,"Underweight",
IF(K1730&lt;25,"Normal",
IF(K1730&lt;30,"Overweight","Obese")))))</f>
        <v>Normal</v>
      </c>
    </row>
    <row r="1731" spans="1:15" x14ac:dyDescent="0.3">
      <c r="A1731">
        <v>51660</v>
      </c>
      <c r="B1731" t="s">
        <v>7</v>
      </c>
      <c r="C1731">
        <v>69</v>
      </c>
      <c r="D1731">
        <v>0</v>
      </c>
      <c r="E1731">
        <v>0</v>
      </c>
      <c r="F1731" t="str">
        <f t="shared" ref="F1731:F1794" si="83">IF(C1731&gt;=60,
IF(OR(D1731=1,E1731=1),"High Risk","Moderate Risk"),
"Lower Risk")</f>
        <v>Moderate Risk</v>
      </c>
      <c r="G1731" t="s">
        <v>3</v>
      </c>
      <c r="H1731" t="s">
        <v>8</v>
      </c>
      <c r="I1731" t="s">
        <v>9</v>
      </c>
      <c r="J1731">
        <v>63.19</v>
      </c>
      <c r="K1731">
        <v>32.200000000000003</v>
      </c>
      <c r="L1731" t="s">
        <v>11</v>
      </c>
      <c r="M1731">
        <v>0</v>
      </c>
      <c r="N1731" t="str">
        <f t="shared" si="81"/>
        <v>60+</v>
      </c>
      <c r="O1731" t="str">
        <f t="shared" si="82"/>
        <v>Obese</v>
      </c>
    </row>
    <row r="1732" spans="1:15" x14ac:dyDescent="0.3">
      <c r="A1732">
        <v>27135</v>
      </c>
      <c r="B1732" t="s">
        <v>2</v>
      </c>
      <c r="C1732">
        <v>69</v>
      </c>
      <c r="D1732">
        <v>1</v>
      </c>
      <c r="E1732">
        <v>0</v>
      </c>
      <c r="F1732" t="str">
        <f t="shared" si="83"/>
        <v>High Risk</v>
      </c>
      <c r="G1732" t="s">
        <v>3</v>
      </c>
      <c r="H1732" t="s">
        <v>4</v>
      </c>
      <c r="I1732" t="s">
        <v>9</v>
      </c>
      <c r="J1732">
        <v>107.11</v>
      </c>
      <c r="K1732" t="s">
        <v>10</v>
      </c>
      <c r="L1732" t="s">
        <v>12</v>
      </c>
      <c r="M1732">
        <v>0</v>
      </c>
      <c r="N1732" t="str">
        <f t="shared" si="81"/>
        <v>60+</v>
      </c>
      <c r="O1732" t="str">
        <f t="shared" si="82"/>
        <v>Unknown</v>
      </c>
    </row>
    <row r="1733" spans="1:15" x14ac:dyDescent="0.3">
      <c r="A1733">
        <v>54058</v>
      </c>
      <c r="B1733" t="s">
        <v>7</v>
      </c>
      <c r="C1733">
        <v>22</v>
      </c>
      <c r="D1733">
        <v>0</v>
      </c>
      <c r="E1733">
        <v>0</v>
      </c>
      <c r="F1733" t="str">
        <f t="shared" si="83"/>
        <v>Lower Risk</v>
      </c>
      <c r="G1733" t="s">
        <v>13</v>
      </c>
      <c r="H1733" t="s">
        <v>4</v>
      </c>
      <c r="I1733" t="s">
        <v>5</v>
      </c>
      <c r="J1733">
        <v>56.84</v>
      </c>
      <c r="K1733">
        <v>29.9</v>
      </c>
      <c r="L1733" t="s">
        <v>12</v>
      </c>
      <c r="M1733">
        <v>0</v>
      </c>
      <c r="N1733" t="str">
        <f t="shared" si="81"/>
        <v>Under 40</v>
      </c>
      <c r="O1733" t="str">
        <f t="shared" si="82"/>
        <v>Overweight</v>
      </c>
    </row>
    <row r="1734" spans="1:15" x14ac:dyDescent="0.3">
      <c r="A1734">
        <v>24272</v>
      </c>
      <c r="B1734" t="s">
        <v>2</v>
      </c>
      <c r="C1734">
        <v>63</v>
      </c>
      <c r="D1734">
        <v>0</v>
      </c>
      <c r="E1734">
        <v>0</v>
      </c>
      <c r="F1734" t="str">
        <f t="shared" si="83"/>
        <v>Moderate Risk</v>
      </c>
      <c r="G1734" t="s">
        <v>3</v>
      </c>
      <c r="H1734" t="s">
        <v>15</v>
      </c>
      <c r="I1734" t="s">
        <v>9</v>
      </c>
      <c r="J1734">
        <v>217.66</v>
      </c>
      <c r="K1734">
        <v>28.7</v>
      </c>
      <c r="L1734" t="s">
        <v>6</v>
      </c>
      <c r="M1734">
        <v>0</v>
      </c>
      <c r="N1734" t="str">
        <f t="shared" si="81"/>
        <v>60+</v>
      </c>
      <c r="O1734" t="str">
        <f t="shared" si="82"/>
        <v>Overweight</v>
      </c>
    </row>
    <row r="1735" spans="1:15" x14ac:dyDescent="0.3">
      <c r="A1735">
        <v>16028</v>
      </c>
      <c r="B1735" t="s">
        <v>7</v>
      </c>
      <c r="C1735">
        <v>45</v>
      </c>
      <c r="D1735">
        <v>0</v>
      </c>
      <c r="E1735">
        <v>0</v>
      </c>
      <c r="F1735" t="str">
        <f t="shared" si="83"/>
        <v>Lower Risk</v>
      </c>
      <c r="G1735" t="s">
        <v>3</v>
      </c>
      <c r="H1735" t="s">
        <v>4</v>
      </c>
      <c r="I1735" t="s">
        <v>9</v>
      </c>
      <c r="J1735">
        <v>77.19</v>
      </c>
      <c r="K1735">
        <v>37.200000000000003</v>
      </c>
      <c r="L1735" t="s">
        <v>12</v>
      </c>
      <c r="M1735">
        <v>0</v>
      </c>
      <c r="N1735" t="str">
        <f t="shared" si="81"/>
        <v>40–59</v>
      </c>
      <c r="O1735" t="str">
        <f t="shared" si="82"/>
        <v>Obese</v>
      </c>
    </row>
    <row r="1736" spans="1:15" x14ac:dyDescent="0.3">
      <c r="A1736">
        <v>49645</v>
      </c>
      <c r="B1736" t="s">
        <v>2</v>
      </c>
      <c r="C1736">
        <v>58</v>
      </c>
      <c r="D1736">
        <v>0</v>
      </c>
      <c r="E1736">
        <v>0</v>
      </c>
      <c r="F1736" t="str">
        <f t="shared" si="83"/>
        <v>Lower Risk</v>
      </c>
      <c r="G1736" t="s">
        <v>13</v>
      </c>
      <c r="H1736" t="s">
        <v>4</v>
      </c>
      <c r="I1736" t="s">
        <v>9</v>
      </c>
      <c r="J1736">
        <v>76.22</v>
      </c>
      <c r="K1736">
        <v>22.2</v>
      </c>
      <c r="L1736" t="s">
        <v>6</v>
      </c>
      <c r="M1736">
        <v>0</v>
      </c>
      <c r="N1736" t="str">
        <f t="shared" si="81"/>
        <v>40–59</v>
      </c>
      <c r="O1736" t="str">
        <f t="shared" si="82"/>
        <v>Normal</v>
      </c>
    </row>
    <row r="1737" spans="1:15" x14ac:dyDescent="0.3">
      <c r="A1737">
        <v>54347</v>
      </c>
      <c r="B1737" t="s">
        <v>2</v>
      </c>
      <c r="C1737">
        <v>61</v>
      </c>
      <c r="D1737">
        <v>0</v>
      </c>
      <c r="E1737">
        <v>0</v>
      </c>
      <c r="F1737" t="str">
        <f t="shared" si="83"/>
        <v>Moderate Risk</v>
      </c>
      <c r="G1737" t="s">
        <v>3</v>
      </c>
      <c r="H1737" t="s">
        <v>8</v>
      </c>
      <c r="I1737" t="s">
        <v>9</v>
      </c>
      <c r="J1737">
        <v>155.32</v>
      </c>
      <c r="K1737">
        <v>26.6</v>
      </c>
      <c r="L1737" t="s">
        <v>6</v>
      </c>
      <c r="M1737">
        <v>0</v>
      </c>
      <c r="N1737" t="str">
        <f t="shared" si="81"/>
        <v>60+</v>
      </c>
      <c r="O1737" t="str">
        <f t="shared" si="82"/>
        <v>Overweight</v>
      </c>
    </row>
    <row r="1738" spans="1:15" x14ac:dyDescent="0.3">
      <c r="A1738">
        <v>4861</v>
      </c>
      <c r="B1738" t="s">
        <v>7</v>
      </c>
      <c r="C1738">
        <v>30</v>
      </c>
      <c r="D1738">
        <v>0</v>
      </c>
      <c r="E1738">
        <v>0</v>
      </c>
      <c r="F1738" t="str">
        <f t="shared" si="83"/>
        <v>Lower Risk</v>
      </c>
      <c r="G1738" t="s">
        <v>3</v>
      </c>
      <c r="H1738" t="s">
        <v>4</v>
      </c>
      <c r="I1738" t="s">
        <v>5</v>
      </c>
      <c r="J1738">
        <v>70.67</v>
      </c>
      <c r="K1738">
        <v>24.6</v>
      </c>
      <c r="L1738" t="s">
        <v>12</v>
      </c>
      <c r="M1738">
        <v>0</v>
      </c>
      <c r="N1738" t="str">
        <f t="shared" si="81"/>
        <v>Under 40</v>
      </c>
      <c r="O1738" t="str">
        <f t="shared" si="82"/>
        <v>Normal</v>
      </c>
    </row>
    <row r="1739" spans="1:15" x14ac:dyDescent="0.3">
      <c r="A1739">
        <v>54353</v>
      </c>
      <c r="B1739" t="s">
        <v>7</v>
      </c>
      <c r="C1739">
        <v>78</v>
      </c>
      <c r="D1739">
        <v>1</v>
      </c>
      <c r="E1739">
        <v>1</v>
      </c>
      <c r="F1739" t="str">
        <f t="shared" si="83"/>
        <v>High Risk</v>
      </c>
      <c r="G1739" t="s">
        <v>3</v>
      </c>
      <c r="H1739" t="s">
        <v>4</v>
      </c>
      <c r="I1739" t="s">
        <v>5</v>
      </c>
      <c r="J1739">
        <v>227.16</v>
      </c>
      <c r="K1739">
        <v>41.7</v>
      </c>
      <c r="L1739" t="s">
        <v>11</v>
      </c>
      <c r="M1739">
        <v>0</v>
      </c>
      <c r="N1739" t="str">
        <f t="shared" si="81"/>
        <v>60+</v>
      </c>
      <c r="O1739" t="str">
        <f t="shared" si="82"/>
        <v>Obese</v>
      </c>
    </row>
    <row r="1740" spans="1:15" x14ac:dyDescent="0.3">
      <c r="A1740">
        <v>71016</v>
      </c>
      <c r="B1740" t="s">
        <v>7</v>
      </c>
      <c r="C1740">
        <v>68</v>
      </c>
      <c r="D1740">
        <v>0</v>
      </c>
      <c r="E1740">
        <v>0</v>
      </c>
      <c r="F1740" t="str">
        <f t="shared" si="83"/>
        <v>Moderate Risk</v>
      </c>
      <c r="G1740" t="s">
        <v>3</v>
      </c>
      <c r="H1740" t="s">
        <v>4</v>
      </c>
      <c r="I1740" t="s">
        <v>9</v>
      </c>
      <c r="J1740">
        <v>58.69</v>
      </c>
      <c r="K1740">
        <v>26.2</v>
      </c>
      <c r="L1740" t="s">
        <v>6</v>
      </c>
      <c r="M1740">
        <v>0</v>
      </c>
      <c r="N1740" t="str">
        <f t="shared" si="81"/>
        <v>60+</v>
      </c>
      <c r="O1740" t="str">
        <f t="shared" si="82"/>
        <v>Overweight</v>
      </c>
    </row>
    <row r="1741" spans="1:15" x14ac:dyDescent="0.3">
      <c r="A1741">
        <v>33768</v>
      </c>
      <c r="B1741" t="s">
        <v>7</v>
      </c>
      <c r="C1741">
        <v>16</v>
      </c>
      <c r="D1741">
        <v>0</v>
      </c>
      <c r="E1741">
        <v>0</v>
      </c>
      <c r="F1741" t="str">
        <f t="shared" si="83"/>
        <v>Lower Risk</v>
      </c>
      <c r="G1741" t="s">
        <v>13</v>
      </c>
      <c r="H1741" t="s">
        <v>8</v>
      </c>
      <c r="I1741" t="s">
        <v>5</v>
      </c>
      <c r="J1741">
        <v>88.85</v>
      </c>
      <c r="K1741">
        <v>27.1</v>
      </c>
      <c r="L1741" t="s">
        <v>14</v>
      </c>
      <c r="M1741">
        <v>0</v>
      </c>
      <c r="N1741" t="str">
        <f t="shared" si="81"/>
        <v>Under 40</v>
      </c>
      <c r="O1741" t="str">
        <f t="shared" si="82"/>
        <v>Overweight</v>
      </c>
    </row>
    <row r="1742" spans="1:15" x14ac:dyDescent="0.3">
      <c r="A1742">
        <v>62681</v>
      </c>
      <c r="B1742" t="s">
        <v>7</v>
      </c>
      <c r="C1742">
        <v>38</v>
      </c>
      <c r="D1742">
        <v>1</v>
      </c>
      <c r="E1742">
        <v>0</v>
      </c>
      <c r="F1742" t="str">
        <f t="shared" si="83"/>
        <v>Lower Risk</v>
      </c>
      <c r="G1742" t="s">
        <v>3</v>
      </c>
      <c r="H1742" t="s">
        <v>4</v>
      </c>
      <c r="I1742" t="s">
        <v>5</v>
      </c>
      <c r="J1742">
        <v>137.94</v>
      </c>
      <c r="K1742">
        <v>41.8</v>
      </c>
      <c r="L1742" t="s">
        <v>11</v>
      </c>
      <c r="M1742">
        <v>0</v>
      </c>
      <c r="N1742" t="str">
        <f t="shared" si="81"/>
        <v>Under 40</v>
      </c>
      <c r="O1742" t="str">
        <f t="shared" si="82"/>
        <v>Obese</v>
      </c>
    </row>
    <row r="1743" spans="1:15" x14ac:dyDescent="0.3">
      <c r="A1743">
        <v>41007</v>
      </c>
      <c r="B1743" t="s">
        <v>7</v>
      </c>
      <c r="C1743">
        <v>39</v>
      </c>
      <c r="D1743">
        <v>0</v>
      </c>
      <c r="E1743">
        <v>0</v>
      </c>
      <c r="F1743" t="str">
        <f t="shared" si="83"/>
        <v>Lower Risk</v>
      </c>
      <c r="G1743" t="s">
        <v>3</v>
      </c>
      <c r="H1743" t="s">
        <v>4</v>
      </c>
      <c r="I1743" t="s">
        <v>5</v>
      </c>
      <c r="J1743">
        <v>60.6</v>
      </c>
      <c r="K1743">
        <v>34.200000000000003</v>
      </c>
      <c r="L1743" t="s">
        <v>11</v>
      </c>
      <c r="M1743">
        <v>0</v>
      </c>
      <c r="N1743" t="str">
        <f t="shared" si="81"/>
        <v>Under 40</v>
      </c>
      <c r="O1743" t="str">
        <f t="shared" si="82"/>
        <v>Obese</v>
      </c>
    </row>
    <row r="1744" spans="1:15" x14ac:dyDescent="0.3">
      <c r="A1744">
        <v>35450</v>
      </c>
      <c r="B1744" t="s">
        <v>7</v>
      </c>
      <c r="C1744">
        <v>51</v>
      </c>
      <c r="D1744">
        <v>0</v>
      </c>
      <c r="E1744">
        <v>0</v>
      </c>
      <c r="F1744" t="str">
        <f t="shared" si="83"/>
        <v>Lower Risk</v>
      </c>
      <c r="G1744" t="s">
        <v>3</v>
      </c>
      <c r="H1744" t="s">
        <v>4</v>
      </c>
      <c r="I1744" t="s">
        <v>9</v>
      </c>
      <c r="J1744">
        <v>93.67</v>
      </c>
      <c r="K1744">
        <v>19.2</v>
      </c>
      <c r="L1744" t="s">
        <v>11</v>
      </c>
      <c r="M1744">
        <v>0</v>
      </c>
      <c r="N1744" t="str">
        <f t="shared" si="81"/>
        <v>40–59</v>
      </c>
      <c r="O1744" t="str">
        <f t="shared" si="82"/>
        <v>Normal</v>
      </c>
    </row>
    <row r="1745" spans="1:15" x14ac:dyDescent="0.3">
      <c r="A1745">
        <v>62793</v>
      </c>
      <c r="B1745" t="s">
        <v>2</v>
      </c>
      <c r="C1745">
        <v>37</v>
      </c>
      <c r="D1745">
        <v>0</v>
      </c>
      <c r="E1745">
        <v>0</v>
      </c>
      <c r="F1745" t="str">
        <f t="shared" si="83"/>
        <v>Lower Risk</v>
      </c>
      <c r="G1745" t="s">
        <v>3</v>
      </c>
      <c r="H1745" t="s">
        <v>4</v>
      </c>
      <c r="I1745" t="s">
        <v>5</v>
      </c>
      <c r="J1745">
        <v>79.56</v>
      </c>
      <c r="K1745">
        <v>25.2</v>
      </c>
      <c r="L1745" t="s">
        <v>11</v>
      </c>
      <c r="M1745">
        <v>0</v>
      </c>
      <c r="N1745" t="str">
        <f t="shared" si="81"/>
        <v>Under 40</v>
      </c>
      <c r="O1745" t="str">
        <f t="shared" si="82"/>
        <v>Overweight</v>
      </c>
    </row>
    <row r="1746" spans="1:15" x14ac:dyDescent="0.3">
      <c r="A1746">
        <v>66592</v>
      </c>
      <c r="B1746" t="s">
        <v>2</v>
      </c>
      <c r="C1746">
        <v>16</v>
      </c>
      <c r="D1746">
        <v>0</v>
      </c>
      <c r="E1746">
        <v>0</v>
      </c>
      <c r="F1746" t="str">
        <f t="shared" si="83"/>
        <v>Lower Risk</v>
      </c>
      <c r="G1746" t="s">
        <v>13</v>
      </c>
      <c r="H1746" t="s">
        <v>4</v>
      </c>
      <c r="I1746" t="s">
        <v>9</v>
      </c>
      <c r="J1746">
        <v>122.46</v>
      </c>
      <c r="K1746">
        <v>18.7</v>
      </c>
      <c r="L1746" t="s">
        <v>11</v>
      </c>
      <c r="M1746">
        <v>0</v>
      </c>
      <c r="N1746" t="str">
        <f t="shared" si="81"/>
        <v>Under 40</v>
      </c>
      <c r="O1746" t="str">
        <f t="shared" si="82"/>
        <v>Normal</v>
      </c>
    </row>
    <row r="1747" spans="1:15" x14ac:dyDescent="0.3">
      <c r="A1747">
        <v>33462</v>
      </c>
      <c r="B1747" t="s">
        <v>2</v>
      </c>
      <c r="C1747">
        <v>39</v>
      </c>
      <c r="D1747">
        <v>0</v>
      </c>
      <c r="E1747">
        <v>0</v>
      </c>
      <c r="F1747" t="str">
        <f t="shared" si="83"/>
        <v>Lower Risk</v>
      </c>
      <c r="G1747" t="s">
        <v>3</v>
      </c>
      <c r="H1747" t="s">
        <v>4</v>
      </c>
      <c r="I1747" t="s">
        <v>5</v>
      </c>
      <c r="J1747">
        <v>92.32</v>
      </c>
      <c r="K1747">
        <v>43</v>
      </c>
      <c r="L1747" t="s">
        <v>11</v>
      </c>
      <c r="M1747">
        <v>0</v>
      </c>
      <c r="N1747" t="str">
        <f t="shared" si="81"/>
        <v>Under 40</v>
      </c>
      <c r="O1747" t="str">
        <f t="shared" si="82"/>
        <v>Obese</v>
      </c>
    </row>
    <row r="1748" spans="1:15" x14ac:dyDescent="0.3">
      <c r="A1748">
        <v>29804</v>
      </c>
      <c r="B1748" t="s">
        <v>2</v>
      </c>
      <c r="C1748">
        <v>24</v>
      </c>
      <c r="D1748">
        <v>1</v>
      </c>
      <c r="E1748">
        <v>0</v>
      </c>
      <c r="F1748" t="str">
        <f t="shared" si="83"/>
        <v>Lower Risk</v>
      </c>
      <c r="G1748" t="s">
        <v>3</v>
      </c>
      <c r="H1748" t="s">
        <v>4</v>
      </c>
      <c r="I1748" t="s">
        <v>9</v>
      </c>
      <c r="J1748">
        <v>80.63</v>
      </c>
      <c r="K1748">
        <v>28.2</v>
      </c>
      <c r="L1748" t="s">
        <v>12</v>
      </c>
      <c r="M1748">
        <v>0</v>
      </c>
      <c r="N1748" t="str">
        <f t="shared" si="81"/>
        <v>Under 40</v>
      </c>
      <c r="O1748" t="str">
        <f t="shared" si="82"/>
        <v>Overweight</v>
      </c>
    </row>
    <row r="1749" spans="1:15" x14ac:dyDescent="0.3">
      <c r="A1749">
        <v>33906</v>
      </c>
      <c r="B1749" t="s">
        <v>2</v>
      </c>
      <c r="C1749">
        <v>51</v>
      </c>
      <c r="D1749">
        <v>0</v>
      </c>
      <c r="E1749">
        <v>0</v>
      </c>
      <c r="F1749" t="str">
        <f t="shared" si="83"/>
        <v>Lower Risk</v>
      </c>
      <c r="G1749" t="s">
        <v>3</v>
      </c>
      <c r="H1749" t="s">
        <v>15</v>
      </c>
      <c r="I1749" t="s">
        <v>5</v>
      </c>
      <c r="J1749">
        <v>92.32</v>
      </c>
      <c r="K1749">
        <v>34.700000000000003</v>
      </c>
      <c r="L1749" t="s">
        <v>12</v>
      </c>
      <c r="M1749">
        <v>0</v>
      </c>
      <c r="N1749" t="str">
        <f t="shared" si="81"/>
        <v>40–59</v>
      </c>
      <c r="O1749" t="str">
        <f t="shared" si="82"/>
        <v>Obese</v>
      </c>
    </row>
    <row r="1750" spans="1:15" x14ac:dyDescent="0.3">
      <c r="A1750">
        <v>43510</v>
      </c>
      <c r="B1750" t="s">
        <v>7</v>
      </c>
      <c r="C1750">
        <v>50</v>
      </c>
      <c r="D1750">
        <v>1</v>
      </c>
      <c r="E1750">
        <v>0</v>
      </c>
      <c r="F1750" t="str">
        <f t="shared" si="83"/>
        <v>Lower Risk</v>
      </c>
      <c r="G1750" t="s">
        <v>3</v>
      </c>
      <c r="H1750" t="s">
        <v>15</v>
      </c>
      <c r="I1750" t="s">
        <v>5</v>
      </c>
      <c r="J1750">
        <v>59.89</v>
      </c>
      <c r="K1750">
        <v>25.5</v>
      </c>
      <c r="L1750" t="s">
        <v>11</v>
      </c>
      <c r="M1750">
        <v>0</v>
      </c>
      <c r="N1750" t="str">
        <f t="shared" si="81"/>
        <v>40–59</v>
      </c>
      <c r="O1750" t="str">
        <f t="shared" si="82"/>
        <v>Overweight</v>
      </c>
    </row>
    <row r="1751" spans="1:15" x14ac:dyDescent="0.3">
      <c r="A1751">
        <v>21202</v>
      </c>
      <c r="B1751" t="s">
        <v>7</v>
      </c>
      <c r="C1751">
        <v>27</v>
      </c>
      <c r="D1751">
        <v>0</v>
      </c>
      <c r="E1751">
        <v>0</v>
      </c>
      <c r="F1751" t="str">
        <f t="shared" si="83"/>
        <v>Lower Risk</v>
      </c>
      <c r="G1751" t="s">
        <v>3</v>
      </c>
      <c r="H1751" t="s">
        <v>4</v>
      </c>
      <c r="I1751" t="s">
        <v>5</v>
      </c>
      <c r="J1751">
        <v>80.569999999999993</v>
      </c>
      <c r="K1751">
        <v>39.799999999999997</v>
      </c>
      <c r="L1751" t="s">
        <v>12</v>
      </c>
      <c r="M1751">
        <v>0</v>
      </c>
      <c r="N1751" t="str">
        <f t="shared" si="81"/>
        <v>Under 40</v>
      </c>
      <c r="O1751" t="str">
        <f t="shared" si="82"/>
        <v>Obese</v>
      </c>
    </row>
    <row r="1752" spans="1:15" x14ac:dyDescent="0.3">
      <c r="A1752">
        <v>7222</v>
      </c>
      <c r="B1752" t="s">
        <v>7</v>
      </c>
      <c r="C1752">
        <v>73</v>
      </c>
      <c r="D1752">
        <v>0</v>
      </c>
      <c r="E1752">
        <v>0</v>
      </c>
      <c r="F1752" t="str">
        <f t="shared" si="83"/>
        <v>Moderate Risk</v>
      </c>
      <c r="G1752" t="s">
        <v>3</v>
      </c>
      <c r="H1752" t="s">
        <v>8</v>
      </c>
      <c r="I1752" t="s">
        <v>5</v>
      </c>
      <c r="J1752">
        <v>88.52</v>
      </c>
      <c r="K1752">
        <v>20.8</v>
      </c>
      <c r="L1752" t="s">
        <v>6</v>
      </c>
      <c r="M1752">
        <v>0</v>
      </c>
      <c r="N1752" t="str">
        <f t="shared" si="81"/>
        <v>60+</v>
      </c>
      <c r="O1752" t="str">
        <f t="shared" si="82"/>
        <v>Normal</v>
      </c>
    </row>
    <row r="1753" spans="1:15" x14ac:dyDescent="0.3">
      <c r="A1753">
        <v>13561</v>
      </c>
      <c r="B1753" t="s">
        <v>7</v>
      </c>
      <c r="C1753">
        <v>65</v>
      </c>
      <c r="D1753">
        <v>0</v>
      </c>
      <c r="E1753">
        <v>0</v>
      </c>
      <c r="F1753" t="str">
        <f t="shared" si="83"/>
        <v>Moderate Risk</v>
      </c>
      <c r="G1753" t="s">
        <v>3</v>
      </c>
      <c r="H1753" t="s">
        <v>4</v>
      </c>
      <c r="I1753" t="s">
        <v>5</v>
      </c>
      <c r="J1753">
        <v>88.82</v>
      </c>
      <c r="K1753">
        <v>28.2</v>
      </c>
      <c r="L1753" t="s">
        <v>6</v>
      </c>
      <c r="M1753">
        <v>0</v>
      </c>
      <c r="N1753" t="str">
        <f t="shared" si="81"/>
        <v>60+</v>
      </c>
      <c r="O1753" t="str">
        <f t="shared" si="82"/>
        <v>Overweight</v>
      </c>
    </row>
    <row r="1754" spans="1:15" x14ac:dyDescent="0.3">
      <c r="A1754">
        <v>29179</v>
      </c>
      <c r="B1754" t="s">
        <v>7</v>
      </c>
      <c r="C1754">
        <v>76</v>
      </c>
      <c r="D1754">
        <v>1</v>
      </c>
      <c r="E1754">
        <v>1</v>
      </c>
      <c r="F1754" t="str">
        <f t="shared" si="83"/>
        <v>High Risk</v>
      </c>
      <c r="G1754" t="s">
        <v>3</v>
      </c>
      <c r="H1754" t="s">
        <v>4</v>
      </c>
      <c r="I1754" t="s">
        <v>9</v>
      </c>
      <c r="J1754">
        <v>102.08</v>
      </c>
      <c r="K1754">
        <v>31</v>
      </c>
      <c r="L1754" t="s">
        <v>12</v>
      </c>
      <c r="M1754">
        <v>0</v>
      </c>
      <c r="N1754" t="str">
        <f t="shared" si="81"/>
        <v>60+</v>
      </c>
      <c r="O1754" t="str">
        <f t="shared" si="82"/>
        <v>Obese</v>
      </c>
    </row>
    <row r="1755" spans="1:15" x14ac:dyDescent="0.3">
      <c r="A1755">
        <v>5511</v>
      </c>
      <c r="B1755" t="s">
        <v>2</v>
      </c>
      <c r="C1755">
        <v>66</v>
      </c>
      <c r="D1755">
        <v>0</v>
      </c>
      <c r="E1755">
        <v>0</v>
      </c>
      <c r="F1755" t="str">
        <f t="shared" si="83"/>
        <v>Moderate Risk</v>
      </c>
      <c r="G1755" t="s">
        <v>3</v>
      </c>
      <c r="H1755" t="s">
        <v>8</v>
      </c>
      <c r="I1755" t="s">
        <v>5</v>
      </c>
      <c r="J1755">
        <v>71.38</v>
      </c>
      <c r="K1755" t="s">
        <v>10</v>
      </c>
      <c r="L1755" t="s">
        <v>6</v>
      </c>
      <c r="M1755">
        <v>0</v>
      </c>
      <c r="N1755" t="str">
        <f t="shared" si="81"/>
        <v>60+</v>
      </c>
      <c r="O1755" t="str">
        <f t="shared" si="82"/>
        <v>Unknown</v>
      </c>
    </row>
    <row r="1756" spans="1:15" x14ac:dyDescent="0.3">
      <c r="A1756">
        <v>20825</v>
      </c>
      <c r="B1756" t="s">
        <v>7</v>
      </c>
      <c r="C1756">
        <v>53</v>
      </c>
      <c r="D1756">
        <v>0</v>
      </c>
      <c r="E1756">
        <v>0</v>
      </c>
      <c r="F1756" t="str">
        <f t="shared" si="83"/>
        <v>Lower Risk</v>
      </c>
      <c r="G1756" t="s">
        <v>3</v>
      </c>
      <c r="H1756" t="s">
        <v>15</v>
      </c>
      <c r="I1756" t="s">
        <v>9</v>
      </c>
      <c r="J1756">
        <v>84.9</v>
      </c>
      <c r="K1756">
        <v>21.6</v>
      </c>
      <c r="L1756" t="s">
        <v>11</v>
      </c>
      <c r="M1756">
        <v>0</v>
      </c>
      <c r="N1756" t="str">
        <f t="shared" si="81"/>
        <v>40–59</v>
      </c>
      <c r="O1756" t="str">
        <f t="shared" si="82"/>
        <v>Normal</v>
      </c>
    </row>
    <row r="1757" spans="1:15" x14ac:dyDescent="0.3">
      <c r="A1757">
        <v>67144</v>
      </c>
      <c r="B1757" t="s">
        <v>7</v>
      </c>
      <c r="C1757">
        <v>65</v>
      </c>
      <c r="D1757">
        <v>0</v>
      </c>
      <c r="E1757">
        <v>0</v>
      </c>
      <c r="F1757" t="str">
        <f t="shared" si="83"/>
        <v>Moderate Risk</v>
      </c>
      <c r="G1757" t="s">
        <v>3</v>
      </c>
      <c r="H1757" t="s">
        <v>8</v>
      </c>
      <c r="I1757" t="s">
        <v>5</v>
      </c>
      <c r="J1757">
        <v>82.21</v>
      </c>
      <c r="K1757">
        <v>26.2</v>
      </c>
      <c r="L1757" t="s">
        <v>14</v>
      </c>
      <c r="M1757">
        <v>0</v>
      </c>
      <c r="N1757" t="str">
        <f t="shared" si="81"/>
        <v>60+</v>
      </c>
      <c r="O1757" t="str">
        <f t="shared" si="82"/>
        <v>Overweight</v>
      </c>
    </row>
    <row r="1758" spans="1:15" x14ac:dyDescent="0.3">
      <c r="A1758">
        <v>15515</v>
      </c>
      <c r="B1758" t="s">
        <v>7</v>
      </c>
      <c r="C1758">
        <v>48</v>
      </c>
      <c r="D1758">
        <v>0</v>
      </c>
      <c r="E1758">
        <v>0</v>
      </c>
      <c r="F1758" t="str">
        <f t="shared" si="83"/>
        <v>Lower Risk</v>
      </c>
      <c r="G1758" t="s">
        <v>3</v>
      </c>
      <c r="H1758" t="s">
        <v>8</v>
      </c>
      <c r="I1758" t="s">
        <v>9</v>
      </c>
      <c r="J1758">
        <v>209.9</v>
      </c>
      <c r="K1758" t="s">
        <v>10</v>
      </c>
      <c r="L1758" t="s">
        <v>12</v>
      </c>
      <c r="M1758">
        <v>0</v>
      </c>
      <c r="N1758" t="str">
        <f t="shared" si="81"/>
        <v>40–59</v>
      </c>
      <c r="O1758" t="str">
        <f t="shared" si="82"/>
        <v>Unknown</v>
      </c>
    </row>
    <row r="1759" spans="1:15" x14ac:dyDescent="0.3">
      <c r="A1759">
        <v>3753</v>
      </c>
      <c r="B1759" t="s">
        <v>2</v>
      </c>
      <c r="C1759">
        <v>31</v>
      </c>
      <c r="D1759">
        <v>0</v>
      </c>
      <c r="E1759">
        <v>0</v>
      </c>
      <c r="F1759" t="str">
        <f t="shared" si="83"/>
        <v>Lower Risk</v>
      </c>
      <c r="G1759" t="s">
        <v>3</v>
      </c>
      <c r="H1759" t="s">
        <v>4</v>
      </c>
      <c r="I1759" t="s">
        <v>5</v>
      </c>
      <c r="J1759">
        <v>74.05</v>
      </c>
      <c r="K1759">
        <v>26</v>
      </c>
      <c r="L1759" t="s">
        <v>14</v>
      </c>
      <c r="M1759">
        <v>0</v>
      </c>
      <c r="N1759" t="str">
        <f t="shared" si="81"/>
        <v>Under 40</v>
      </c>
      <c r="O1759" t="str">
        <f t="shared" si="82"/>
        <v>Overweight</v>
      </c>
    </row>
    <row r="1760" spans="1:15" x14ac:dyDescent="0.3">
      <c r="A1760">
        <v>27279</v>
      </c>
      <c r="B1760" t="s">
        <v>2</v>
      </c>
      <c r="C1760">
        <v>1.72</v>
      </c>
      <c r="D1760">
        <v>0</v>
      </c>
      <c r="E1760">
        <v>0</v>
      </c>
      <c r="F1760" t="str">
        <f t="shared" si="83"/>
        <v>Lower Risk</v>
      </c>
      <c r="G1760" t="s">
        <v>13</v>
      </c>
      <c r="H1760" t="s">
        <v>16</v>
      </c>
      <c r="I1760" t="s">
        <v>5</v>
      </c>
      <c r="J1760">
        <v>90.46</v>
      </c>
      <c r="K1760">
        <v>22.5</v>
      </c>
      <c r="L1760" t="s">
        <v>14</v>
      </c>
      <c r="M1760">
        <v>0</v>
      </c>
      <c r="N1760" t="str">
        <f t="shared" si="81"/>
        <v>Under 40</v>
      </c>
      <c r="O1760" t="str">
        <f t="shared" si="82"/>
        <v>Normal</v>
      </c>
    </row>
    <row r="1761" spans="1:15" x14ac:dyDescent="0.3">
      <c r="A1761">
        <v>48759</v>
      </c>
      <c r="B1761" t="s">
        <v>7</v>
      </c>
      <c r="C1761">
        <v>45</v>
      </c>
      <c r="D1761">
        <v>0</v>
      </c>
      <c r="E1761">
        <v>0</v>
      </c>
      <c r="F1761" t="str">
        <f t="shared" si="83"/>
        <v>Lower Risk</v>
      </c>
      <c r="G1761" t="s">
        <v>3</v>
      </c>
      <c r="H1761" t="s">
        <v>4</v>
      </c>
      <c r="I1761" t="s">
        <v>9</v>
      </c>
      <c r="J1761">
        <v>176.48</v>
      </c>
      <c r="K1761">
        <v>24</v>
      </c>
      <c r="L1761" t="s">
        <v>6</v>
      </c>
      <c r="M1761">
        <v>0</v>
      </c>
      <c r="N1761" t="str">
        <f t="shared" si="81"/>
        <v>40–59</v>
      </c>
      <c r="O1761" t="str">
        <f t="shared" si="82"/>
        <v>Normal</v>
      </c>
    </row>
    <row r="1762" spans="1:15" x14ac:dyDescent="0.3">
      <c r="A1762">
        <v>69524</v>
      </c>
      <c r="B1762" t="s">
        <v>2</v>
      </c>
      <c r="C1762">
        <v>56</v>
      </c>
      <c r="D1762">
        <v>0</v>
      </c>
      <c r="E1762">
        <v>0</v>
      </c>
      <c r="F1762" t="str">
        <f t="shared" si="83"/>
        <v>Lower Risk</v>
      </c>
      <c r="G1762" t="s">
        <v>3</v>
      </c>
      <c r="H1762" t="s">
        <v>8</v>
      </c>
      <c r="I1762" t="s">
        <v>5</v>
      </c>
      <c r="J1762">
        <v>94.07</v>
      </c>
      <c r="K1762">
        <v>31.5</v>
      </c>
      <c r="L1762" t="s">
        <v>11</v>
      </c>
      <c r="M1762">
        <v>0</v>
      </c>
      <c r="N1762" t="str">
        <f t="shared" si="81"/>
        <v>40–59</v>
      </c>
      <c r="O1762" t="str">
        <f t="shared" si="82"/>
        <v>Obese</v>
      </c>
    </row>
    <row r="1763" spans="1:15" x14ac:dyDescent="0.3">
      <c r="A1763">
        <v>28443</v>
      </c>
      <c r="B1763" t="s">
        <v>2</v>
      </c>
      <c r="C1763">
        <v>62</v>
      </c>
      <c r="D1763">
        <v>0</v>
      </c>
      <c r="E1763">
        <v>0</v>
      </c>
      <c r="F1763" t="str">
        <f t="shared" si="83"/>
        <v>Moderate Risk</v>
      </c>
      <c r="G1763" t="s">
        <v>3</v>
      </c>
      <c r="H1763" t="s">
        <v>8</v>
      </c>
      <c r="I1763" t="s">
        <v>5</v>
      </c>
      <c r="J1763">
        <v>85.12</v>
      </c>
      <c r="K1763">
        <v>36.299999999999997</v>
      </c>
      <c r="L1763" t="s">
        <v>6</v>
      </c>
      <c r="M1763">
        <v>0</v>
      </c>
      <c r="N1763" t="str">
        <f t="shared" si="81"/>
        <v>60+</v>
      </c>
      <c r="O1763" t="str">
        <f t="shared" si="82"/>
        <v>Obese</v>
      </c>
    </row>
    <row r="1764" spans="1:15" x14ac:dyDescent="0.3">
      <c r="A1764">
        <v>38578</v>
      </c>
      <c r="B1764" t="s">
        <v>7</v>
      </c>
      <c r="C1764">
        <v>35</v>
      </c>
      <c r="D1764">
        <v>0</v>
      </c>
      <c r="E1764">
        <v>0</v>
      </c>
      <c r="F1764" t="str">
        <f t="shared" si="83"/>
        <v>Lower Risk</v>
      </c>
      <c r="G1764" t="s">
        <v>13</v>
      </c>
      <c r="H1764" t="s">
        <v>4</v>
      </c>
      <c r="I1764" t="s">
        <v>5</v>
      </c>
      <c r="J1764">
        <v>71.81</v>
      </c>
      <c r="K1764">
        <v>25.4</v>
      </c>
      <c r="L1764" t="s">
        <v>14</v>
      </c>
      <c r="M1764">
        <v>0</v>
      </c>
      <c r="N1764" t="str">
        <f t="shared" si="81"/>
        <v>Under 40</v>
      </c>
      <c r="O1764" t="str">
        <f t="shared" si="82"/>
        <v>Overweight</v>
      </c>
    </row>
    <row r="1765" spans="1:15" x14ac:dyDescent="0.3">
      <c r="A1765">
        <v>66502</v>
      </c>
      <c r="B1765" t="s">
        <v>2</v>
      </c>
      <c r="C1765">
        <v>16</v>
      </c>
      <c r="D1765">
        <v>0</v>
      </c>
      <c r="E1765">
        <v>0</v>
      </c>
      <c r="F1765" t="str">
        <f t="shared" si="83"/>
        <v>Lower Risk</v>
      </c>
      <c r="G1765" t="s">
        <v>13</v>
      </c>
      <c r="H1765" t="s">
        <v>4</v>
      </c>
      <c r="I1765" t="s">
        <v>9</v>
      </c>
      <c r="J1765">
        <v>111.93</v>
      </c>
      <c r="K1765">
        <v>32.200000000000003</v>
      </c>
      <c r="L1765" t="s">
        <v>11</v>
      </c>
      <c r="M1765">
        <v>0</v>
      </c>
      <c r="N1765" t="str">
        <f t="shared" si="81"/>
        <v>Under 40</v>
      </c>
      <c r="O1765" t="str">
        <f t="shared" si="82"/>
        <v>Obese</v>
      </c>
    </row>
    <row r="1766" spans="1:15" x14ac:dyDescent="0.3">
      <c r="A1766">
        <v>50978</v>
      </c>
      <c r="B1766" t="s">
        <v>7</v>
      </c>
      <c r="C1766">
        <v>31</v>
      </c>
      <c r="D1766">
        <v>0</v>
      </c>
      <c r="E1766">
        <v>0</v>
      </c>
      <c r="F1766" t="str">
        <f t="shared" si="83"/>
        <v>Lower Risk</v>
      </c>
      <c r="G1766" t="s">
        <v>3</v>
      </c>
      <c r="H1766" t="s">
        <v>15</v>
      </c>
      <c r="I1766" t="s">
        <v>5</v>
      </c>
      <c r="J1766">
        <v>94.4</v>
      </c>
      <c r="K1766">
        <v>39.799999999999997</v>
      </c>
      <c r="L1766" t="s">
        <v>14</v>
      </c>
      <c r="M1766">
        <v>0</v>
      </c>
      <c r="N1766" t="str">
        <f t="shared" si="81"/>
        <v>Under 40</v>
      </c>
      <c r="O1766" t="str">
        <f t="shared" si="82"/>
        <v>Obese</v>
      </c>
    </row>
    <row r="1767" spans="1:15" x14ac:dyDescent="0.3">
      <c r="A1767">
        <v>9034</v>
      </c>
      <c r="B1767" t="s">
        <v>2</v>
      </c>
      <c r="C1767">
        <v>5</v>
      </c>
      <c r="D1767">
        <v>0</v>
      </c>
      <c r="E1767">
        <v>0</v>
      </c>
      <c r="F1767" t="str">
        <f t="shared" si="83"/>
        <v>Lower Risk</v>
      </c>
      <c r="G1767" t="s">
        <v>13</v>
      </c>
      <c r="H1767" t="s">
        <v>16</v>
      </c>
      <c r="I1767" t="s">
        <v>5</v>
      </c>
      <c r="J1767">
        <v>70</v>
      </c>
      <c r="K1767">
        <v>18.600000000000001</v>
      </c>
      <c r="L1767" t="s">
        <v>14</v>
      </c>
      <c r="M1767">
        <v>0</v>
      </c>
      <c r="N1767" t="str">
        <f t="shared" si="81"/>
        <v>Under 40</v>
      </c>
      <c r="O1767" t="str">
        <f t="shared" si="82"/>
        <v>Normal</v>
      </c>
    </row>
    <row r="1768" spans="1:15" x14ac:dyDescent="0.3">
      <c r="A1768">
        <v>16582</v>
      </c>
      <c r="B1768" t="s">
        <v>2</v>
      </c>
      <c r="C1768">
        <v>26</v>
      </c>
      <c r="D1768">
        <v>0</v>
      </c>
      <c r="E1768">
        <v>0</v>
      </c>
      <c r="F1768" t="str">
        <f t="shared" si="83"/>
        <v>Lower Risk</v>
      </c>
      <c r="G1768" t="s">
        <v>3</v>
      </c>
      <c r="H1768" t="s">
        <v>4</v>
      </c>
      <c r="I1768" t="s">
        <v>9</v>
      </c>
      <c r="J1768">
        <v>95.57</v>
      </c>
      <c r="K1768">
        <v>30.7</v>
      </c>
      <c r="L1768" t="s">
        <v>12</v>
      </c>
      <c r="M1768">
        <v>0</v>
      </c>
      <c r="N1768" t="str">
        <f t="shared" si="81"/>
        <v>Under 40</v>
      </c>
      <c r="O1768" t="str">
        <f t="shared" si="82"/>
        <v>Obese</v>
      </c>
    </row>
    <row r="1769" spans="1:15" x14ac:dyDescent="0.3">
      <c r="A1769">
        <v>28500</v>
      </c>
      <c r="B1769" t="s">
        <v>2</v>
      </c>
      <c r="C1769">
        <v>10</v>
      </c>
      <c r="D1769">
        <v>0</v>
      </c>
      <c r="E1769">
        <v>0</v>
      </c>
      <c r="F1769" t="str">
        <f t="shared" si="83"/>
        <v>Lower Risk</v>
      </c>
      <c r="G1769" t="s">
        <v>13</v>
      </c>
      <c r="H1769" t="s">
        <v>16</v>
      </c>
      <c r="I1769" t="s">
        <v>5</v>
      </c>
      <c r="J1769">
        <v>91.98</v>
      </c>
      <c r="K1769">
        <v>16.399999999999999</v>
      </c>
      <c r="L1769" t="s">
        <v>14</v>
      </c>
      <c r="M1769">
        <v>0</v>
      </c>
      <c r="N1769" t="str">
        <f t="shared" si="81"/>
        <v>Under 40</v>
      </c>
      <c r="O1769" t="str">
        <f t="shared" si="82"/>
        <v>Underweight</v>
      </c>
    </row>
    <row r="1770" spans="1:15" x14ac:dyDescent="0.3">
      <c r="A1770">
        <v>70241</v>
      </c>
      <c r="B1770" t="s">
        <v>7</v>
      </c>
      <c r="C1770">
        <v>22</v>
      </c>
      <c r="D1770">
        <v>0</v>
      </c>
      <c r="E1770">
        <v>0</v>
      </c>
      <c r="F1770" t="str">
        <f t="shared" si="83"/>
        <v>Lower Risk</v>
      </c>
      <c r="G1770" t="s">
        <v>13</v>
      </c>
      <c r="H1770" t="s">
        <v>4</v>
      </c>
      <c r="I1770" t="s">
        <v>5</v>
      </c>
      <c r="J1770">
        <v>66.290000000000006</v>
      </c>
      <c r="K1770">
        <v>20.5</v>
      </c>
      <c r="L1770" t="s">
        <v>12</v>
      </c>
      <c r="M1770">
        <v>0</v>
      </c>
      <c r="N1770" t="str">
        <f t="shared" si="81"/>
        <v>Under 40</v>
      </c>
      <c r="O1770" t="str">
        <f t="shared" si="82"/>
        <v>Normal</v>
      </c>
    </row>
    <row r="1771" spans="1:15" x14ac:dyDescent="0.3">
      <c r="A1771">
        <v>32452</v>
      </c>
      <c r="B1771" t="s">
        <v>7</v>
      </c>
      <c r="C1771">
        <v>82</v>
      </c>
      <c r="D1771">
        <v>0</v>
      </c>
      <c r="E1771">
        <v>1</v>
      </c>
      <c r="F1771" t="str">
        <f t="shared" si="83"/>
        <v>High Risk</v>
      </c>
      <c r="G1771" t="s">
        <v>3</v>
      </c>
      <c r="H1771" t="s">
        <v>8</v>
      </c>
      <c r="I1771" t="s">
        <v>9</v>
      </c>
      <c r="J1771">
        <v>211.88</v>
      </c>
      <c r="K1771">
        <v>28.7</v>
      </c>
      <c r="L1771" t="s">
        <v>11</v>
      </c>
      <c r="M1771">
        <v>0</v>
      </c>
      <c r="N1771" t="str">
        <f t="shared" si="81"/>
        <v>60+</v>
      </c>
      <c r="O1771" t="str">
        <f t="shared" si="82"/>
        <v>Overweight</v>
      </c>
    </row>
    <row r="1772" spans="1:15" x14ac:dyDescent="0.3">
      <c r="A1772">
        <v>45573</v>
      </c>
      <c r="B1772" t="s">
        <v>7</v>
      </c>
      <c r="C1772">
        <v>50</v>
      </c>
      <c r="D1772">
        <v>0</v>
      </c>
      <c r="E1772">
        <v>0</v>
      </c>
      <c r="F1772" t="str">
        <f t="shared" si="83"/>
        <v>Lower Risk</v>
      </c>
      <c r="G1772" t="s">
        <v>3</v>
      </c>
      <c r="H1772" t="s">
        <v>4</v>
      </c>
      <c r="I1772" t="s">
        <v>9</v>
      </c>
      <c r="J1772">
        <v>76.55</v>
      </c>
      <c r="K1772">
        <v>29</v>
      </c>
      <c r="L1772" t="s">
        <v>12</v>
      </c>
      <c r="M1772">
        <v>0</v>
      </c>
      <c r="N1772" t="str">
        <f t="shared" si="81"/>
        <v>40–59</v>
      </c>
      <c r="O1772" t="str">
        <f t="shared" si="82"/>
        <v>Overweight</v>
      </c>
    </row>
    <row r="1773" spans="1:15" x14ac:dyDescent="0.3">
      <c r="A1773">
        <v>64412</v>
      </c>
      <c r="B1773" t="s">
        <v>7</v>
      </c>
      <c r="C1773">
        <v>47</v>
      </c>
      <c r="D1773">
        <v>0</v>
      </c>
      <c r="E1773">
        <v>0</v>
      </c>
      <c r="F1773" t="str">
        <f t="shared" si="83"/>
        <v>Lower Risk</v>
      </c>
      <c r="G1773" t="s">
        <v>3</v>
      </c>
      <c r="H1773" t="s">
        <v>4</v>
      </c>
      <c r="I1773" t="s">
        <v>5</v>
      </c>
      <c r="J1773">
        <v>56.67</v>
      </c>
      <c r="K1773">
        <v>24.4</v>
      </c>
      <c r="L1773" t="s">
        <v>11</v>
      </c>
      <c r="M1773">
        <v>0</v>
      </c>
      <c r="N1773" t="str">
        <f t="shared" si="81"/>
        <v>40–59</v>
      </c>
      <c r="O1773" t="str">
        <f t="shared" si="82"/>
        <v>Normal</v>
      </c>
    </row>
    <row r="1774" spans="1:15" x14ac:dyDescent="0.3">
      <c r="A1774">
        <v>66647</v>
      </c>
      <c r="B1774" t="s">
        <v>2</v>
      </c>
      <c r="C1774">
        <v>31</v>
      </c>
      <c r="D1774">
        <v>0</v>
      </c>
      <c r="E1774">
        <v>0</v>
      </c>
      <c r="F1774" t="str">
        <f t="shared" si="83"/>
        <v>Lower Risk</v>
      </c>
      <c r="G1774" t="s">
        <v>3</v>
      </c>
      <c r="H1774" t="s">
        <v>4</v>
      </c>
      <c r="I1774" t="s">
        <v>9</v>
      </c>
      <c r="J1774">
        <v>100.52</v>
      </c>
      <c r="K1774">
        <v>29.9</v>
      </c>
      <c r="L1774" t="s">
        <v>14</v>
      </c>
      <c r="M1774">
        <v>0</v>
      </c>
      <c r="N1774" t="str">
        <f t="shared" si="81"/>
        <v>Under 40</v>
      </c>
      <c r="O1774" t="str">
        <f t="shared" si="82"/>
        <v>Overweight</v>
      </c>
    </row>
    <row r="1775" spans="1:15" x14ac:dyDescent="0.3">
      <c r="A1775">
        <v>39450</v>
      </c>
      <c r="B1775" t="s">
        <v>2</v>
      </c>
      <c r="C1775">
        <v>22</v>
      </c>
      <c r="D1775">
        <v>0</v>
      </c>
      <c r="E1775">
        <v>0</v>
      </c>
      <c r="F1775" t="str">
        <f t="shared" si="83"/>
        <v>Lower Risk</v>
      </c>
      <c r="G1775" t="s">
        <v>13</v>
      </c>
      <c r="H1775" t="s">
        <v>4</v>
      </c>
      <c r="I1775" t="s">
        <v>9</v>
      </c>
      <c r="J1775">
        <v>58.96</v>
      </c>
      <c r="K1775">
        <v>25.3</v>
      </c>
      <c r="L1775" t="s">
        <v>14</v>
      </c>
      <c r="M1775">
        <v>0</v>
      </c>
      <c r="N1775" t="str">
        <f t="shared" si="81"/>
        <v>Under 40</v>
      </c>
      <c r="O1775" t="str">
        <f t="shared" si="82"/>
        <v>Overweight</v>
      </c>
    </row>
    <row r="1776" spans="1:15" x14ac:dyDescent="0.3">
      <c r="A1776">
        <v>57109</v>
      </c>
      <c r="B1776" t="s">
        <v>7</v>
      </c>
      <c r="C1776">
        <v>12</v>
      </c>
      <c r="D1776">
        <v>0</v>
      </c>
      <c r="E1776">
        <v>0</v>
      </c>
      <c r="F1776" t="str">
        <f t="shared" si="83"/>
        <v>Lower Risk</v>
      </c>
      <c r="G1776" t="s">
        <v>13</v>
      </c>
      <c r="H1776" t="s">
        <v>16</v>
      </c>
      <c r="I1776" t="s">
        <v>9</v>
      </c>
      <c r="J1776">
        <v>81.66</v>
      </c>
      <c r="K1776">
        <v>23.5</v>
      </c>
      <c r="L1776" t="s">
        <v>6</v>
      </c>
      <c r="M1776">
        <v>0</v>
      </c>
      <c r="N1776" t="str">
        <f t="shared" si="81"/>
        <v>Under 40</v>
      </c>
      <c r="O1776" t="str">
        <f t="shared" si="82"/>
        <v>Normal</v>
      </c>
    </row>
    <row r="1777" spans="1:15" x14ac:dyDescent="0.3">
      <c r="A1777">
        <v>3591</v>
      </c>
      <c r="B1777" t="s">
        <v>7</v>
      </c>
      <c r="C1777">
        <v>63</v>
      </c>
      <c r="D1777">
        <v>1</v>
      </c>
      <c r="E1777">
        <v>0</v>
      </c>
      <c r="F1777" t="str">
        <f t="shared" si="83"/>
        <v>High Risk</v>
      </c>
      <c r="G1777" t="s">
        <v>3</v>
      </c>
      <c r="H1777" t="s">
        <v>4</v>
      </c>
      <c r="I1777" t="s">
        <v>9</v>
      </c>
      <c r="J1777">
        <v>96.77</v>
      </c>
      <c r="K1777">
        <v>20.5</v>
      </c>
      <c r="L1777" t="s">
        <v>11</v>
      </c>
      <c r="M1777">
        <v>0</v>
      </c>
      <c r="N1777" t="str">
        <f t="shared" si="81"/>
        <v>60+</v>
      </c>
      <c r="O1777" t="str">
        <f t="shared" si="82"/>
        <v>Normal</v>
      </c>
    </row>
    <row r="1778" spans="1:15" x14ac:dyDescent="0.3">
      <c r="A1778">
        <v>25138</v>
      </c>
      <c r="B1778" t="s">
        <v>7</v>
      </c>
      <c r="C1778">
        <v>78</v>
      </c>
      <c r="D1778">
        <v>1</v>
      </c>
      <c r="E1778">
        <v>0</v>
      </c>
      <c r="F1778" t="str">
        <f t="shared" si="83"/>
        <v>High Risk</v>
      </c>
      <c r="G1778" t="s">
        <v>3</v>
      </c>
      <c r="H1778" t="s">
        <v>4</v>
      </c>
      <c r="I1778" t="s">
        <v>9</v>
      </c>
      <c r="J1778">
        <v>91.63</v>
      </c>
      <c r="K1778">
        <v>33.5</v>
      </c>
      <c r="L1778" t="s">
        <v>12</v>
      </c>
      <c r="M1778">
        <v>0</v>
      </c>
      <c r="N1778" t="str">
        <f t="shared" si="81"/>
        <v>60+</v>
      </c>
      <c r="O1778" t="str">
        <f t="shared" si="82"/>
        <v>Obese</v>
      </c>
    </row>
    <row r="1779" spans="1:15" x14ac:dyDescent="0.3">
      <c r="A1779">
        <v>17277</v>
      </c>
      <c r="B1779" t="s">
        <v>2</v>
      </c>
      <c r="C1779">
        <v>4</v>
      </c>
      <c r="D1779">
        <v>0</v>
      </c>
      <c r="E1779">
        <v>0</v>
      </c>
      <c r="F1779" t="str">
        <f t="shared" si="83"/>
        <v>Lower Risk</v>
      </c>
      <c r="G1779" t="s">
        <v>13</v>
      </c>
      <c r="H1779" t="s">
        <v>16</v>
      </c>
      <c r="I1779" t="s">
        <v>5</v>
      </c>
      <c r="J1779">
        <v>97.51</v>
      </c>
      <c r="K1779">
        <v>22</v>
      </c>
      <c r="L1779" t="s">
        <v>14</v>
      </c>
      <c r="M1779">
        <v>0</v>
      </c>
      <c r="N1779" t="str">
        <f t="shared" si="81"/>
        <v>Under 40</v>
      </c>
      <c r="O1779" t="str">
        <f t="shared" si="82"/>
        <v>Normal</v>
      </c>
    </row>
    <row r="1780" spans="1:15" x14ac:dyDescent="0.3">
      <c r="A1780">
        <v>35333</v>
      </c>
      <c r="B1780" t="s">
        <v>2</v>
      </c>
      <c r="C1780">
        <v>76</v>
      </c>
      <c r="D1780">
        <v>1</v>
      </c>
      <c r="E1780">
        <v>0</v>
      </c>
      <c r="F1780" t="str">
        <f t="shared" si="83"/>
        <v>High Risk</v>
      </c>
      <c r="G1780" t="s">
        <v>3</v>
      </c>
      <c r="H1780" t="s">
        <v>4</v>
      </c>
      <c r="I1780" t="s">
        <v>9</v>
      </c>
      <c r="J1780">
        <v>225.6</v>
      </c>
      <c r="K1780">
        <v>29</v>
      </c>
      <c r="L1780" t="s">
        <v>11</v>
      </c>
      <c r="M1780">
        <v>0</v>
      </c>
      <c r="N1780" t="str">
        <f t="shared" si="81"/>
        <v>60+</v>
      </c>
      <c r="O1780" t="str">
        <f t="shared" si="82"/>
        <v>Overweight</v>
      </c>
    </row>
    <row r="1781" spans="1:15" x14ac:dyDescent="0.3">
      <c r="A1781">
        <v>18861</v>
      </c>
      <c r="B1781" t="s">
        <v>2</v>
      </c>
      <c r="C1781">
        <v>32</v>
      </c>
      <c r="D1781">
        <v>0</v>
      </c>
      <c r="E1781">
        <v>0</v>
      </c>
      <c r="F1781" t="str">
        <f t="shared" si="83"/>
        <v>Lower Risk</v>
      </c>
      <c r="G1781" t="s">
        <v>13</v>
      </c>
      <c r="H1781" t="s">
        <v>4</v>
      </c>
      <c r="I1781" t="s">
        <v>9</v>
      </c>
      <c r="J1781">
        <v>95.58</v>
      </c>
      <c r="K1781" t="s">
        <v>10</v>
      </c>
      <c r="L1781" t="s">
        <v>12</v>
      </c>
      <c r="M1781">
        <v>0</v>
      </c>
      <c r="N1781" t="str">
        <f t="shared" si="81"/>
        <v>Under 40</v>
      </c>
      <c r="O1781" t="str">
        <f t="shared" si="82"/>
        <v>Unknown</v>
      </c>
    </row>
    <row r="1782" spans="1:15" x14ac:dyDescent="0.3">
      <c r="A1782">
        <v>15120</v>
      </c>
      <c r="B1782" t="s">
        <v>7</v>
      </c>
      <c r="C1782">
        <v>81</v>
      </c>
      <c r="D1782">
        <v>1</v>
      </c>
      <c r="E1782">
        <v>0</v>
      </c>
      <c r="F1782" t="str">
        <f t="shared" si="83"/>
        <v>High Risk</v>
      </c>
      <c r="G1782" t="s">
        <v>3</v>
      </c>
      <c r="H1782" t="s">
        <v>8</v>
      </c>
      <c r="I1782" t="s">
        <v>9</v>
      </c>
      <c r="J1782">
        <v>210.23</v>
      </c>
      <c r="K1782">
        <v>30.7</v>
      </c>
      <c r="L1782" t="s">
        <v>11</v>
      </c>
      <c r="M1782">
        <v>0</v>
      </c>
      <c r="N1782" t="str">
        <f t="shared" si="81"/>
        <v>60+</v>
      </c>
      <c r="O1782" t="str">
        <f t="shared" si="82"/>
        <v>Obese</v>
      </c>
    </row>
    <row r="1783" spans="1:15" x14ac:dyDescent="0.3">
      <c r="A1783">
        <v>29221</v>
      </c>
      <c r="B1783" t="s">
        <v>7</v>
      </c>
      <c r="C1783">
        <v>39</v>
      </c>
      <c r="D1783">
        <v>0</v>
      </c>
      <c r="E1783">
        <v>0</v>
      </c>
      <c r="F1783" t="str">
        <f t="shared" si="83"/>
        <v>Lower Risk</v>
      </c>
      <c r="G1783" t="s">
        <v>3</v>
      </c>
      <c r="H1783" t="s">
        <v>4</v>
      </c>
      <c r="I1783" t="s">
        <v>5</v>
      </c>
      <c r="J1783">
        <v>92.82</v>
      </c>
      <c r="K1783">
        <v>37.4</v>
      </c>
      <c r="L1783" t="s">
        <v>11</v>
      </c>
      <c r="M1783">
        <v>0</v>
      </c>
      <c r="N1783" t="str">
        <f t="shared" si="81"/>
        <v>Under 40</v>
      </c>
      <c r="O1783" t="str">
        <f t="shared" si="82"/>
        <v>Obese</v>
      </c>
    </row>
    <row r="1784" spans="1:15" x14ac:dyDescent="0.3">
      <c r="A1784">
        <v>11412</v>
      </c>
      <c r="B1784" t="s">
        <v>7</v>
      </c>
      <c r="C1784">
        <v>59</v>
      </c>
      <c r="D1784">
        <v>0</v>
      </c>
      <c r="E1784">
        <v>0</v>
      </c>
      <c r="F1784" t="str">
        <f t="shared" si="83"/>
        <v>Lower Risk</v>
      </c>
      <c r="G1784" t="s">
        <v>3</v>
      </c>
      <c r="H1784" t="s">
        <v>4</v>
      </c>
      <c r="I1784" t="s">
        <v>9</v>
      </c>
      <c r="J1784">
        <v>234.82</v>
      </c>
      <c r="K1784">
        <v>51.8</v>
      </c>
      <c r="L1784" t="s">
        <v>11</v>
      </c>
      <c r="M1784">
        <v>0</v>
      </c>
      <c r="N1784" t="str">
        <f t="shared" si="81"/>
        <v>40–59</v>
      </c>
      <c r="O1784" t="str">
        <f t="shared" si="82"/>
        <v>Obese</v>
      </c>
    </row>
    <row r="1785" spans="1:15" x14ac:dyDescent="0.3">
      <c r="A1785">
        <v>38858</v>
      </c>
      <c r="B1785" t="s">
        <v>2</v>
      </c>
      <c r="C1785">
        <v>2</v>
      </c>
      <c r="D1785">
        <v>0</v>
      </c>
      <c r="E1785">
        <v>0</v>
      </c>
      <c r="F1785" t="str">
        <f t="shared" si="83"/>
        <v>Lower Risk</v>
      </c>
      <c r="G1785" t="s">
        <v>13</v>
      </c>
      <c r="H1785" t="s">
        <v>16</v>
      </c>
      <c r="I1785" t="s">
        <v>9</v>
      </c>
      <c r="J1785">
        <v>65.67</v>
      </c>
      <c r="K1785">
        <v>16.600000000000001</v>
      </c>
      <c r="L1785" t="s">
        <v>14</v>
      </c>
      <c r="M1785">
        <v>0</v>
      </c>
      <c r="N1785" t="str">
        <f t="shared" si="81"/>
        <v>Under 40</v>
      </c>
      <c r="O1785" t="str">
        <f t="shared" si="82"/>
        <v>Underweight</v>
      </c>
    </row>
    <row r="1786" spans="1:15" x14ac:dyDescent="0.3">
      <c r="A1786">
        <v>6802</v>
      </c>
      <c r="B1786" t="s">
        <v>7</v>
      </c>
      <c r="C1786">
        <v>37</v>
      </c>
      <c r="D1786">
        <v>0</v>
      </c>
      <c r="E1786">
        <v>0</v>
      </c>
      <c r="F1786" t="str">
        <f t="shared" si="83"/>
        <v>Lower Risk</v>
      </c>
      <c r="G1786" t="s">
        <v>3</v>
      </c>
      <c r="H1786" t="s">
        <v>4</v>
      </c>
      <c r="I1786" t="s">
        <v>5</v>
      </c>
      <c r="J1786">
        <v>74.510000000000005</v>
      </c>
      <c r="K1786">
        <v>29.5</v>
      </c>
      <c r="L1786" t="s">
        <v>14</v>
      </c>
      <c r="M1786">
        <v>0</v>
      </c>
      <c r="N1786" t="str">
        <f t="shared" si="81"/>
        <v>Under 40</v>
      </c>
      <c r="O1786" t="str">
        <f t="shared" si="82"/>
        <v>Overweight</v>
      </c>
    </row>
    <row r="1787" spans="1:15" x14ac:dyDescent="0.3">
      <c r="A1787">
        <v>8644</v>
      </c>
      <c r="B1787" t="s">
        <v>7</v>
      </c>
      <c r="C1787">
        <v>78</v>
      </c>
      <c r="D1787">
        <v>0</v>
      </c>
      <c r="E1787">
        <v>1</v>
      </c>
      <c r="F1787" t="str">
        <f t="shared" si="83"/>
        <v>High Risk</v>
      </c>
      <c r="G1787" t="s">
        <v>3</v>
      </c>
      <c r="H1787" t="s">
        <v>4</v>
      </c>
      <c r="I1787" t="s">
        <v>9</v>
      </c>
      <c r="J1787">
        <v>81.99</v>
      </c>
      <c r="K1787">
        <v>27.3</v>
      </c>
      <c r="L1787" t="s">
        <v>6</v>
      </c>
      <c r="M1787">
        <v>0</v>
      </c>
      <c r="N1787" t="str">
        <f t="shared" si="81"/>
        <v>60+</v>
      </c>
      <c r="O1787" t="str">
        <f t="shared" si="82"/>
        <v>Overweight</v>
      </c>
    </row>
    <row r="1788" spans="1:15" x14ac:dyDescent="0.3">
      <c r="A1788">
        <v>54579</v>
      </c>
      <c r="B1788" t="s">
        <v>7</v>
      </c>
      <c r="C1788">
        <v>75</v>
      </c>
      <c r="D1788">
        <v>0</v>
      </c>
      <c r="E1788">
        <v>0</v>
      </c>
      <c r="F1788" t="str">
        <f t="shared" si="83"/>
        <v>Moderate Risk</v>
      </c>
      <c r="G1788" t="s">
        <v>3</v>
      </c>
      <c r="H1788" t="s">
        <v>8</v>
      </c>
      <c r="I1788" t="s">
        <v>5</v>
      </c>
      <c r="J1788">
        <v>87.69</v>
      </c>
      <c r="K1788">
        <v>27.5</v>
      </c>
      <c r="L1788" t="s">
        <v>6</v>
      </c>
      <c r="M1788">
        <v>0</v>
      </c>
      <c r="N1788" t="str">
        <f t="shared" si="81"/>
        <v>60+</v>
      </c>
      <c r="O1788" t="str">
        <f t="shared" si="82"/>
        <v>Overweight</v>
      </c>
    </row>
    <row r="1789" spans="1:15" x14ac:dyDescent="0.3">
      <c r="A1789">
        <v>41935</v>
      </c>
      <c r="B1789" t="s">
        <v>2</v>
      </c>
      <c r="C1789">
        <v>34</v>
      </c>
      <c r="D1789">
        <v>0</v>
      </c>
      <c r="E1789">
        <v>0</v>
      </c>
      <c r="F1789" t="str">
        <f t="shared" si="83"/>
        <v>Lower Risk</v>
      </c>
      <c r="G1789" t="s">
        <v>13</v>
      </c>
      <c r="H1789" t="s">
        <v>4</v>
      </c>
      <c r="I1789" t="s">
        <v>9</v>
      </c>
      <c r="J1789">
        <v>125.29</v>
      </c>
      <c r="K1789">
        <v>33.9</v>
      </c>
      <c r="L1789" t="s">
        <v>11</v>
      </c>
      <c r="M1789">
        <v>0</v>
      </c>
      <c r="N1789" t="str">
        <f t="shared" si="81"/>
        <v>Under 40</v>
      </c>
      <c r="O1789" t="str">
        <f t="shared" si="82"/>
        <v>Obese</v>
      </c>
    </row>
    <row r="1790" spans="1:15" x14ac:dyDescent="0.3">
      <c r="A1790">
        <v>17926</v>
      </c>
      <c r="B1790" t="s">
        <v>7</v>
      </c>
      <c r="C1790">
        <v>48</v>
      </c>
      <c r="D1790">
        <v>0</v>
      </c>
      <c r="E1790">
        <v>0</v>
      </c>
      <c r="F1790" t="str">
        <f t="shared" si="83"/>
        <v>Lower Risk</v>
      </c>
      <c r="G1790" t="s">
        <v>3</v>
      </c>
      <c r="H1790" t="s">
        <v>15</v>
      </c>
      <c r="I1790" t="s">
        <v>9</v>
      </c>
      <c r="J1790">
        <v>111.64</v>
      </c>
      <c r="K1790">
        <v>27.9</v>
      </c>
      <c r="L1790" t="s">
        <v>14</v>
      </c>
      <c r="M1790">
        <v>0</v>
      </c>
      <c r="N1790" t="str">
        <f t="shared" si="81"/>
        <v>40–59</v>
      </c>
      <c r="O1790" t="str">
        <f t="shared" si="82"/>
        <v>Overweight</v>
      </c>
    </row>
    <row r="1791" spans="1:15" x14ac:dyDescent="0.3">
      <c r="A1791">
        <v>13862</v>
      </c>
      <c r="B1791" t="s">
        <v>7</v>
      </c>
      <c r="C1791">
        <v>13</v>
      </c>
      <c r="D1791">
        <v>0</v>
      </c>
      <c r="E1791">
        <v>0</v>
      </c>
      <c r="F1791" t="str">
        <f t="shared" si="83"/>
        <v>Lower Risk</v>
      </c>
      <c r="G1791" t="s">
        <v>13</v>
      </c>
      <c r="H1791" t="s">
        <v>17</v>
      </c>
      <c r="I1791" t="s">
        <v>5</v>
      </c>
      <c r="J1791">
        <v>70.930000000000007</v>
      </c>
      <c r="K1791">
        <v>22.9</v>
      </c>
      <c r="L1791" t="s">
        <v>11</v>
      </c>
      <c r="M1791">
        <v>0</v>
      </c>
      <c r="N1791" t="str">
        <f t="shared" si="81"/>
        <v>Under 40</v>
      </c>
      <c r="O1791" t="str">
        <f t="shared" si="82"/>
        <v>Normal</v>
      </c>
    </row>
    <row r="1792" spans="1:15" x14ac:dyDescent="0.3">
      <c r="A1792">
        <v>64523</v>
      </c>
      <c r="B1792" t="s">
        <v>2</v>
      </c>
      <c r="C1792">
        <v>54</v>
      </c>
      <c r="D1792">
        <v>1</v>
      </c>
      <c r="E1792">
        <v>0</v>
      </c>
      <c r="F1792" t="str">
        <f t="shared" si="83"/>
        <v>Lower Risk</v>
      </c>
      <c r="G1792" t="s">
        <v>3</v>
      </c>
      <c r="H1792" t="s">
        <v>4</v>
      </c>
      <c r="I1792" t="s">
        <v>5</v>
      </c>
      <c r="J1792">
        <v>89.93</v>
      </c>
      <c r="K1792">
        <v>32.1</v>
      </c>
      <c r="L1792" t="s">
        <v>11</v>
      </c>
      <c r="M1792">
        <v>0</v>
      </c>
      <c r="N1792" t="str">
        <f t="shared" si="81"/>
        <v>40–59</v>
      </c>
      <c r="O1792" t="str">
        <f t="shared" si="82"/>
        <v>Obese</v>
      </c>
    </row>
    <row r="1793" spans="1:15" x14ac:dyDescent="0.3">
      <c r="A1793">
        <v>66065</v>
      </c>
      <c r="B1793" t="s">
        <v>2</v>
      </c>
      <c r="C1793">
        <v>13</v>
      </c>
      <c r="D1793">
        <v>0</v>
      </c>
      <c r="E1793">
        <v>0</v>
      </c>
      <c r="F1793" t="str">
        <f t="shared" si="83"/>
        <v>Lower Risk</v>
      </c>
      <c r="G1793" t="s">
        <v>13</v>
      </c>
      <c r="H1793" t="s">
        <v>16</v>
      </c>
      <c r="I1793" t="s">
        <v>9</v>
      </c>
      <c r="J1793">
        <v>137.44999999999999</v>
      </c>
      <c r="K1793">
        <v>18.2</v>
      </c>
      <c r="L1793" t="s">
        <v>14</v>
      </c>
      <c r="M1793">
        <v>0</v>
      </c>
      <c r="N1793" t="str">
        <f t="shared" si="81"/>
        <v>Under 40</v>
      </c>
      <c r="O1793" t="str">
        <f t="shared" si="82"/>
        <v>Underweight</v>
      </c>
    </row>
    <row r="1794" spans="1:15" x14ac:dyDescent="0.3">
      <c r="A1794">
        <v>71869</v>
      </c>
      <c r="B1794" t="s">
        <v>7</v>
      </c>
      <c r="C1794">
        <v>24</v>
      </c>
      <c r="D1794">
        <v>0</v>
      </c>
      <c r="E1794">
        <v>0</v>
      </c>
      <c r="F1794" t="str">
        <f t="shared" si="83"/>
        <v>Lower Risk</v>
      </c>
      <c r="G1794" t="s">
        <v>13</v>
      </c>
      <c r="H1794" t="s">
        <v>4</v>
      </c>
      <c r="I1794" t="s">
        <v>9</v>
      </c>
      <c r="J1794">
        <v>72.06</v>
      </c>
      <c r="K1794">
        <v>30.2</v>
      </c>
      <c r="L1794" t="s">
        <v>6</v>
      </c>
      <c r="M1794">
        <v>0</v>
      </c>
      <c r="N1794" t="str">
        <f t="shared" ref="N1794:N1857" si="84">IF(C1794&lt;40,"Under 40",IF(C1794&lt;60,"40–59","60+"))</f>
        <v>Under 40</v>
      </c>
      <c r="O1794" t="str">
        <f t="shared" ref="O1794:O1857" si="85">IF(K1794="N/A","Unknown",
IF(K1794="","Unknown",
IF(K1794&lt;18.5,"Underweight",
IF(K1794&lt;25,"Normal",
IF(K1794&lt;30,"Overweight","Obese")))))</f>
        <v>Obese</v>
      </c>
    </row>
    <row r="1795" spans="1:15" x14ac:dyDescent="0.3">
      <c r="A1795">
        <v>11024</v>
      </c>
      <c r="B1795" t="s">
        <v>7</v>
      </c>
      <c r="C1795">
        <v>76</v>
      </c>
      <c r="D1795">
        <v>0</v>
      </c>
      <c r="E1795">
        <v>0</v>
      </c>
      <c r="F1795" t="str">
        <f t="shared" ref="F1795:F1858" si="86">IF(C1795&gt;=60,
IF(OR(D1795=1,E1795=1),"High Risk","Moderate Risk"),
"Lower Risk")</f>
        <v>Moderate Risk</v>
      </c>
      <c r="G1795" t="s">
        <v>3</v>
      </c>
      <c r="H1795" t="s">
        <v>4</v>
      </c>
      <c r="I1795" t="s">
        <v>9</v>
      </c>
      <c r="J1795">
        <v>97.9</v>
      </c>
      <c r="K1795">
        <v>31.3</v>
      </c>
      <c r="L1795" t="s">
        <v>6</v>
      </c>
      <c r="M1795">
        <v>0</v>
      </c>
      <c r="N1795" t="str">
        <f t="shared" si="84"/>
        <v>60+</v>
      </c>
      <c r="O1795" t="str">
        <f t="shared" si="85"/>
        <v>Obese</v>
      </c>
    </row>
    <row r="1796" spans="1:15" x14ac:dyDescent="0.3">
      <c r="A1796">
        <v>46035</v>
      </c>
      <c r="B1796" t="s">
        <v>2</v>
      </c>
      <c r="C1796">
        <v>1</v>
      </c>
      <c r="D1796">
        <v>0</v>
      </c>
      <c r="E1796">
        <v>0</v>
      </c>
      <c r="F1796" t="str">
        <f t="shared" si="86"/>
        <v>Lower Risk</v>
      </c>
      <c r="G1796" t="s">
        <v>13</v>
      </c>
      <c r="H1796" t="s">
        <v>16</v>
      </c>
      <c r="I1796" t="s">
        <v>5</v>
      </c>
      <c r="J1796">
        <v>84.85</v>
      </c>
      <c r="K1796">
        <v>20.3</v>
      </c>
      <c r="L1796" t="s">
        <v>14</v>
      </c>
      <c r="M1796">
        <v>0</v>
      </c>
      <c r="N1796" t="str">
        <f t="shared" si="84"/>
        <v>Under 40</v>
      </c>
      <c r="O1796" t="str">
        <f t="shared" si="85"/>
        <v>Normal</v>
      </c>
    </row>
    <row r="1797" spans="1:15" x14ac:dyDescent="0.3">
      <c r="A1797">
        <v>24630</v>
      </c>
      <c r="B1797" t="s">
        <v>2</v>
      </c>
      <c r="C1797">
        <v>57</v>
      </c>
      <c r="D1797">
        <v>0</v>
      </c>
      <c r="E1797">
        <v>0</v>
      </c>
      <c r="F1797" t="str">
        <f t="shared" si="86"/>
        <v>Lower Risk</v>
      </c>
      <c r="G1797" t="s">
        <v>3</v>
      </c>
      <c r="H1797" t="s">
        <v>4</v>
      </c>
      <c r="I1797" t="s">
        <v>9</v>
      </c>
      <c r="J1797">
        <v>230.59</v>
      </c>
      <c r="K1797">
        <v>23.2</v>
      </c>
      <c r="L1797" t="s">
        <v>6</v>
      </c>
      <c r="M1797">
        <v>0</v>
      </c>
      <c r="N1797" t="str">
        <f t="shared" si="84"/>
        <v>40–59</v>
      </c>
      <c r="O1797" t="str">
        <f t="shared" si="85"/>
        <v>Normal</v>
      </c>
    </row>
    <row r="1798" spans="1:15" x14ac:dyDescent="0.3">
      <c r="A1798">
        <v>11238</v>
      </c>
      <c r="B1798" t="s">
        <v>2</v>
      </c>
      <c r="C1798">
        <v>46</v>
      </c>
      <c r="D1798">
        <v>0</v>
      </c>
      <c r="E1798">
        <v>0</v>
      </c>
      <c r="F1798" t="str">
        <f t="shared" si="86"/>
        <v>Lower Risk</v>
      </c>
      <c r="G1798" t="s">
        <v>3</v>
      </c>
      <c r="H1798" t="s">
        <v>4</v>
      </c>
      <c r="I1798" t="s">
        <v>9</v>
      </c>
      <c r="J1798">
        <v>92.81</v>
      </c>
      <c r="K1798">
        <v>30.8</v>
      </c>
      <c r="L1798" t="s">
        <v>14</v>
      </c>
      <c r="M1798">
        <v>0</v>
      </c>
      <c r="N1798" t="str">
        <f t="shared" si="84"/>
        <v>40–59</v>
      </c>
      <c r="O1798" t="str">
        <f t="shared" si="85"/>
        <v>Obese</v>
      </c>
    </row>
    <row r="1799" spans="1:15" x14ac:dyDescent="0.3">
      <c r="A1799">
        <v>54946</v>
      </c>
      <c r="B1799" t="s">
        <v>7</v>
      </c>
      <c r="C1799">
        <v>26</v>
      </c>
      <c r="D1799">
        <v>0</v>
      </c>
      <c r="E1799">
        <v>0</v>
      </c>
      <c r="F1799" t="str">
        <f t="shared" si="86"/>
        <v>Lower Risk</v>
      </c>
      <c r="G1799" t="s">
        <v>13</v>
      </c>
      <c r="H1799" t="s">
        <v>4</v>
      </c>
      <c r="I1799" t="s">
        <v>5</v>
      </c>
      <c r="J1799">
        <v>168.15</v>
      </c>
      <c r="K1799">
        <v>22.9</v>
      </c>
      <c r="L1799" t="s">
        <v>11</v>
      </c>
      <c r="M1799">
        <v>0</v>
      </c>
      <c r="N1799" t="str">
        <f t="shared" si="84"/>
        <v>Under 40</v>
      </c>
      <c r="O1799" t="str">
        <f t="shared" si="85"/>
        <v>Normal</v>
      </c>
    </row>
    <row r="1800" spans="1:15" x14ac:dyDescent="0.3">
      <c r="A1800">
        <v>24229</v>
      </c>
      <c r="B1800" t="s">
        <v>7</v>
      </c>
      <c r="C1800">
        <v>56</v>
      </c>
      <c r="D1800">
        <v>0</v>
      </c>
      <c r="E1800">
        <v>0</v>
      </c>
      <c r="F1800" t="str">
        <f t="shared" si="86"/>
        <v>Lower Risk</v>
      </c>
      <c r="G1800" t="s">
        <v>3</v>
      </c>
      <c r="H1800" t="s">
        <v>8</v>
      </c>
      <c r="I1800" t="s">
        <v>5</v>
      </c>
      <c r="J1800">
        <v>224.63</v>
      </c>
      <c r="K1800">
        <v>42.8</v>
      </c>
      <c r="L1800" t="s">
        <v>11</v>
      </c>
      <c r="M1800">
        <v>0</v>
      </c>
      <c r="N1800" t="str">
        <f t="shared" si="84"/>
        <v>40–59</v>
      </c>
      <c r="O1800" t="str">
        <f t="shared" si="85"/>
        <v>Obese</v>
      </c>
    </row>
    <row r="1801" spans="1:15" x14ac:dyDescent="0.3">
      <c r="A1801">
        <v>29934</v>
      </c>
      <c r="B1801" t="s">
        <v>2</v>
      </c>
      <c r="C1801">
        <v>34</v>
      </c>
      <c r="D1801">
        <v>0</v>
      </c>
      <c r="E1801">
        <v>0</v>
      </c>
      <c r="F1801" t="str">
        <f t="shared" si="86"/>
        <v>Lower Risk</v>
      </c>
      <c r="G1801" t="s">
        <v>3</v>
      </c>
      <c r="H1801" t="s">
        <v>4</v>
      </c>
      <c r="I1801" t="s">
        <v>5</v>
      </c>
      <c r="J1801">
        <v>108.12</v>
      </c>
      <c r="K1801">
        <v>22.2</v>
      </c>
      <c r="L1801" t="s">
        <v>14</v>
      </c>
      <c r="M1801">
        <v>0</v>
      </c>
      <c r="N1801" t="str">
        <f t="shared" si="84"/>
        <v>Under 40</v>
      </c>
      <c r="O1801" t="str">
        <f t="shared" si="85"/>
        <v>Normal</v>
      </c>
    </row>
    <row r="1802" spans="1:15" x14ac:dyDescent="0.3">
      <c r="A1802">
        <v>28998</v>
      </c>
      <c r="B1802" t="s">
        <v>2</v>
      </c>
      <c r="C1802">
        <v>25</v>
      </c>
      <c r="D1802">
        <v>0</v>
      </c>
      <c r="E1802">
        <v>0</v>
      </c>
      <c r="F1802" t="str">
        <f t="shared" si="86"/>
        <v>Lower Risk</v>
      </c>
      <c r="G1802" t="s">
        <v>13</v>
      </c>
      <c r="H1802" t="s">
        <v>4</v>
      </c>
      <c r="I1802" t="s">
        <v>9</v>
      </c>
      <c r="J1802">
        <v>85.17</v>
      </c>
      <c r="K1802">
        <v>28.7</v>
      </c>
      <c r="L1802" t="s">
        <v>12</v>
      </c>
      <c r="M1802">
        <v>0</v>
      </c>
      <c r="N1802" t="str">
        <f t="shared" si="84"/>
        <v>Under 40</v>
      </c>
      <c r="O1802" t="str">
        <f t="shared" si="85"/>
        <v>Overweight</v>
      </c>
    </row>
    <row r="1803" spans="1:15" x14ac:dyDescent="0.3">
      <c r="A1803">
        <v>19805</v>
      </c>
      <c r="B1803" t="s">
        <v>2</v>
      </c>
      <c r="C1803">
        <v>60</v>
      </c>
      <c r="D1803">
        <v>0</v>
      </c>
      <c r="E1803">
        <v>0</v>
      </c>
      <c r="F1803" t="str">
        <f t="shared" si="86"/>
        <v>Moderate Risk</v>
      </c>
      <c r="G1803" t="s">
        <v>13</v>
      </c>
      <c r="H1803" t="s">
        <v>4</v>
      </c>
      <c r="I1803" t="s">
        <v>5</v>
      </c>
      <c r="J1803">
        <v>84.14</v>
      </c>
      <c r="K1803">
        <v>32.299999999999997</v>
      </c>
      <c r="L1803" t="s">
        <v>11</v>
      </c>
      <c r="M1803">
        <v>0</v>
      </c>
      <c r="N1803" t="str">
        <f t="shared" si="84"/>
        <v>60+</v>
      </c>
      <c r="O1803" t="str">
        <f t="shared" si="85"/>
        <v>Obese</v>
      </c>
    </row>
    <row r="1804" spans="1:15" x14ac:dyDescent="0.3">
      <c r="A1804">
        <v>63668</v>
      </c>
      <c r="B1804" t="s">
        <v>2</v>
      </c>
      <c r="C1804">
        <v>22</v>
      </c>
      <c r="D1804">
        <v>0</v>
      </c>
      <c r="E1804">
        <v>0</v>
      </c>
      <c r="F1804" t="str">
        <f t="shared" si="86"/>
        <v>Lower Risk</v>
      </c>
      <c r="G1804" t="s">
        <v>13</v>
      </c>
      <c r="H1804" t="s">
        <v>4</v>
      </c>
      <c r="I1804" t="s">
        <v>9</v>
      </c>
      <c r="J1804">
        <v>85.57</v>
      </c>
      <c r="K1804">
        <v>24.2</v>
      </c>
      <c r="L1804" t="s">
        <v>6</v>
      </c>
      <c r="M1804">
        <v>0</v>
      </c>
      <c r="N1804" t="str">
        <f t="shared" si="84"/>
        <v>Under 40</v>
      </c>
      <c r="O1804" t="str">
        <f t="shared" si="85"/>
        <v>Normal</v>
      </c>
    </row>
    <row r="1805" spans="1:15" x14ac:dyDescent="0.3">
      <c r="A1805">
        <v>24876</v>
      </c>
      <c r="B1805" t="s">
        <v>2</v>
      </c>
      <c r="C1805">
        <v>35</v>
      </c>
      <c r="D1805">
        <v>0</v>
      </c>
      <c r="E1805">
        <v>0</v>
      </c>
      <c r="F1805" t="str">
        <f t="shared" si="86"/>
        <v>Lower Risk</v>
      </c>
      <c r="G1805" t="s">
        <v>3</v>
      </c>
      <c r="H1805" t="s">
        <v>4</v>
      </c>
      <c r="I1805" t="s">
        <v>5</v>
      </c>
      <c r="J1805">
        <v>82.81</v>
      </c>
      <c r="K1805">
        <v>23.9</v>
      </c>
      <c r="L1805" t="s">
        <v>11</v>
      </c>
      <c r="M1805">
        <v>0</v>
      </c>
      <c r="N1805" t="str">
        <f t="shared" si="84"/>
        <v>Under 40</v>
      </c>
      <c r="O1805" t="str">
        <f t="shared" si="85"/>
        <v>Normal</v>
      </c>
    </row>
    <row r="1806" spans="1:15" x14ac:dyDescent="0.3">
      <c r="A1806">
        <v>34719</v>
      </c>
      <c r="B1806" t="s">
        <v>2</v>
      </c>
      <c r="C1806">
        <v>48</v>
      </c>
      <c r="D1806">
        <v>1</v>
      </c>
      <c r="E1806">
        <v>0</v>
      </c>
      <c r="F1806" t="str">
        <f t="shared" si="86"/>
        <v>Lower Risk</v>
      </c>
      <c r="G1806" t="s">
        <v>13</v>
      </c>
      <c r="H1806" t="s">
        <v>4</v>
      </c>
      <c r="I1806" t="s">
        <v>5</v>
      </c>
      <c r="J1806">
        <v>110.53</v>
      </c>
      <c r="K1806">
        <v>34.200000000000003</v>
      </c>
      <c r="L1806" t="s">
        <v>11</v>
      </c>
      <c r="M1806">
        <v>0</v>
      </c>
      <c r="N1806" t="str">
        <f t="shared" si="84"/>
        <v>40–59</v>
      </c>
      <c r="O1806" t="str">
        <f t="shared" si="85"/>
        <v>Obese</v>
      </c>
    </row>
    <row r="1807" spans="1:15" x14ac:dyDescent="0.3">
      <c r="A1807">
        <v>48769</v>
      </c>
      <c r="B1807" t="s">
        <v>7</v>
      </c>
      <c r="C1807">
        <v>38</v>
      </c>
      <c r="D1807">
        <v>0</v>
      </c>
      <c r="E1807">
        <v>0</v>
      </c>
      <c r="F1807" t="str">
        <f t="shared" si="86"/>
        <v>Lower Risk</v>
      </c>
      <c r="G1807" t="s">
        <v>3</v>
      </c>
      <c r="H1807" t="s">
        <v>4</v>
      </c>
      <c r="I1807" t="s">
        <v>9</v>
      </c>
      <c r="J1807">
        <v>61.88</v>
      </c>
      <c r="K1807">
        <v>29</v>
      </c>
      <c r="L1807" t="s">
        <v>14</v>
      </c>
      <c r="M1807">
        <v>0</v>
      </c>
      <c r="N1807" t="str">
        <f t="shared" si="84"/>
        <v>Under 40</v>
      </c>
      <c r="O1807" t="str">
        <f t="shared" si="85"/>
        <v>Overweight</v>
      </c>
    </row>
    <row r="1808" spans="1:15" x14ac:dyDescent="0.3">
      <c r="A1808">
        <v>22536</v>
      </c>
      <c r="B1808" t="s">
        <v>7</v>
      </c>
      <c r="C1808">
        <v>12</v>
      </c>
      <c r="D1808">
        <v>0</v>
      </c>
      <c r="E1808">
        <v>0</v>
      </c>
      <c r="F1808" t="str">
        <f t="shared" si="86"/>
        <v>Lower Risk</v>
      </c>
      <c r="G1808" t="s">
        <v>13</v>
      </c>
      <c r="H1808" t="s">
        <v>16</v>
      </c>
      <c r="I1808" t="s">
        <v>5</v>
      </c>
      <c r="J1808">
        <v>85.04</v>
      </c>
      <c r="K1808">
        <v>29.9</v>
      </c>
      <c r="L1808" t="s">
        <v>11</v>
      </c>
      <c r="M1808">
        <v>0</v>
      </c>
      <c r="N1808" t="str">
        <f t="shared" si="84"/>
        <v>Under 40</v>
      </c>
      <c r="O1808" t="str">
        <f t="shared" si="85"/>
        <v>Overweight</v>
      </c>
    </row>
    <row r="1809" spans="1:15" x14ac:dyDescent="0.3">
      <c r="A1809">
        <v>8760</v>
      </c>
      <c r="B1809" t="s">
        <v>7</v>
      </c>
      <c r="C1809">
        <v>22</v>
      </c>
      <c r="D1809">
        <v>0</v>
      </c>
      <c r="E1809">
        <v>0</v>
      </c>
      <c r="F1809" t="str">
        <f t="shared" si="86"/>
        <v>Lower Risk</v>
      </c>
      <c r="G1809" t="s">
        <v>13</v>
      </c>
      <c r="H1809" t="s">
        <v>4</v>
      </c>
      <c r="I1809" t="s">
        <v>5</v>
      </c>
      <c r="J1809">
        <v>140.4</v>
      </c>
      <c r="K1809">
        <v>23</v>
      </c>
      <c r="L1809" t="s">
        <v>12</v>
      </c>
      <c r="M1809">
        <v>0</v>
      </c>
      <c r="N1809" t="str">
        <f t="shared" si="84"/>
        <v>Under 40</v>
      </c>
      <c r="O1809" t="str">
        <f t="shared" si="85"/>
        <v>Normal</v>
      </c>
    </row>
    <row r="1810" spans="1:15" x14ac:dyDescent="0.3">
      <c r="A1810">
        <v>53126</v>
      </c>
      <c r="B1810" t="s">
        <v>7</v>
      </c>
      <c r="C1810">
        <v>0.64</v>
      </c>
      <c r="D1810">
        <v>0</v>
      </c>
      <c r="E1810">
        <v>0</v>
      </c>
      <c r="F1810" t="str">
        <f t="shared" si="86"/>
        <v>Lower Risk</v>
      </c>
      <c r="G1810" t="s">
        <v>13</v>
      </c>
      <c r="H1810" t="s">
        <v>16</v>
      </c>
      <c r="I1810" t="s">
        <v>5</v>
      </c>
      <c r="J1810">
        <v>62.27</v>
      </c>
      <c r="K1810">
        <v>17.3</v>
      </c>
      <c r="L1810" t="s">
        <v>14</v>
      </c>
      <c r="M1810">
        <v>0</v>
      </c>
      <c r="N1810" t="str">
        <f t="shared" si="84"/>
        <v>Under 40</v>
      </c>
      <c r="O1810" t="str">
        <f t="shared" si="85"/>
        <v>Underweight</v>
      </c>
    </row>
    <row r="1811" spans="1:15" x14ac:dyDescent="0.3">
      <c r="A1811">
        <v>18179</v>
      </c>
      <c r="B1811" t="s">
        <v>2</v>
      </c>
      <c r="C1811">
        <v>13</v>
      </c>
      <c r="D1811">
        <v>0</v>
      </c>
      <c r="E1811">
        <v>0</v>
      </c>
      <c r="F1811" t="str">
        <f t="shared" si="86"/>
        <v>Lower Risk</v>
      </c>
      <c r="G1811" t="s">
        <v>13</v>
      </c>
      <c r="H1811" t="s">
        <v>4</v>
      </c>
      <c r="I1811" t="s">
        <v>9</v>
      </c>
      <c r="J1811">
        <v>99.44</v>
      </c>
      <c r="K1811">
        <v>21</v>
      </c>
      <c r="L1811" t="s">
        <v>11</v>
      </c>
      <c r="M1811">
        <v>0</v>
      </c>
      <c r="N1811" t="str">
        <f t="shared" si="84"/>
        <v>Under 40</v>
      </c>
      <c r="O1811" t="str">
        <f t="shared" si="85"/>
        <v>Normal</v>
      </c>
    </row>
    <row r="1812" spans="1:15" x14ac:dyDescent="0.3">
      <c r="A1812">
        <v>38242</v>
      </c>
      <c r="B1812" t="s">
        <v>7</v>
      </c>
      <c r="C1812">
        <v>78</v>
      </c>
      <c r="D1812">
        <v>0</v>
      </c>
      <c r="E1812">
        <v>1</v>
      </c>
      <c r="F1812" t="str">
        <f t="shared" si="86"/>
        <v>High Risk</v>
      </c>
      <c r="G1812" t="s">
        <v>3</v>
      </c>
      <c r="H1812" t="s">
        <v>8</v>
      </c>
      <c r="I1812" t="s">
        <v>9</v>
      </c>
      <c r="J1812">
        <v>88.9</v>
      </c>
      <c r="K1812">
        <v>34.299999999999997</v>
      </c>
      <c r="L1812" t="s">
        <v>14</v>
      </c>
      <c r="M1812">
        <v>0</v>
      </c>
      <c r="N1812" t="str">
        <f t="shared" si="84"/>
        <v>60+</v>
      </c>
      <c r="O1812" t="str">
        <f t="shared" si="85"/>
        <v>Obese</v>
      </c>
    </row>
    <row r="1813" spans="1:15" x14ac:dyDescent="0.3">
      <c r="A1813">
        <v>68708</v>
      </c>
      <c r="B1813" t="s">
        <v>7</v>
      </c>
      <c r="C1813">
        <v>23</v>
      </c>
      <c r="D1813">
        <v>0</v>
      </c>
      <c r="E1813">
        <v>0</v>
      </c>
      <c r="F1813" t="str">
        <f t="shared" si="86"/>
        <v>Lower Risk</v>
      </c>
      <c r="G1813" t="s">
        <v>13</v>
      </c>
      <c r="H1813" t="s">
        <v>4</v>
      </c>
      <c r="I1813" t="s">
        <v>5</v>
      </c>
      <c r="J1813">
        <v>64.099999999999994</v>
      </c>
      <c r="K1813">
        <v>19.8</v>
      </c>
      <c r="L1813" t="s">
        <v>14</v>
      </c>
      <c r="M1813">
        <v>0</v>
      </c>
      <c r="N1813" t="str">
        <f t="shared" si="84"/>
        <v>Under 40</v>
      </c>
      <c r="O1813" t="str">
        <f t="shared" si="85"/>
        <v>Normal</v>
      </c>
    </row>
    <row r="1814" spans="1:15" x14ac:dyDescent="0.3">
      <c r="A1814">
        <v>12366</v>
      </c>
      <c r="B1814" t="s">
        <v>7</v>
      </c>
      <c r="C1814">
        <v>35</v>
      </c>
      <c r="D1814">
        <v>0</v>
      </c>
      <c r="E1814">
        <v>0</v>
      </c>
      <c r="F1814" t="str">
        <f t="shared" si="86"/>
        <v>Lower Risk</v>
      </c>
      <c r="G1814" t="s">
        <v>13</v>
      </c>
      <c r="H1814" t="s">
        <v>4</v>
      </c>
      <c r="I1814" t="s">
        <v>5</v>
      </c>
      <c r="J1814">
        <v>97.58</v>
      </c>
      <c r="K1814">
        <v>24.3</v>
      </c>
      <c r="L1814" t="s">
        <v>14</v>
      </c>
      <c r="M1814">
        <v>0</v>
      </c>
      <c r="N1814" t="str">
        <f t="shared" si="84"/>
        <v>Under 40</v>
      </c>
      <c r="O1814" t="str">
        <f t="shared" si="85"/>
        <v>Normal</v>
      </c>
    </row>
    <row r="1815" spans="1:15" x14ac:dyDescent="0.3">
      <c r="A1815">
        <v>42465</v>
      </c>
      <c r="B1815" t="s">
        <v>7</v>
      </c>
      <c r="C1815">
        <v>78</v>
      </c>
      <c r="D1815">
        <v>1</v>
      </c>
      <c r="E1815">
        <v>0</v>
      </c>
      <c r="F1815" t="str">
        <f t="shared" si="86"/>
        <v>High Risk</v>
      </c>
      <c r="G1815" t="s">
        <v>3</v>
      </c>
      <c r="H1815" t="s">
        <v>4</v>
      </c>
      <c r="I1815" t="s">
        <v>9</v>
      </c>
      <c r="J1815">
        <v>58.66</v>
      </c>
      <c r="K1815">
        <v>16.399999999999999</v>
      </c>
      <c r="L1815" t="s">
        <v>11</v>
      </c>
      <c r="M1815">
        <v>0</v>
      </c>
      <c r="N1815" t="str">
        <f t="shared" si="84"/>
        <v>60+</v>
      </c>
      <c r="O1815" t="str">
        <f t="shared" si="85"/>
        <v>Underweight</v>
      </c>
    </row>
    <row r="1816" spans="1:15" x14ac:dyDescent="0.3">
      <c r="A1816">
        <v>24638</v>
      </c>
      <c r="B1816" t="s">
        <v>2</v>
      </c>
      <c r="C1816">
        <v>50</v>
      </c>
      <c r="D1816">
        <v>0</v>
      </c>
      <c r="E1816">
        <v>0</v>
      </c>
      <c r="F1816" t="str">
        <f t="shared" si="86"/>
        <v>Lower Risk</v>
      </c>
      <c r="G1816" t="s">
        <v>3</v>
      </c>
      <c r="H1816" t="s">
        <v>15</v>
      </c>
      <c r="I1816" t="s">
        <v>5</v>
      </c>
      <c r="J1816">
        <v>88.24</v>
      </c>
      <c r="K1816">
        <v>32.6</v>
      </c>
      <c r="L1816" t="s">
        <v>14</v>
      </c>
      <c r="M1816">
        <v>0</v>
      </c>
      <c r="N1816" t="str">
        <f t="shared" si="84"/>
        <v>40–59</v>
      </c>
      <c r="O1816" t="str">
        <f t="shared" si="85"/>
        <v>Obese</v>
      </c>
    </row>
    <row r="1817" spans="1:15" x14ac:dyDescent="0.3">
      <c r="A1817">
        <v>58587</v>
      </c>
      <c r="B1817" t="s">
        <v>2</v>
      </c>
      <c r="C1817">
        <v>61</v>
      </c>
      <c r="D1817">
        <v>0</v>
      </c>
      <c r="E1817">
        <v>0</v>
      </c>
      <c r="F1817" t="str">
        <f t="shared" si="86"/>
        <v>Moderate Risk</v>
      </c>
      <c r="G1817" t="s">
        <v>3</v>
      </c>
      <c r="H1817" t="s">
        <v>4</v>
      </c>
      <c r="I1817" t="s">
        <v>5</v>
      </c>
      <c r="J1817">
        <v>61.32</v>
      </c>
      <c r="K1817">
        <v>23.7</v>
      </c>
      <c r="L1817" t="s">
        <v>12</v>
      </c>
      <c r="M1817">
        <v>0</v>
      </c>
      <c r="N1817" t="str">
        <f t="shared" si="84"/>
        <v>60+</v>
      </c>
      <c r="O1817" t="str">
        <f t="shared" si="85"/>
        <v>Normal</v>
      </c>
    </row>
    <row r="1818" spans="1:15" x14ac:dyDescent="0.3">
      <c r="A1818">
        <v>9170</v>
      </c>
      <c r="B1818" t="s">
        <v>2</v>
      </c>
      <c r="C1818">
        <v>60</v>
      </c>
      <c r="D1818">
        <v>0</v>
      </c>
      <c r="E1818">
        <v>0</v>
      </c>
      <c r="F1818" t="str">
        <f t="shared" si="86"/>
        <v>Moderate Risk</v>
      </c>
      <c r="G1818" t="s">
        <v>3</v>
      </c>
      <c r="H1818" t="s">
        <v>8</v>
      </c>
      <c r="I1818" t="s">
        <v>5</v>
      </c>
      <c r="J1818">
        <v>185.71</v>
      </c>
      <c r="K1818" t="s">
        <v>10</v>
      </c>
      <c r="L1818" t="s">
        <v>14</v>
      </c>
      <c r="M1818">
        <v>0</v>
      </c>
      <c r="N1818" t="str">
        <f t="shared" si="84"/>
        <v>60+</v>
      </c>
      <c r="O1818" t="str">
        <f t="shared" si="85"/>
        <v>Unknown</v>
      </c>
    </row>
    <row r="1819" spans="1:15" x14ac:dyDescent="0.3">
      <c r="A1819">
        <v>36545</v>
      </c>
      <c r="B1819" t="s">
        <v>2</v>
      </c>
      <c r="C1819">
        <v>43</v>
      </c>
      <c r="D1819">
        <v>0</v>
      </c>
      <c r="E1819">
        <v>0</v>
      </c>
      <c r="F1819" t="str">
        <f t="shared" si="86"/>
        <v>Lower Risk</v>
      </c>
      <c r="G1819" t="s">
        <v>3</v>
      </c>
      <c r="H1819" t="s">
        <v>4</v>
      </c>
      <c r="I1819" t="s">
        <v>9</v>
      </c>
      <c r="J1819">
        <v>62.99</v>
      </c>
      <c r="K1819">
        <v>27</v>
      </c>
      <c r="L1819" t="s">
        <v>6</v>
      </c>
      <c r="M1819">
        <v>0</v>
      </c>
      <c r="N1819" t="str">
        <f t="shared" si="84"/>
        <v>40–59</v>
      </c>
      <c r="O1819" t="str">
        <f t="shared" si="85"/>
        <v>Overweight</v>
      </c>
    </row>
    <row r="1820" spans="1:15" x14ac:dyDescent="0.3">
      <c r="A1820">
        <v>19467</v>
      </c>
      <c r="B1820" t="s">
        <v>2</v>
      </c>
      <c r="C1820">
        <v>60</v>
      </c>
      <c r="D1820">
        <v>1</v>
      </c>
      <c r="E1820">
        <v>0</v>
      </c>
      <c r="F1820" t="str">
        <f t="shared" si="86"/>
        <v>High Risk</v>
      </c>
      <c r="G1820" t="s">
        <v>3</v>
      </c>
      <c r="H1820" t="s">
        <v>4</v>
      </c>
      <c r="I1820" t="s">
        <v>5</v>
      </c>
      <c r="J1820">
        <v>86.04</v>
      </c>
      <c r="K1820">
        <v>25.6</v>
      </c>
      <c r="L1820" t="s">
        <v>12</v>
      </c>
      <c r="M1820">
        <v>0</v>
      </c>
      <c r="N1820" t="str">
        <f t="shared" si="84"/>
        <v>60+</v>
      </c>
      <c r="O1820" t="str">
        <f t="shared" si="85"/>
        <v>Overweight</v>
      </c>
    </row>
    <row r="1821" spans="1:15" x14ac:dyDescent="0.3">
      <c r="A1821">
        <v>16868</v>
      </c>
      <c r="B1821" t="s">
        <v>7</v>
      </c>
      <c r="C1821">
        <v>51</v>
      </c>
      <c r="D1821">
        <v>0</v>
      </c>
      <c r="E1821">
        <v>0</v>
      </c>
      <c r="F1821" t="str">
        <f t="shared" si="86"/>
        <v>Lower Risk</v>
      </c>
      <c r="G1821" t="s">
        <v>3</v>
      </c>
      <c r="H1821" t="s">
        <v>4</v>
      </c>
      <c r="I1821" t="s">
        <v>9</v>
      </c>
      <c r="J1821">
        <v>83.3</v>
      </c>
      <c r="K1821">
        <v>34</v>
      </c>
      <c r="L1821" t="s">
        <v>6</v>
      </c>
      <c r="M1821">
        <v>0</v>
      </c>
      <c r="N1821" t="str">
        <f t="shared" si="84"/>
        <v>40–59</v>
      </c>
      <c r="O1821" t="str">
        <f t="shared" si="85"/>
        <v>Obese</v>
      </c>
    </row>
    <row r="1822" spans="1:15" x14ac:dyDescent="0.3">
      <c r="A1822">
        <v>47608</v>
      </c>
      <c r="B1822" t="s">
        <v>7</v>
      </c>
      <c r="C1822">
        <v>21</v>
      </c>
      <c r="D1822">
        <v>0</v>
      </c>
      <c r="E1822">
        <v>0</v>
      </c>
      <c r="F1822" t="str">
        <f t="shared" si="86"/>
        <v>Lower Risk</v>
      </c>
      <c r="G1822" t="s">
        <v>13</v>
      </c>
      <c r="H1822" t="s">
        <v>4</v>
      </c>
      <c r="I1822" t="s">
        <v>5</v>
      </c>
      <c r="J1822">
        <v>208.17</v>
      </c>
      <c r="K1822">
        <v>24.9</v>
      </c>
      <c r="L1822" t="s">
        <v>11</v>
      </c>
      <c r="M1822">
        <v>0</v>
      </c>
      <c r="N1822" t="str">
        <f t="shared" si="84"/>
        <v>Under 40</v>
      </c>
      <c r="O1822" t="str">
        <f t="shared" si="85"/>
        <v>Normal</v>
      </c>
    </row>
    <row r="1823" spans="1:15" x14ac:dyDescent="0.3">
      <c r="A1823">
        <v>38440</v>
      </c>
      <c r="B1823" t="s">
        <v>2</v>
      </c>
      <c r="C1823">
        <v>16</v>
      </c>
      <c r="D1823">
        <v>0</v>
      </c>
      <c r="E1823">
        <v>0</v>
      </c>
      <c r="F1823" t="str">
        <f t="shared" si="86"/>
        <v>Lower Risk</v>
      </c>
      <c r="G1823" t="s">
        <v>13</v>
      </c>
      <c r="H1823" t="s">
        <v>4</v>
      </c>
      <c r="I1823" t="s">
        <v>9</v>
      </c>
      <c r="J1823">
        <v>133.19999999999999</v>
      </c>
      <c r="K1823">
        <v>26.3</v>
      </c>
      <c r="L1823" t="s">
        <v>14</v>
      </c>
      <c r="M1823">
        <v>0</v>
      </c>
      <c r="N1823" t="str">
        <f t="shared" si="84"/>
        <v>Under 40</v>
      </c>
      <c r="O1823" t="str">
        <f t="shared" si="85"/>
        <v>Overweight</v>
      </c>
    </row>
    <row r="1824" spans="1:15" x14ac:dyDescent="0.3">
      <c r="A1824">
        <v>23543</v>
      </c>
      <c r="B1824" t="s">
        <v>7</v>
      </c>
      <c r="C1824">
        <v>25</v>
      </c>
      <c r="D1824">
        <v>0</v>
      </c>
      <c r="E1824">
        <v>0</v>
      </c>
      <c r="F1824" t="str">
        <f t="shared" si="86"/>
        <v>Lower Risk</v>
      </c>
      <c r="G1824" t="s">
        <v>13</v>
      </c>
      <c r="H1824" t="s">
        <v>4</v>
      </c>
      <c r="I1824" t="s">
        <v>9</v>
      </c>
      <c r="J1824">
        <v>81.540000000000006</v>
      </c>
      <c r="K1824">
        <v>43.1</v>
      </c>
      <c r="L1824" t="s">
        <v>14</v>
      </c>
      <c r="M1824">
        <v>0</v>
      </c>
      <c r="N1824" t="str">
        <f t="shared" si="84"/>
        <v>Under 40</v>
      </c>
      <c r="O1824" t="str">
        <f t="shared" si="85"/>
        <v>Obese</v>
      </c>
    </row>
    <row r="1825" spans="1:15" x14ac:dyDescent="0.3">
      <c r="A1825">
        <v>65396</v>
      </c>
      <c r="B1825" t="s">
        <v>7</v>
      </c>
      <c r="C1825">
        <v>36</v>
      </c>
      <c r="D1825">
        <v>0</v>
      </c>
      <c r="E1825">
        <v>0</v>
      </c>
      <c r="F1825" t="str">
        <f t="shared" si="86"/>
        <v>Lower Risk</v>
      </c>
      <c r="G1825" t="s">
        <v>3</v>
      </c>
      <c r="H1825" t="s">
        <v>4</v>
      </c>
      <c r="I1825" t="s">
        <v>9</v>
      </c>
      <c r="J1825">
        <v>146.61000000000001</v>
      </c>
      <c r="K1825">
        <v>39.6</v>
      </c>
      <c r="L1825" t="s">
        <v>11</v>
      </c>
      <c r="M1825">
        <v>0</v>
      </c>
      <c r="N1825" t="str">
        <f t="shared" si="84"/>
        <v>Under 40</v>
      </c>
      <c r="O1825" t="str">
        <f t="shared" si="85"/>
        <v>Obese</v>
      </c>
    </row>
    <row r="1826" spans="1:15" x14ac:dyDescent="0.3">
      <c r="A1826">
        <v>34621</v>
      </c>
      <c r="B1826" t="s">
        <v>7</v>
      </c>
      <c r="C1826">
        <v>8</v>
      </c>
      <c r="D1826">
        <v>0</v>
      </c>
      <c r="E1826">
        <v>0</v>
      </c>
      <c r="F1826" t="str">
        <f t="shared" si="86"/>
        <v>Lower Risk</v>
      </c>
      <c r="G1826" t="s">
        <v>13</v>
      </c>
      <c r="H1826" t="s">
        <v>16</v>
      </c>
      <c r="I1826" t="s">
        <v>5</v>
      </c>
      <c r="J1826">
        <v>79.33</v>
      </c>
      <c r="K1826">
        <v>15.2</v>
      </c>
      <c r="L1826" t="s">
        <v>14</v>
      </c>
      <c r="M1826">
        <v>0</v>
      </c>
      <c r="N1826" t="str">
        <f t="shared" si="84"/>
        <v>Under 40</v>
      </c>
      <c r="O1826" t="str">
        <f t="shared" si="85"/>
        <v>Underweight</v>
      </c>
    </row>
    <row r="1827" spans="1:15" x14ac:dyDescent="0.3">
      <c r="A1827">
        <v>23561</v>
      </c>
      <c r="B1827" t="s">
        <v>7</v>
      </c>
      <c r="C1827">
        <v>48</v>
      </c>
      <c r="D1827">
        <v>0</v>
      </c>
      <c r="E1827">
        <v>0</v>
      </c>
      <c r="F1827" t="str">
        <f t="shared" si="86"/>
        <v>Lower Risk</v>
      </c>
      <c r="G1827" t="s">
        <v>3</v>
      </c>
      <c r="H1827" t="s">
        <v>4</v>
      </c>
      <c r="I1827" t="s">
        <v>9</v>
      </c>
      <c r="J1827">
        <v>84.56</v>
      </c>
      <c r="K1827">
        <v>41.8</v>
      </c>
      <c r="L1827" t="s">
        <v>11</v>
      </c>
      <c r="M1827">
        <v>0</v>
      </c>
      <c r="N1827" t="str">
        <f t="shared" si="84"/>
        <v>40–59</v>
      </c>
      <c r="O1827" t="str">
        <f t="shared" si="85"/>
        <v>Obese</v>
      </c>
    </row>
    <row r="1828" spans="1:15" x14ac:dyDescent="0.3">
      <c r="A1828">
        <v>16091</v>
      </c>
      <c r="B1828" t="s">
        <v>2</v>
      </c>
      <c r="C1828">
        <v>14</v>
      </c>
      <c r="D1828">
        <v>0</v>
      </c>
      <c r="E1828">
        <v>0</v>
      </c>
      <c r="F1828" t="str">
        <f t="shared" si="86"/>
        <v>Lower Risk</v>
      </c>
      <c r="G1828" t="s">
        <v>13</v>
      </c>
      <c r="H1828" t="s">
        <v>4</v>
      </c>
      <c r="I1828" t="s">
        <v>9</v>
      </c>
      <c r="J1828">
        <v>103.44</v>
      </c>
      <c r="K1828">
        <v>20.100000000000001</v>
      </c>
      <c r="L1828" t="s">
        <v>11</v>
      </c>
      <c r="M1828">
        <v>0</v>
      </c>
      <c r="N1828" t="str">
        <f t="shared" si="84"/>
        <v>Under 40</v>
      </c>
      <c r="O1828" t="str">
        <f t="shared" si="85"/>
        <v>Normal</v>
      </c>
    </row>
    <row r="1829" spans="1:15" x14ac:dyDescent="0.3">
      <c r="A1829">
        <v>63597</v>
      </c>
      <c r="B1829" t="s">
        <v>7</v>
      </c>
      <c r="C1829">
        <v>60</v>
      </c>
      <c r="D1829">
        <v>0</v>
      </c>
      <c r="E1829">
        <v>0</v>
      </c>
      <c r="F1829" t="str">
        <f t="shared" si="86"/>
        <v>Moderate Risk</v>
      </c>
      <c r="G1829" t="s">
        <v>3</v>
      </c>
      <c r="H1829" t="s">
        <v>4</v>
      </c>
      <c r="I1829" t="s">
        <v>5</v>
      </c>
      <c r="J1829">
        <v>185.31</v>
      </c>
      <c r="K1829">
        <v>39.299999999999997</v>
      </c>
      <c r="L1829" t="s">
        <v>11</v>
      </c>
      <c r="M1829">
        <v>0</v>
      </c>
      <c r="N1829" t="str">
        <f t="shared" si="84"/>
        <v>60+</v>
      </c>
      <c r="O1829" t="str">
        <f t="shared" si="85"/>
        <v>Obese</v>
      </c>
    </row>
    <row r="1830" spans="1:15" x14ac:dyDescent="0.3">
      <c r="A1830">
        <v>57533</v>
      </c>
      <c r="B1830" t="s">
        <v>2</v>
      </c>
      <c r="C1830">
        <v>61</v>
      </c>
      <c r="D1830">
        <v>1</v>
      </c>
      <c r="E1830">
        <v>0</v>
      </c>
      <c r="F1830" t="str">
        <f t="shared" si="86"/>
        <v>High Risk</v>
      </c>
      <c r="G1830" t="s">
        <v>3</v>
      </c>
      <c r="H1830" t="s">
        <v>4</v>
      </c>
      <c r="I1830" t="s">
        <v>5</v>
      </c>
      <c r="J1830">
        <v>102.53</v>
      </c>
      <c r="K1830">
        <v>28.3</v>
      </c>
      <c r="L1830" t="s">
        <v>6</v>
      </c>
      <c r="M1830">
        <v>0</v>
      </c>
      <c r="N1830" t="str">
        <f t="shared" si="84"/>
        <v>60+</v>
      </c>
      <c r="O1830" t="str">
        <f t="shared" si="85"/>
        <v>Overweight</v>
      </c>
    </row>
    <row r="1831" spans="1:15" x14ac:dyDescent="0.3">
      <c r="A1831">
        <v>59370</v>
      </c>
      <c r="B1831" t="s">
        <v>7</v>
      </c>
      <c r="C1831">
        <v>60</v>
      </c>
      <c r="D1831">
        <v>0</v>
      </c>
      <c r="E1831">
        <v>0</v>
      </c>
      <c r="F1831" t="str">
        <f t="shared" si="86"/>
        <v>Moderate Risk</v>
      </c>
      <c r="G1831" t="s">
        <v>3</v>
      </c>
      <c r="H1831" t="s">
        <v>4</v>
      </c>
      <c r="I1831" t="s">
        <v>5</v>
      </c>
      <c r="J1831">
        <v>65.78</v>
      </c>
      <c r="K1831">
        <v>27.5</v>
      </c>
      <c r="L1831" t="s">
        <v>14</v>
      </c>
      <c r="M1831">
        <v>0</v>
      </c>
      <c r="N1831" t="str">
        <f t="shared" si="84"/>
        <v>60+</v>
      </c>
      <c r="O1831" t="str">
        <f t="shared" si="85"/>
        <v>Overweight</v>
      </c>
    </row>
    <row r="1832" spans="1:15" x14ac:dyDescent="0.3">
      <c r="A1832">
        <v>57285</v>
      </c>
      <c r="B1832" t="s">
        <v>2</v>
      </c>
      <c r="C1832">
        <v>56</v>
      </c>
      <c r="D1832">
        <v>0</v>
      </c>
      <c r="E1832">
        <v>0</v>
      </c>
      <c r="F1832" t="str">
        <f t="shared" si="86"/>
        <v>Lower Risk</v>
      </c>
      <c r="G1832" t="s">
        <v>13</v>
      </c>
      <c r="H1832" t="s">
        <v>4</v>
      </c>
      <c r="I1832" t="s">
        <v>9</v>
      </c>
      <c r="J1832">
        <v>62.6</v>
      </c>
      <c r="K1832">
        <v>33.9</v>
      </c>
      <c r="L1832" t="s">
        <v>11</v>
      </c>
      <c r="M1832">
        <v>0</v>
      </c>
      <c r="N1832" t="str">
        <f t="shared" si="84"/>
        <v>40–59</v>
      </c>
      <c r="O1832" t="str">
        <f t="shared" si="85"/>
        <v>Obese</v>
      </c>
    </row>
    <row r="1833" spans="1:15" x14ac:dyDescent="0.3">
      <c r="A1833">
        <v>17515</v>
      </c>
      <c r="B1833" t="s">
        <v>7</v>
      </c>
      <c r="C1833">
        <v>9</v>
      </c>
      <c r="D1833">
        <v>0</v>
      </c>
      <c r="E1833">
        <v>0</v>
      </c>
      <c r="F1833" t="str">
        <f t="shared" si="86"/>
        <v>Lower Risk</v>
      </c>
      <c r="G1833" t="s">
        <v>13</v>
      </c>
      <c r="H1833" t="s">
        <v>16</v>
      </c>
      <c r="I1833" t="s">
        <v>9</v>
      </c>
      <c r="J1833">
        <v>81.180000000000007</v>
      </c>
      <c r="K1833">
        <v>20</v>
      </c>
      <c r="L1833" t="s">
        <v>14</v>
      </c>
      <c r="M1833">
        <v>0</v>
      </c>
      <c r="N1833" t="str">
        <f t="shared" si="84"/>
        <v>Under 40</v>
      </c>
      <c r="O1833" t="str">
        <f t="shared" si="85"/>
        <v>Normal</v>
      </c>
    </row>
    <row r="1834" spans="1:15" x14ac:dyDescent="0.3">
      <c r="A1834">
        <v>23988</v>
      </c>
      <c r="B1834" t="s">
        <v>7</v>
      </c>
      <c r="C1834">
        <v>45</v>
      </c>
      <c r="D1834">
        <v>0</v>
      </c>
      <c r="E1834">
        <v>0</v>
      </c>
      <c r="F1834" t="str">
        <f t="shared" si="86"/>
        <v>Lower Risk</v>
      </c>
      <c r="G1834" t="s">
        <v>3</v>
      </c>
      <c r="H1834" t="s">
        <v>4</v>
      </c>
      <c r="I1834" t="s">
        <v>9</v>
      </c>
      <c r="J1834">
        <v>76.680000000000007</v>
      </c>
      <c r="K1834">
        <v>34.799999999999997</v>
      </c>
      <c r="L1834" t="s">
        <v>12</v>
      </c>
      <c r="M1834">
        <v>0</v>
      </c>
      <c r="N1834" t="str">
        <f t="shared" si="84"/>
        <v>40–59</v>
      </c>
      <c r="O1834" t="str">
        <f t="shared" si="85"/>
        <v>Obese</v>
      </c>
    </row>
    <row r="1835" spans="1:15" x14ac:dyDescent="0.3">
      <c r="A1835">
        <v>34958</v>
      </c>
      <c r="B1835" t="s">
        <v>2</v>
      </c>
      <c r="C1835">
        <v>14</v>
      </c>
      <c r="D1835">
        <v>0</v>
      </c>
      <c r="E1835">
        <v>0</v>
      </c>
      <c r="F1835" t="str">
        <f t="shared" si="86"/>
        <v>Lower Risk</v>
      </c>
      <c r="G1835" t="s">
        <v>13</v>
      </c>
      <c r="H1835" t="s">
        <v>16</v>
      </c>
      <c r="I1835" t="s">
        <v>5</v>
      </c>
      <c r="J1835">
        <v>92.86</v>
      </c>
      <c r="K1835">
        <v>20.7</v>
      </c>
      <c r="L1835" t="s">
        <v>6</v>
      </c>
      <c r="M1835">
        <v>0</v>
      </c>
      <c r="N1835" t="str">
        <f t="shared" si="84"/>
        <v>Under 40</v>
      </c>
      <c r="O1835" t="str">
        <f t="shared" si="85"/>
        <v>Normal</v>
      </c>
    </row>
    <row r="1836" spans="1:15" x14ac:dyDescent="0.3">
      <c r="A1836">
        <v>30620</v>
      </c>
      <c r="B1836" t="s">
        <v>2</v>
      </c>
      <c r="C1836">
        <v>37</v>
      </c>
      <c r="D1836">
        <v>0</v>
      </c>
      <c r="E1836">
        <v>0</v>
      </c>
      <c r="F1836" t="str">
        <f t="shared" si="86"/>
        <v>Lower Risk</v>
      </c>
      <c r="G1836" t="s">
        <v>13</v>
      </c>
      <c r="H1836" t="s">
        <v>4</v>
      </c>
      <c r="I1836" t="s">
        <v>5</v>
      </c>
      <c r="J1836">
        <v>90.95</v>
      </c>
      <c r="K1836">
        <v>24.6</v>
      </c>
      <c r="L1836" t="s">
        <v>12</v>
      </c>
      <c r="M1836">
        <v>0</v>
      </c>
      <c r="N1836" t="str">
        <f t="shared" si="84"/>
        <v>Under 40</v>
      </c>
      <c r="O1836" t="str">
        <f t="shared" si="85"/>
        <v>Normal</v>
      </c>
    </row>
    <row r="1837" spans="1:15" x14ac:dyDescent="0.3">
      <c r="A1837">
        <v>31811</v>
      </c>
      <c r="B1837" t="s">
        <v>7</v>
      </c>
      <c r="C1837">
        <v>52</v>
      </c>
      <c r="D1837">
        <v>0</v>
      </c>
      <c r="E1837">
        <v>1</v>
      </c>
      <c r="F1837" t="str">
        <f t="shared" si="86"/>
        <v>Lower Risk</v>
      </c>
      <c r="G1837" t="s">
        <v>3</v>
      </c>
      <c r="H1837" t="s">
        <v>4</v>
      </c>
      <c r="I1837" t="s">
        <v>5</v>
      </c>
      <c r="J1837">
        <v>85.66</v>
      </c>
      <c r="K1837">
        <v>39.4</v>
      </c>
      <c r="L1837" t="s">
        <v>11</v>
      </c>
      <c r="M1837">
        <v>0</v>
      </c>
      <c r="N1837" t="str">
        <f t="shared" si="84"/>
        <v>40–59</v>
      </c>
      <c r="O1837" t="str">
        <f t="shared" si="85"/>
        <v>Obese</v>
      </c>
    </row>
    <row r="1838" spans="1:15" x14ac:dyDescent="0.3">
      <c r="A1838">
        <v>1818</v>
      </c>
      <c r="B1838" t="s">
        <v>7</v>
      </c>
      <c r="C1838">
        <v>30</v>
      </c>
      <c r="D1838">
        <v>0</v>
      </c>
      <c r="E1838">
        <v>0</v>
      </c>
      <c r="F1838" t="str">
        <f t="shared" si="86"/>
        <v>Lower Risk</v>
      </c>
      <c r="G1838" t="s">
        <v>13</v>
      </c>
      <c r="H1838" t="s">
        <v>15</v>
      </c>
      <c r="I1838" t="s">
        <v>5</v>
      </c>
      <c r="J1838">
        <v>88.2</v>
      </c>
      <c r="K1838" t="s">
        <v>10</v>
      </c>
      <c r="L1838" t="s">
        <v>12</v>
      </c>
      <c r="M1838">
        <v>0</v>
      </c>
      <c r="N1838" t="str">
        <f t="shared" si="84"/>
        <v>Under 40</v>
      </c>
      <c r="O1838" t="str">
        <f t="shared" si="85"/>
        <v>Unknown</v>
      </c>
    </row>
    <row r="1839" spans="1:15" x14ac:dyDescent="0.3">
      <c r="A1839">
        <v>5478</v>
      </c>
      <c r="B1839" t="s">
        <v>7</v>
      </c>
      <c r="C1839">
        <v>60</v>
      </c>
      <c r="D1839">
        <v>0</v>
      </c>
      <c r="E1839">
        <v>0</v>
      </c>
      <c r="F1839" t="str">
        <f t="shared" si="86"/>
        <v>Moderate Risk</v>
      </c>
      <c r="G1839" t="s">
        <v>3</v>
      </c>
      <c r="H1839" t="s">
        <v>8</v>
      </c>
      <c r="I1839" t="s">
        <v>5</v>
      </c>
      <c r="J1839">
        <v>203.04</v>
      </c>
      <c r="K1839" t="s">
        <v>10</v>
      </c>
      <c r="L1839" t="s">
        <v>12</v>
      </c>
      <c r="M1839">
        <v>0</v>
      </c>
      <c r="N1839" t="str">
        <f t="shared" si="84"/>
        <v>60+</v>
      </c>
      <c r="O1839" t="str">
        <f t="shared" si="85"/>
        <v>Unknown</v>
      </c>
    </row>
    <row r="1840" spans="1:15" x14ac:dyDescent="0.3">
      <c r="A1840">
        <v>26830</v>
      </c>
      <c r="B1840" t="s">
        <v>7</v>
      </c>
      <c r="C1840">
        <v>47</v>
      </c>
      <c r="D1840">
        <v>0</v>
      </c>
      <c r="E1840">
        <v>0</v>
      </c>
      <c r="F1840" t="str">
        <f t="shared" si="86"/>
        <v>Lower Risk</v>
      </c>
      <c r="G1840" t="s">
        <v>3</v>
      </c>
      <c r="H1840" t="s">
        <v>8</v>
      </c>
      <c r="I1840" t="s">
        <v>9</v>
      </c>
      <c r="J1840">
        <v>68.37</v>
      </c>
      <c r="K1840">
        <v>29.4</v>
      </c>
      <c r="L1840" t="s">
        <v>12</v>
      </c>
      <c r="M1840">
        <v>0</v>
      </c>
      <c r="N1840" t="str">
        <f t="shared" si="84"/>
        <v>40–59</v>
      </c>
      <c r="O1840" t="str">
        <f t="shared" si="85"/>
        <v>Overweight</v>
      </c>
    </row>
    <row r="1841" spans="1:15" x14ac:dyDescent="0.3">
      <c r="A1841">
        <v>25883</v>
      </c>
      <c r="B1841" t="s">
        <v>7</v>
      </c>
      <c r="C1841">
        <v>82</v>
      </c>
      <c r="D1841">
        <v>1</v>
      </c>
      <c r="E1841">
        <v>0</v>
      </c>
      <c r="F1841" t="str">
        <f t="shared" si="86"/>
        <v>High Risk</v>
      </c>
      <c r="G1841" t="s">
        <v>3</v>
      </c>
      <c r="H1841" t="s">
        <v>8</v>
      </c>
      <c r="I1841" t="s">
        <v>5</v>
      </c>
      <c r="J1841">
        <v>77.319999999999993</v>
      </c>
      <c r="K1841">
        <v>24.8</v>
      </c>
      <c r="L1841" t="s">
        <v>14</v>
      </c>
      <c r="M1841">
        <v>0</v>
      </c>
      <c r="N1841" t="str">
        <f t="shared" si="84"/>
        <v>60+</v>
      </c>
      <c r="O1841" t="str">
        <f t="shared" si="85"/>
        <v>Normal</v>
      </c>
    </row>
    <row r="1842" spans="1:15" x14ac:dyDescent="0.3">
      <c r="A1842">
        <v>43657</v>
      </c>
      <c r="B1842" t="s">
        <v>2</v>
      </c>
      <c r="C1842">
        <v>64</v>
      </c>
      <c r="D1842">
        <v>0</v>
      </c>
      <c r="E1842">
        <v>0</v>
      </c>
      <c r="F1842" t="str">
        <f t="shared" si="86"/>
        <v>Moderate Risk</v>
      </c>
      <c r="G1842" t="s">
        <v>3</v>
      </c>
      <c r="H1842" t="s">
        <v>15</v>
      </c>
      <c r="I1842" t="s">
        <v>9</v>
      </c>
      <c r="J1842">
        <v>187.87</v>
      </c>
      <c r="K1842">
        <v>32.299999999999997</v>
      </c>
      <c r="L1842" t="s">
        <v>11</v>
      </c>
      <c r="M1842">
        <v>0</v>
      </c>
      <c r="N1842" t="str">
        <f t="shared" si="84"/>
        <v>60+</v>
      </c>
      <c r="O1842" t="str">
        <f t="shared" si="85"/>
        <v>Obese</v>
      </c>
    </row>
    <row r="1843" spans="1:15" x14ac:dyDescent="0.3">
      <c r="A1843">
        <v>71917</v>
      </c>
      <c r="B1843" t="s">
        <v>2</v>
      </c>
      <c r="C1843">
        <v>12</v>
      </c>
      <c r="D1843">
        <v>0</v>
      </c>
      <c r="E1843">
        <v>0</v>
      </c>
      <c r="F1843" t="str">
        <f t="shared" si="86"/>
        <v>Lower Risk</v>
      </c>
      <c r="G1843" t="s">
        <v>13</v>
      </c>
      <c r="H1843" t="s">
        <v>16</v>
      </c>
      <c r="I1843" t="s">
        <v>9</v>
      </c>
      <c r="J1843">
        <v>213.87</v>
      </c>
      <c r="K1843">
        <v>25.3</v>
      </c>
      <c r="L1843" t="s">
        <v>11</v>
      </c>
      <c r="M1843">
        <v>0</v>
      </c>
      <c r="N1843" t="str">
        <f t="shared" si="84"/>
        <v>Under 40</v>
      </c>
      <c r="O1843" t="str">
        <f t="shared" si="85"/>
        <v>Overweight</v>
      </c>
    </row>
    <row r="1844" spans="1:15" x14ac:dyDescent="0.3">
      <c r="A1844">
        <v>61299</v>
      </c>
      <c r="B1844" t="s">
        <v>7</v>
      </c>
      <c r="C1844">
        <v>79</v>
      </c>
      <c r="D1844">
        <v>1</v>
      </c>
      <c r="E1844">
        <v>0</v>
      </c>
      <c r="F1844" t="str">
        <f t="shared" si="86"/>
        <v>High Risk</v>
      </c>
      <c r="G1844" t="s">
        <v>3</v>
      </c>
      <c r="H1844" t="s">
        <v>4</v>
      </c>
      <c r="I1844" t="s">
        <v>9</v>
      </c>
      <c r="J1844">
        <v>119.62</v>
      </c>
      <c r="K1844">
        <v>39</v>
      </c>
      <c r="L1844" t="s">
        <v>14</v>
      </c>
      <c r="M1844">
        <v>0</v>
      </c>
      <c r="N1844" t="str">
        <f t="shared" si="84"/>
        <v>60+</v>
      </c>
      <c r="O1844" t="str">
        <f t="shared" si="85"/>
        <v>Obese</v>
      </c>
    </row>
    <row r="1845" spans="1:15" x14ac:dyDescent="0.3">
      <c r="A1845">
        <v>24603</v>
      </c>
      <c r="B1845" t="s">
        <v>2</v>
      </c>
      <c r="C1845">
        <v>77</v>
      </c>
      <c r="D1845">
        <v>0</v>
      </c>
      <c r="E1845">
        <v>0</v>
      </c>
      <c r="F1845" t="str">
        <f t="shared" si="86"/>
        <v>Moderate Risk</v>
      </c>
      <c r="G1845" t="s">
        <v>3</v>
      </c>
      <c r="H1845" t="s">
        <v>4</v>
      </c>
      <c r="I1845" t="s">
        <v>5</v>
      </c>
      <c r="J1845">
        <v>222.85</v>
      </c>
      <c r="K1845">
        <v>29.4</v>
      </c>
      <c r="L1845" t="s">
        <v>6</v>
      </c>
      <c r="M1845">
        <v>0</v>
      </c>
      <c r="N1845" t="str">
        <f t="shared" si="84"/>
        <v>60+</v>
      </c>
      <c r="O1845" t="str">
        <f t="shared" si="85"/>
        <v>Overweight</v>
      </c>
    </row>
    <row r="1846" spans="1:15" x14ac:dyDescent="0.3">
      <c r="A1846">
        <v>70654</v>
      </c>
      <c r="B1846" t="s">
        <v>7</v>
      </c>
      <c r="C1846">
        <v>25</v>
      </c>
      <c r="D1846">
        <v>0</v>
      </c>
      <c r="E1846">
        <v>0</v>
      </c>
      <c r="F1846" t="str">
        <f t="shared" si="86"/>
        <v>Lower Risk</v>
      </c>
      <c r="G1846" t="s">
        <v>13</v>
      </c>
      <c r="H1846" t="s">
        <v>4</v>
      </c>
      <c r="I1846" t="s">
        <v>9</v>
      </c>
      <c r="J1846">
        <v>100.82</v>
      </c>
      <c r="K1846">
        <v>31.9</v>
      </c>
      <c r="L1846" t="s">
        <v>14</v>
      </c>
      <c r="M1846">
        <v>0</v>
      </c>
      <c r="N1846" t="str">
        <f t="shared" si="84"/>
        <v>Under 40</v>
      </c>
      <c r="O1846" t="str">
        <f t="shared" si="85"/>
        <v>Obese</v>
      </c>
    </row>
    <row r="1847" spans="1:15" x14ac:dyDescent="0.3">
      <c r="A1847">
        <v>49485</v>
      </c>
      <c r="B1847" t="s">
        <v>7</v>
      </c>
      <c r="C1847">
        <v>26</v>
      </c>
      <c r="D1847">
        <v>0</v>
      </c>
      <c r="E1847">
        <v>0</v>
      </c>
      <c r="F1847" t="str">
        <f t="shared" si="86"/>
        <v>Lower Risk</v>
      </c>
      <c r="G1847" t="s">
        <v>13</v>
      </c>
      <c r="H1847" t="s">
        <v>4</v>
      </c>
      <c r="I1847" t="s">
        <v>9</v>
      </c>
      <c r="J1847">
        <v>136.1</v>
      </c>
      <c r="K1847">
        <v>26.4</v>
      </c>
      <c r="L1847" t="s">
        <v>14</v>
      </c>
      <c r="M1847">
        <v>0</v>
      </c>
      <c r="N1847" t="str">
        <f t="shared" si="84"/>
        <v>Under 40</v>
      </c>
      <c r="O1847" t="str">
        <f t="shared" si="85"/>
        <v>Overweight</v>
      </c>
    </row>
    <row r="1848" spans="1:15" x14ac:dyDescent="0.3">
      <c r="A1848">
        <v>61641</v>
      </c>
      <c r="B1848" t="s">
        <v>2</v>
      </c>
      <c r="C1848">
        <v>14</v>
      </c>
      <c r="D1848">
        <v>0</v>
      </c>
      <c r="E1848">
        <v>0</v>
      </c>
      <c r="F1848" t="str">
        <f t="shared" si="86"/>
        <v>Lower Risk</v>
      </c>
      <c r="G1848" t="s">
        <v>13</v>
      </c>
      <c r="H1848" t="s">
        <v>16</v>
      </c>
      <c r="I1848" t="s">
        <v>9</v>
      </c>
      <c r="J1848">
        <v>149.41999999999999</v>
      </c>
      <c r="K1848">
        <v>20.6</v>
      </c>
      <c r="L1848" t="s">
        <v>14</v>
      </c>
      <c r="M1848">
        <v>0</v>
      </c>
      <c r="N1848" t="str">
        <f t="shared" si="84"/>
        <v>Under 40</v>
      </c>
      <c r="O1848" t="str">
        <f t="shared" si="85"/>
        <v>Normal</v>
      </c>
    </row>
    <row r="1849" spans="1:15" x14ac:dyDescent="0.3">
      <c r="A1849">
        <v>12600</v>
      </c>
      <c r="B1849" t="s">
        <v>7</v>
      </c>
      <c r="C1849">
        <v>42</v>
      </c>
      <c r="D1849">
        <v>0</v>
      </c>
      <c r="E1849">
        <v>0</v>
      </c>
      <c r="F1849" t="str">
        <f t="shared" si="86"/>
        <v>Lower Risk</v>
      </c>
      <c r="G1849" t="s">
        <v>3</v>
      </c>
      <c r="H1849" t="s">
        <v>8</v>
      </c>
      <c r="I1849" t="s">
        <v>9</v>
      </c>
      <c r="J1849">
        <v>79.989999999999995</v>
      </c>
      <c r="K1849">
        <v>26.3</v>
      </c>
      <c r="L1849" t="s">
        <v>11</v>
      </c>
      <c r="M1849">
        <v>0</v>
      </c>
      <c r="N1849" t="str">
        <f t="shared" si="84"/>
        <v>40–59</v>
      </c>
      <c r="O1849" t="str">
        <f t="shared" si="85"/>
        <v>Overweight</v>
      </c>
    </row>
    <row r="1850" spans="1:15" x14ac:dyDescent="0.3">
      <c r="A1850">
        <v>11566</v>
      </c>
      <c r="B1850" t="s">
        <v>2</v>
      </c>
      <c r="C1850">
        <v>37</v>
      </c>
      <c r="D1850">
        <v>0</v>
      </c>
      <c r="E1850">
        <v>0</v>
      </c>
      <c r="F1850" t="str">
        <f t="shared" si="86"/>
        <v>Lower Risk</v>
      </c>
      <c r="G1850" t="s">
        <v>3</v>
      </c>
      <c r="H1850" t="s">
        <v>4</v>
      </c>
      <c r="I1850" t="s">
        <v>9</v>
      </c>
      <c r="J1850">
        <v>118.21</v>
      </c>
      <c r="K1850">
        <v>23.6</v>
      </c>
      <c r="L1850" t="s">
        <v>14</v>
      </c>
      <c r="M1850">
        <v>0</v>
      </c>
      <c r="N1850" t="str">
        <f t="shared" si="84"/>
        <v>Under 40</v>
      </c>
      <c r="O1850" t="str">
        <f t="shared" si="85"/>
        <v>Normal</v>
      </c>
    </row>
    <row r="1851" spans="1:15" x14ac:dyDescent="0.3">
      <c r="A1851">
        <v>72108</v>
      </c>
      <c r="B1851" t="s">
        <v>2</v>
      </c>
      <c r="C1851">
        <v>8</v>
      </c>
      <c r="D1851">
        <v>0</v>
      </c>
      <c r="E1851">
        <v>0</v>
      </c>
      <c r="F1851" t="str">
        <f t="shared" si="86"/>
        <v>Lower Risk</v>
      </c>
      <c r="G1851" t="s">
        <v>13</v>
      </c>
      <c r="H1851" t="s">
        <v>16</v>
      </c>
      <c r="I1851" t="s">
        <v>9</v>
      </c>
      <c r="J1851">
        <v>56.3</v>
      </c>
      <c r="K1851">
        <v>18</v>
      </c>
      <c r="L1851" t="s">
        <v>14</v>
      </c>
      <c r="M1851">
        <v>0</v>
      </c>
      <c r="N1851" t="str">
        <f t="shared" si="84"/>
        <v>Under 40</v>
      </c>
      <c r="O1851" t="str">
        <f t="shared" si="85"/>
        <v>Underweight</v>
      </c>
    </row>
    <row r="1852" spans="1:15" x14ac:dyDescent="0.3">
      <c r="A1852">
        <v>35117</v>
      </c>
      <c r="B1852" t="s">
        <v>7</v>
      </c>
      <c r="C1852">
        <v>78</v>
      </c>
      <c r="D1852">
        <v>0</v>
      </c>
      <c r="E1852">
        <v>0</v>
      </c>
      <c r="F1852" t="str">
        <f t="shared" si="86"/>
        <v>Moderate Risk</v>
      </c>
      <c r="G1852" t="s">
        <v>3</v>
      </c>
      <c r="H1852" t="s">
        <v>8</v>
      </c>
      <c r="I1852" t="s">
        <v>9</v>
      </c>
      <c r="J1852">
        <v>84.49</v>
      </c>
      <c r="K1852">
        <v>26.4</v>
      </c>
      <c r="L1852" t="s">
        <v>11</v>
      </c>
      <c r="M1852">
        <v>0</v>
      </c>
      <c r="N1852" t="str">
        <f t="shared" si="84"/>
        <v>60+</v>
      </c>
      <c r="O1852" t="str">
        <f t="shared" si="85"/>
        <v>Overweight</v>
      </c>
    </row>
    <row r="1853" spans="1:15" x14ac:dyDescent="0.3">
      <c r="A1853">
        <v>22967</v>
      </c>
      <c r="B1853" t="s">
        <v>2</v>
      </c>
      <c r="C1853">
        <v>18</v>
      </c>
      <c r="D1853">
        <v>0</v>
      </c>
      <c r="E1853">
        <v>0</v>
      </c>
      <c r="F1853" t="str">
        <f t="shared" si="86"/>
        <v>Lower Risk</v>
      </c>
      <c r="G1853" t="s">
        <v>13</v>
      </c>
      <c r="H1853" t="s">
        <v>4</v>
      </c>
      <c r="I1853" t="s">
        <v>9</v>
      </c>
      <c r="J1853">
        <v>89.61</v>
      </c>
      <c r="K1853">
        <v>22</v>
      </c>
      <c r="L1853" t="s">
        <v>11</v>
      </c>
      <c r="M1853">
        <v>0</v>
      </c>
      <c r="N1853" t="str">
        <f t="shared" si="84"/>
        <v>Under 40</v>
      </c>
      <c r="O1853" t="str">
        <f t="shared" si="85"/>
        <v>Normal</v>
      </c>
    </row>
    <row r="1854" spans="1:15" x14ac:dyDescent="0.3">
      <c r="A1854">
        <v>28913</v>
      </c>
      <c r="B1854" t="s">
        <v>2</v>
      </c>
      <c r="C1854">
        <v>78</v>
      </c>
      <c r="D1854">
        <v>0</v>
      </c>
      <c r="E1854">
        <v>0</v>
      </c>
      <c r="F1854" t="str">
        <f t="shared" si="86"/>
        <v>Moderate Risk</v>
      </c>
      <c r="G1854" t="s">
        <v>3</v>
      </c>
      <c r="H1854" t="s">
        <v>4</v>
      </c>
      <c r="I1854" t="s">
        <v>9</v>
      </c>
      <c r="J1854">
        <v>100.09</v>
      </c>
      <c r="K1854">
        <v>30.5</v>
      </c>
      <c r="L1854" t="s">
        <v>14</v>
      </c>
      <c r="M1854">
        <v>0</v>
      </c>
      <c r="N1854" t="str">
        <f t="shared" si="84"/>
        <v>60+</v>
      </c>
      <c r="O1854" t="str">
        <f t="shared" si="85"/>
        <v>Obese</v>
      </c>
    </row>
    <row r="1855" spans="1:15" x14ac:dyDescent="0.3">
      <c r="A1855">
        <v>70857</v>
      </c>
      <c r="B1855" t="s">
        <v>7</v>
      </c>
      <c r="C1855">
        <v>55</v>
      </c>
      <c r="D1855">
        <v>0</v>
      </c>
      <c r="E1855">
        <v>0</v>
      </c>
      <c r="F1855" t="str">
        <f t="shared" si="86"/>
        <v>Lower Risk</v>
      </c>
      <c r="G1855" t="s">
        <v>3</v>
      </c>
      <c r="H1855" t="s">
        <v>15</v>
      </c>
      <c r="I1855" t="s">
        <v>5</v>
      </c>
      <c r="J1855">
        <v>198.36</v>
      </c>
      <c r="K1855">
        <v>29.1</v>
      </c>
      <c r="L1855" t="s">
        <v>12</v>
      </c>
      <c r="M1855">
        <v>0</v>
      </c>
      <c r="N1855" t="str">
        <f t="shared" si="84"/>
        <v>40–59</v>
      </c>
      <c r="O1855" t="str">
        <f t="shared" si="85"/>
        <v>Overweight</v>
      </c>
    </row>
    <row r="1856" spans="1:15" x14ac:dyDescent="0.3">
      <c r="A1856">
        <v>42229</v>
      </c>
      <c r="B1856" t="s">
        <v>7</v>
      </c>
      <c r="C1856">
        <v>68</v>
      </c>
      <c r="D1856">
        <v>0</v>
      </c>
      <c r="E1856">
        <v>0</v>
      </c>
      <c r="F1856" t="str">
        <f t="shared" si="86"/>
        <v>Moderate Risk</v>
      </c>
      <c r="G1856" t="s">
        <v>3</v>
      </c>
      <c r="H1856" t="s">
        <v>8</v>
      </c>
      <c r="I1856" t="s">
        <v>9</v>
      </c>
      <c r="J1856">
        <v>93.61</v>
      </c>
      <c r="K1856">
        <v>24.9</v>
      </c>
      <c r="L1856" t="s">
        <v>11</v>
      </c>
      <c r="M1856">
        <v>0</v>
      </c>
      <c r="N1856" t="str">
        <f t="shared" si="84"/>
        <v>60+</v>
      </c>
      <c r="O1856" t="str">
        <f t="shared" si="85"/>
        <v>Normal</v>
      </c>
    </row>
    <row r="1857" spans="1:15" x14ac:dyDescent="0.3">
      <c r="A1857">
        <v>23459</v>
      </c>
      <c r="B1857" t="s">
        <v>7</v>
      </c>
      <c r="C1857">
        <v>47</v>
      </c>
      <c r="D1857">
        <v>0</v>
      </c>
      <c r="E1857">
        <v>0</v>
      </c>
      <c r="F1857" t="str">
        <f t="shared" si="86"/>
        <v>Lower Risk</v>
      </c>
      <c r="G1857" t="s">
        <v>3</v>
      </c>
      <c r="H1857" t="s">
        <v>4</v>
      </c>
      <c r="I1857" t="s">
        <v>9</v>
      </c>
      <c r="J1857">
        <v>75.430000000000007</v>
      </c>
      <c r="K1857">
        <v>36.4</v>
      </c>
      <c r="L1857" t="s">
        <v>12</v>
      </c>
      <c r="M1857">
        <v>0</v>
      </c>
      <c r="N1857" t="str">
        <f t="shared" si="84"/>
        <v>40–59</v>
      </c>
      <c r="O1857" t="str">
        <f t="shared" si="85"/>
        <v>Obese</v>
      </c>
    </row>
    <row r="1858" spans="1:15" x14ac:dyDescent="0.3">
      <c r="A1858">
        <v>2209</v>
      </c>
      <c r="B1858" t="s">
        <v>7</v>
      </c>
      <c r="C1858">
        <v>47</v>
      </c>
      <c r="D1858">
        <v>0</v>
      </c>
      <c r="E1858">
        <v>0</v>
      </c>
      <c r="F1858" t="str">
        <f t="shared" si="86"/>
        <v>Lower Risk</v>
      </c>
      <c r="G1858" t="s">
        <v>3</v>
      </c>
      <c r="H1858" t="s">
        <v>15</v>
      </c>
      <c r="I1858" t="s">
        <v>5</v>
      </c>
      <c r="J1858">
        <v>100.31</v>
      </c>
      <c r="K1858">
        <v>31.2</v>
      </c>
      <c r="L1858" t="s">
        <v>12</v>
      </c>
      <c r="M1858">
        <v>0</v>
      </c>
      <c r="N1858" t="str">
        <f t="shared" ref="N1858:N1921" si="87">IF(C1858&lt;40,"Under 40",IF(C1858&lt;60,"40–59","60+"))</f>
        <v>40–59</v>
      </c>
      <c r="O1858" t="str">
        <f t="shared" ref="O1858:O1921" si="88">IF(K1858="N/A","Unknown",
IF(K1858="","Unknown",
IF(K1858&lt;18.5,"Underweight",
IF(K1858&lt;25,"Normal",
IF(K1858&lt;30,"Overweight","Obese")))))</f>
        <v>Obese</v>
      </c>
    </row>
    <row r="1859" spans="1:15" x14ac:dyDescent="0.3">
      <c r="A1859">
        <v>38673</v>
      </c>
      <c r="B1859" t="s">
        <v>7</v>
      </c>
      <c r="C1859">
        <v>51</v>
      </c>
      <c r="D1859">
        <v>0</v>
      </c>
      <c r="E1859">
        <v>0</v>
      </c>
      <c r="F1859" t="str">
        <f t="shared" ref="F1859:F1922" si="89">IF(C1859&gt;=60,
IF(OR(D1859=1,E1859=1),"High Risk","Moderate Risk"),
"Lower Risk")</f>
        <v>Lower Risk</v>
      </c>
      <c r="G1859" t="s">
        <v>3</v>
      </c>
      <c r="H1859" t="s">
        <v>4</v>
      </c>
      <c r="I1859" t="s">
        <v>9</v>
      </c>
      <c r="J1859">
        <v>105.63</v>
      </c>
      <c r="K1859">
        <v>32.799999999999997</v>
      </c>
      <c r="L1859" t="s">
        <v>11</v>
      </c>
      <c r="M1859">
        <v>0</v>
      </c>
      <c r="N1859" t="str">
        <f t="shared" si="87"/>
        <v>40–59</v>
      </c>
      <c r="O1859" t="str">
        <f t="shared" si="88"/>
        <v>Obese</v>
      </c>
    </row>
    <row r="1860" spans="1:15" x14ac:dyDescent="0.3">
      <c r="A1860">
        <v>42184</v>
      </c>
      <c r="B1860" t="s">
        <v>2</v>
      </c>
      <c r="C1860">
        <v>43</v>
      </c>
      <c r="D1860">
        <v>0</v>
      </c>
      <c r="E1860">
        <v>0</v>
      </c>
      <c r="F1860" t="str">
        <f t="shared" si="89"/>
        <v>Lower Risk</v>
      </c>
      <c r="G1860" t="s">
        <v>3</v>
      </c>
      <c r="H1860" t="s">
        <v>8</v>
      </c>
      <c r="I1860" t="s">
        <v>9</v>
      </c>
      <c r="J1860">
        <v>82.84</v>
      </c>
      <c r="K1860">
        <v>31.6</v>
      </c>
      <c r="L1860" t="s">
        <v>11</v>
      </c>
      <c r="M1860">
        <v>0</v>
      </c>
      <c r="N1860" t="str">
        <f t="shared" si="87"/>
        <v>40–59</v>
      </c>
      <c r="O1860" t="str">
        <f t="shared" si="88"/>
        <v>Obese</v>
      </c>
    </row>
    <row r="1861" spans="1:15" x14ac:dyDescent="0.3">
      <c r="A1861">
        <v>59250</v>
      </c>
      <c r="B1861" t="s">
        <v>7</v>
      </c>
      <c r="C1861">
        <v>78</v>
      </c>
      <c r="D1861">
        <v>0</v>
      </c>
      <c r="E1861">
        <v>0</v>
      </c>
      <c r="F1861" t="str">
        <f t="shared" si="89"/>
        <v>Moderate Risk</v>
      </c>
      <c r="G1861" t="s">
        <v>3</v>
      </c>
      <c r="H1861" t="s">
        <v>15</v>
      </c>
      <c r="I1861" t="s">
        <v>5</v>
      </c>
      <c r="J1861">
        <v>58.88</v>
      </c>
      <c r="K1861">
        <v>35.799999999999997</v>
      </c>
      <c r="L1861" t="s">
        <v>14</v>
      </c>
      <c r="M1861">
        <v>0</v>
      </c>
      <c r="N1861" t="str">
        <f t="shared" si="87"/>
        <v>60+</v>
      </c>
      <c r="O1861" t="str">
        <f t="shared" si="88"/>
        <v>Obese</v>
      </c>
    </row>
    <row r="1862" spans="1:15" x14ac:dyDescent="0.3">
      <c r="A1862">
        <v>29525</v>
      </c>
      <c r="B1862" t="s">
        <v>2</v>
      </c>
      <c r="C1862">
        <v>63</v>
      </c>
      <c r="D1862">
        <v>0</v>
      </c>
      <c r="E1862">
        <v>0</v>
      </c>
      <c r="F1862" t="str">
        <f t="shared" si="89"/>
        <v>Moderate Risk</v>
      </c>
      <c r="G1862" t="s">
        <v>3</v>
      </c>
      <c r="H1862" t="s">
        <v>4</v>
      </c>
      <c r="I1862" t="s">
        <v>5</v>
      </c>
      <c r="J1862">
        <v>92.27</v>
      </c>
      <c r="K1862">
        <v>35.200000000000003</v>
      </c>
      <c r="L1862" t="s">
        <v>6</v>
      </c>
      <c r="M1862">
        <v>0</v>
      </c>
      <c r="N1862" t="str">
        <f t="shared" si="87"/>
        <v>60+</v>
      </c>
      <c r="O1862" t="str">
        <f t="shared" si="88"/>
        <v>Obese</v>
      </c>
    </row>
    <row r="1863" spans="1:15" x14ac:dyDescent="0.3">
      <c r="A1863">
        <v>42713</v>
      </c>
      <c r="B1863" t="s">
        <v>7</v>
      </c>
      <c r="C1863">
        <v>45</v>
      </c>
      <c r="D1863">
        <v>0</v>
      </c>
      <c r="E1863">
        <v>0</v>
      </c>
      <c r="F1863" t="str">
        <f t="shared" si="89"/>
        <v>Lower Risk</v>
      </c>
      <c r="G1863" t="s">
        <v>3</v>
      </c>
      <c r="H1863" t="s">
        <v>4</v>
      </c>
      <c r="I1863" t="s">
        <v>5</v>
      </c>
      <c r="J1863">
        <v>115.23</v>
      </c>
      <c r="K1863">
        <v>28</v>
      </c>
      <c r="L1863" t="s">
        <v>11</v>
      </c>
      <c r="M1863">
        <v>0</v>
      </c>
      <c r="N1863" t="str">
        <f t="shared" si="87"/>
        <v>40–59</v>
      </c>
      <c r="O1863" t="str">
        <f t="shared" si="88"/>
        <v>Overweight</v>
      </c>
    </row>
    <row r="1864" spans="1:15" x14ac:dyDescent="0.3">
      <c r="A1864">
        <v>16066</v>
      </c>
      <c r="B1864" t="s">
        <v>7</v>
      </c>
      <c r="C1864">
        <v>53</v>
      </c>
      <c r="D1864">
        <v>1</v>
      </c>
      <c r="E1864">
        <v>1</v>
      </c>
      <c r="F1864" t="str">
        <f t="shared" si="89"/>
        <v>Lower Risk</v>
      </c>
      <c r="G1864" t="s">
        <v>3</v>
      </c>
      <c r="H1864" t="s">
        <v>4</v>
      </c>
      <c r="I1864" t="s">
        <v>5</v>
      </c>
      <c r="J1864">
        <v>196.25</v>
      </c>
      <c r="K1864">
        <v>24.9</v>
      </c>
      <c r="L1864" t="s">
        <v>12</v>
      </c>
      <c r="M1864">
        <v>0</v>
      </c>
      <c r="N1864" t="str">
        <f t="shared" si="87"/>
        <v>40–59</v>
      </c>
      <c r="O1864" t="str">
        <f t="shared" si="88"/>
        <v>Normal</v>
      </c>
    </row>
    <row r="1865" spans="1:15" x14ac:dyDescent="0.3">
      <c r="A1865">
        <v>33692</v>
      </c>
      <c r="B1865" t="s">
        <v>7</v>
      </c>
      <c r="C1865">
        <v>12</v>
      </c>
      <c r="D1865">
        <v>0</v>
      </c>
      <c r="E1865">
        <v>0</v>
      </c>
      <c r="F1865" t="str">
        <f t="shared" si="89"/>
        <v>Lower Risk</v>
      </c>
      <c r="G1865" t="s">
        <v>13</v>
      </c>
      <c r="H1865" t="s">
        <v>16</v>
      </c>
      <c r="I1865" t="s">
        <v>9</v>
      </c>
      <c r="J1865">
        <v>85.97</v>
      </c>
      <c r="K1865">
        <v>35.700000000000003</v>
      </c>
      <c r="L1865" t="s">
        <v>14</v>
      </c>
      <c r="M1865">
        <v>0</v>
      </c>
      <c r="N1865" t="str">
        <f t="shared" si="87"/>
        <v>Under 40</v>
      </c>
      <c r="O1865" t="str">
        <f t="shared" si="88"/>
        <v>Obese</v>
      </c>
    </row>
    <row r="1866" spans="1:15" x14ac:dyDescent="0.3">
      <c r="A1866">
        <v>29232</v>
      </c>
      <c r="B1866" t="s">
        <v>7</v>
      </c>
      <c r="C1866">
        <v>56</v>
      </c>
      <c r="D1866">
        <v>0</v>
      </c>
      <c r="E1866">
        <v>0</v>
      </c>
      <c r="F1866" t="str">
        <f t="shared" si="89"/>
        <v>Lower Risk</v>
      </c>
      <c r="G1866" t="s">
        <v>3</v>
      </c>
      <c r="H1866" t="s">
        <v>4</v>
      </c>
      <c r="I1866" t="s">
        <v>5</v>
      </c>
      <c r="J1866">
        <v>114.33</v>
      </c>
      <c r="K1866">
        <v>30.7</v>
      </c>
      <c r="L1866" t="s">
        <v>12</v>
      </c>
      <c r="M1866">
        <v>0</v>
      </c>
      <c r="N1866" t="str">
        <f t="shared" si="87"/>
        <v>40–59</v>
      </c>
      <c r="O1866" t="str">
        <f t="shared" si="88"/>
        <v>Obese</v>
      </c>
    </row>
    <row r="1867" spans="1:15" x14ac:dyDescent="0.3">
      <c r="A1867">
        <v>70122</v>
      </c>
      <c r="B1867" t="s">
        <v>7</v>
      </c>
      <c r="C1867">
        <v>29</v>
      </c>
      <c r="D1867">
        <v>0</v>
      </c>
      <c r="E1867">
        <v>0</v>
      </c>
      <c r="F1867" t="str">
        <f t="shared" si="89"/>
        <v>Lower Risk</v>
      </c>
      <c r="G1867" t="s">
        <v>3</v>
      </c>
      <c r="H1867" t="s">
        <v>4</v>
      </c>
      <c r="I1867" t="s">
        <v>9</v>
      </c>
      <c r="J1867">
        <v>72.52</v>
      </c>
      <c r="K1867">
        <v>33.9</v>
      </c>
      <c r="L1867" t="s">
        <v>11</v>
      </c>
      <c r="M1867">
        <v>0</v>
      </c>
      <c r="N1867" t="str">
        <f t="shared" si="87"/>
        <v>Under 40</v>
      </c>
      <c r="O1867" t="str">
        <f t="shared" si="88"/>
        <v>Obese</v>
      </c>
    </row>
    <row r="1868" spans="1:15" x14ac:dyDescent="0.3">
      <c r="A1868">
        <v>25305</v>
      </c>
      <c r="B1868" t="s">
        <v>2</v>
      </c>
      <c r="C1868">
        <v>10</v>
      </c>
      <c r="D1868">
        <v>0</v>
      </c>
      <c r="E1868">
        <v>0</v>
      </c>
      <c r="F1868" t="str">
        <f t="shared" si="89"/>
        <v>Lower Risk</v>
      </c>
      <c r="G1868" t="s">
        <v>13</v>
      </c>
      <c r="H1868" t="s">
        <v>16</v>
      </c>
      <c r="I1868" t="s">
        <v>9</v>
      </c>
      <c r="J1868">
        <v>99.87</v>
      </c>
      <c r="K1868" t="s">
        <v>10</v>
      </c>
      <c r="L1868" t="s">
        <v>6</v>
      </c>
      <c r="M1868">
        <v>0</v>
      </c>
      <c r="N1868" t="str">
        <f t="shared" si="87"/>
        <v>Under 40</v>
      </c>
      <c r="O1868" t="str">
        <f t="shared" si="88"/>
        <v>Unknown</v>
      </c>
    </row>
    <row r="1869" spans="1:15" x14ac:dyDescent="0.3">
      <c r="A1869">
        <v>66110</v>
      </c>
      <c r="B1869" t="s">
        <v>7</v>
      </c>
      <c r="C1869">
        <v>55</v>
      </c>
      <c r="D1869">
        <v>0</v>
      </c>
      <c r="E1869">
        <v>0</v>
      </c>
      <c r="F1869" t="str">
        <f t="shared" si="89"/>
        <v>Lower Risk</v>
      </c>
      <c r="G1869" t="s">
        <v>3</v>
      </c>
      <c r="H1869" t="s">
        <v>4</v>
      </c>
      <c r="I1869" t="s">
        <v>9</v>
      </c>
      <c r="J1869">
        <v>63.47</v>
      </c>
      <c r="K1869">
        <v>27.8</v>
      </c>
      <c r="L1869" t="s">
        <v>14</v>
      </c>
      <c r="M1869">
        <v>0</v>
      </c>
      <c r="N1869" t="str">
        <f t="shared" si="87"/>
        <v>40–59</v>
      </c>
      <c r="O1869" t="str">
        <f t="shared" si="88"/>
        <v>Overweight</v>
      </c>
    </row>
    <row r="1870" spans="1:15" x14ac:dyDescent="0.3">
      <c r="A1870">
        <v>69461</v>
      </c>
      <c r="B1870" t="s">
        <v>7</v>
      </c>
      <c r="C1870">
        <v>49</v>
      </c>
      <c r="D1870">
        <v>0</v>
      </c>
      <c r="E1870">
        <v>0</v>
      </c>
      <c r="F1870" t="str">
        <f t="shared" si="89"/>
        <v>Lower Risk</v>
      </c>
      <c r="G1870" t="s">
        <v>3</v>
      </c>
      <c r="H1870" t="s">
        <v>15</v>
      </c>
      <c r="I1870" t="s">
        <v>5</v>
      </c>
      <c r="J1870">
        <v>90.58</v>
      </c>
      <c r="K1870">
        <v>23.2</v>
      </c>
      <c r="L1870" t="s">
        <v>14</v>
      </c>
      <c r="M1870">
        <v>0</v>
      </c>
      <c r="N1870" t="str">
        <f t="shared" si="87"/>
        <v>40–59</v>
      </c>
      <c r="O1870" t="str">
        <f t="shared" si="88"/>
        <v>Normal</v>
      </c>
    </row>
    <row r="1871" spans="1:15" x14ac:dyDescent="0.3">
      <c r="A1871">
        <v>7885</v>
      </c>
      <c r="B1871" t="s">
        <v>7</v>
      </c>
      <c r="C1871">
        <v>23</v>
      </c>
      <c r="D1871">
        <v>0</v>
      </c>
      <c r="E1871">
        <v>0</v>
      </c>
      <c r="F1871" t="str">
        <f t="shared" si="89"/>
        <v>Lower Risk</v>
      </c>
      <c r="G1871" t="s">
        <v>13</v>
      </c>
      <c r="H1871" t="s">
        <v>4</v>
      </c>
      <c r="I1871" t="s">
        <v>9</v>
      </c>
      <c r="J1871">
        <v>92.26</v>
      </c>
      <c r="K1871">
        <v>17.100000000000001</v>
      </c>
      <c r="L1871" t="s">
        <v>14</v>
      </c>
      <c r="M1871">
        <v>0</v>
      </c>
      <c r="N1871" t="str">
        <f t="shared" si="87"/>
        <v>Under 40</v>
      </c>
      <c r="O1871" t="str">
        <f t="shared" si="88"/>
        <v>Underweight</v>
      </c>
    </row>
    <row r="1872" spans="1:15" x14ac:dyDescent="0.3">
      <c r="A1872">
        <v>60050</v>
      </c>
      <c r="B1872" t="s">
        <v>7</v>
      </c>
      <c r="C1872">
        <v>53</v>
      </c>
      <c r="D1872">
        <v>0</v>
      </c>
      <c r="E1872">
        <v>0</v>
      </c>
      <c r="F1872" t="str">
        <f t="shared" si="89"/>
        <v>Lower Risk</v>
      </c>
      <c r="G1872" t="s">
        <v>3</v>
      </c>
      <c r="H1872" t="s">
        <v>8</v>
      </c>
      <c r="I1872" t="s">
        <v>5</v>
      </c>
      <c r="J1872">
        <v>113.74</v>
      </c>
      <c r="K1872">
        <v>31.6</v>
      </c>
      <c r="L1872" t="s">
        <v>12</v>
      </c>
      <c r="M1872">
        <v>0</v>
      </c>
      <c r="N1872" t="str">
        <f t="shared" si="87"/>
        <v>40–59</v>
      </c>
      <c r="O1872" t="str">
        <f t="shared" si="88"/>
        <v>Obese</v>
      </c>
    </row>
    <row r="1873" spans="1:15" x14ac:dyDescent="0.3">
      <c r="A1873">
        <v>21608</v>
      </c>
      <c r="B1873" t="s">
        <v>2</v>
      </c>
      <c r="C1873">
        <v>56</v>
      </c>
      <c r="D1873">
        <v>1</v>
      </c>
      <c r="E1873">
        <v>0</v>
      </c>
      <c r="F1873" t="str">
        <f t="shared" si="89"/>
        <v>Lower Risk</v>
      </c>
      <c r="G1873" t="s">
        <v>3</v>
      </c>
      <c r="H1873" t="s">
        <v>15</v>
      </c>
      <c r="I1873" t="s">
        <v>5</v>
      </c>
      <c r="J1873">
        <v>72.790000000000006</v>
      </c>
      <c r="K1873">
        <v>23.8</v>
      </c>
      <c r="L1873" t="s">
        <v>12</v>
      </c>
      <c r="M1873">
        <v>0</v>
      </c>
      <c r="N1873" t="str">
        <f t="shared" si="87"/>
        <v>40–59</v>
      </c>
      <c r="O1873" t="str">
        <f t="shared" si="88"/>
        <v>Normal</v>
      </c>
    </row>
    <row r="1874" spans="1:15" x14ac:dyDescent="0.3">
      <c r="A1874">
        <v>32150</v>
      </c>
      <c r="B1874" t="s">
        <v>7</v>
      </c>
      <c r="C1874">
        <v>56</v>
      </c>
      <c r="D1874">
        <v>0</v>
      </c>
      <c r="E1874">
        <v>0</v>
      </c>
      <c r="F1874" t="str">
        <f t="shared" si="89"/>
        <v>Lower Risk</v>
      </c>
      <c r="G1874" t="s">
        <v>3</v>
      </c>
      <c r="H1874" t="s">
        <v>8</v>
      </c>
      <c r="I1874" t="s">
        <v>9</v>
      </c>
      <c r="J1874">
        <v>94.71</v>
      </c>
      <c r="K1874">
        <v>29.6</v>
      </c>
      <c r="L1874" t="s">
        <v>12</v>
      </c>
      <c r="M1874">
        <v>0</v>
      </c>
      <c r="N1874" t="str">
        <f t="shared" si="87"/>
        <v>40–59</v>
      </c>
      <c r="O1874" t="str">
        <f t="shared" si="88"/>
        <v>Overweight</v>
      </c>
    </row>
    <row r="1875" spans="1:15" x14ac:dyDescent="0.3">
      <c r="A1875">
        <v>48069</v>
      </c>
      <c r="B1875" t="s">
        <v>7</v>
      </c>
      <c r="C1875">
        <v>61</v>
      </c>
      <c r="D1875">
        <v>0</v>
      </c>
      <c r="E1875">
        <v>0</v>
      </c>
      <c r="F1875" t="str">
        <f t="shared" si="89"/>
        <v>Moderate Risk</v>
      </c>
      <c r="G1875" t="s">
        <v>3</v>
      </c>
      <c r="H1875" t="s">
        <v>4</v>
      </c>
      <c r="I1875" t="s">
        <v>9</v>
      </c>
      <c r="J1875">
        <v>194.53</v>
      </c>
      <c r="K1875">
        <v>45</v>
      </c>
      <c r="L1875" t="s">
        <v>11</v>
      </c>
      <c r="M1875">
        <v>0</v>
      </c>
      <c r="N1875" t="str">
        <f t="shared" si="87"/>
        <v>60+</v>
      </c>
      <c r="O1875" t="str">
        <f t="shared" si="88"/>
        <v>Obese</v>
      </c>
    </row>
    <row r="1876" spans="1:15" x14ac:dyDescent="0.3">
      <c r="A1876">
        <v>24066</v>
      </c>
      <c r="B1876" t="s">
        <v>7</v>
      </c>
      <c r="C1876">
        <v>45</v>
      </c>
      <c r="D1876">
        <v>0</v>
      </c>
      <c r="E1876">
        <v>0</v>
      </c>
      <c r="F1876" t="str">
        <f t="shared" si="89"/>
        <v>Lower Risk</v>
      </c>
      <c r="G1876" t="s">
        <v>3</v>
      </c>
      <c r="H1876" t="s">
        <v>4</v>
      </c>
      <c r="I1876" t="s">
        <v>5</v>
      </c>
      <c r="J1876">
        <v>72.650000000000006</v>
      </c>
      <c r="K1876">
        <v>25.6</v>
      </c>
      <c r="L1876" t="s">
        <v>14</v>
      </c>
      <c r="M1876">
        <v>0</v>
      </c>
      <c r="N1876" t="str">
        <f t="shared" si="87"/>
        <v>40–59</v>
      </c>
      <c r="O1876" t="str">
        <f t="shared" si="88"/>
        <v>Overweight</v>
      </c>
    </row>
    <row r="1877" spans="1:15" x14ac:dyDescent="0.3">
      <c r="A1877">
        <v>39242</v>
      </c>
      <c r="B1877" t="s">
        <v>2</v>
      </c>
      <c r="C1877">
        <v>80</v>
      </c>
      <c r="D1877">
        <v>1</v>
      </c>
      <c r="E1877">
        <v>1</v>
      </c>
      <c r="F1877" t="str">
        <f t="shared" si="89"/>
        <v>High Risk</v>
      </c>
      <c r="G1877" t="s">
        <v>3</v>
      </c>
      <c r="H1877" t="s">
        <v>4</v>
      </c>
      <c r="I1877" t="s">
        <v>5</v>
      </c>
      <c r="J1877">
        <v>86.68</v>
      </c>
      <c r="K1877">
        <v>27.7</v>
      </c>
      <c r="L1877" t="s">
        <v>6</v>
      </c>
      <c r="M1877">
        <v>0</v>
      </c>
      <c r="N1877" t="str">
        <f t="shared" si="87"/>
        <v>60+</v>
      </c>
      <c r="O1877" t="str">
        <f t="shared" si="88"/>
        <v>Overweight</v>
      </c>
    </row>
    <row r="1878" spans="1:15" x14ac:dyDescent="0.3">
      <c r="A1878">
        <v>57618</v>
      </c>
      <c r="B1878" t="s">
        <v>7</v>
      </c>
      <c r="C1878">
        <v>47</v>
      </c>
      <c r="D1878">
        <v>0</v>
      </c>
      <c r="E1878">
        <v>0</v>
      </c>
      <c r="F1878" t="str">
        <f t="shared" si="89"/>
        <v>Lower Risk</v>
      </c>
      <c r="G1878" t="s">
        <v>3</v>
      </c>
      <c r="H1878" t="s">
        <v>8</v>
      </c>
      <c r="I1878" t="s">
        <v>9</v>
      </c>
      <c r="J1878">
        <v>140.38999999999999</v>
      </c>
      <c r="K1878">
        <v>25.5</v>
      </c>
      <c r="L1878" t="s">
        <v>11</v>
      </c>
      <c r="M1878">
        <v>0</v>
      </c>
      <c r="N1878" t="str">
        <f t="shared" si="87"/>
        <v>40–59</v>
      </c>
      <c r="O1878" t="str">
        <f t="shared" si="88"/>
        <v>Overweight</v>
      </c>
    </row>
    <row r="1879" spans="1:15" x14ac:dyDescent="0.3">
      <c r="A1879">
        <v>14599</v>
      </c>
      <c r="B1879" t="s">
        <v>7</v>
      </c>
      <c r="C1879">
        <v>3</v>
      </c>
      <c r="D1879">
        <v>0</v>
      </c>
      <c r="E1879">
        <v>0</v>
      </c>
      <c r="F1879" t="str">
        <f t="shared" si="89"/>
        <v>Lower Risk</v>
      </c>
      <c r="G1879" t="s">
        <v>13</v>
      </c>
      <c r="H1879" t="s">
        <v>16</v>
      </c>
      <c r="I1879" t="s">
        <v>9</v>
      </c>
      <c r="J1879">
        <v>77.87</v>
      </c>
      <c r="K1879">
        <v>18.3</v>
      </c>
      <c r="L1879" t="s">
        <v>14</v>
      </c>
      <c r="M1879">
        <v>0</v>
      </c>
      <c r="N1879" t="str">
        <f t="shared" si="87"/>
        <v>Under 40</v>
      </c>
      <c r="O1879" t="str">
        <f t="shared" si="88"/>
        <v>Underweight</v>
      </c>
    </row>
    <row r="1880" spans="1:15" x14ac:dyDescent="0.3">
      <c r="A1880">
        <v>27479</v>
      </c>
      <c r="B1880" t="s">
        <v>2</v>
      </c>
      <c r="C1880">
        <v>63</v>
      </c>
      <c r="D1880">
        <v>0</v>
      </c>
      <c r="E1880">
        <v>0</v>
      </c>
      <c r="F1880" t="str">
        <f t="shared" si="89"/>
        <v>Moderate Risk</v>
      </c>
      <c r="G1880" t="s">
        <v>3</v>
      </c>
      <c r="H1880" t="s">
        <v>8</v>
      </c>
      <c r="I1880" t="s">
        <v>9</v>
      </c>
      <c r="J1880">
        <v>104.7</v>
      </c>
      <c r="K1880">
        <v>21</v>
      </c>
      <c r="L1880" t="s">
        <v>6</v>
      </c>
      <c r="M1880">
        <v>0</v>
      </c>
      <c r="N1880" t="str">
        <f t="shared" si="87"/>
        <v>60+</v>
      </c>
      <c r="O1880" t="str">
        <f t="shared" si="88"/>
        <v>Normal</v>
      </c>
    </row>
    <row r="1881" spans="1:15" x14ac:dyDescent="0.3">
      <c r="A1881">
        <v>10238</v>
      </c>
      <c r="B1881" t="s">
        <v>7</v>
      </c>
      <c r="C1881">
        <v>68</v>
      </c>
      <c r="D1881">
        <v>1</v>
      </c>
      <c r="E1881">
        <v>0</v>
      </c>
      <c r="F1881" t="str">
        <f t="shared" si="89"/>
        <v>High Risk</v>
      </c>
      <c r="G1881" t="s">
        <v>3</v>
      </c>
      <c r="H1881" t="s">
        <v>4</v>
      </c>
      <c r="I1881" t="s">
        <v>5</v>
      </c>
      <c r="J1881">
        <v>95.82</v>
      </c>
      <c r="K1881">
        <v>28.6</v>
      </c>
      <c r="L1881" t="s">
        <v>11</v>
      </c>
      <c r="M1881">
        <v>0</v>
      </c>
      <c r="N1881" t="str">
        <f t="shared" si="87"/>
        <v>60+</v>
      </c>
      <c r="O1881" t="str">
        <f t="shared" si="88"/>
        <v>Overweight</v>
      </c>
    </row>
    <row r="1882" spans="1:15" x14ac:dyDescent="0.3">
      <c r="A1882">
        <v>49014</v>
      </c>
      <c r="B1882" t="s">
        <v>7</v>
      </c>
      <c r="C1882">
        <v>76</v>
      </c>
      <c r="D1882">
        <v>0</v>
      </c>
      <c r="E1882">
        <v>0</v>
      </c>
      <c r="F1882" t="str">
        <f t="shared" si="89"/>
        <v>Moderate Risk</v>
      </c>
      <c r="G1882" t="s">
        <v>3</v>
      </c>
      <c r="H1882" t="s">
        <v>15</v>
      </c>
      <c r="I1882" t="s">
        <v>5</v>
      </c>
      <c r="J1882">
        <v>204.05</v>
      </c>
      <c r="K1882">
        <v>23.5</v>
      </c>
      <c r="L1882" t="s">
        <v>11</v>
      </c>
      <c r="M1882">
        <v>0</v>
      </c>
      <c r="N1882" t="str">
        <f t="shared" si="87"/>
        <v>60+</v>
      </c>
      <c r="O1882" t="str">
        <f t="shared" si="88"/>
        <v>Normal</v>
      </c>
    </row>
    <row r="1883" spans="1:15" x14ac:dyDescent="0.3">
      <c r="A1883">
        <v>67063</v>
      </c>
      <c r="B1883" t="s">
        <v>2</v>
      </c>
      <c r="C1883">
        <v>62</v>
      </c>
      <c r="D1883">
        <v>0</v>
      </c>
      <c r="E1883">
        <v>0</v>
      </c>
      <c r="F1883" t="str">
        <f t="shared" si="89"/>
        <v>Moderate Risk</v>
      </c>
      <c r="G1883" t="s">
        <v>3</v>
      </c>
      <c r="H1883" t="s">
        <v>8</v>
      </c>
      <c r="I1883" t="s">
        <v>5</v>
      </c>
      <c r="J1883">
        <v>130.56</v>
      </c>
      <c r="K1883">
        <v>36.1</v>
      </c>
      <c r="L1883" t="s">
        <v>14</v>
      </c>
      <c r="M1883">
        <v>0</v>
      </c>
      <c r="N1883" t="str">
        <f t="shared" si="87"/>
        <v>60+</v>
      </c>
      <c r="O1883" t="str">
        <f t="shared" si="88"/>
        <v>Obese</v>
      </c>
    </row>
    <row r="1884" spans="1:15" x14ac:dyDescent="0.3">
      <c r="A1884">
        <v>38488</v>
      </c>
      <c r="B1884" t="s">
        <v>7</v>
      </c>
      <c r="C1884">
        <v>30</v>
      </c>
      <c r="D1884">
        <v>0</v>
      </c>
      <c r="E1884">
        <v>0</v>
      </c>
      <c r="F1884" t="str">
        <f t="shared" si="89"/>
        <v>Lower Risk</v>
      </c>
      <c r="G1884" t="s">
        <v>3</v>
      </c>
      <c r="H1884" t="s">
        <v>4</v>
      </c>
      <c r="I1884" t="s">
        <v>5</v>
      </c>
      <c r="J1884">
        <v>67.78</v>
      </c>
      <c r="K1884">
        <v>29.2</v>
      </c>
      <c r="L1884" t="s">
        <v>12</v>
      </c>
      <c r="M1884">
        <v>0</v>
      </c>
      <c r="N1884" t="str">
        <f t="shared" si="87"/>
        <v>Under 40</v>
      </c>
      <c r="O1884" t="str">
        <f t="shared" si="88"/>
        <v>Overweight</v>
      </c>
    </row>
    <row r="1885" spans="1:15" x14ac:dyDescent="0.3">
      <c r="A1885">
        <v>33298</v>
      </c>
      <c r="B1885" t="s">
        <v>7</v>
      </c>
      <c r="C1885">
        <v>44</v>
      </c>
      <c r="D1885">
        <v>0</v>
      </c>
      <c r="E1885">
        <v>0</v>
      </c>
      <c r="F1885" t="str">
        <f t="shared" si="89"/>
        <v>Lower Risk</v>
      </c>
      <c r="G1885" t="s">
        <v>3</v>
      </c>
      <c r="H1885" t="s">
        <v>4</v>
      </c>
      <c r="I1885" t="s">
        <v>5</v>
      </c>
      <c r="J1885">
        <v>105.29</v>
      </c>
      <c r="K1885">
        <v>27.6</v>
      </c>
      <c r="L1885" t="s">
        <v>6</v>
      </c>
      <c r="M1885">
        <v>0</v>
      </c>
      <c r="N1885" t="str">
        <f t="shared" si="87"/>
        <v>40–59</v>
      </c>
      <c r="O1885" t="str">
        <f t="shared" si="88"/>
        <v>Overweight</v>
      </c>
    </row>
    <row r="1886" spans="1:15" x14ac:dyDescent="0.3">
      <c r="A1886">
        <v>48739</v>
      </c>
      <c r="B1886" t="s">
        <v>2</v>
      </c>
      <c r="C1886">
        <v>47</v>
      </c>
      <c r="D1886">
        <v>0</v>
      </c>
      <c r="E1886">
        <v>0</v>
      </c>
      <c r="F1886" t="str">
        <f t="shared" si="89"/>
        <v>Lower Risk</v>
      </c>
      <c r="G1886" t="s">
        <v>3</v>
      </c>
      <c r="H1886" t="s">
        <v>8</v>
      </c>
      <c r="I1886" t="s">
        <v>5</v>
      </c>
      <c r="J1886">
        <v>135.19</v>
      </c>
      <c r="K1886">
        <v>36</v>
      </c>
      <c r="L1886" t="s">
        <v>12</v>
      </c>
      <c r="M1886">
        <v>0</v>
      </c>
      <c r="N1886" t="str">
        <f t="shared" si="87"/>
        <v>40–59</v>
      </c>
      <c r="O1886" t="str">
        <f t="shared" si="88"/>
        <v>Obese</v>
      </c>
    </row>
    <row r="1887" spans="1:15" x14ac:dyDescent="0.3">
      <c r="A1887">
        <v>52428</v>
      </c>
      <c r="B1887" t="s">
        <v>2</v>
      </c>
      <c r="C1887">
        <v>25</v>
      </c>
      <c r="D1887">
        <v>0</v>
      </c>
      <c r="E1887">
        <v>0</v>
      </c>
      <c r="F1887" t="str">
        <f t="shared" si="89"/>
        <v>Lower Risk</v>
      </c>
      <c r="G1887" t="s">
        <v>13</v>
      </c>
      <c r="H1887" t="s">
        <v>4</v>
      </c>
      <c r="I1887" t="s">
        <v>5</v>
      </c>
      <c r="J1887">
        <v>116.12</v>
      </c>
      <c r="K1887">
        <v>20.399999999999999</v>
      </c>
      <c r="L1887" t="s">
        <v>12</v>
      </c>
      <c r="M1887">
        <v>0</v>
      </c>
      <c r="N1887" t="str">
        <f t="shared" si="87"/>
        <v>Under 40</v>
      </c>
      <c r="O1887" t="str">
        <f t="shared" si="88"/>
        <v>Normal</v>
      </c>
    </row>
    <row r="1888" spans="1:15" x14ac:dyDescent="0.3">
      <c r="A1888">
        <v>61171</v>
      </c>
      <c r="B1888" t="s">
        <v>7</v>
      </c>
      <c r="C1888">
        <v>31</v>
      </c>
      <c r="D1888">
        <v>0</v>
      </c>
      <c r="E1888">
        <v>0</v>
      </c>
      <c r="F1888" t="str">
        <f t="shared" si="89"/>
        <v>Lower Risk</v>
      </c>
      <c r="G1888" t="s">
        <v>13</v>
      </c>
      <c r="H1888" t="s">
        <v>4</v>
      </c>
      <c r="I1888" t="s">
        <v>9</v>
      </c>
      <c r="J1888">
        <v>59.63</v>
      </c>
      <c r="K1888">
        <v>19.899999999999999</v>
      </c>
      <c r="L1888" t="s">
        <v>11</v>
      </c>
      <c r="M1888">
        <v>0</v>
      </c>
      <c r="N1888" t="str">
        <f t="shared" si="87"/>
        <v>Under 40</v>
      </c>
      <c r="O1888" t="str">
        <f t="shared" si="88"/>
        <v>Normal</v>
      </c>
    </row>
    <row r="1889" spans="1:15" x14ac:dyDescent="0.3">
      <c r="A1889">
        <v>40878</v>
      </c>
      <c r="B1889" t="s">
        <v>2</v>
      </c>
      <c r="C1889">
        <v>71</v>
      </c>
      <c r="D1889">
        <v>0</v>
      </c>
      <c r="E1889">
        <v>0</v>
      </c>
      <c r="F1889" t="str">
        <f t="shared" si="89"/>
        <v>Moderate Risk</v>
      </c>
      <c r="G1889" t="s">
        <v>3</v>
      </c>
      <c r="H1889" t="s">
        <v>8</v>
      </c>
      <c r="I1889" t="s">
        <v>9</v>
      </c>
      <c r="J1889">
        <v>56.43</v>
      </c>
      <c r="K1889">
        <v>29.2</v>
      </c>
      <c r="L1889" t="s">
        <v>6</v>
      </c>
      <c r="M1889">
        <v>0</v>
      </c>
      <c r="N1889" t="str">
        <f t="shared" si="87"/>
        <v>60+</v>
      </c>
      <c r="O1889" t="str">
        <f t="shared" si="88"/>
        <v>Overweight</v>
      </c>
    </row>
    <row r="1890" spans="1:15" x14ac:dyDescent="0.3">
      <c r="A1890">
        <v>61247</v>
      </c>
      <c r="B1890" t="s">
        <v>7</v>
      </c>
      <c r="C1890">
        <v>32</v>
      </c>
      <c r="D1890">
        <v>0</v>
      </c>
      <c r="E1890">
        <v>0</v>
      </c>
      <c r="F1890" t="str">
        <f t="shared" si="89"/>
        <v>Lower Risk</v>
      </c>
      <c r="G1890" t="s">
        <v>13</v>
      </c>
      <c r="H1890" t="s">
        <v>4</v>
      </c>
      <c r="I1890" t="s">
        <v>9</v>
      </c>
      <c r="J1890">
        <v>199.18</v>
      </c>
      <c r="K1890">
        <v>27.9</v>
      </c>
      <c r="L1890" t="s">
        <v>11</v>
      </c>
      <c r="M1890">
        <v>0</v>
      </c>
      <c r="N1890" t="str">
        <f t="shared" si="87"/>
        <v>Under 40</v>
      </c>
      <c r="O1890" t="str">
        <f t="shared" si="88"/>
        <v>Overweight</v>
      </c>
    </row>
    <row r="1891" spans="1:15" x14ac:dyDescent="0.3">
      <c r="A1891">
        <v>27799</v>
      </c>
      <c r="B1891" t="s">
        <v>2</v>
      </c>
      <c r="C1891">
        <v>72</v>
      </c>
      <c r="D1891">
        <v>0</v>
      </c>
      <c r="E1891">
        <v>0</v>
      </c>
      <c r="F1891" t="str">
        <f t="shared" si="89"/>
        <v>Moderate Risk</v>
      </c>
      <c r="G1891" t="s">
        <v>3</v>
      </c>
      <c r="H1891" t="s">
        <v>4</v>
      </c>
      <c r="I1891" t="s">
        <v>9</v>
      </c>
      <c r="J1891">
        <v>209.26</v>
      </c>
      <c r="K1891">
        <v>38.1</v>
      </c>
      <c r="L1891" t="s">
        <v>6</v>
      </c>
      <c r="M1891">
        <v>0</v>
      </c>
      <c r="N1891" t="str">
        <f t="shared" si="87"/>
        <v>60+</v>
      </c>
      <c r="O1891" t="str">
        <f t="shared" si="88"/>
        <v>Obese</v>
      </c>
    </row>
    <row r="1892" spans="1:15" x14ac:dyDescent="0.3">
      <c r="A1892">
        <v>2824</v>
      </c>
      <c r="B1892" t="s">
        <v>7</v>
      </c>
      <c r="C1892">
        <v>44</v>
      </c>
      <c r="D1892">
        <v>0</v>
      </c>
      <c r="E1892">
        <v>0</v>
      </c>
      <c r="F1892" t="str">
        <f t="shared" si="89"/>
        <v>Lower Risk</v>
      </c>
      <c r="G1892" t="s">
        <v>3</v>
      </c>
      <c r="H1892" t="s">
        <v>15</v>
      </c>
      <c r="I1892" t="s">
        <v>5</v>
      </c>
      <c r="J1892">
        <v>91.21</v>
      </c>
      <c r="K1892">
        <v>24.1</v>
      </c>
      <c r="L1892" t="s">
        <v>11</v>
      </c>
      <c r="M1892">
        <v>0</v>
      </c>
      <c r="N1892" t="str">
        <f t="shared" si="87"/>
        <v>40–59</v>
      </c>
      <c r="O1892" t="str">
        <f t="shared" si="88"/>
        <v>Normal</v>
      </c>
    </row>
    <row r="1893" spans="1:15" x14ac:dyDescent="0.3">
      <c r="A1893">
        <v>12376</v>
      </c>
      <c r="B1893" t="s">
        <v>2</v>
      </c>
      <c r="C1893">
        <v>63</v>
      </c>
      <c r="D1893">
        <v>0</v>
      </c>
      <c r="E1893">
        <v>0</v>
      </c>
      <c r="F1893" t="str">
        <f t="shared" si="89"/>
        <v>Moderate Risk</v>
      </c>
      <c r="G1893" t="s">
        <v>3</v>
      </c>
      <c r="H1893" t="s">
        <v>15</v>
      </c>
      <c r="I1893" t="s">
        <v>5</v>
      </c>
      <c r="J1893">
        <v>95.16</v>
      </c>
      <c r="K1893">
        <v>37.799999999999997</v>
      </c>
      <c r="L1893" t="s">
        <v>6</v>
      </c>
      <c r="M1893">
        <v>0</v>
      </c>
      <c r="N1893" t="str">
        <f t="shared" si="87"/>
        <v>60+</v>
      </c>
      <c r="O1893" t="str">
        <f t="shared" si="88"/>
        <v>Obese</v>
      </c>
    </row>
    <row r="1894" spans="1:15" x14ac:dyDescent="0.3">
      <c r="A1894">
        <v>72435</v>
      </c>
      <c r="B1894" t="s">
        <v>7</v>
      </c>
      <c r="C1894">
        <v>37</v>
      </c>
      <c r="D1894">
        <v>0</v>
      </c>
      <c r="E1894">
        <v>0</v>
      </c>
      <c r="F1894" t="str">
        <f t="shared" si="89"/>
        <v>Lower Risk</v>
      </c>
      <c r="G1894" t="s">
        <v>3</v>
      </c>
      <c r="H1894" t="s">
        <v>4</v>
      </c>
      <c r="I1894" t="s">
        <v>5</v>
      </c>
      <c r="J1894">
        <v>217.11</v>
      </c>
      <c r="K1894">
        <v>29.1</v>
      </c>
      <c r="L1894" t="s">
        <v>11</v>
      </c>
      <c r="M1894">
        <v>0</v>
      </c>
      <c r="N1894" t="str">
        <f t="shared" si="87"/>
        <v>Under 40</v>
      </c>
      <c r="O1894" t="str">
        <f t="shared" si="88"/>
        <v>Overweight</v>
      </c>
    </row>
    <row r="1895" spans="1:15" x14ac:dyDescent="0.3">
      <c r="A1895">
        <v>46864</v>
      </c>
      <c r="B1895" t="s">
        <v>2</v>
      </c>
      <c r="C1895">
        <v>54</v>
      </c>
      <c r="D1895">
        <v>0</v>
      </c>
      <c r="E1895">
        <v>1</v>
      </c>
      <c r="F1895" t="str">
        <f t="shared" si="89"/>
        <v>Lower Risk</v>
      </c>
      <c r="G1895" t="s">
        <v>3</v>
      </c>
      <c r="H1895" t="s">
        <v>15</v>
      </c>
      <c r="I1895" t="s">
        <v>5</v>
      </c>
      <c r="J1895">
        <v>222.46</v>
      </c>
      <c r="K1895">
        <v>35.700000000000003</v>
      </c>
      <c r="L1895" t="s">
        <v>11</v>
      </c>
      <c r="M1895">
        <v>0</v>
      </c>
      <c r="N1895" t="str">
        <f t="shared" si="87"/>
        <v>40–59</v>
      </c>
      <c r="O1895" t="str">
        <f t="shared" si="88"/>
        <v>Obese</v>
      </c>
    </row>
    <row r="1896" spans="1:15" x14ac:dyDescent="0.3">
      <c r="A1896">
        <v>2019</v>
      </c>
      <c r="B1896" t="s">
        <v>2</v>
      </c>
      <c r="C1896">
        <v>20</v>
      </c>
      <c r="D1896">
        <v>0</v>
      </c>
      <c r="E1896">
        <v>0</v>
      </c>
      <c r="F1896" t="str">
        <f t="shared" si="89"/>
        <v>Lower Risk</v>
      </c>
      <c r="G1896" t="s">
        <v>13</v>
      </c>
      <c r="H1896" t="s">
        <v>4</v>
      </c>
      <c r="I1896" t="s">
        <v>9</v>
      </c>
      <c r="J1896">
        <v>70.959999999999994</v>
      </c>
      <c r="K1896" t="s">
        <v>10</v>
      </c>
      <c r="L1896" t="s">
        <v>14</v>
      </c>
      <c r="M1896">
        <v>0</v>
      </c>
      <c r="N1896" t="str">
        <f t="shared" si="87"/>
        <v>Under 40</v>
      </c>
      <c r="O1896" t="str">
        <f t="shared" si="88"/>
        <v>Unknown</v>
      </c>
    </row>
    <row r="1897" spans="1:15" x14ac:dyDescent="0.3">
      <c r="A1897">
        <v>26154</v>
      </c>
      <c r="B1897" t="s">
        <v>2</v>
      </c>
      <c r="C1897">
        <v>56</v>
      </c>
      <c r="D1897">
        <v>0</v>
      </c>
      <c r="E1897">
        <v>0</v>
      </c>
      <c r="F1897" t="str">
        <f t="shared" si="89"/>
        <v>Lower Risk</v>
      </c>
      <c r="G1897" t="s">
        <v>3</v>
      </c>
      <c r="H1897" t="s">
        <v>4</v>
      </c>
      <c r="I1897" t="s">
        <v>9</v>
      </c>
      <c r="J1897">
        <v>82.44</v>
      </c>
      <c r="K1897">
        <v>34.5</v>
      </c>
      <c r="L1897" t="s">
        <v>11</v>
      </c>
      <c r="M1897">
        <v>0</v>
      </c>
      <c r="N1897" t="str">
        <f t="shared" si="87"/>
        <v>40–59</v>
      </c>
      <c r="O1897" t="str">
        <f t="shared" si="88"/>
        <v>Obese</v>
      </c>
    </row>
    <row r="1898" spans="1:15" x14ac:dyDescent="0.3">
      <c r="A1898">
        <v>47972</v>
      </c>
      <c r="B1898" t="s">
        <v>7</v>
      </c>
      <c r="C1898">
        <v>25</v>
      </c>
      <c r="D1898">
        <v>0</v>
      </c>
      <c r="E1898">
        <v>0</v>
      </c>
      <c r="F1898" t="str">
        <f t="shared" si="89"/>
        <v>Lower Risk</v>
      </c>
      <c r="G1898" t="s">
        <v>13</v>
      </c>
      <c r="H1898" t="s">
        <v>15</v>
      </c>
      <c r="I1898" t="s">
        <v>9</v>
      </c>
      <c r="J1898">
        <v>74.11</v>
      </c>
      <c r="K1898">
        <v>34.1</v>
      </c>
      <c r="L1898" t="s">
        <v>12</v>
      </c>
      <c r="M1898">
        <v>0</v>
      </c>
      <c r="N1898" t="str">
        <f t="shared" si="87"/>
        <v>Under 40</v>
      </c>
      <c r="O1898" t="str">
        <f t="shared" si="88"/>
        <v>Obese</v>
      </c>
    </row>
    <row r="1899" spans="1:15" x14ac:dyDescent="0.3">
      <c r="A1899">
        <v>47751</v>
      </c>
      <c r="B1899" t="s">
        <v>7</v>
      </c>
      <c r="C1899">
        <v>19</v>
      </c>
      <c r="D1899">
        <v>0</v>
      </c>
      <c r="E1899">
        <v>0</v>
      </c>
      <c r="F1899" t="str">
        <f t="shared" si="89"/>
        <v>Lower Risk</v>
      </c>
      <c r="G1899" t="s">
        <v>13</v>
      </c>
      <c r="H1899" t="s">
        <v>4</v>
      </c>
      <c r="I1899" t="s">
        <v>5</v>
      </c>
      <c r="J1899">
        <v>131.22999999999999</v>
      </c>
      <c r="K1899">
        <v>21.1</v>
      </c>
      <c r="L1899" t="s">
        <v>14</v>
      </c>
      <c r="M1899">
        <v>0</v>
      </c>
      <c r="N1899" t="str">
        <f t="shared" si="87"/>
        <v>Under 40</v>
      </c>
      <c r="O1899" t="str">
        <f t="shared" si="88"/>
        <v>Normal</v>
      </c>
    </row>
    <row r="1900" spans="1:15" x14ac:dyDescent="0.3">
      <c r="A1900">
        <v>25405</v>
      </c>
      <c r="B1900" t="s">
        <v>2</v>
      </c>
      <c r="C1900">
        <v>62</v>
      </c>
      <c r="D1900">
        <v>0</v>
      </c>
      <c r="E1900">
        <v>0</v>
      </c>
      <c r="F1900" t="str">
        <f t="shared" si="89"/>
        <v>Moderate Risk</v>
      </c>
      <c r="G1900" t="s">
        <v>3</v>
      </c>
      <c r="H1900" t="s">
        <v>15</v>
      </c>
      <c r="I1900" t="s">
        <v>5</v>
      </c>
      <c r="J1900">
        <v>187.52</v>
      </c>
      <c r="K1900">
        <v>57.7</v>
      </c>
      <c r="L1900" t="s">
        <v>11</v>
      </c>
      <c r="M1900">
        <v>0</v>
      </c>
      <c r="N1900" t="str">
        <f t="shared" si="87"/>
        <v>60+</v>
      </c>
      <c r="O1900" t="str">
        <f t="shared" si="88"/>
        <v>Obese</v>
      </c>
    </row>
    <row r="1901" spans="1:15" x14ac:dyDescent="0.3">
      <c r="A1901">
        <v>34525</v>
      </c>
      <c r="B1901" t="s">
        <v>7</v>
      </c>
      <c r="C1901">
        <v>27</v>
      </c>
      <c r="D1901">
        <v>0</v>
      </c>
      <c r="E1901">
        <v>0</v>
      </c>
      <c r="F1901" t="str">
        <f t="shared" si="89"/>
        <v>Lower Risk</v>
      </c>
      <c r="G1901" t="s">
        <v>13</v>
      </c>
      <c r="H1901" t="s">
        <v>4</v>
      </c>
      <c r="I1901" t="s">
        <v>9</v>
      </c>
      <c r="J1901">
        <v>83.26</v>
      </c>
      <c r="K1901">
        <v>22.2</v>
      </c>
      <c r="L1901" t="s">
        <v>11</v>
      </c>
      <c r="M1901">
        <v>0</v>
      </c>
      <c r="N1901" t="str">
        <f t="shared" si="87"/>
        <v>Under 40</v>
      </c>
      <c r="O1901" t="str">
        <f t="shared" si="88"/>
        <v>Normal</v>
      </c>
    </row>
    <row r="1902" spans="1:15" x14ac:dyDescent="0.3">
      <c r="A1902">
        <v>13755</v>
      </c>
      <c r="B1902" t="s">
        <v>2</v>
      </c>
      <c r="C1902">
        <v>5</v>
      </c>
      <c r="D1902">
        <v>0</v>
      </c>
      <c r="E1902">
        <v>0</v>
      </c>
      <c r="F1902" t="str">
        <f t="shared" si="89"/>
        <v>Lower Risk</v>
      </c>
      <c r="G1902" t="s">
        <v>13</v>
      </c>
      <c r="H1902" t="s">
        <v>16</v>
      </c>
      <c r="I1902" t="s">
        <v>9</v>
      </c>
      <c r="J1902">
        <v>99.07</v>
      </c>
      <c r="K1902">
        <v>20.5</v>
      </c>
      <c r="L1902" t="s">
        <v>14</v>
      </c>
      <c r="M1902">
        <v>0</v>
      </c>
      <c r="N1902" t="str">
        <f t="shared" si="87"/>
        <v>Under 40</v>
      </c>
      <c r="O1902" t="str">
        <f t="shared" si="88"/>
        <v>Normal</v>
      </c>
    </row>
    <row r="1903" spans="1:15" x14ac:dyDescent="0.3">
      <c r="A1903">
        <v>56019</v>
      </c>
      <c r="B1903" t="s">
        <v>7</v>
      </c>
      <c r="C1903">
        <v>20</v>
      </c>
      <c r="D1903">
        <v>0</v>
      </c>
      <c r="E1903">
        <v>0</v>
      </c>
      <c r="F1903" t="str">
        <f t="shared" si="89"/>
        <v>Lower Risk</v>
      </c>
      <c r="G1903" t="s">
        <v>13</v>
      </c>
      <c r="H1903" t="s">
        <v>4</v>
      </c>
      <c r="I1903" t="s">
        <v>5</v>
      </c>
      <c r="J1903">
        <v>76.63</v>
      </c>
      <c r="K1903">
        <v>26.2</v>
      </c>
      <c r="L1903" t="s">
        <v>11</v>
      </c>
      <c r="M1903">
        <v>0</v>
      </c>
      <c r="N1903" t="str">
        <f t="shared" si="87"/>
        <v>Under 40</v>
      </c>
      <c r="O1903" t="str">
        <f t="shared" si="88"/>
        <v>Overweight</v>
      </c>
    </row>
    <row r="1904" spans="1:15" x14ac:dyDescent="0.3">
      <c r="A1904">
        <v>67942</v>
      </c>
      <c r="B1904" t="s">
        <v>2</v>
      </c>
      <c r="C1904">
        <v>21</v>
      </c>
      <c r="D1904">
        <v>0</v>
      </c>
      <c r="E1904">
        <v>0</v>
      </c>
      <c r="F1904" t="str">
        <f t="shared" si="89"/>
        <v>Lower Risk</v>
      </c>
      <c r="G1904" t="s">
        <v>13</v>
      </c>
      <c r="H1904" t="s">
        <v>4</v>
      </c>
      <c r="I1904" t="s">
        <v>9</v>
      </c>
      <c r="J1904">
        <v>65.09</v>
      </c>
      <c r="K1904">
        <v>23.5</v>
      </c>
      <c r="L1904" t="s">
        <v>11</v>
      </c>
      <c r="M1904">
        <v>0</v>
      </c>
      <c r="N1904" t="str">
        <f t="shared" si="87"/>
        <v>Under 40</v>
      </c>
      <c r="O1904" t="str">
        <f t="shared" si="88"/>
        <v>Normal</v>
      </c>
    </row>
    <row r="1905" spans="1:15" x14ac:dyDescent="0.3">
      <c r="A1905">
        <v>43806</v>
      </c>
      <c r="B1905" t="s">
        <v>2</v>
      </c>
      <c r="C1905">
        <v>44</v>
      </c>
      <c r="D1905">
        <v>0</v>
      </c>
      <c r="E1905">
        <v>0</v>
      </c>
      <c r="F1905" t="str">
        <f t="shared" si="89"/>
        <v>Lower Risk</v>
      </c>
      <c r="G1905" t="s">
        <v>3</v>
      </c>
      <c r="H1905" t="s">
        <v>4</v>
      </c>
      <c r="I1905" t="s">
        <v>5</v>
      </c>
      <c r="J1905">
        <v>142.31</v>
      </c>
      <c r="K1905">
        <v>29.1</v>
      </c>
      <c r="L1905" t="s">
        <v>12</v>
      </c>
      <c r="M1905">
        <v>0</v>
      </c>
      <c r="N1905" t="str">
        <f t="shared" si="87"/>
        <v>40–59</v>
      </c>
      <c r="O1905" t="str">
        <f t="shared" si="88"/>
        <v>Overweight</v>
      </c>
    </row>
    <row r="1906" spans="1:15" x14ac:dyDescent="0.3">
      <c r="A1906">
        <v>39849</v>
      </c>
      <c r="B1906" t="s">
        <v>2</v>
      </c>
      <c r="C1906">
        <v>39</v>
      </c>
      <c r="D1906">
        <v>1</v>
      </c>
      <c r="E1906">
        <v>0</v>
      </c>
      <c r="F1906" t="str">
        <f t="shared" si="89"/>
        <v>Lower Risk</v>
      </c>
      <c r="G1906" t="s">
        <v>13</v>
      </c>
      <c r="H1906" t="s">
        <v>4</v>
      </c>
      <c r="I1906" t="s">
        <v>5</v>
      </c>
      <c r="J1906">
        <v>80.989999999999995</v>
      </c>
      <c r="K1906">
        <v>39.799999999999997</v>
      </c>
      <c r="L1906" t="s">
        <v>14</v>
      </c>
      <c r="M1906">
        <v>0</v>
      </c>
      <c r="N1906" t="str">
        <f t="shared" si="87"/>
        <v>Under 40</v>
      </c>
      <c r="O1906" t="str">
        <f t="shared" si="88"/>
        <v>Obese</v>
      </c>
    </row>
    <row r="1907" spans="1:15" x14ac:dyDescent="0.3">
      <c r="A1907">
        <v>7344</v>
      </c>
      <c r="B1907" t="s">
        <v>2</v>
      </c>
      <c r="C1907">
        <v>38</v>
      </c>
      <c r="D1907">
        <v>0</v>
      </c>
      <c r="E1907">
        <v>0</v>
      </c>
      <c r="F1907" t="str">
        <f t="shared" si="89"/>
        <v>Lower Risk</v>
      </c>
      <c r="G1907" t="s">
        <v>3</v>
      </c>
      <c r="H1907" t="s">
        <v>15</v>
      </c>
      <c r="I1907" t="s">
        <v>9</v>
      </c>
      <c r="J1907">
        <v>237.74</v>
      </c>
      <c r="K1907">
        <v>21.2</v>
      </c>
      <c r="L1907" t="s">
        <v>11</v>
      </c>
      <c r="M1907">
        <v>0</v>
      </c>
      <c r="N1907" t="str">
        <f t="shared" si="87"/>
        <v>Under 40</v>
      </c>
      <c r="O1907" t="str">
        <f t="shared" si="88"/>
        <v>Normal</v>
      </c>
    </row>
    <row r="1908" spans="1:15" x14ac:dyDescent="0.3">
      <c r="A1908">
        <v>1741</v>
      </c>
      <c r="B1908" t="s">
        <v>2</v>
      </c>
      <c r="C1908">
        <v>77</v>
      </c>
      <c r="D1908">
        <v>0</v>
      </c>
      <c r="E1908">
        <v>0</v>
      </c>
      <c r="F1908" t="str">
        <f t="shared" si="89"/>
        <v>Moderate Risk</v>
      </c>
      <c r="G1908" t="s">
        <v>3</v>
      </c>
      <c r="H1908" t="s">
        <v>4</v>
      </c>
      <c r="I1908" t="s">
        <v>5</v>
      </c>
      <c r="J1908">
        <v>74.260000000000005</v>
      </c>
      <c r="K1908" t="s">
        <v>10</v>
      </c>
      <c r="L1908" t="s">
        <v>6</v>
      </c>
      <c r="M1908">
        <v>0</v>
      </c>
      <c r="N1908" t="str">
        <f t="shared" si="87"/>
        <v>60+</v>
      </c>
      <c r="O1908" t="str">
        <f t="shared" si="88"/>
        <v>Unknown</v>
      </c>
    </row>
    <row r="1909" spans="1:15" x14ac:dyDescent="0.3">
      <c r="A1909">
        <v>52220</v>
      </c>
      <c r="B1909" t="s">
        <v>7</v>
      </c>
      <c r="C1909">
        <v>26</v>
      </c>
      <c r="D1909">
        <v>0</v>
      </c>
      <c r="E1909">
        <v>0</v>
      </c>
      <c r="F1909" t="str">
        <f t="shared" si="89"/>
        <v>Lower Risk</v>
      </c>
      <c r="G1909" t="s">
        <v>13</v>
      </c>
      <c r="H1909" t="s">
        <v>4</v>
      </c>
      <c r="I1909" t="s">
        <v>9</v>
      </c>
      <c r="J1909">
        <v>154.08000000000001</v>
      </c>
      <c r="K1909">
        <v>20.2</v>
      </c>
      <c r="L1909" t="s">
        <v>6</v>
      </c>
      <c r="M1909">
        <v>0</v>
      </c>
      <c r="N1909" t="str">
        <f t="shared" si="87"/>
        <v>Under 40</v>
      </c>
      <c r="O1909" t="str">
        <f t="shared" si="88"/>
        <v>Normal</v>
      </c>
    </row>
    <row r="1910" spans="1:15" x14ac:dyDescent="0.3">
      <c r="A1910">
        <v>20129</v>
      </c>
      <c r="B1910" t="s">
        <v>2</v>
      </c>
      <c r="C1910">
        <v>51</v>
      </c>
      <c r="D1910">
        <v>0</v>
      </c>
      <c r="E1910">
        <v>0</v>
      </c>
      <c r="F1910" t="str">
        <f t="shared" si="89"/>
        <v>Lower Risk</v>
      </c>
      <c r="G1910" t="s">
        <v>3</v>
      </c>
      <c r="H1910" t="s">
        <v>4</v>
      </c>
      <c r="I1910" t="s">
        <v>9</v>
      </c>
      <c r="J1910">
        <v>78.290000000000006</v>
      </c>
      <c r="K1910">
        <v>30.8</v>
      </c>
      <c r="L1910" t="s">
        <v>11</v>
      </c>
      <c r="M1910">
        <v>0</v>
      </c>
      <c r="N1910" t="str">
        <f t="shared" si="87"/>
        <v>40–59</v>
      </c>
      <c r="O1910" t="str">
        <f t="shared" si="88"/>
        <v>Obese</v>
      </c>
    </row>
    <row r="1911" spans="1:15" x14ac:dyDescent="0.3">
      <c r="A1911">
        <v>61178</v>
      </c>
      <c r="B1911" t="s">
        <v>2</v>
      </c>
      <c r="C1911">
        <v>39</v>
      </c>
      <c r="D1911">
        <v>0</v>
      </c>
      <c r="E1911">
        <v>0</v>
      </c>
      <c r="F1911" t="str">
        <f t="shared" si="89"/>
        <v>Lower Risk</v>
      </c>
      <c r="G1911" t="s">
        <v>3</v>
      </c>
      <c r="H1911" t="s">
        <v>4</v>
      </c>
      <c r="I1911" t="s">
        <v>5</v>
      </c>
      <c r="J1911">
        <v>164.67</v>
      </c>
      <c r="K1911">
        <v>33.799999999999997</v>
      </c>
      <c r="L1911" t="s">
        <v>14</v>
      </c>
      <c r="M1911">
        <v>0</v>
      </c>
      <c r="N1911" t="str">
        <f t="shared" si="87"/>
        <v>Under 40</v>
      </c>
      <c r="O1911" t="str">
        <f t="shared" si="88"/>
        <v>Obese</v>
      </c>
    </row>
    <row r="1912" spans="1:15" x14ac:dyDescent="0.3">
      <c r="A1912">
        <v>48226</v>
      </c>
      <c r="B1912" t="s">
        <v>7</v>
      </c>
      <c r="C1912">
        <v>5</v>
      </c>
      <c r="D1912">
        <v>0</v>
      </c>
      <c r="E1912">
        <v>0</v>
      </c>
      <c r="F1912" t="str">
        <f t="shared" si="89"/>
        <v>Lower Risk</v>
      </c>
      <c r="G1912" t="s">
        <v>13</v>
      </c>
      <c r="H1912" t="s">
        <v>16</v>
      </c>
      <c r="I1912" t="s">
        <v>9</v>
      </c>
      <c r="J1912">
        <v>59.61</v>
      </c>
      <c r="K1912">
        <v>17.100000000000001</v>
      </c>
      <c r="L1912" t="s">
        <v>14</v>
      </c>
      <c r="M1912">
        <v>0</v>
      </c>
      <c r="N1912" t="str">
        <f t="shared" si="87"/>
        <v>Under 40</v>
      </c>
      <c r="O1912" t="str">
        <f t="shared" si="88"/>
        <v>Underweight</v>
      </c>
    </row>
    <row r="1913" spans="1:15" x14ac:dyDescent="0.3">
      <c r="A1913">
        <v>1151</v>
      </c>
      <c r="B1913" t="s">
        <v>7</v>
      </c>
      <c r="C1913">
        <v>59</v>
      </c>
      <c r="D1913">
        <v>0</v>
      </c>
      <c r="E1913">
        <v>0</v>
      </c>
      <c r="F1913" t="str">
        <f t="shared" si="89"/>
        <v>Lower Risk</v>
      </c>
      <c r="G1913" t="s">
        <v>3</v>
      </c>
      <c r="H1913" t="s">
        <v>8</v>
      </c>
      <c r="I1913" t="s">
        <v>5</v>
      </c>
      <c r="J1913">
        <v>67.75</v>
      </c>
      <c r="K1913">
        <v>21.3</v>
      </c>
      <c r="L1913" t="s">
        <v>6</v>
      </c>
      <c r="M1913">
        <v>0</v>
      </c>
      <c r="N1913" t="str">
        <f t="shared" si="87"/>
        <v>40–59</v>
      </c>
      <c r="O1913" t="str">
        <f t="shared" si="88"/>
        <v>Normal</v>
      </c>
    </row>
    <row r="1914" spans="1:15" x14ac:dyDescent="0.3">
      <c r="A1914">
        <v>6672</v>
      </c>
      <c r="B1914" t="s">
        <v>2</v>
      </c>
      <c r="C1914">
        <v>67</v>
      </c>
      <c r="D1914">
        <v>0</v>
      </c>
      <c r="E1914">
        <v>0</v>
      </c>
      <c r="F1914" t="str">
        <f t="shared" si="89"/>
        <v>Moderate Risk</v>
      </c>
      <c r="G1914" t="s">
        <v>3</v>
      </c>
      <c r="H1914" t="s">
        <v>4</v>
      </c>
      <c r="I1914" t="s">
        <v>5</v>
      </c>
      <c r="J1914">
        <v>92.73</v>
      </c>
      <c r="K1914" t="s">
        <v>10</v>
      </c>
      <c r="L1914" t="s">
        <v>11</v>
      </c>
      <c r="M1914">
        <v>0</v>
      </c>
      <c r="N1914" t="str">
        <f t="shared" si="87"/>
        <v>60+</v>
      </c>
      <c r="O1914" t="str">
        <f t="shared" si="88"/>
        <v>Unknown</v>
      </c>
    </row>
    <row r="1915" spans="1:15" x14ac:dyDescent="0.3">
      <c r="A1915">
        <v>10333</v>
      </c>
      <c r="B1915" t="s">
        <v>7</v>
      </c>
      <c r="C1915">
        <v>45</v>
      </c>
      <c r="D1915">
        <v>0</v>
      </c>
      <c r="E1915">
        <v>0</v>
      </c>
      <c r="F1915" t="str">
        <f t="shared" si="89"/>
        <v>Lower Risk</v>
      </c>
      <c r="G1915" t="s">
        <v>3</v>
      </c>
      <c r="H1915" t="s">
        <v>4</v>
      </c>
      <c r="I1915" t="s">
        <v>5</v>
      </c>
      <c r="J1915">
        <v>90.35</v>
      </c>
      <c r="K1915">
        <v>22.3</v>
      </c>
      <c r="L1915" t="s">
        <v>11</v>
      </c>
      <c r="M1915">
        <v>0</v>
      </c>
      <c r="N1915" t="str">
        <f t="shared" si="87"/>
        <v>40–59</v>
      </c>
      <c r="O1915" t="str">
        <f t="shared" si="88"/>
        <v>Normal</v>
      </c>
    </row>
    <row r="1916" spans="1:15" x14ac:dyDescent="0.3">
      <c r="A1916">
        <v>11134</v>
      </c>
      <c r="B1916" t="s">
        <v>2</v>
      </c>
      <c r="C1916">
        <v>43</v>
      </c>
      <c r="D1916">
        <v>0</v>
      </c>
      <c r="E1916">
        <v>0</v>
      </c>
      <c r="F1916" t="str">
        <f t="shared" si="89"/>
        <v>Lower Risk</v>
      </c>
      <c r="G1916" t="s">
        <v>3</v>
      </c>
      <c r="H1916" t="s">
        <v>4</v>
      </c>
      <c r="I1916" t="s">
        <v>9</v>
      </c>
      <c r="J1916">
        <v>77.86</v>
      </c>
      <c r="K1916">
        <v>28.9</v>
      </c>
      <c r="L1916" t="s">
        <v>11</v>
      </c>
      <c r="M1916">
        <v>0</v>
      </c>
      <c r="N1916" t="str">
        <f t="shared" si="87"/>
        <v>40–59</v>
      </c>
      <c r="O1916" t="str">
        <f t="shared" si="88"/>
        <v>Overweight</v>
      </c>
    </row>
    <row r="1917" spans="1:15" x14ac:dyDescent="0.3">
      <c r="A1917">
        <v>25199</v>
      </c>
      <c r="B1917" t="s">
        <v>7</v>
      </c>
      <c r="C1917">
        <v>80</v>
      </c>
      <c r="D1917">
        <v>0</v>
      </c>
      <c r="E1917">
        <v>0</v>
      </c>
      <c r="F1917" t="str">
        <f t="shared" si="89"/>
        <v>Moderate Risk</v>
      </c>
      <c r="G1917" t="s">
        <v>3</v>
      </c>
      <c r="H1917" t="s">
        <v>4</v>
      </c>
      <c r="I1917" t="s">
        <v>9</v>
      </c>
      <c r="J1917">
        <v>71.88</v>
      </c>
      <c r="K1917">
        <v>26.7</v>
      </c>
      <c r="L1917" t="s">
        <v>11</v>
      </c>
      <c r="M1917">
        <v>0</v>
      </c>
      <c r="N1917" t="str">
        <f t="shared" si="87"/>
        <v>60+</v>
      </c>
      <c r="O1917" t="str">
        <f t="shared" si="88"/>
        <v>Overweight</v>
      </c>
    </row>
    <row r="1918" spans="1:15" x14ac:dyDescent="0.3">
      <c r="A1918">
        <v>66490</v>
      </c>
      <c r="B1918" t="s">
        <v>2</v>
      </c>
      <c r="C1918">
        <v>42</v>
      </c>
      <c r="D1918">
        <v>1</v>
      </c>
      <c r="E1918">
        <v>0</v>
      </c>
      <c r="F1918" t="str">
        <f t="shared" si="89"/>
        <v>Lower Risk</v>
      </c>
      <c r="G1918" t="s">
        <v>3</v>
      </c>
      <c r="H1918" t="s">
        <v>15</v>
      </c>
      <c r="I1918" t="s">
        <v>5</v>
      </c>
      <c r="J1918">
        <v>118.82</v>
      </c>
      <c r="K1918">
        <v>41</v>
      </c>
      <c r="L1918" t="s">
        <v>12</v>
      </c>
      <c r="M1918">
        <v>0</v>
      </c>
      <c r="N1918" t="str">
        <f t="shared" si="87"/>
        <v>40–59</v>
      </c>
      <c r="O1918" t="str">
        <f t="shared" si="88"/>
        <v>Obese</v>
      </c>
    </row>
    <row r="1919" spans="1:15" x14ac:dyDescent="0.3">
      <c r="A1919">
        <v>10390</v>
      </c>
      <c r="B1919" t="s">
        <v>7</v>
      </c>
      <c r="C1919">
        <v>8</v>
      </c>
      <c r="D1919">
        <v>0</v>
      </c>
      <c r="E1919">
        <v>0</v>
      </c>
      <c r="F1919" t="str">
        <f t="shared" si="89"/>
        <v>Lower Risk</v>
      </c>
      <c r="G1919" t="s">
        <v>13</v>
      </c>
      <c r="H1919" t="s">
        <v>16</v>
      </c>
      <c r="I1919" t="s">
        <v>5</v>
      </c>
      <c r="J1919">
        <v>67.33</v>
      </c>
      <c r="K1919">
        <v>16.7</v>
      </c>
      <c r="L1919" t="s">
        <v>14</v>
      </c>
      <c r="M1919">
        <v>0</v>
      </c>
      <c r="N1919" t="str">
        <f t="shared" si="87"/>
        <v>Under 40</v>
      </c>
      <c r="O1919" t="str">
        <f t="shared" si="88"/>
        <v>Underweight</v>
      </c>
    </row>
    <row r="1920" spans="1:15" x14ac:dyDescent="0.3">
      <c r="A1920">
        <v>33144</v>
      </c>
      <c r="B1920" t="s">
        <v>7</v>
      </c>
      <c r="C1920">
        <v>68</v>
      </c>
      <c r="D1920">
        <v>0</v>
      </c>
      <c r="E1920">
        <v>0</v>
      </c>
      <c r="F1920" t="str">
        <f t="shared" si="89"/>
        <v>Moderate Risk</v>
      </c>
      <c r="G1920" t="s">
        <v>13</v>
      </c>
      <c r="H1920" t="s">
        <v>15</v>
      </c>
      <c r="I1920" t="s">
        <v>5</v>
      </c>
      <c r="J1920">
        <v>121.66</v>
      </c>
      <c r="K1920">
        <v>29.1</v>
      </c>
      <c r="L1920" t="s">
        <v>12</v>
      </c>
      <c r="M1920">
        <v>0</v>
      </c>
      <c r="N1920" t="str">
        <f t="shared" si="87"/>
        <v>60+</v>
      </c>
      <c r="O1920" t="str">
        <f t="shared" si="88"/>
        <v>Overweight</v>
      </c>
    </row>
    <row r="1921" spans="1:15" x14ac:dyDescent="0.3">
      <c r="A1921">
        <v>72497</v>
      </c>
      <c r="B1921" t="s">
        <v>7</v>
      </c>
      <c r="C1921">
        <v>5</v>
      </c>
      <c r="D1921">
        <v>0</v>
      </c>
      <c r="E1921">
        <v>0</v>
      </c>
      <c r="F1921" t="str">
        <f t="shared" si="89"/>
        <v>Lower Risk</v>
      </c>
      <c r="G1921" t="s">
        <v>13</v>
      </c>
      <c r="H1921" t="s">
        <v>16</v>
      </c>
      <c r="I1921" t="s">
        <v>9</v>
      </c>
      <c r="J1921">
        <v>111.92</v>
      </c>
      <c r="K1921">
        <v>23.6</v>
      </c>
      <c r="L1921" t="s">
        <v>14</v>
      </c>
      <c r="M1921">
        <v>0</v>
      </c>
      <c r="N1921" t="str">
        <f t="shared" si="87"/>
        <v>Under 40</v>
      </c>
      <c r="O1921" t="str">
        <f t="shared" si="88"/>
        <v>Normal</v>
      </c>
    </row>
    <row r="1922" spans="1:15" x14ac:dyDescent="0.3">
      <c r="A1922">
        <v>16783</v>
      </c>
      <c r="B1922" t="s">
        <v>2</v>
      </c>
      <c r="C1922">
        <v>57</v>
      </c>
      <c r="D1922">
        <v>0</v>
      </c>
      <c r="E1922">
        <v>1</v>
      </c>
      <c r="F1922" t="str">
        <f t="shared" si="89"/>
        <v>Lower Risk</v>
      </c>
      <c r="G1922" t="s">
        <v>3</v>
      </c>
      <c r="H1922" t="s">
        <v>8</v>
      </c>
      <c r="I1922" t="s">
        <v>5</v>
      </c>
      <c r="J1922">
        <v>92.82</v>
      </c>
      <c r="K1922">
        <v>27.8</v>
      </c>
      <c r="L1922" t="s">
        <v>6</v>
      </c>
      <c r="M1922">
        <v>0</v>
      </c>
      <c r="N1922" t="str">
        <f t="shared" ref="N1922:N1985" si="90">IF(C1922&lt;40,"Under 40",IF(C1922&lt;60,"40–59","60+"))</f>
        <v>40–59</v>
      </c>
      <c r="O1922" t="str">
        <f t="shared" ref="O1922:O1985" si="91">IF(K1922="N/A","Unknown",
IF(K1922="","Unknown",
IF(K1922&lt;18.5,"Underweight",
IF(K1922&lt;25,"Normal",
IF(K1922&lt;30,"Overweight","Obese")))))</f>
        <v>Overweight</v>
      </c>
    </row>
    <row r="1923" spans="1:15" x14ac:dyDescent="0.3">
      <c r="A1923">
        <v>727</v>
      </c>
      <c r="B1923" t="s">
        <v>2</v>
      </c>
      <c r="C1923">
        <v>44</v>
      </c>
      <c r="D1923">
        <v>0</v>
      </c>
      <c r="E1923">
        <v>0</v>
      </c>
      <c r="F1923" t="str">
        <f t="shared" ref="F1923:F1986" si="92">IF(C1923&gt;=60,
IF(OR(D1923=1,E1923=1),"High Risk","Moderate Risk"),
"Lower Risk")</f>
        <v>Lower Risk</v>
      </c>
      <c r="G1923" t="s">
        <v>3</v>
      </c>
      <c r="H1923" t="s">
        <v>4</v>
      </c>
      <c r="I1923" t="s">
        <v>9</v>
      </c>
      <c r="J1923">
        <v>95.46</v>
      </c>
      <c r="K1923">
        <v>31.4</v>
      </c>
      <c r="L1923" t="s">
        <v>12</v>
      </c>
      <c r="M1923">
        <v>0</v>
      </c>
      <c r="N1923" t="str">
        <f t="shared" si="90"/>
        <v>40–59</v>
      </c>
      <c r="O1923" t="str">
        <f t="shared" si="91"/>
        <v>Obese</v>
      </c>
    </row>
    <row r="1924" spans="1:15" x14ac:dyDescent="0.3">
      <c r="A1924">
        <v>51935</v>
      </c>
      <c r="B1924" t="s">
        <v>2</v>
      </c>
      <c r="C1924">
        <v>16</v>
      </c>
      <c r="D1924">
        <v>0</v>
      </c>
      <c r="E1924">
        <v>0</v>
      </c>
      <c r="F1924" t="str">
        <f t="shared" si="92"/>
        <v>Lower Risk</v>
      </c>
      <c r="G1924" t="s">
        <v>13</v>
      </c>
      <c r="H1924" t="s">
        <v>17</v>
      </c>
      <c r="I1924" t="s">
        <v>5</v>
      </c>
      <c r="J1924">
        <v>59.99</v>
      </c>
      <c r="K1924">
        <v>28.2</v>
      </c>
      <c r="L1924" t="s">
        <v>11</v>
      </c>
      <c r="M1924">
        <v>0</v>
      </c>
      <c r="N1924" t="str">
        <f t="shared" si="90"/>
        <v>Under 40</v>
      </c>
      <c r="O1924" t="str">
        <f t="shared" si="91"/>
        <v>Overweight</v>
      </c>
    </row>
    <row r="1925" spans="1:15" x14ac:dyDescent="0.3">
      <c r="A1925">
        <v>44177</v>
      </c>
      <c r="B1925" t="s">
        <v>7</v>
      </c>
      <c r="C1925">
        <v>60</v>
      </c>
      <c r="D1925">
        <v>0</v>
      </c>
      <c r="E1925">
        <v>0</v>
      </c>
      <c r="F1925" t="str">
        <f t="shared" si="92"/>
        <v>Moderate Risk</v>
      </c>
      <c r="G1925" t="s">
        <v>3</v>
      </c>
      <c r="H1925" t="s">
        <v>8</v>
      </c>
      <c r="I1925" t="s">
        <v>9</v>
      </c>
      <c r="J1925">
        <v>68.959999999999994</v>
      </c>
      <c r="K1925">
        <v>30.8</v>
      </c>
      <c r="L1925" t="s">
        <v>14</v>
      </c>
      <c r="M1925">
        <v>0</v>
      </c>
      <c r="N1925" t="str">
        <f t="shared" si="90"/>
        <v>60+</v>
      </c>
      <c r="O1925" t="str">
        <f t="shared" si="91"/>
        <v>Obese</v>
      </c>
    </row>
    <row r="1926" spans="1:15" x14ac:dyDescent="0.3">
      <c r="A1926">
        <v>2421</v>
      </c>
      <c r="B1926" t="s">
        <v>7</v>
      </c>
      <c r="C1926">
        <v>58</v>
      </c>
      <c r="D1926">
        <v>0</v>
      </c>
      <c r="E1926">
        <v>0</v>
      </c>
      <c r="F1926" t="str">
        <f t="shared" si="92"/>
        <v>Lower Risk</v>
      </c>
      <c r="G1926" t="s">
        <v>3</v>
      </c>
      <c r="H1926" t="s">
        <v>4</v>
      </c>
      <c r="I1926" t="s">
        <v>5</v>
      </c>
      <c r="J1926">
        <v>90.26</v>
      </c>
      <c r="K1926">
        <v>36.1</v>
      </c>
      <c r="L1926" t="s">
        <v>11</v>
      </c>
      <c r="M1926">
        <v>0</v>
      </c>
      <c r="N1926" t="str">
        <f t="shared" si="90"/>
        <v>40–59</v>
      </c>
      <c r="O1926" t="str">
        <f t="shared" si="91"/>
        <v>Obese</v>
      </c>
    </row>
    <row r="1927" spans="1:15" x14ac:dyDescent="0.3">
      <c r="A1927">
        <v>48693</v>
      </c>
      <c r="B1927" t="s">
        <v>7</v>
      </c>
      <c r="C1927">
        <v>43</v>
      </c>
      <c r="D1927">
        <v>0</v>
      </c>
      <c r="E1927">
        <v>0</v>
      </c>
      <c r="F1927" t="str">
        <f t="shared" si="92"/>
        <v>Lower Risk</v>
      </c>
      <c r="G1927" t="s">
        <v>3</v>
      </c>
      <c r="H1927" t="s">
        <v>4</v>
      </c>
      <c r="I1927" t="s">
        <v>9</v>
      </c>
      <c r="J1927">
        <v>91.9</v>
      </c>
      <c r="K1927">
        <v>32.700000000000003</v>
      </c>
      <c r="L1927" t="s">
        <v>6</v>
      </c>
      <c r="M1927">
        <v>0</v>
      </c>
      <c r="N1927" t="str">
        <f t="shared" si="90"/>
        <v>40–59</v>
      </c>
      <c r="O1927" t="str">
        <f t="shared" si="91"/>
        <v>Obese</v>
      </c>
    </row>
    <row r="1928" spans="1:15" x14ac:dyDescent="0.3">
      <c r="A1928">
        <v>5723</v>
      </c>
      <c r="B1928" t="s">
        <v>7</v>
      </c>
      <c r="C1928">
        <v>50</v>
      </c>
      <c r="D1928">
        <v>0</v>
      </c>
      <c r="E1928">
        <v>0</v>
      </c>
      <c r="F1928" t="str">
        <f t="shared" si="92"/>
        <v>Lower Risk</v>
      </c>
      <c r="G1928" t="s">
        <v>3</v>
      </c>
      <c r="H1928" t="s">
        <v>4</v>
      </c>
      <c r="I1928" t="s">
        <v>5</v>
      </c>
      <c r="J1928">
        <v>91.08</v>
      </c>
      <c r="K1928">
        <v>26.4</v>
      </c>
      <c r="L1928" t="s">
        <v>11</v>
      </c>
      <c r="M1928">
        <v>0</v>
      </c>
      <c r="N1928" t="str">
        <f t="shared" si="90"/>
        <v>40–59</v>
      </c>
      <c r="O1928" t="str">
        <f t="shared" si="91"/>
        <v>Overweight</v>
      </c>
    </row>
    <row r="1929" spans="1:15" x14ac:dyDescent="0.3">
      <c r="A1929">
        <v>29470</v>
      </c>
      <c r="B1929" t="s">
        <v>7</v>
      </c>
      <c r="C1929">
        <v>1.48</v>
      </c>
      <c r="D1929">
        <v>0</v>
      </c>
      <c r="E1929">
        <v>0</v>
      </c>
      <c r="F1929" t="str">
        <f t="shared" si="92"/>
        <v>Lower Risk</v>
      </c>
      <c r="G1929" t="s">
        <v>13</v>
      </c>
      <c r="H1929" t="s">
        <v>16</v>
      </c>
      <c r="I1929" t="s">
        <v>9</v>
      </c>
      <c r="J1929">
        <v>118.55</v>
      </c>
      <c r="K1929">
        <v>20.7</v>
      </c>
      <c r="L1929" t="s">
        <v>14</v>
      </c>
      <c r="M1929">
        <v>0</v>
      </c>
      <c r="N1929" t="str">
        <f t="shared" si="90"/>
        <v>Under 40</v>
      </c>
      <c r="O1929" t="str">
        <f t="shared" si="91"/>
        <v>Normal</v>
      </c>
    </row>
    <row r="1930" spans="1:15" x14ac:dyDescent="0.3">
      <c r="A1930">
        <v>71590</v>
      </c>
      <c r="B1930" t="s">
        <v>7</v>
      </c>
      <c r="C1930">
        <v>5</v>
      </c>
      <c r="D1930">
        <v>0</v>
      </c>
      <c r="E1930">
        <v>0</v>
      </c>
      <c r="F1930" t="str">
        <f t="shared" si="92"/>
        <v>Lower Risk</v>
      </c>
      <c r="G1930" t="s">
        <v>13</v>
      </c>
      <c r="H1930" t="s">
        <v>16</v>
      </c>
      <c r="I1930" t="s">
        <v>9</v>
      </c>
      <c r="J1930">
        <v>102.04</v>
      </c>
      <c r="K1930">
        <v>18.5</v>
      </c>
      <c r="L1930" t="s">
        <v>14</v>
      </c>
      <c r="M1930">
        <v>0</v>
      </c>
      <c r="N1930" t="str">
        <f t="shared" si="90"/>
        <v>Under 40</v>
      </c>
      <c r="O1930" t="str">
        <f t="shared" si="91"/>
        <v>Normal</v>
      </c>
    </row>
    <row r="1931" spans="1:15" x14ac:dyDescent="0.3">
      <c r="A1931">
        <v>16600</v>
      </c>
      <c r="B1931" t="s">
        <v>2</v>
      </c>
      <c r="C1931">
        <v>9</v>
      </c>
      <c r="D1931">
        <v>0</v>
      </c>
      <c r="E1931">
        <v>0</v>
      </c>
      <c r="F1931" t="str">
        <f t="shared" si="92"/>
        <v>Lower Risk</v>
      </c>
      <c r="G1931" t="s">
        <v>13</v>
      </c>
      <c r="H1931" t="s">
        <v>16</v>
      </c>
      <c r="I1931" t="s">
        <v>9</v>
      </c>
      <c r="J1931">
        <v>65.52</v>
      </c>
      <c r="K1931">
        <v>33.5</v>
      </c>
      <c r="L1931" t="s">
        <v>14</v>
      </c>
      <c r="M1931">
        <v>0</v>
      </c>
      <c r="N1931" t="str">
        <f t="shared" si="90"/>
        <v>Under 40</v>
      </c>
      <c r="O1931" t="str">
        <f t="shared" si="91"/>
        <v>Obese</v>
      </c>
    </row>
    <row r="1932" spans="1:15" x14ac:dyDescent="0.3">
      <c r="A1932">
        <v>28309</v>
      </c>
      <c r="B1932" t="s">
        <v>7</v>
      </c>
      <c r="C1932">
        <v>67</v>
      </c>
      <c r="D1932">
        <v>0</v>
      </c>
      <c r="E1932">
        <v>0</v>
      </c>
      <c r="F1932" t="str">
        <f t="shared" si="92"/>
        <v>Moderate Risk</v>
      </c>
      <c r="G1932" t="s">
        <v>3</v>
      </c>
      <c r="H1932" t="s">
        <v>4</v>
      </c>
      <c r="I1932" t="s">
        <v>5</v>
      </c>
      <c r="J1932">
        <v>82.09</v>
      </c>
      <c r="K1932">
        <v>14.1</v>
      </c>
      <c r="L1932" t="s">
        <v>11</v>
      </c>
      <c r="M1932">
        <v>0</v>
      </c>
      <c r="N1932" t="str">
        <f t="shared" si="90"/>
        <v>60+</v>
      </c>
      <c r="O1932" t="str">
        <f t="shared" si="91"/>
        <v>Underweight</v>
      </c>
    </row>
    <row r="1933" spans="1:15" x14ac:dyDescent="0.3">
      <c r="A1933">
        <v>41911</v>
      </c>
      <c r="B1933" t="s">
        <v>7</v>
      </c>
      <c r="C1933">
        <v>21</v>
      </c>
      <c r="D1933">
        <v>0</v>
      </c>
      <c r="E1933">
        <v>0</v>
      </c>
      <c r="F1933" t="str">
        <f t="shared" si="92"/>
        <v>Lower Risk</v>
      </c>
      <c r="G1933" t="s">
        <v>3</v>
      </c>
      <c r="H1933" t="s">
        <v>4</v>
      </c>
      <c r="I1933" t="s">
        <v>9</v>
      </c>
      <c r="J1933">
        <v>149.9</v>
      </c>
      <c r="K1933">
        <v>23.4</v>
      </c>
      <c r="L1933" t="s">
        <v>14</v>
      </c>
      <c r="M1933">
        <v>0</v>
      </c>
      <c r="N1933" t="str">
        <f t="shared" si="90"/>
        <v>Under 40</v>
      </c>
      <c r="O1933" t="str">
        <f t="shared" si="91"/>
        <v>Normal</v>
      </c>
    </row>
    <row r="1934" spans="1:15" x14ac:dyDescent="0.3">
      <c r="A1934">
        <v>3390</v>
      </c>
      <c r="B1934" t="s">
        <v>7</v>
      </c>
      <c r="C1934">
        <v>36</v>
      </c>
      <c r="D1934">
        <v>0</v>
      </c>
      <c r="E1934">
        <v>0</v>
      </c>
      <c r="F1934" t="str">
        <f t="shared" si="92"/>
        <v>Lower Risk</v>
      </c>
      <c r="G1934" t="s">
        <v>3</v>
      </c>
      <c r="H1934" t="s">
        <v>4</v>
      </c>
      <c r="I1934" t="s">
        <v>9</v>
      </c>
      <c r="J1934">
        <v>100.33</v>
      </c>
      <c r="K1934">
        <v>23.2</v>
      </c>
      <c r="L1934" t="s">
        <v>11</v>
      </c>
      <c r="M1934">
        <v>0</v>
      </c>
      <c r="N1934" t="str">
        <f t="shared" si="90"/>
        <v>Under 40</v>
      </c>
      <c r="O1934" t="str">
        <f t="shared" si="91"/>
        <v>Normal</v>
      </c>
    </row>
    <row r="1935" spans="1:15" x14ac:dyDescent="0.3">
      <c r="A1935">
        <v>31806</v>
      </c>
      <c r="B1935" t="s">
        <v>7</v>
      </c>
      <c r="C1935">
        <v>70</v>
      </c>
      <c r="D1935">
        <v>0</v>
      </c>
      <c r="E1935">
        <v>0</v>
      </c>
      <c r="F1935" t="str">
        <f t="shared" si="92"/>
        <v>Moderate Risk</v>
      </c>
      <c r="G1935" t="s">
        <v>3</v>
      </c>
      <c r="H1935" t="s">
        <v>4</v>
      </c>
      <c r="I1935" t="s">
        <v>5</v>
      </c>
      <c r="J1935">
        <v>91.25</v>
      </c>
      <c r="K1935">
        <v>36</v>
      </c>
      <c r="L1935" t="s">
        <v>14</v>
      </c>
      <c r="M1935">
        <v>0</v>
      </c>
      <c r="N1935" t="str">
        <f t="shared" si="90"/>
        <v>60+</v>
      </c>
      <c r="O1935" t="str">
        <f t="shared" si="91"/>
        <v>Obese</v>
      </c>
    </row>
    <row r="1936" spans="1:15" x14ac:dyDescent="0.3">
      <c r="A1936">
        <v>68750</v>
      </c>
      <c r="B1936" t="s">
        <v>2</v>
      </c>
      <c r="C1936">
        <v>57</v>
      </c>
      <c r="D1936">
        <v>0</v>
      </c>
      <c r="E1936">
        <v>0</v>
      </c>
      <c r="F1936" t="str">
        <f t="shared" si="92"/>
        <v>Lower Risk</v>
      </c>
      <c r="G1936" t="s">
        <v>3</v>
      </c>
      <c r="H1936" t="s">
        <v>4</v>
      </c>
      <c r="I1936" t="s">
        <v>9</v>
      </c>
      <c r="J1936">
        <v>89.81</v>
      </c>
      <c r="K1936">
        <v>35.6</v>
      </c>
      <c r="L1936" t="s">
        <v>11</v>
      </c>
      <c r="M1936">
        <v>0</v>
      </c>
      <c r="N1936" t="str">
        <f t="shared" si="90"/>
        <v>40–59</v>
      </c>
      <c r="O1936" t="str">
        <f t="shared" si="91"/>
        <v>Obese</v>
      </c>
    </row>
    <row r="1937" spans="1:15" x14ac:dyDescent="0.3">
      <c r="A1937">
        <v>32840</v>
      </c>
      <c r="B1937" t="s">
        <v>7</v>
      </c>
      <c r="C1937">
        <v>52</v>
      </c>
      <c r="D1937">
        <v>0</v>
      </c>
      <c r="E1937">
        <v>0</v>
      </c>
      <c r="F1937" t="str">
        <f t="shared" si="92"/>
        <v>Lower Risk</v>
      </c>
      <c r="G1937" t="s">
        <v>3</v>
      </c>
      <c r="H1937" t="s">
        <v>4</v>
      </c>
      <c r="I1937" t="s">
        <v>5</v>
      </c>
      <c r="J1937">
        <v>97.32</v>
      </c>
      <c r="K1937">
        <v>21.8</v>
      </c>
      <c r="L1937" t="s">
        <v>12</v>
      </c>
      <c r="M1937">
        <v>0</v>
      </c>
      <c r="N1937" t="str">
        <f t="shared" si="90"/>
        <v>40–59</v>
      </c>
      <c r="O1937" t="str">
        <f t="shared" si="91"/>
        <v>Normal</v>
      </c>
    </row>
    <row r="1938" spans="1:15" x14ac:dyDescent="0.3">
      <c r="A1938">
        <v>49797</v>
      </c>
      <c r="B1938" t="s">
        <v>7</v>
      </c>
      <c r="C1938">
        <v>28</v>
      </c>
      <c r="D1938">
        <v>0</v>
      </c>
      <c r="E1938">
        <v>0</v>
      </c>
      <c r="F1938" t="str">
        <f t="shared" si="92"/>
        <v>Lower Risk</v>
      </c>
      <c r="G1938" t="s">
        <v>13</v>
      </c>
      <c r="H1938" t="s">
        <v>4</v>
      </c>
      <c r="I1938" t="s">
        <v>9</v>
      </c>
      <c r="J1938">
        <v>75.53</v>
      </c>
      <c r="K1938">
        <v>34.9</v>
      </c>
      <c r="L1938" t="s">
        <v>11</v>
      </c>
      <c r="M1938">
        <v>0</v>
      </c>
      <c r="N1938" t="str">
        <f t="shared" si="90"/>
        <v>Under 40</v>
      </c>
      <c r="O1938" t="str">
        <f t="shared" si="91"/>
        <v>Obese</v>
      </c>
    </row>
    <row r="1939" spans="1:15" x14ac:dyDescent="0.3">
      <c r="A1939">
        <v>72096</v>
      </c>
      <c r="B1939" t="s">
        <v>7</v>
      </c>
      <c r="C1939">
        <v>41</v>
      </c>
      <c r="D1939">
        <v>0</v>
      </c>
      <c r="E1939">
        <v>0</v>
      </c>
      <c r="F1939" t="str">
        <f t="shared" si="92"/>
        <v>Lower Risk</v>
      </c>
      <c r="G1939" t="s">
        <v>3</v>
      </c>
      <c r="H1939" t="s">
        <v>4</v>
      </c>
      <c r="I1939" t="s">
        <v>9</v>
      </c>
      <c r="J1939">
        <v>121.44</v>
      </c>
      <c r="K1939">
        <v>20.399999999999999</v>
      </c>
      <c r="L1939" t="s">
        <v>11</v>
      </c>
      <c r="M1939">
        <v>0</v>
      </c>
      <c r="N1939" t="str">
        <f t="shared" si="90"/>
        <v>40–59</v>
      </c>
      <c r="O1939" t="str">
        <f t="shared" si="91"/>
        <v>Normal</v>
      </c>
    </row>
    <row r="1940" spans="1:15" x14ac:dyDescent="0.3">
      <c r="A1940">
        <v>13503</v>
      </c>
      <c r="B1940" t="s">
        <v>2</v>
      </c>
      <c r="C1940">
        <v>81</v>
      </c>
      <c r="D1940">
        <v>0</v>
      </c>
      <c r="E1940">
        <v>0</v>
      </c>
      <c r="F1940" t="str">
        <f t="shared" si="92"/>
        <v>Moderate Risk</v>
      </c>
      <c r="G1940" t="s">
        <v>3</v>
      </c>
      <c r="H1940" t="s">
        <v>8</v>
      </c>
      <c r="I1940" t="s">
        <v>5</v>
      </c>
      <c r="J1940">
        <v>83.52</v>
      </c>
      <c r="K1940">
        <v>25</v>
      </c>
      <c r="L1940" t="s">
        <v>11</v>
      </c>
      <c r="M1940">
        <v>0</v>
      </c>
      <c r="N1940" t="str">
        <f t="shared" si="90"/>
        <v>60+</v>
      </c>
      <c r="O1940" t="str">
        <f t="shared" si="91"/>
        <v>Overweight</v>
      </c>
    </row>
    <row r="1941" spans="1:15" x14ac:dyDescent="0.3">
      <c r="A1941">
        <v>41536</v>
      </c>
      <c r="B1941" t="s">
        <v>7</v>
      </c>
      <c r="C1941">
        <v>33</v>
      </c>
      <c r="D1941">
        <v>0</v>
      </c>
      <c r="E1941">
        <v>0</v>
      </c>
      <c r="F1941" t="str">
        <f t="shared" si="92"/>
        <v>Lower Risk</v>
      </c>
      <c r="G1941" t="s">
        <v>3</v>
      </c>
      <c r="H1941" t="s">
        <v>15</v>
      </c>
      <c r="I1941" t="s">
        <v>9</v>
      </c>
      <c r="J1941">
        <v>57.92</v>
      </c>
      <c r="K1941">
        <v>22.3</v>
      </c>
      <c r="L1941" t="s">
        <v>14</v>
      </c>
      <c r="M1941">
        <v>0</v>
      </c>
      <c r="N1941" t="str">
        <f t="shared" si="90"/>
        <v>Under 40</v>
      </c>
      <c r="O1941" t="str">
        <f t="shared" si="91"/>
        <v>Normal</v>
      </c>
    </row>
    <row r="1942" spans="1:15" x14ac:dyDescent="0.3">
      <c r="A1942">
        <v>17441</v>
      </c>
      <c r="B1942" t="s">
        <v>7</v>
      </c>
      <c r="C1942">
        <v>31</v>
      </c>
      <c r="D1942">
        <v>0</v>
      </c>
      <c r="E1942">
        <v>0</v>
      </c>
      <c r="F1942" t="str">
        <f t="shared" si="92"/>
        <v>Lower Risk</v>
      </c>
      <c r="G1942" t="s">
        <v>13</v>
      </c>
      <c r="H1942" t="s">
        <v>8</v>
      </c>
      <c r="I1942" t="s">
        <v>9</v>
      </c>
      <c r="J1942">
        <v>75.27</v>
      </c>
      <c r="K1942">
        <v>27.3</v>
      </c>
      <c r="L1942" t="s">
        <v>11</v>
      </c>
      <c r="M1942">
        <v>0</v>
      </c>
      <c r="N1942" t="str">
        <f t="shared" si="90"/>
        <v>Under 40</v>
      </c>
      <c r="O1942" t="str">
        <f t="shared" si="91"/>
        <v>Overweight</v>
      </c>
    </row>
    <row r="1943" spans="1:15" x14ac:dyDescent="0.3">
      <c r="A1943">
        <v>62238</v>
      </c>
      <c r="B1943" t="s">
        <v>7</v>
      </c>
      <c r="C1943">
        <v>42</v>
      </c>
      <c r="D1943">
        <v>0</v>
      </c>
      <c r="E1943">
        <v>0</v>
      </c>
      <c r="F1943" t="str">
        <f t="shared" si="92"/>
        <v>Lower Risk</v>
      </c>
      <c r="G1943" t="s">
        <v>13</v>
      </c>
      <c r="H1943" t="s">
        <v>4</v>
      </c>
      <c r="I1943" t="s">
        <v>5</v>
      </c>
      <c r="J1943">
        <v>80.239999999999995</v>
      </c>
      <c r="K1943">
        <v>28.9</v>
      </c>
      <c r="L1943" t="s">
        <v>11</v>
      </c>
      <c r="M1943">
        <v>0</v>
      </c>
      <c r="N1943" t="str">
        <f t="shared" si="90"/>
        <v>40–59</v>
      </c>
      <c r="O1943" t="str">
        <f t="shared" si="91"/>
        <v>Overweight</v>
      </c>
    </row>
    <row r="1944" spans="1:15" x14ac:dyDescent="0.3">
      <c r="A1944">
        <v>737</v>
      </c>
      <c r="B1944" t="s">
        <v>2</v>
      </c>
      <c r="C1944">
        <v>10</v>
      </c>
      <c r="D1944">
        <v>0</v>
      </c>
      <c r="E1944">
        <v>0</v>
      </c>
      <c r="F1944" t="str">
        <f t="shared" si="92"/>
        <v>Lower Risk</v>
      </c>
      <c r="G1944" t="s">
        <v>13</v>
      </c>
      <c r="H1944" t="s">
        <v>16</v>
      </c>
      <c r="I1944" t="s">
        <v>5</v>
      </c>
      <c r="J1944">
        <v>88.69</v>
      </c>
      <c r="K1944">
        <v>30.4</v>
      </c>
      <c r="L1944" t="s">
        <v>14</v>
      </c>
      <c r="M1944">
        <v>0</v>
      </c>
      <c r="N1944" t="str">
        <f t="shared" si="90"/>
        <v>Under 40</v>
      </c>
      <c r="O1944" t="str">
        <f t="shared" si="91"/>
        <v>Obese</v>
      </c>
    </row>
    <row r="1945" spans="1:15" x14ac:dyDescent="0.3">
      <c r="A1945">
        <v>4627</v>
      </c>
      <c r="B1945" t="s">
        <v>2</v>
      </c>
      <c r="C1945">
        <v>34</v>
      </c>
      <c r="D1945">
        <v>0</v>
      </c>
      <c r="E1945">
        <v>0</v>
      </c>
      <c r="F1945" t="str">
        <f t="shared" si="92"/>
        <v>Lower Risk</v>
      </c>
      <c r="G1945" t="s">
        <v>13</v>
      </c>
      <c r="H1945" t="s">
        <v>4</v>
      </c>
      <c r="I1945" t="s">
        <v>5</v>
      </c>
      <c r="J1945">
        <v>69.09</v>
      </c>
      <c r="K1945">
        <v>36.9</v>
      </c>
      <c r="L1945" t="s">
        <v>6</v>
      </c>
      <c r="M1945">
        <v>0</v>
      </c>
      <c r="N1945" t="str">
        <f t="shared" si="90"/>
        <v>Under 40</v>
      </c>
      <c r="O1945" t="str">
        <f t="shared" si="91"/>
        <v>Obese</v>
      </c>
    </row>
    <row r="1946" spans="1:15" x14ac:dyDescent="0.3">
      <c r="A1946">
        <v>47208</v>
      </c>
      <c r="B1946" t="s">
        <v>7</v>
      </c>
      <c r="C1946">
        <v>70</v>
      </c>
      <c r="D1946">
        <v>0</v>
      </c>
      <c r="E1946">
        <v>0</v>
      </c>
      <c r="F1946" t="str">
        <f t="shared" si="92"/>
        <v>Moderate Risk</v>
      </c>
      <c r="G1946" t="s">
        <v>3</v>
      </c>
      <c r="H1946" t="s">
        <v>8</v>
      </c>
      <c r="I1946" t="s">
        <v>9</v>
      </c>
      <c r="J1946">
        <v>62.67</v>
      </c>
      <c r="K1946">
        <v>27.7</v>
      </c>
      <c r="L1946" t="s">
        <v>11</v>
      </c>
      <c r="M1946">
        <v>0</v>
      </c>
      <c r="N1946" t="str">
        <f t="shared" si="90"/>
        <v>60+</v>
      </c>
      <c r="O1946" t="str">
        <f t="shared" si="91"/>
        <v>Overweight</v>
      </c>
    </row>
    <row r="1947" spans="1:15" x14ac:dyDescent="0.3">
      <c r="A1947">
        <v>6844</v>
      </c>
      <c r="B1947" t="s">
        <v>2</v>
      </c>
      <c r="C1947">
        <v>33</v>
      </c>
      <c r="D1947">
        <v>0</v>
      </c>
      <c r="E1947">
        <v>0</v>
      </c>
      <c r="F1947" t="str">
        <f t="shared" si="92"/>
        <v>Lower Risk</v>
      </c>
      <c r="G1947" t="s">
        <v>3</v>
      </c>
      <c r="H1947" t="s">
        <v>4</v>
      </c>
      <c r="I1947" t="s">
        <v>5</v>
      </c>
      <c r="J1947">
        <v>98.74</v>
      </c>
      <c r="K1947">
        <v>44.4</v>
      </c>
      <c r="L1947" t="s">
        <v>11</v>
      </c>
      <c r="M1947">
        <v>0</v>
      </c>
      <c r="N1947" t="str">
        <f t="shared" si="90"/>
        <v>Under 40</v>
      </c>
      <c r="O1947" t="str">
        <f t="shared" si="91"/>
        <v>Obese</v>
      </c>
    </row>
    <row r="1948" spans="1:15" x14ac:dyDescent="0.3">
      <c r="A1948">
        <v>60001</v>
      </c>
      <c r="B1948" t="s">
        <v>7</v>
      </c>
      <c r="C1948">
        <v>58</v>
      </c>
      <c r="D1948">
        <v>0</v>
      </c>
      <c r="E1948">
        <v>0</v>
      </c>
      <c r="F1948" t="str">
        <f t="shared" si="92"/>
        <v>Lower Risk</v>
      </c>
      <c r="G1948" t="s">
        <v>3</v>
      </c>
      <c r="H1948" t="s">
        <v>4</v>
      </c>
      <c r="I1948" t="s">
        <v>9</v>
      </c>
      <c r="J1948">
        <v>56.51</v>
      </c>
      <c r="K1948">
        <v>28.2</v>
      </c>
      <c r="L1948" t="s">
        <v>12</v>
      </c>
      <c r="M1948">
        <v>0</v>
      </c>
      <c r="N1948" t="str">
        <f t="shared" si="90"/>
        <v>40–59</v>
      </c>
      <c r="O1948" t="str">
        <f t="shared" si="91"/>
        <v>Overweight</v>
      </c>
    </row>
    <row r="1949" spans="1:15" x14ac:dyDescent="0.3">
      <c r="A1949">
        <v>44503</v>
      </c>
      <c r="B1949" t="s">
        <v>7</v>
      </c>
      <c r="C1949">
        <v>25</v>
      </c>
      <c r="D1949">
        <v>0</v>
      </c>
      <c r="E1949">
        <v>0</v>
      </c>
      <c r="F1949" t="str">
        <f t="shared" si="92"/>
        <v>Lower Risk</v>
      </c>
      <c r="G1949" t="s">
        <v>13</v>
      </c>
      <c r="H1949" t="s">
        <v>4</v>
      </c>
      <c r="I1949" t="s">
        <v>9</v>
      </c>
      <c r="J1949">
        <v>65.95</v>
      </c>
      <c r="K1949">
        <v>35</v>
      </c>
      <c r="L1949" t="s">
        <v>11</v>
      </c>
      <c r="M1949">
        <v>0</v>
      </c>
      <c r="N1949" t="str">
        <f t="shared" si="90"/>
        <v>Under 40</v>
      </c>
      <c r="O1949" t="str">
        <f t="shared" si="91"/>
        <v>Obese</v>
      </c>
    </row>
    <row r="1950" spans="1:15" x14ac:dyDescent="0.3">
      <c r="A1950">
        <v>44938</v>
      </c>
      <c r="B1950" t="s">
        <v>7</v>
      </c>
      <c r="C1950">
        <v>1.4</v>
      </c>
      <c r="D1950">
        <v>0</v>
      </c>
      <c r="E1950">
        <v>0</v>
      </c>
      <c r="F1950" t="str">
        <f t="shared" si="92"/>
        <v>Lower Risk</v>
      </c>
      <c r="G1950" t="s">
        <v>13</v>
      </c>
      <c r="H1950" t="s">
        <v>16</v>
      </c>
      <c r="I1950" t="s">
        <v>5</v>
      </c>
      <c r="J1950">
        <v>129.07</v>
      </c>
      <c r="K1950">
        <v>20.6</v>
      </c>
      <c r="L1950" t="s">
        <v>14</v>
      </c>
      <c r="M1950">
        <v>0</v>
      </c>
      <c r="N1950" t="str">
        <f t="shared" si="90"/>
        <v>Under 40</v>
      </c>
      <c r="O1950" t="str">
        <f t="shared" si="91"/>
        <v>Normal</v>
      </c>
    </row>
    <row r="1951" spans="1:15" x14ac:dyDescent="0.3">
      <c r="A1951">
        <v>40371</v>
      </c>
      <c r="B1951" t="s">
        <v>7</v>
      </c>
      <c r="C1951">
        <v>47</v>
      </c>
      <c r="D1951">
        <v>0</v>
      </c>
      <c r="E1951">
        <v>0</v>
      </c>
      <c r="F1951" t="str">
        <f t="shared" si="92"/>
        <v>Lower Risk</v>
      </c>
      <c r="G1951" t="s">
        <v>3</v>
      </c>
      <c r="H1951" t="s">
        <v>4</v>
      </c>
      <c r="I1951" t="s">
        <v>5</v>
      </c>
      <c r="J1951">
        <v>62.47</v>
      </c>
      <c r="K1951">
        <v>26.5</v>
      </c>
      <c r="L1951" t="s">
        <v>11</v>
      </c>
      <c r="M1951">
        <v>0</v>
      </c>
      <c r="N1951" t="str">
        <f t="shared" si="90"/>
        <v>40–59</v>
      </c>
      <c r="O1951" t="str">
        <f t="shared" si="91"/>
        <v>Overweight</v>
      </c>
    </row>
    <row r="1952" spans="1:15" x14ac:dyDescent="0.3">
      <c r="A1952">
        <v>39011</v>
      </c>
      <c r="B1952" t="s">
        <v>7</v>
      </c>
      <c r="C1952">
        <v>14</v>
      </c>
      <c r="D1952">
        <v>0</v>
      </c>
      <c r="E1952">
        <v>0</v>
      </c>
      <c r="F1952" t="str">
        <f t="shared" si="92"/>
        <v>Lower Risk</v>
      </c>
      <c r="G1952" t="s">
        <v>13</v>
      </c>
      <c r="H1952" t="s">
        <v>16</v>
      </c>
      <c r="I1952" t="s">
        <v>5</v>
      </c>
      <c r="J1952">
        <v>69.819999999999993</v>
      </c>
      <c r="K1952">
        <v>25.1</v>
      </c>
      <c r="L1952" t="s">
        <v>11</v>
      </c>
      <c r="M1952">
        <v>0</v>
      </c>
      <c r="N1952" t="str">
        <f t="shared" si="90"/>
        <v>Under 40</v>
      </c>
      <c r="O1952" t="str">
        <f t="shared" si="91"/>
        <v>Overweight</v>
      </c>
    </row>
    <row r="1953" spans="1:15" x14ac:dyDescent="0.3">
      <c r="A1953">
        <v>1460</v>
      </c>
      <c r="B1953" t="s">
        <v>7</v>
      </c>
      <c r="C1953">
        <v>82</v>
      </c>
      <c r="D1953">
        <v>0</v>
      </c>
      <c r="E1953">
        <v>0</v>
      </c>
      <c r="F1953" t="str">
        <f t="shared" si="92"/>
        <v>Moderate Risk</v>
      </c>
      <c r="G1953" t="s">
        <v>3</v>
      </c>
      <c r="H1953" t="s">
        <v>4</v>
      </c>
      <c r="I1953" t="s">
        <v>5</v>
      </c>
      <c r="J1953">
        <v>99.68</v>
      </c>
      <c r="K1953">
        <v>22.2</v>
      </c>
      <c r="L1953" t="s">
        <v>14</v>
      </c>
      <c r="M1953">
        <v>0</v>
      </c>
      <c r="N1953" t="str">
        <f t="shared" si="90"/>
        <v>60+</v>
      </c>
      <c r="O1953" t="str">
        <f t="shared" si="91"/>
        <v>Normal</v>
      </c>
    </row>
    <row r="1954" spans="1:15" x14ac:dyDescent="0.3">
      <c r="A1954">
        <v>48364</v>
      </c>
      <c r="B1954" t="s">
        <v>2</v>
      </c>
      <c r="C1954">
        <v>52</v>
      </c>
      <c r="D1954">
        <v>0</v>
      </c>
      <c r="E1954">
        <v>0</v>
      </c>
      <c r="F1954" t="str">
        <f t="shared" si="92"/>
        <v>Lower Risk</v>
      </c>
      <c r="G1954" t="s">
        <v>3</v>
      </c>
      <c r="H1954" t="s">
        <v>15</v>
      </c>
      <c r="I1954" t="s">
        <v>5</v>
      </c>
      <c r="J1954">
        <v>223.35</v>
      </c>
      <c r="K1954">
        <v>27.3</v>
      </c>
      <c r="L1954" t="s">
        <v>6</v>
      </c>
      <c r="M1954">
        <v>0</v>
      </c>
      <c r="N1954" t="str">
        <f t="shared" si="90"/>
        <v>40–59</v>
      </c>
      <c r="O1954" t="str">
        <f t="shared" si="91"/>
        <v>Overweight</v>
      </c>
    </row>
    <row r="1955" spans="1:15" x14ac:dyDescent="0.3">
      <c r="A1955">
        <v>30285</v>
      </c>
      <c r="B1955" t="s">
        <v>2</v>
      </c>
      <c r="C1955">
        <v>72</v>
      </c>
      <c r="D1955">
        <v>0</v>
      </c>
      <c r="E1955">
        <v>1</v>
      </c>
      <c r="F1955" t="str">
        <f t="shared" si="92"/>
        <v>High Risk</v>
      </c>
      <c r="G1955" t="s">
        <v>3</v>
      </c>
      <c r="H1955" t="s">
        <v>8</v>
      </c>
      <c r="I1955" t="s">
        <v>9</v>
      </c>
      <c r="J1955">
        <v>74.36</v>
      </c>
      <c r="K1955">
        <v>27.3</v>
      </c>
      <c r="L1955" t="s">
        <v>11</v>
      </c>
      <c r="M1955">
        <v>0</v>
      </c>
      <c r="N1955" t="str">
        <f t="shared" si="90"/>
        <v>60+</v>
      </c>
      <c r="O1955" t="str">
        <f t="shared" si="91"/>
        <v>Overweight</v>
      </c>
    </row>
    <row r="1956" spans="1:15" x14ac:dyDescent="0.3">
      <c r="A1956">
        <v>21472</v>
      </c>
      <c r="B1956" t="s">
        <v>2</v>
      </c>
      <c r="C1956">
        <v>52</v>
      </c>
      <c r="D1956">
        <v>0</v>
      </c>
      <c r="E1956">
        <v>1</v>
      </c>
      <c r="F1956" t="str">
        <f t="shared" si="92"/>
        <v>Lower Risk</v>
      </c>
      <c r="G1956" t="s">
        <v>3</v>
      </c>
      <c r="H1956" t="s">
        <v>8</v>
      </c>
      <c r="I1956" t="s">
        <v>9</v>
      </c>
      <c r="J1956">
        <v>102.97</v>
      </c>
      <c r="K1956">
        <v>41.9</v>
      </c>
      <c r="L1956" t="s">
        <v>6</v>
      </c>
      <c r="M1956">
        <v>0</v>
      </c>
      <c r="N1956" t="str">
        <f t="shared" si="90"/>
        <v>40–59</v>
      </c>
      <c r="O1956" t="str">
        <f t="shared" si="91"/>
        <v>Obese</v>
      </c>
    </row>
    <row r="1957" spans="1:15" x14ac:dyDescent="0.3">
      <c r="A1957">
        <v>71182</v>
      </c>
      <c r="B1957" t="s">
        <v>7</v>
      </c>
      <c r="C1957">
        <v>61</v>
      </c>
      <c r="D1957">
        <v>1</v>
      </c>
      <c r="E1957">
        <v>0</v>
      </c>
      <c r="F1957" t="str">
        <f t="shared" si="92"/>
        <v>High Risk</v>
      </c>
      <c r="G1957" t="s">
        <v>3</v>
      </c>
      <c r="H1957" t="s">
        <v>15</v>
      </c>
      <c r="I1957" t="s">
        <v>5</v>
      </c>
      <c r="J1957">
        <v>153.38</v>
      </c>
      <c r="K1957">
        <v>38.799999999999997</v>
      </c>
      <c r="L1957" t="s">
        <v>11</v>
      </c>
      <c r="M1957">
        <v>0</v>
      </c>
      <c r="N1957" t="str">
        <f t="shared" si="90"/>
        <v>60+</v>
      </c>
      <c r="O1957" t="str">
        <f t="shared" si="91"/>
        <v>Obese</v>
      </c>
    </row>
    <row r="1958" spans="1:15" x14ac:dyDescent="0.3">
      <c r="A1958">
        <v>33412</v>
      </c>
      <c r="B1958" t="s">
        <v>7</v>
      </c>
      <c r="C1958">
        <v>15</v>
      </c>
      <c r="D1958">
        <v>0</v>
      </c>
      <c r="E1958">
        <v>0</v>
      </c>
      <c r="F1958" t="str">
        <f t="shared" si="92"/>
        <v>Lower Risk</v>
      </c>
      <c r="G1958" t="s">
        <v>13</v>
      </c>
      <c r="H1958" t="s">
        <v>4</v>
      </c>
      <c r="I1958" t="s">
        <v>9</v>
      </c>
      <c r="J1958">
        <v>87.1</v>
      </c>
      <c r="K1958">
        <v>18.3</v>
      </c>
      <c r="L1958" t="s">
        <v>11</v>
      </c>
      <c r="M1958">
        <v>0</v>
      </c>
      <c r="N1958" t="str">
        <f t="shared" si="90"/>
        <v>Under 40</v>
      </c>
      <c r="O1958" t="str">
        <f t="shared" si="91"/>
        <v>Underweight</v>
      </c>
    </row>
    <row r="1959" spans="1:15" x14ac:dyDescent="0.3">
      <c r="A1959">
        <v>16061</v>
      </c>
      <c r="B1959" t="s">
        <v>7</v>
      </c>
      <c r="C1959">
        <v>1.56</v>
      </c>
      <c r="D1959">
        <v>0</v>
      </c>
      <c r="E1959">
        <v>0</v>
      </c>
      <c r="F1959" t="str">
        <f t="shared" si="92"/>
        <v>Lower Risk</v>
      </c>
      <c r="G1959" t="s">
        <v>13</v>
      </c>
      <c r="H1959" t="s">
        <v>16</v>
      </c>
      <c r="I1959" t="s">
        <v>5</v>
      </c>
      <c r="J1959">
        <v>113.4</v>
      </c>
      <c r="K1959">
        <v>19.5</v>
      </c>
      <c r="L1959" t="s">
        <v>14</v>
      </c>
      <c r="M1959">
        <v>0</v>
      </c>
      <c r="N1959" t="str">
        <f t="shared" si="90"/>
        <v>Under 40</v>
      </c>
      <c r="O1959" t="str">
        <f t="shared" si="91"/>
        <v>Normal</v>
      </c>
    </row>
    <row r="1960" spans="1:15" x14ac:dyDescent="0.3">
      <c r="A1960">
        <v>60266</v>
      </c>
      <c r="B1960" t="s">
        <v>2</v>
      </c>
      <c r="C1960">
        <v>6</v>
      </c>
      <c r="D1960">
        <v>0</v>
      </c>
      <c r="E1960">
        <v>0</v>
      </c>
      <c r="F1960" t="str">
        <f t="shared" si="92"/>
        <v>Lower Risk</v>
      </c>
      <c r="G1960" t="s">
        <v>13</v>
      </c>
      <c r="H1960" t="s">
        <v>16</v>
      </c>
      <c r="I1960" t="s">
        <v>9</v>
      </c>
      <c r="J1960">
        <v>94.88</v>
      </c>
      <c r="K1960">
        <v>17.2</v>
      </c>
      <c r="L1960" t="s">
        <v>14</v>
      </c>
      <c r="M1960">
        <v>0</v>
      </c>
      <c r="N1960" t="str">
        <f t="shared" si="90"/>
        <v>Under 40</v>
      </c>
      <c r="O1960" t="str">
        <f t="shared" si="91"/>
        <v>Underweight</v>
      </c>
    </row>
    <row r="1961" spans="1:15" x14ac:dyDescent="0.3">
      <c r="A1961">
        <v>70965</v>
      </c>
      <c r="B1961" t="s">
        <v>2</v>
      </c>
      <c r="C1961">
        <v>3</v>
      </c>
      <c r="D1961">
        <v>0</v>
      </c>
      <c r="E1961">
        <v>0</v>
      </c>
      <c r="F1961" t="str">
        <f t="shared" si="92"/>
        <v>Lower Risk</v>
      </c>
      <c r="G1961" t="s">
        <v>13</v>
      </c>
      <c r="H1961" t="s">
        <v>16</v>
      </c>
      <c r="I1961" t="s">
        <v>5</v>
      </c>
      <c r="J1961">
        <v>82.73</v>
      </c>
      <c r="K1961">
        <v>20.8</v>
      </c>
      <c r="L1961" t="s">
        <v>14</v>
      </c>
      <c r="M1961">
        <v>0</v>
      </c>
      <c r="N1961" t="str">
        <f t="shared" si="90"/>
        <v>Under 40</v>
      </c>
      <c r="O1961" t="str">
        <f t="shared" si="91"/>
        <v>Normal</v>
      </c>
    </row>
    <row r="1962" spans="1:15" x14ac:dyDescent="0.3">
      <c r="A1962">
        <v>56736</v>
      </c>
      <c r="B1962" t="s">
        <v>2</v>
      </c>
      <c r="C1962">
        <v>18</v>
      </c>
      <c r="D1962">
        <v>0</v>
      </c>
      <c r="E1962">
        <v>0</v>
      </c>
      <c r="F1962" t="str">
        <f t="shared" si="92"/>
        <v>Lower Risk</v>
      </c>
      <c r="G1962" t="s">
        <v>13</v>
      </c>
      <c r="H1962" t="s">
        <v>4</v>
      </c>
      <c r="I1962" t="s">
        <v>9</v>
      </c>
      <c r="J1962">
        <v>67.8</v>
      </c>
      <c r="K1962">
        <v>23.8</v>
      </c>
      <c r="L1962" t="s">
        <v>14</v>
      </c>
      <c r="M1962">
        <v>0</v>
      </c>
      <c r="N1962" t="str">
        <f t="shared" si="90"/>
        <v>Under 40</v>
      </c>
      <c r="O1962" t="str">
        <f t="shared" si="91"/>
        <v>Normal</v>
      </c>
    </row>
    <row r="1963" spans="1:15" x14ac:dyDescent="0.3">
      <c r="A1963">
        <v>6537</v>
      </c>
      <c r="B1963" t="s">
        <v>7</v>
      </c>
      <c r="C1963">
        <v>53</v>
      </c>
      <c r="D1963">
        <v>0</v>
      </c>
      <c r="E1963">
        <v>0</v>
      </c>
      <c r="F1963" t="str">
        <f t="shared" si="92"/>
        <v>Lower Risk</v>
      </c>
      <c r="G1963" t="s">
        <v>3</v>
      </c>
      <c r="H1963" t="s">
        <v>8</v>
      </c>
      <c r="I1963" t="s">
        <v>5</v>
      </c>
      <c r="J1963">
        <v>84.85</v>
      </c>
      <c r="K1963">
        <v>24.7</v>
      </c>
      <c r="L1963" t="s">
        <v>11</v>
      </c>
      <c r="M1963">
        <v>0</v>
      </c>
      <c r="N1963" t="str">
        <f t="shared" si="90"/>
        <v>40–59</v>
      </c>
      <c r="O1963" t="str">
        <f t="shared" si="91"/>
        <v>Normal</v>
      </c>
    </row>
    <row r="1964" spans="1:15" x14ac:dyDescent="0.3">
      <c r="A1964">
        <v>41827</v>
      </c>
      <c r="B1964" t="s">
        <v>2</v>
      </c>
      <c r="C1964">
        <v>58</v>
      </c>
      <c r="D1964">
        <v>0</v>
      </c>
      <c r="E1964">
        <v>0</v>
      </c>
      <c r="F1964" t="str">
        <f t="shared" si="92"/>
        <v>Lower Risk</v>
      </c>
      <c r="G1964" t="s">
        <v>3</v>
      </c>
      <c r="H1964" t="s">
        <v>4</v>
      </c>
      <c r="I1964" t="s">
        <v>9</v>
      </c>
      <c r="J1964">
        <v>135.88999999999999</v>
      </c>
      <c r="K1964">
        <v>23.1</v>
      </c>
      <c r="L1964" t="s">
        <v>6</v>
      </c>
      <c r="M1964">
        <v>0</v>
      </c>
      <c r="N1964" t="str">
        <f t="shared" si="90"/>
        <v>40–59</v>
      </c>
      <c r="O1964" t="str">
        <f t="shared" si="91"/>
        <v>Normal</v>
      </c>
    </row>
    <row r="1965" spans="1:15" x14ac:dyDescent="0.3">
      <c r="A1965">
        <v>49480</v>
      </c>
      <c r="B1965" t="s">
        <v>7</v>
      </c>
      <c r="C1965">
        <v>31</v>
      </c>
      <c r="D1965">
        <v>0</v>
      </c>
      <c r="E1965">
        <v>0</v>
      </c>
      <c r="F1965" t="str">
        <f t="shared" si="92"/>
        <v>Lower Risk</v>
      </c>
      <c r="G1965" t="s">
        <v>13</v>
      </c>
      <c r="H1965" t="s">
        <v>4</v>
      </c>
      <c r="I1965" t="s">
        <v>5</v>
      </c>
      <c r="J1965">
        <v>106.13</v>
      </c>
      <c r="K1965">
        <v>22.4</v>
      </c>
      <c r="L1965" t="s">
        <v>11</v>
      </c>
      <c r="M1965">
        <v>0</v>
      </c>
      <c r="N1965" t="str">
        <f t="shared" si="90"/>
        <v>Under 40</v>
      </c>
      <c r="O1965" t="str">
        <f t="shared" si="91"/>
        <v>Normal</v>
      </c>
    </row>
    <row r="1966" spans="1:15" x14ac:dyDescent="0.3">
      <c r="A1966">
        <v>36704</v>
      </c>
      <c r="B1966" t="s">
        <v>7</v>
      </c>
      <c r="C1966">
        <v>29</v>
      </c>
      <c r="D1966">
        <v>0</v>
      </c>
      <c r="E1966">
        <v>0</v>
      </c>
      <c r="F1966" t="str">
        <f t="shared" si="92"/>
        <v>Lower Risk</v>
      </c>
      <c r="G1966" t="s">
        <v>3</v>
      </c>
      <c r="H1966" t="s">
        <v>8</v>
      </c>
      <c r="I1966" t="s">
        <v>9</v>
      </c>
      <c r="J1966">
        <v>74.33</v>
      </c>
      <c r="K1966">
        <v>29.9</v>
      </c>
      <c r="L1966" t="s">
        <v>12</v>
      </c>
      <c r="M1966">
        <v>0</v>
      </c>
      <c r="N1966" t="str">
        <f t="shared" si="90"/>
        <v>Under 40</v>
      </c>
      <c r="O1966" t="str">
        <f t="shared" si="91"/>
        <v>Overweight</v>
      </c>
    </row>
    <row r="1967" spans="1:15" x14ac:dyDescent="0.3">
      <c r="A1967">
        <v>8884</v>
      </c>
      <c r="B1967" t="s">
        <v>7</v>
      </c>
      <c r="C1967">
        <v>5</v>
      </c>
      <c r="D1967">
        <v>0</v>
      </c>
      <c r="E1967">
        <v>0</v>
      </c>
      <c r="F1967" t="str">
        <f t="shared" si="92"/>
        <v>Lower Risk</v>
      </c>
      <c r="G1967" t="s">
        <v>13</v>
      </c>
      <c r="H1967" t="s">
        <v>16</v>
      </c>
      <c r="I1967" t="s">
        <v>9</v>
      </c>
      <c r="J1967">
        <v>109.4</v>
      </c>
      <c r="K1967">
        <v>20</v>
      </c>
      <c r="L1967" t="s">
        <v>14</v>
      </c>
      <c r="M1967">
        <v>0</v>
      </c>
      <c r="N1967" t="str">
        <f t="shared" si="90"/>
        <v>Under 40</v>
      </c>
      <c r="O1967" t="str">
        <f t="shared" si="91"/>
        <v>Normal</v>
      </c>
    </row>
    <row r="1968" spans="1:15" x14ac:dyDescent="0.3">
      <c r="A1968">
        <v>49775</v>
      </c>
      <c r="B1968" t="s">
        <v>2</v>
      </c>
      <c r="C1968">
        <v>40</v>
      </c>
      <c r="D1968">
        <v>0</v>
      </c>
      <c r="E1968">
        <v>0</v>
      </c>
      <c r="F1968" t="str">
        <f t="shared" si="92"/>
        <v>Lower Risk</v>
      </c>
      <c r="G1968" t="s">
        <v>3</v>
      </c>
      <c r="H1968" t="s">
        <v>4</v>
      </c>
      <c r="I1968" t="s">
        <v>9</v>
      </c>
      <c r="J1968">
        <v>75.400000000000006</v>
      </c>
      <c r="K1968">
        <v>28.7</v>
      </c>
      <c r="L1968" t="s">
        <v>14</v>
      </c>
      <c r="M1968">
        <v>0</v>
      </c>
      <c r="N1968" t="str">
        <f t="shared" si="90"/>
        <v>40–59</v>
      </c>
      <c r="O1968" t="str">
        <f t="shared" si="91"/>
        <v>Overweight</v>
      </c>
    </row>
    <row r="1969" spans="1:15" x14ac:dyDescent="0.3">
      <c r="A1969">
        <v>25777</v>
      </c>
      <c r="B1969" t="s">
        <v>2</v>
      </c>
      <c r="C1969">
        <v>75</v>
      </c>
      <c r="D1969">
        <v>0</v>
      </c>
      <c r="E1969">
        <v>0</v>
      </c>
      <c r="F1969" t="str">
        <f t="shared" si="92"/>
        <v>Moderate Risk</v>
      </c>
      <c r="G1969" t="s">
        <v>3</v>
      </c>
      <c r="H1969" t="s">
        <v>4</v>
      </c>
      <c r="I1969" t="s">
        <v>9</v>
      </c>
      <c r="J1969">
        <v>87.69</v>
      </c>
      <c r="K1969">
        <v>26.2</v>
      </c>
      <c r="L1969" t="s">
        <v>6</v>
      </c>
      <c r="M1969">
        <v>0</v>
      </c>
      <c r="N1969" t="str">
        <f t="shared" si="90"/>
        <v>60+</v>
      </c>
      <c r="O1969" t="str">
        <f t="shared" si="91"/>
        <v>Overweight</v>
      </c>
    </row>
    <row r="1970" spans="1:15" x14ac:dyDescent="0.3">
      <c r="A1970">
        <v>2070</v>
      </c>
      <c r="B1970" t="s">
        <v>2</v>
      </c>
      <c r="C1970">
        <v>52</v>
      </c>
      <c r="D1970">
        <v>0</v>
      </c>
      <c r="E1970">
        <v>0</v>
      </c>
      <c r="F1970" t="str">
        <f t="shared" si="92"/>
        <v>Lower Risk</v>
      </c>
      <c r="G1970" t="s">
        <v>3</v>
      </c>
      <c r="H1970" t="s">
        <v>4</v>
      </c>
      <c r="I1970" t="s">
        <v>5</v>
      </c>
      <c r="J1970">
        <v>95.85</v>
      </c>
      <c r="K1970">
        <v>29.6</v>
      </c>
      <c r="L1970" t="s">
        <v>12</v>
      </c>
      <c r="M1970">
        <v>0</v>
      </c>
      <c r="N1970" t="str">
        <f t="shared" si="90"/>
        <v>40–59</v>
      </c>
      <c r="O1970" t="str">
        <f t="shared" si="91"/>
        <v>Overweight</v>
      </c>
    </row>
    <row r="1971" spans="1:15" x14ac:dyDescent="0.3">
      <c r="A1971">
        <v>15752</v>
      </c>
      <c r="B1971" t="s">
        <v>2</v>
      </c>
      <c r="C1971">
        <v>39</v>
      </c>
      <c r="D1971">
        <v>0</v>
      </c>
      <c r="E1971">
        <v>0</v>
      </c>
      <c r="F1971" t="str">
        <f t="shared" si="92"/>
        <v>Lower Risk</v>
      </c>
      <c r="G1971" t="s">
        <v>3</v>
      </c>
      <c r="H1971" t="s">
        <v>4</v>
      </c>
      <c r="I1971" t="s">
        <v>5</v>
      </c>
      <c r="J1971">
        <v>90.36</v>
      </c>
      <c r="K1971">
        <v>30.8</v>
      </c>
      <c r="L1971" t="s">
        <v>6</v>
      </c>
      <c r="M1971">
        <v>0</v>
      </c>
      <c r="N1971" t="str">
        <f t="shared" si="90"/>
        <v>Under 40</v>
      </c>
      <c r="O1971" t="str">
        <f t="shared" si="91"/>
        <v>Obese</v>
      </c>
    </row>
    <row r="1972" spans="1:15" x14ac:dyDescent="0.3">
      <c r="A1972">
        <v>45915</v>
      </c>
      <c r="B1972" t="s">
        <v>7</v>
      </c>
      <c r="C1972">
        <v>40</v>
      </c>
      <c r="D1972">
        <v>0</v>
      </c>
      <c r="E1972">
        <v>0</v>
      </c>
      <c r="F1972" t="str">
        <f t="shared" si="92"/>
        <v>Lower Risk</v>
      </c>
      <c r="G1972" t="s">
        <v>13</v>
      </c>
      <c r="H1972" t="s">
        <v>4</v>
      </c>
      <c r="I1972" t="s">
        <v>9</v>
      </c>
      <c r="J1972">
        <v>63.45</v>
      </c>
      <c r="K1972">
        <v>32.700000000000003</v>
      </c>
      <c r="L1972" t="s">
        <v>6</v>
      </c>
      <c r="M1972">
        <v>0</v>
      </c>
      <c r="N1972" t="str">
        <f t="shared" si="90"/>
        <v>40–59</v>
      </c>
      <c r="O1972" t="str">
        <f t="shared" si="91"/>
        <v>Obese</v>
      </c>
    </row>
    <row r="1973" spans="1:15" x14ac:dyDescent="0.3">
      <c r="A1973">
        <v>48775</v>
      </c>
      <c r="B1973" t="s">
        <v>7</v>
      </c>
      <c r="C1973">
        <v>78</v>
      </c>
      <c r="D1973">
        <v>1</v>
      </c>
      <c r="E1973">
        <v>0</v>
      </c>
      <c r="F1973" t="str">
        <f t="shared" si="92"/>
        <v>High Risk</v>
      </c>
      <c r="G1973" t="s">
        <v>3</v>
      </c>
      <c r="H1973" t="s">
        <v>8</v>
      </c>
      <c r="I1973" t="s">
        <v>9</v>
      </c>
      <c r="J1973">
        <v>201.07</v>
      </c>
      <c r="K1973">
        <v>21.8</v>
      </c>
      <c r="L1973" t="s">
        <v>14</v>
      </c>
      <c r="M1973">
        <v>0</v>
      </c>
      <c r="N1973" t="str">
        <f t="shared" si="90"/>
        <v>60+</v>
      </c>
      <c r="O1973" t="str">
        <f t="shared" si="91"/>
        <v>Normal</v>
      </c>
    </row>
    <row r="1974" spans="1:15" x14ac:dyDescent="0.3">
      <c r="A1974">
        <v>65697</v>
      </c>
      <c r="B1974" t="s">
        <v>7</v>
      </c>
      <c r="C1974">
        <v>39</v>
      </c>
      <c r="D1974">
        <v>0</v>
      </c>
      <c r="E1974">
        <v>0</v>
      </c>
      <c r="F1974" t="str">
        <f t="shared" si="92"/>
        <v>Lower Risk</v>
      </c>
      <c r="G1974" t="s">
        <v>3</v>
      </c>
      <c r="H1974" t="s">
        <v>4</v>
      </c>
      <c r="I1974" t="s">
        <v>5</v>
      </c>
      <c r="J1974">
        <v>122.91</v>
      </c>
      <c r="K1974">
        <v>35.700000000000003</v>
      </c>
      <c r="L1974" t="s">
        <v>11</v>
      </c>
      <c r="M1974">
        <v>0</v>
      </c>
      <c r="N1974" t="str">
        <f t="shared" si="90"/>
        <v>Under 40</v>
      </c>
      <c r="O1974" t="str">
        <f t="shared" si="91"/>
        <v>Obese</v>
      </c>
    </row>
    <row r="1975" spans="1:15" x14ac:dyDescent="0.3">
      <c r="A1975">
        <v>65229</v>
      </c>
      <c r="B1975" t="s">
        <v>7</v>
      </c>
      <c r="C1975">
        <v>17</v>
      </c>
      <c r="D1975">
        <v>0</v>
      </c>
      <c r="E1975">
        <v>0</v>
      </c>
      <c r="F1975" t="str">
        <f t="shared" si="92"/>
        <v>Lower Risk</v>
      </c>
      <c r="G1975" t="s">
        <v>13</v>
      </c>
      <c r="H1975" t="s">
        <v>4</v>
      </c>
      <c r="I1975" t="s">
        <v>9</v>
      </c>
      <c r="J1975">
        <v>55.41</v>
      </c>
      <c r="K1975">
        <v>25.4</v>
      </c>
      <c r="L1975" t="s">
        <v>14</v>
      </c>
      <c r="M1975">
        <v>0</v>
      </c>
      <c r="N1975" t="str">
        <f t="shared" si="90"/>
        <v>Under 40</v>
      </c>
      <c r="O1975" t="str">
        <f t="shared" si="91"/>
        <v>Overweight</v>
      </c>
    </row>
    <row r="1976" spans="1:15" x14ac:dyDescent="0.3">
      <c r="A1976">
        <v>56889</v>
      </c>
      <c r="B1976" t="s">
        <v>2</v>
      </c>
      <c r="C1976">
        <v>45</v>
      </c>
      <c r="D1976">
        <v>1</v>
      </c>
      <c r="E1976">
        <v>0</v>
      </c>
      <c r="F1976" t="str">
        <f t="shared" si="92"/>
        <v>Lower Risk</v>
      </c>
      <c r="G1976" t="s">
        <v>3</v>
      </c>
      <c r="H1976" t="s">
        <v>4</v>
      </c>
      <c r="I1976" t="s">
        <v>5</v>
      </c>
      <c r="J1976">
        <v>60.99</v>
      </c>
      <c r="K1976">
        <v>32.799999999999997</v>
      </c>
      <c r="L1976" t="s">
        <v>14</v>
      </c>
      <c r="M1976">
        <v>0</v>
      </c>
      <c r="N1976" t="str">
        <f t="shared" si="90"/>
        <v>40–59</v>
      </c>
      <c r="O1976" t="str">
        <f t="shared" si="91"/>
        <v>Obese</v>
      </c>
    </row>
    <row r="1977" spans="1:15" x14ac:dyDescent="0.3">
      <c r="A1977">
        <v>6596</v>
      </c>
      <c r="B1977" t="s">
        <v>2</v>
      </c>
      <c r="C1977">
        <v>0.56000000000000005</v>
      </c>
      <c r="D1977">
        <v>0</v>
      </c>
      <c r="E1977">
        <v>0</v>
      </c>
      <c r="F1977" t="str">
        <f t="shared" si="92"/>
        <v>Lower Risk</v>
      </c>
      <c r="G1977" t="s">
        <v>13</v>
      </c>
      <c r="H1977" t="s">
        <v>16</v>
      </c>
      <c r="I1977" t="s">
        <v>9</v>
      </c>
      <c r="J1977">
        <v>111.77</v>
      </c>
      <c r="K1977">
        <v>21.1</v>
      </c>
      <c r="L1977" t="s">
        <v>14</v>
      </c>
      <c r="M1977">
        <v>0</v>
      </c>
      <c r="N1977" t="str">
        <f t="shared" si="90"/>
        <v>Under 40</v>
      </c>
      <c r="O1977" t="str">
        <f t="shared" si="91"/>
        <v>Normal</v>
      </c>
    </row>
    <row r="1978" spans="1:15" x14ac:dyDescent="0.3">
      <c r="A1978">
        <v>46577</v>
      </c>
      <c r="B1978" t="s">
        <v>7</v>
      </c>
      <c r="C1978">
        <v>13</v>
      </c>
      <c r="D1978">
        <v>0</v>
      </c>
      <c r="E1978">
        <v>0</v>
      </c>
      <c r="F1978" t="str">
        <f t="shared" si="92"/>
        <v>Lower Risk</v>
      </c>
      <c r="G1978" t="s">
        <v>13</v>
      </c>
      <c r="H1978" t="s">
        <v>4</v>
      </c>
      <c r="I1978" t="s">
        <v>5</v>
      </c>
      <c r="J1978">
        <v>77.63</v>
      </c>
      <c r="K1978">
        <v>31.7</v>
      </c>
      <c r="L1978" t="s">
        <v>11</v>
      </c>
      <c r="M1978">
        <v>0</v>
      </c>
      <c r="N1978" t="str">
        <f t="shared" si="90"/>
        <v>Under 40</v>
      </c>
      <c r="O1978" t="str">
        <f t="shared" si="91"/>
        <v>Obese</v>
      </c>
    </row>
    <row r="1979" spans="1:15" x14ac:dyDescent="0.3">
      <c r="A1979">
        <v>63455</v>
      </c>
      <c r="B1979" t="s">
        <v>2</v>
      </c>
      <c r="C1979">
        <v>26</v>
      </c>
      <c r="D1979">
        <v>0</v>
      </c>
      <c r="E1979">
        <v>0</v>
      </c>
      <c r="F1979" t="str">
        <f t="shared" si="92"/>
        <v>Lower Risk</v>
      </c>
      <c r="G1979" t="s">
        <v>3</v>
      </c>
      <c r="H1979" t="s">
        <v>4</v>
      </c>
      <c r="I1979" t="s">
        <v>5</v>
      </c>
      <c r="J1979">
        <v>70.61</v>
      </c>
      <c r="K1979">
        <v>20</v>
      </c>
      <c r="L1979" t="s">
        <v>11</v>
      </c>
      <c r="M1979">
        <v>0</v>
      </c>
      <c r="N1979" t="str">
        <f t="shared" si="90"/>
        <v>Under 40</v>
      </c>
      <c r="O1979" t="str">
        <f t="shared" si="91"/>
        <v>Normal</v>
      </c>
    </row>
    <row r="1980" spans="1:15" x14ac:dyDescent="0.3">
      <c r="A1980">
        <v>21724</v>
      </c>
      <c r="B1980" t="s">
        <v>7</v>
      </c>
      <c r="C1980">
        <v>42</v>
      </c>
      <c r="D1980">
        <v>0</v>
      </c>
      <c r="E1980">
        <v>0</v>
      </c>
      <c r="F1980" t="str">
        <f t="shared" si="92"/>
        <v>Lower Risk</v>
      </c>
      <c r="G1980" t="s">
        <v>3</v>
      </c>
      <c r="H1980" t="s">
        <v>8</v>
      </c>
      <c r="I1980" t="s">
        <v>5</v>
      </c>
      <c r="J1980">
        <v>124.34</v>
      </c>
      <c r="K1980">
        <v>34.700000000000003</v>
      </c>
      <c r="L1980" t="s">
        <v>6</v>
      </c>
      <c r="M1980">
        <v>0</v>
      </c>
      <c r="N1980" t="str">
        <f t="shared" si="90"/>
        <v>40–59</v>
      </c>
      <c r="O1980" t="str">
        <f t="shared" si="91"/>
        <v>Obese</v>
      </c>
    </row>
    <row r="1981" spans="1:15" x14ac:dyDescent="0.3">
      <c r="A1981">
        <v>29863</v>
      </c>
      <c r="B1981" t="s">
        <v>2</v>
      </c>
      <c r="C1981">
        <v>44</v>
      </c>
      <c r="D1981">
        <v>0</v>
      </c>
      <c r="E1981">
        <v>0</v>
      </c>
      <c r="F1981" t="str">
        <f t="shared" si="92"/>
        <v>Lower Risk</v>
      </c>
      <c r="G1981" t="s">
        <v>13</v>
      </c>
      <c r="H1981" t="s">
        <v>4</v>
      </c>
      <c r="I1981" t="s">
        <v>5</v>
      </c>
      <c r="J1981">
        <v>103.44</v>
      </c>
      <c r="K1981">
        <v>28</v>
      </c>
      <c r="L1981" t="s">
        <v>11</v>
      </c>
      <c r="M1981">
        <v>0</v>
      </c>
      <c r="N1981" t="str">
        <f t="shared" si="90"/>
        <v>40–59</v>
      </c>
      <c r="O1981" t="str">
        <f t="shared" si="91"/>
        <v>Overweight</v>
      </c>
    </row>
    <row r="1982" spans="1:15" x14ac:dyDescent="0.3">
      <c r="A1982">
        <v>69249</v>
      </c>
      <c r="B1982" t="s">
        <v>7</v>
      </c>
      <c r="C1982">
        <v>3</v>
      </c>
      <c r="D1982">
        <v>0</v>
      </c>
      <c r="E1982">
        <v>0</v>
      </c>
      <c r="F1982" t="str">
        <f t="shared" si="92"/>
        <v>Lower Risk</v>
      </c>
      <c r="G1982" t="s">
        <v>13</v>
      </c>
      <c r="H1982" t="s">
        <v>16</v>
      </c>
      <c r="I1982" t="s">
        <v>5</v>
      </c>
      <c r="J1982">
        <v>124.5</v>
      </c>
      <c r="K1982">
        <v>16.399999999999999</v>
      </c>
      <c r="L1982" t="s">
        <v>14</v>
      </c>
      <c r="M1982">
        <v>0</v>
      </c>
      <c r="N1982" t="str">
        <f t="shared" si="90"/>
        <v>Under 40</v>
      </c>
      <c r="O1982" t="str">
        <f t="shared" si="91"/>
        <v>Underweight</v>
      </c>
    </row>
    <row r="1983" spans="1:15" x14ac:dyDescent="0.3">
      <c r="A1983">
        <v>8968</v>
      </c>
      <c r="B1983" t="s">
        <v>7</v>
      </c>
      <c r="C1983">
        <v>42</v>
      </c>
      <c r="D1983">
        <v>0</v>
      </c>
      <c r="E1983">
        <v>0</v>
      </c>
      <c r="F1983" t="str">
        <f t="shared" si="92"/>
        <v>Lower Risk</v>
      </c>
      <c r="G1983" t="s">
        <v>3</v>
      </c>
      <c r="H1983" t="s">
        <v>4</v>
      </c>
      <c r="I1983" t="s">
        <v>5</v>
      </c>
      <c r="J1983">
        <v>208.06</v>
      </c>
      <c r="K1983" t="s">
        <v>10</v>
      </c>
      <c r="L1983" t="s">
        <v>12</v>
      </c>
      <c r="M1983">
        <v>0</v>
      </c>
      <c r="N1983" t="str">
        <f t="shared" si="90"/>
        <v>40–59</v>
      </c>
      <c r="O1983" t="str">
        <f t="shared" si="91"/>
        <v>Unknown</v>
      </c>
    </row>
    <row r="1984" spans="1:15" x14ac:dyDescent="0.3">
      <c r="A1984">
        <v>20310</v>
      </c>
      <c r="B1984" t="s">
        <v>2</v>
      </c>
      <c r="C1984">
        <v>25</v>
      </c>
      <c r="D1984">
        <v>0</v>
      </c>
      <c r="E1984">
        <v>0</v>
      </c>
      <c r="F1984" t="str">
        <f t="shared" si="92"/>
        <v>Lower Risk</v>
      </c>
      <c r="G1984" t="s">
        <v>13</v>
      </c>
      <c r="H1984" t="s">
        <v>15</v>
      </c>
      <c r="I1984" t="s">
        <v>5</v>
      </c>
      <c r="J1984">
        <v>75.5</v>
      </c>
      <c r="K1984">
        <v>24.6</v>
      </c>
      <c r="L1984" t="s">
        <v>11</v>
      </c>
      <c r="M1984">
        <v>0</v>
      </c>
      <c r="N1984" t="str">
        <f t="shared" si="90"/>
        <v>Under 40</v>
      </c>
      <c r="O1984" t="str">
        <f t="shared" si="91"/>
        <v>Normal</v>
      </c>
    </row>
    <row r="1985" spans="1:15" x14ac:dyDescent="0.3">
      <c r="A1985">
        <v>11450</v>
      </c>
      <c r="B1985" t="s">
        <v>7</v>
      </c>
      <c r="C1985">
        <v>41</v>
      </c>
      <c r="D1985">
        <v>0</v>
      </c>
      <c r="E1985">
        <v>0</v>
      </c>
      <c r="F1985" t="str">
        <f t="shared" si="92"/>
        <v>Lower Risk</v>
      </c>
      <c r="G1985" t="s">
        <v>3</v>
      </c>
      <c r="H1985" t="s">
        <v>8</v>
      </c>
      <c r="I1985" t="s">
        <v>5</v>
      </c>
      <c r="J1985">
        <v>98.85</v>
      </c>
      <c r="K1985">
        <v>24.6</v>
      </c>
      <c r="L1985" t="s">
        <v>11</v>
      </c>
      <c r="M1985">
        <v>0</v>
      </c>
      <c r="N1985" t="str">
        <f t="shared" si="90"/>
        <v>40–59</v>
      </c>
      <c r="O1985" t="str">
        <f t="shared" si="91"/>
        <v>Normal</v>
      </c>
    </row>
    <row r="1986" spans="1:15" x14ac:dyDescent="0.3">
      <c r="A1986">
        <v>31999</v>
      </c>
      <c r="B1986" t="s">
        <v>2</v>
      </c>
      <c r="C1986">
        <v>51</v>
      </c>
      <c r="D1986">
        <v>0</v>
      </c>
      <c r="E1986">
        <v>1</v>
      </c>
      <c r="F1986" t="str">
        <f t="shared" si="92"/>
        <v>Lower Risk</v>
      </c>
      <c r="G1986" t="s">
        <v>3</v>
      </c>
      <c r="H1986" t="s">
        <v>4</v>
      </c>
      <c r="I1986" t="s">
        <v>9</v>
      </c>
      <c r="J1986">
        <v>96.06</v>
      </c>
      <c r="K1986">
        <v>30.3</v>
      </c>
      <c r="L1986" t="s">
        <v>14</v>
      </c>
      <c r="M1986">
        <v>0</v>
      </c>
      <c r="N1986" t="str">
        <f t="shared" ref="N1986:N2049" si="93">IF(C1986&lt;40,"Under 40",IF(C1986&lt;60,"40–59","60+"))</f>
        <v>40–59</v>
      </c>
      <c r="O1986" t="str">
        <f t="shared" ref="O1986:O2049" si="94">IF(K1986="N/A","Unknown",
IF(K1986="","Unknown",
IF(K1986&lt;18.5,"Underweight",
IF(K1986&lt;25,"Normal",
IF(K1986&lt;30,"Overweight","Obese")))))</f>
        <v>Obese</v>
      </c>
    </row>
    <row r="1987" spans="1:15" x14ac:dyDescent="0.3">
      <c r="A1987">
        <v>34133</v>
      </c>
      <c r="B1987" t="s">
        <v>7</v>
      </c>
      <c r="C1987">
        <v>20</v>
      </c>
      <c r="D1987">
        <v>0</v>
      </c>
      <c r="E1987">
        <v>0</v>
      </c>
      <c r="F1987" t="str">
        <f t="shared" ref="F1987:F2050" si="95">IF(C1987&gt;=60,
IF(OR(D1987=1,E1987=1),"High Risk","Moderate Risk"),
"Lower Risk")</f>
        <v>Lower Risk</v>
      </c>
      <c r="G1987" t="s">
        <v>13</v>
      </c>
      <c r="H1987" t="s">
        <v>4</v>
      </c>
      <c r="I1987" t="s">
        <v>9</v>
      </c>
      <c r="J1987">
        <v>93.74</v>
      </c>
      <c r="K1987">
        <v>23.7</v>
      </c>
      <c r="L1987" t="s">
        <v>14</v>
      </c>
      <c r="M1987">
        <v>0</v>
      </c>
      <c r="N1987" t="str">
        <f t="shared" si="93"/>
        <v>Under 40</v>
      </c>
      <c r="O1987" t="str">
        <f t="shared" si="94"/>
        <v>Normal</v>
      </c>
    </row>
    <row r="1988" spans="1:15" x14ac:dyDescent="0.3">
      <c r="A1988">
        <v>44202</v>
      </c>
      <c r="B1988" t="s">
        <v>7</v>
      </c>
      <c r="C1988">
        <v>25</v>
      </c>
      <c r="D1988">
        <v>0</v>
      </c>
      <c r="E1988">
        <v>0</v>
      </c>
      <c r="F1988" t="str">
        <f t="shared" si="95"/>
        <v>Lower Risk</v>
      </c>
      <c r="G1988" t="s">
        <v>3</v>
      </c>
      <c r="H1988" t="s">
        <v>4</v>
      </c>
      <c r="I1988" t="s">
        <v>5</v>
      </c>
      <c r="J1988">
        <v>65.599999999999994</v>
      </c>
      <c r="K1988">
        <v>33.5</v>
      </c>
      <c r="L1988" t="s">
        <v>11</v>
      </c>
      <c r="M1988">
        <v>0</v>
      </c>
      <c r="N1988" t="str">
        <f t="shared" si="93"/>
        <v>Under 40</v>
      </c>
      <c r="O1988" t="str">
        <f t="shared" si="94"/>
        <v>Obese</v>
      </c>
    </row>
    <row r="1989" spans="1:15" x14ac:dyDescent="0.3">
      <c r="A1989">
        <v>72311</v>
      </c>
      <c r="B1989" t="s">
        <v>2</v>
      </c>
      <c r="C1989">
        <v>18</v>
      </c>
      <c r="D1989">
        <v>0</v>
      </c>
      <c r="E1989">
        <v>0</v>
      </c>
      <c r="F1989" t="str">
        <f t="shared" si="95"/>
        <v>Lower Risk</v>
      </c>
      <c r="G1989" t="s">
        <v>13</v>
      </c>
      <c r="H1989" t="s">
        <v>4</v>
      </c>
      <c r="I1989" t="s">
        <v>5</v>
      </c>
      <c r="J1989">
        <v>113.24</v>
      </c>
      <c r="K1989">
        <v>24.9</v>
      </c>
      <c r="L1989" t="s">
        <v>14</v>
      </c>
      <c r="M1989">
        <v>0</v>
      </c>
      <c r="N1989" t="str">
        <f t="shared" si="93"/>
        <v>Under 40</v>
      </c>
      <c r="O1989" t="str">
        <f t="shared" si="94"/>
        <v>Normal</v>
      </c>
    </row>
    <row r="1990" spans="1:15" x14ac:dyDescent="0.3">
      <c r="A1990">
        <v>18704</v>
      </c>
      <c r="B1990" t="s">
        <v>7</v>
      </c>
      <c r="C1990">
        <v>37</v>
      </c>
      <c r="D1990">
        <v>0</v>
      </c>
      <c r="E1990">
        <v>0</v>
      </c>
      <c r="F1990" t="str">
        <f t="shared" si="95"/>
        <v>Lower Risk</v>
      </c>
      <c r="G1990" t="s">
        <v>3</v>
      </c>
      <c r="H1990" t="s">
        <v>4</v>
      </c>
      <c r="I1990" t="s">
        <v>9</v>
      </c>
      <c r="J1990">
        <v>94.77</v>
      </c>
      <c r="K1990">
        <v>48.9</v>
      </c>
      <c r="L1990" t="s">
        <v>14</v>
      </c>
      <c r="M1990">
        <v>0</v>
      </c>
      <c r="N1990" t="str">
        <f t="shared" si="93"/>
        <v>Under 40</v>
      </c>
      <c r="O1990" t="str">
        <f t="shared" si="94"/>
        <v>Obese</v>
      </c>
    </row>
    <row r="1991" spans="1:15" x14ac:dyDescent="0.3">
      <c r="A1991">
        <v>36518</v>
      </c>
      <c r="B1991" t="s">
        <v>7</v>
      </c>
      <c r="C1991">
        <v>51</v>
      </c>
      <c r="D1991">
        <v>0</v>
      </c>
      <c r="E1991">
        <v>0</v>
      </c>
      <c r="F1991" t="str">
        <f t="shared" si="95"/>
        <v>Lower Risk</v>
      </c>
      <c r="G1991" t="s">
        <v>3</v>
      </c>
      <c r="H1991" t="s">
        <v>4</v>
      </c>
      <c r="I1991" t="s">
        <v>5</v>
      </c>
      <c r="J1991">
        <v>145.22</v>
      </c>
      <c r="K1991">
        <v>31.4</v>
      </c>
      <c r="L1991" t="s">
        <v>14</v>
      </c>
      <c r="M1991">
        <v>0</v>
      </c>
      <c r="N1991" t="str">
        <f t="shared" si="93"/>
        <v>40–59</v>
      </c>
      <c r="O1991" t="str">
        <f t="shared" si="94"/>
        <v>Obese</v>
      </c>
    </row>
    <row r="1992" spans="1:15" x14ac:dyDescent="0.3">
      <c r="A1992">
        <v>35651</v>
      </c>
      <c r="B1992" t="s">
        <v>2</v>
      </c>
      <c r="C1992">
        <v>2</v>
      </c>
      <c r="D1992">
        <v>0</v>
      </c>
      <c r="E1992">
        <v>0</v>
      </c>
      <c r="F1992" t="str">
        <f t="shared" si="95"/>
        <v>Lower Risk</v>
      </c>
      <c r="G1992" t="s">
        <v>13</v>
      </c>
      <c r="H1992" t="s">
        <v>16</v>
      </c>
      <c r="I1992" t="s">
        <v>5</v>
      </c>
      <c r="J1992">
        <v>112.92</v>
      </c>
      <c r="K1992">
        <v>18.399999999999999</v>
      </c>
      <c r="L1992" t="s">
        <v>14</v>
      </c>
      <c r="M1992">
        <v>0</v>
      </c>
      <c r="N1992" t="str">
        <f t="shared" si="93"/>
        <v>Under 40</v>
      </c>
      <c r="O1992" t="str">
        <f t="shared" si="94"/>
        <v>Underweight</v>
      </c>
    </row>
    <row r="1993" spans="1:15" x14ac:dyDescent="0.3">
      <c r="A1993">
        <v>13749</v>
      </c>
      <c r="B1993" t="s">
        <v>7</v>
      </c>
      <c r="C1993">
        <v>38</v>
      </c>
      <c r="D1993">
        <v>0</v>
      </c>
      <c r="E1993">
        <v>0</v>
      </c>
      <c r="F1993" t="str">
        <f t="shared" si="95"/>
        <v>Lower Risk</v>
      </c>
      <c r="G1993" t="s">
        <v>3</v>
      </c>
      <c r="H1993" t="s">
        <v>4</v>
      </c>
      <c r="I1993" t="s">
        <v>9</v>
      </c>
      <c r="J1993">
        <v>84.79</v>
      </c>
      <c r="K1993">
        <v>24.2</v>
      </c>
      <c r="L1993" t="s">
        <v>6</v>
      </c>
      <c r="M1993">
        <v>0</v>
      </c>
      <c r="N1993" t="str">
        <f t="shared" si="93"/>
        <v>Under 40</v>
      </c>
      <c r="O1993" t="str">
        <f t="shared" si="94"/>
        <v>Normal</v>
      </c>
    </row>
    <row r="1994" spans="1:15" x14ac:dyDescent="0.3">
      <c r="A1994">
        <v>21521</v>
      </c>
      <c r="B1994" t="s">
        <v>2</v>
      </c>
      <c r="C1994">
        <v>64</v>
      </c>
      <c r="D1994">
        <v>0</v>
      </c>
      <c r="E1994">
        <v>1</v>
      </c>
      <c r="F1994" t="str">
        <f t="shared" si="95"/>
        <v>High Risk</v>
      </c>
      <c r="G1994" t="s">
        <v>3</v>
      </c>
      <c r="H1994" t="s">
        <v>4</v>
      </c>
      <c r="I1994" t="s">
        <v>5</v>
      </c>
      <c r="J1994">
        <v>103.28</v>
      </c>
      <c r="K1994">
        <v>34.299999999999997</v>
      </c>
      <c r="L1994" t="s">
        <v>12</v>
      </c>
      <c r="M1994">
        <v>0</v>
      </c>
      <c r="N1994" t="str">
        <f t="shared" si="93"/>
        <v>60+</v>
      </c>
      <c r="O1994" t="str">
        <f t="shared" si="94"/>
        <v>Obese</v>
      </c>
    </row>
    <row r="1995" spans="1:15" x14ac:dyDescent="0.3">
      <c r="A1995">
        <v>27163</v>
      </c>
      <c r="B1995" t="s">
        <v>7</v>
      </c>
      <c r="C1995">
        <v>60</v>
      </c>
      <c r="D1995">
        <v>1</v>
      </c>
      <c r="E1995">
        <v>0</v>
      </c>
      <c r="F1995" t="str">
        <f t="shared" si="95"/>
        <v>High Risk</v>
      </c>
      <c r="G1995" t="s">
        <v>3</v>
      </c>
      <c r="H1995" t="s">
        <v>4</v>
      </c>
      <c r="I1995" t="s">
        <v>5</v>
      </c>
      <c r="J1995">
        <v>109</v>
      </c>
      <c r="K1995" t="s">
        <v>10</v>
      </c>
      <c r="L1995" t="s">
        <v>14</v>
      </c>
      <c r="M1995">
        <v>0</v>
      </c>
      <c r="N1995" t="str">
        <f t="shared" si="93"/>
        <v>60+</v>
      </c>
      <c r="O1995" t="str">
        <f t="shared" si="94"/>
        <v>Unknown</v>
      </c>
    </row>
    <row r="1996" spans="1:15" x14ac:dyDescent="0.3">
      <c r="A1996">
        <v>8882</v>
      </c>
      <c r="B1996" t="s">
        <v>2</v>
      </c>
      <c r="C1996">
        <v>22</v>
      </c>
      <c r="D1996">
        <v>0</v>
      </c>
      <c r="E1996">
        <v>0</v>
      </c>
      <c r="F1996" t="str">
        <f t="shared" si="95"/>
        <v>Lower Risk</v>
      </c>
      <c r="G1996" t="s">
        <v>13</v>
      </c>
      <c r="H1996" t="s">
        <v>15</v>
      </c>
      <c r="I1996" t="s">
        <v>9</v>
      </c>
      <c r="J1996">
        <v>96.18</v>
      </c>
      <c r="K1996">
        <v>25.1</v>
      </c>
      <c r="L1996" t="s">
        <v>11</v>
      </c>
      <c r="M1996">
        <v>0</v>
      </c>
      <c r="N1996" t="str">
        <f t="shared" si="93"/>
        <v>Under 40</v>
      </c>
      <c r="O1996" t="str">
        <f t="shared" si="94"/>
        <v>Overweight</v>
      </c>
    </row>
    <row r="1997" spans="1:15" x14ac:dyDescent="0.3">
      <c r="A1997">
        <v>32016</v>
      </c>
      <c r="B1997" t="s">
        <v>2</v>
      </c>
      <c r="C1997">
        <v>71</v>
      </c>
      <c r="D1997">
        <v>1</v>
      </c>
      <c r="E1997">
        <v>0</v>
      </c>
      <c r="F1997" t="str">
        <f t="shared" si="95"/>
        <v>High Risk</v>
      </c>
      <c r="G1997" t="s">
        <v>3</v>
      </c>
      <c r="H1997" t="s">
        <v>4</v>
      </c>
      <c r="I1997" t="s">
        <v>9</v>
      </c>
      <c r="J1997">
        <v>186.95</v>
      </c>
      <c r="K1997">
        <v>33.299999999999997</v>
      </c>
      <c r="L1997" t="s">
        <v>11</v>
      </c>
      <c r="M1997">
        <v>0</v>
      </c>
      <c r="N1997" t="str">
        <f t="shared" si="93"/>
        <v>60+</v>
      </c>
      <c r="O1997" t="str">
        <f t="shared" si="94"/>
        <v>Obese</v>
      </c>
    </row>
    <row r="1998" spans="1:15" x14ac:dyDescent="0.3">
      <c r="A1998">
        <v>14287</v>
      </c>
      <c r="B1998" t="s">
        <v>7</v>
      </c>
      <c r="C1998">
        <v>32</v>
      </c>
      <c r="D1998">
        <v>0</v>
      </c>
      <c r="E1998">
        <v>0</v>
      </c>
      <c r="F1998" t="str">
        <f t="shared" si="95"/>
        <v>Lower Risk</v>
      </c>
      <c r="G1998" t="s">
        <v>3</v>
      </c>
      <c r="H1998" t="s">
        <v>4</v>
      </c>
      <c r="I1998" t="s">
        <v>5</v>
      </c>
      <c r="J1998">
        <v>68.66</v>
      </c>
      <c r="K1998">
        <v>22.6</v>
      </c>
      <c r="L1998" t="s">
        <v>14</v>
      </c>
      <c r="M1998">
        <v>0</v>
      </c>
      <c r="N1998" t="str">
        <f t="shared" si="93"/>
        <v>Under 40</v>
      </c>
      <c r="O1998" t="str">
        <f t="shared" si="94"/>
        <v>Normal</v>
      </c>
    </row>
    <row r="1999" spans="1:15" x14ac:dyDescent="0.3">
      <c r="A1999">
        <v>60139</v>
      </c>
      <c r="B1999" t="s">
        <v>7</v>
      </c>
      <c r="C1999">
        <v>32</v>
      </c>
      <c r="D1999">
        <v>0</v>
      </c>
      <c r="E1999">
        <v>0</v>
      </c>
      <c r="F1999" t="str">
        <f t="shared" si="95"/>
        <v>Lower Risk</v>
      </c>
      <c r="G1999" t="s">
        <v>3</v>
      </c>
      <c r="H1999" t="s">
        <v>8</v>
      </c>
      <c r="I1999" t="s">
        <v>9</v>
      </c>
      <c r="J1999">
        <v>128.72</v>
      </c>
      <c r="K1999">
        <v>26.3</v>
      </c>
      <c r="L1999" t="s">
        <v>12</v>
      </c>
      <c r="M1999">
        <v>0</v>
      </c>
      <c r="N1999" t="str">
        <f t="shared" si="93"/>
        <v>Under 40</v>
      </c>
      <c r="O1999" t="str">
        <f t="shared" si="94"/>
        <v>Overweight</v>
      </c>
    </row>
    <row r="2000" spans="1:15" x14ac:dyDescent="0.3">
      <c r="A2000">
        <v>2447</v>
      </c>
      <c r="B2000" t="s">
        <v>7</v>
      </c>
      <c r="C2000">
        <v>63</v>
      </c>
      <c r="D2000">
        <v>0</v>
      </c>
      <c r="E2000">
        <v>0</v>
      </c>
      <c r="F2000" t="str">
        <f t="shared" si="95"/>
        <v>Moderate Risk</v>
      </c>
      <c r="G2000" t="s">
        <v>3</v>
      </c>
      <c r="H2000" t="s">
        <v>4</v>
      </c>
      <c r="I2000" t="s">
        <v>5</v>
      </c>
      <c r="J2000">
        <v>85.04</v>
      </c>
      <c r="K2000">
        <v>29.7</v>
      </c>
      <c r="L2000" t="s">
        <v>6</v>
      </c>
      <c r="M2000">
        <v>0</v>
      </c>
      <c r="N2000" t="str">
        <f t="shared" si="93"/>
        <v>60+</v>
      </c>
      <c r="O2000" t="str">
        <f t="shared" si="94"/>
        <v>Overweight</v>
      </c>
    </row>
    <row r="2001" spans="1:15" x14ac:dyDescent="0.3">
      <c r="A2001">
        <v>42500</v>
      </c>
      <c r="B2001" t="s">
        <v>2</v>
      </c>
      <c r="C2001">
        <v>0.24</v>
      </c>
      <c r="D2001">
        <v>0</v>
      </c>
      <c r="E2001">
        <v>0</v>
      </c>
      <c r="F2001" t="str">
        <f t="shared" si="95"/>
        <v>Lower Risk</v>
      </c>
      <c r="G2001" t="s">
        <v>13</v>
      </c>
      <c r="H2001" t="s">
        <v>16</v>
      </c>
      <c r="I2001" t="s">
        <v>9</v>
      </c>
      <c r="J2001">
        <v>146.97</v>
      </c>
      <c r="K2001">
        <v>18.5</v>
      </c>
      <c r="L2001" t="s">
        <v>14</v>
      </c>
      <c r="M2001">
        <v>0</v>
      </c>
      <c r="N2001" t="str">
        <f t="shared" si="93"/>
        <v>Under 40</v>
      </c>
      <c r="O2001" t="str">
        <f t="shared" si="94"/>
        <v>Normal</v>
      </c>
    </row>
    <row r="2002" spans="1:15" x14ac:dyDescent="0.3">
      <c r="A2002">
        <v>44391</v>
      </c>
      <c r="B2002" t="s">
        <v>2</v>
      </c>
      <c r="C2002">
        <v>54</v>
      </c>
      <c r="D2002">
        <v>0</v>
      </c>
      <c r="E2002">
        <v>0</v>
      </c>
      <c r="F2002" t="str">
        <f t="shared" si="95"/>
        <v>Lower Risk</v>
      </c>
      <c r="G2002" t="s">
        <v>3</v>
      </c>
      <c r="H2002" t="s">
        <v>4</v>
      </c>
      <c r="I2002" t="s">
        <v>5</v>
      </c>
      <c r="J2002">
        <v>65.69</v>
      </c>
      <c r="K2002">
        <v>21.4</v>
      </c>
      <c r="L2002" t="s">
        <v>11</v>
      </c>
      <c r="M2002">
        <v>0</v>
      </c>
      <c r="N2002" t="str">
        <f t="shared" si="93"/>
        <v>40–59</v>
      </c>
      <c r="O2002" t="str">
        <f t="shared" si="94"/>
        <v>Normal</v>
      </c>
    </row>
    <row r="2003" spans="1:15" x14ac:dyDescent="0.3">
      <c r="A2003">
        <v>12741</v>
      </c>
      <c r="B2003" t="s">
        <v>7</v>
      </c>
      <c r="C2003">
        <v>25</v>
      </c>
      <c r="D2003">
        <v>0</v>
      </c>
      <c r="E2003">
        <v>0</v>
      </c>
      <c r="F2003" t="str">
        <f t="shared" si="95"/>
        <v>Lower Risk</v>
      </c>
      <c r="G2003" t="s">
        <v>3</v>
      </c>
      <c r="H2003" t="s">
        <v>4</v>
      </c>
      <c r="I2003" t="s">
        <v>9</v>
      </c>
      <c r="J2003">
        <v>97.52</v>
      </c>
      <c r="K2003">
        <v>45.5</v>
      </c>
      <c r="L2003" t="s">
        <v>6</v>
      </c>
      <c r="M2003">
        <v>0</v>
      </c>
      <c r="N2003" t="str">
        <f t="shared" si="93"/>
        <v>Under 40</v>
      </c>
      <c r="O2003" t="str">
        <f t="shared" si="94"/>
        <v>Obese</v>
      </c>
    </row>
    <row r="2004" spans="1:15" x14ac:dyDescent="0.3">
      <c r="A2004">
        <v>15418</v>
      </c>
      <c r="B2004" t="s">
        <v>7</v>
      </c>
      <c r="C2004">
        <v>80</v>
      </c>
      <c r="D2004">
        <v>0</v>
      </c>
      <c r="E2004">
        <v>0</v>
      </c>
      <c r="F2004" t="str">
        <f t="shared" si="95"/>
        <v>Moderate Risk</v>
      </c>
      <c r="G2004" t="s">
        <v>3</v>
      </c>
      <c r="H2004" t="s">
        <v>8</v>
      </c>
      <c r="I2004" t="s">
        <v>9</v>
      </c>
      <c r="J2004">
        <v>90.43</v>
      </c>
      <c r="K2004">
        <v>34.200000000000003</v>
      </c>
      <c r="L2004" t="s">
        <v>11</v>
      </c>
      <c r="M2004">
        <v>0</v>
      </c>
      <c r="N2004" t="str">
        <f t="shared" si="93"/>
        <v>60+</v>
      </c>
      <c r="O2004" t="str">
        <f t="shared" si="94"/>
        <v>Obese</v>
      </c>
    </row>
    <row r="2005" spans="1:15" x14ac:dyDescent="0.3">
      <c r="A2005">
        <v>69482</v>
      </c>
      <c r="B2005" t="s">
        <v>7</v>
      </c>
      <c r="C2005">
        <v>31</v>
      </c>
      <c r="D2005">
        <v>0</v>
      </c>
      <c r="E2005">
        <v>0</v>
      </c>
      <c r="F2005" t="str">
        <f t="shared" si="95"/>
        <v>Lower Risk</v>
      </c>
      <c r="G2005" t="s">
        <v>3</v>
      </c>
      <c r="H2005" t="s">
        <v>15</v>
      </c>
      <c r="I2005" t="s">
        <v>5</v>
      </c>
      <c r="J2005">
        <v>81.709999999999994</v>
      </c>
      <c r="K2005">
        <v>32.700000000000003</v>
      </c>
      <c r="L2005" t="s">
        <v>14</v>
      </c>
      <c r="M2005">
        <v>0</v>
      </c>
      <c r="N2005" t="str">
        <f t="shared" si="93"/>
        <v>Under 40</v>
      </c>
      <c r="O2005" t="str">
        <f t="shared" si="94"/>
        <v>Obese</v>
      </c>
    </row>
    <row r="2006" spans="1:15" x14ac:dyDescent="0.3">
      <c r="A2006">
        <v>32270</v>
      </c>
      <c r="B2006" t="s">
        <v>2</v>
      </c>
      <c r="C2006">
        <v>53</v>
      </c>
      <c r="D2006">
        <v>0</v>
      </c>
      <c r="E2006">
        <v>0</v>
      </c>
      <c r="F2006" t="str">
        <f t="shared" si="95"/>
        <v>Lower Risk</v>
      </c>
      <c r="G2006" t="s">
        <v>3</v>
      </c>
      <c r="H2006" t="s">
        <v>4</v>
      </c>
      <c r="I2006" t="s">
        <v>9</v>
      </c>
      <c r="J2006">
        <v>198.24</v>
      </c>
      <c r="K2006">
        <v>38.1</v>
      </c>
      <c r="L2006" t="s">
        <v>11</v>
      </c>
      <c r="M2006">
        <v>0</v>
      </c>
      <c r="N2006" t="str">
        <f t="shared" si="93"/>
        <v>40–59</v>
      </c>
      <c r="O2006" t="str">
        <f t="shared" si="94"/>
        <v>Obese</v>
      </c>
    </row>
    <row r="2007" spans="1:15" x14ac:dyDescent="0.3">
      <c r="A2007">
        <v>50983</v>
      </c>
      <c r="B2007" t="s">
        <v>2</v>
      </c>
      <c r="C2007">
        <v>35</v>
      </c>
      <c r="D2007">
        <v>0</v>
      </c>
      <c r="E2007">
        <v>0</v>
      </c>
      <c r="F2007" t="str">
        <f t="shared" si="95"/>
        <v>Lower Risk</v>
      </c>
      <c r="G2007" t="s">
        <v>3</v>
      </c>
      <c r="H2007" t="s">
        <v>4</v>
      </c>
      <c r="I2007" t="s">
        <v>9</v>
      </c>
      <c r="J2007">
        <v>90.51</v>
      </c>
      <c r="K2007">
        <v>26.7</v>
      </c>
      <c r="L2007" t="s">
        <v>11</v>
      </c>
      <c r="M2007">
        <v>0</v>
      </c>
      <c r="N2007" t="str">
        <f t="shared" si="93"/>
        <v>Under 40</v>
      </c>
      <c r="O2007" t="str">
        <f t="shared" si="94"/>
        <v>Overweight</v>
      </c>
    </row>
    <row r="2008" spans="1:15" x14ac:dyDescent="0.3">
      <c r="A2008">
        <v>6493</v>
      </c>
      <c r="B2008" t="s">
        <v>2</v>
      </c>
      <c r="C2008">
        <v>31</v>
      </c>
      <c r="D2008">
        <v>0</v>
      </c>
      <c r="E2008">
        <v>0</v>
      </c>
      <c r="F2008" t="str">
        <f t="shared" si="95"/>
        <v>Lower Risk</v>
      </c>
      <c r="G2008" t="s">
        <v>13</v>
      </c>
      <c r="H2008" t="s">
        <v>4</v>
      </c>
      <c r="I2008" t="s">
        <v>5</v>
      </c>
      <c r="J2008">
        <v>97.78</v>
      </c>
      <c r="K2008">
        <v>22.6</v>
      </c>
      <c r="L2008" t="s">
        <v>12</v>
      </c>
      <c r="M2008">
        <v>0</v>
      </c>
      <c r="N2008" t="str">
        <f t="shared" si="93"/>
        <v>Under 40</v>
      </c>
      <c r="O2008" t="str">
        <f t="shared" si="94"/>
        <v>Normal</v>
      </c>
    </row>
    <row r="2009" spans="1:15" x14ac:dyDescent="0.3">
      <c r="A2009">
        <v>45399</v>
      </c>
      <c r="B2009" t="s">
        <v>2</v>
      </c>
      <c r="C2009">
        <v>60</v>
      </c>
      <c r="D2009">
        <v>0</v>
      </c>
      <c r="E2009">
        <v>0</v>
      </c>
      <c r="F2009" t="str">
        <f t="shared" si="95"/>
        <v>Moderate Risk</v>
      </c>
      <c r="G2009" t="s">
        <v>3</v>
      </c>
      <c r="H2009" t="s">
        <v>4</v>
      </c>
      <c r="I2009" t="s">
        <v>5</v>
      </c>
      <c r="J2009">
        <v>80.739999999999995</v>
      </c>
      <c r="K2009">
        <v>27.7</v>
      </c>
      <c r="L2009" t="s">
        <v>14</v>
      </c>
      <c r="M2009">
        <v>0</v>
      </c>
      <c r="N2009" t="str">
        <f t="shared" si="93"/>
        <v>60+</v>
      </c>
      <c r="O2009" t="str">
        <f t="shared" si="94"/>
        <v>Overweight</v>
      </c>
    </row>
    <row r="2010" spans="1:15" x14ac:dyDescent="0.3">
      <c r="A2010">
        <v>67099</v>
      </c>
      <c r="B2010" t="s">
        <v>2</v>
      </c>
      <c r="C2010">
        <v>0.56000000000000005</v>
      </c>
      <c r="D2010">
        <v>0</v>
      </c>
      <c r="E2010">
        <v>0</v>
      </c>
      <c r="F2010" t="str">
        <f t="shared" si="95"/>
        <v>Lower Risk</v>
      </c>
      <c r="G2010" t="s">
        <v>13</v>
      </c>
      <c r="H2010" t="s">
        <v>16</v>
      </c>
      <c r="I2010" t="s">
        <v>9</v>
      </c>
      <c r="J2010">
        <v>57.02</v>
      </c>
      <c r="K2010">
        <v>20.7</v>
      </c>
      <c r="L2010" t="s">
        <v>14</v>
      </c>
      <c r="M2010">
        <v>0</v>
      </c>
      <c r="N2010" t="str">
        <f t="shared" si="93"/>
        <v>Under 40</v>
      </c>
      <c r="O2010" t="str">
        <f t="shared" si="94"/>
        <v>Normal</v>
      </c>
    </row>
    <row r="2011" spans="1:15" x14ac:dyDescent="0.3">
      <c r="A2011">
        <v>19585</v>
      </c>
      <c r="B2011" t="s">
        <v>7</v>
      </c>
      <c r="C2011">
        <v>21</v>
      </c>
      <c r="D2011">
        <v>0</v>
      </c>
      <c r="E2011">
        <v>0</v>
      </c>
      <c r="F2011" t="str">
        <f t="shared" si="95"/>
        <v>Lower Risk</v>
      </c>
      <c r="G2011" t="s">
        <v>13</v>
      </c>
      <c r="H2011" t="s">
        <v>4</v>
      </c>
      <c r="I2011" t="s">
        <v>9</v>
      </c>
      <c r="J2011">
        <v>93</v>
      </c>
      <c r="K2011">
        <v>25.7</v>
      </c>
      <c r="L2011" t="s">
        <v>11</v>
      </c>
      <c r="M2011">
        <v>0</v>
      </c>
      <c r="N2011" t="str">
        <f t="shared" si="93"/>
        <v>Under 40</v>
      </c>
      <c r="O2011" t="str">
        <f t="shared" si="94"/>
        <v>Overweight</v>
      </c>
    </row>
    <row r="2012" spans="1:15" x14ac:dyDescent="0.3">
      <c r="A2012">
        <v>26247</v>
      </c>
      <c r="B2012" t="s">
        <v>7</v>
      </c>
      <c r="C2012">
        <v>78</v>
      </c>
      <c r="D2012">
        <v>0</v>
      </c>
      <c r="E2012">
        <v>0</v>
      </c>
      <c r="F2012" t="str">
        <f t="shared" si="95"/>
        <v>Moderate Risk</v>
      </c>
      <c r="G2012" t="s">
        <v>3</v>
      </c>
      <c r="H2012" t="s">
        <v>4</v>
      </c>
      <c r="I2012" t="s">
        <v>9</v>
      </c>
      <c r="J2012">
        <v>95.37</v>
      </c>
      <c r="K2012">
        <v>17.3</v>
      </c>
      <c r="L2012" t="s">
        <v>14</v>
      </c>
      <c r="M2012">
        <v>0</v>
      </c>
      <c r="N2012" t="str">
        <f t="shared" si="93"/>
        <v>60+</v>
      </c>
      <c r="O2012" t="str">
        <f t="shared" si="94"/>
        <v>Underweight</v>
      </c>
    </row>
    <row r="2013" spans="1:15" x14ac:dyDescent="0.3">
      <c r="A2013">
        <v>25818</v>
      </c>
      <c r="B2013" t="s">
        <v>2</v>
      </c>
      <c r="C2013">
        <v>59</v>
      </c>
      <c r="D2013">
        <v>0</v>
      </c>
      <c r="E2013">
        <v>0</v>
      </c>
      <c r="F2013" t="str">
        <f t="shared" si="95"/>
        <v>Lower Risk</v>
      </c>
      <c r="G2013" t="s">
        <v>3</v>
      </c>
      <c r="H2013" t="s">
        <v>15</v>
      </c>
      <c r="I2013" t="s">
        <v>9</v>
      </c>
      <c r="J2013">
        <v>96.25</v>
      </c>
      <c r="K2013">
        <v>23.3</v>
      </c>
      <c r="L2013" t="s">
        <v>6</v>
      </c>
      <c r="M2013">
        <v>0</v>
      </c>
      <c r="N2013" t="str">
        <f t="shared" si="93"/>
        <v>40–59</v>
      </c>
      <c r="O2013" t="str">
        <f t="shared" si="94"/>
        <v>Normal</v>
      </c>
    </row>
    <row r="2014" spans="1:15" x14ac:dyDescent="0.3">
      <c r="A2014">
        <v>34261</v>
      </c>
      <c r="B2014" t="s">
        <v>2</v>
      </c>
      <c r="C2014">
        <v>0.64</v>
      </c>
      <c r="D2014">
        <v>0</v>
      </c>
      <c r="E2014">
        <v>0</v>
      </c>
      <c r="F2014" t="str">
        <f t="shared" si="95"/>
        <v>Lower Risk</v>
      </c>
      <c r="G2014" t="s">
        <v>13</v>
      </c>
      <c r="H2014" t="s">
        <v>16</v>
      </c>
      <c r="I2014" t="s">
        <v>9</v>
      </c>
      <c r="J2014">
        <v>86.74</v>
      </c>
      <c r="K2014">
        <v>16.2</v>
      </c>
      <c r="L2014" t="s">
        <v>14</v>
      </c>
      <c r="M2014">
        <v>0</v>
      </c>
      <c r="N2014" t="str">
        <f t="shared" si="93"/>
        <v>Under 40</v>
      </c>
      <c r="O2014" t="str">
        <f t="shared" si="94"/>
        <v>Underweight</v>
      </c>
    </row>
    <row r="2015" spans="1:15" x14ac:dyDescent="0.3">
      <c r="A2015">
        <v>64128</v>
      </c>
      <c r="B2015" t="s">
        <v>2</v>
      </c>
      <c r="C2015">
        <v>10</v>
      </c>
      <c r="D2015">
        <v>0</v>
      </c>
      <c r="E2015">
        <v>0</v>
      </c>
      <c r="F2015" t="str">
        <f t="shared" si="95"/>
        <v>Lower Risk</v>
      </c>
      <c r="G2015" t="s">
        <v>13</v>
      </c>
      <c r="H2015" t="s">
        <v>16</v>
      </c>
      <c r="I2015" t="s">
        <v>5</v>
      </c>
      <c r="J2015">
        <v>63.08</v>
      </c>
      <c r="K2015">
        <v>20.5</v>
      </c>
      <c r="L2015" t="s">
        <v>12</v>
      </c>
      <c r="M2015">
        <v>0</v>
      </c>
      <c r="N2015" t="str">
        <f t="shared" si="93"/>
        <v>Under 40</v>
      </c>
      <c r="O2015" t="str">
        <f t="shared" si="94"/>
        <v>Normal</v>
      </c>
    </row>
    <row r="2016" spans="1:15" x14ac:dyDescent="0.3">
      <c r="A2016">
        <v>62817</v>
      </c>
      <c r="B2016" t="s">
        <v>2</v>
      </c>
      <c r="C2016">
        <v>60</v>
      </c>
      <c r="D2016">
        <v>0</v>
      </c>
      <c r="E2016">
        <v>0</v>
      </c>
      <c r="F2016" t="str">
        <f t="shared" si="95"/>
        <v>Moderate Risk</v>
      </c>
      <c r="G2016" t="s">
        <v>3</v>
      </c>
      <c r="H2016" t="s">
        <v>4</v>
      </c>
      <c r="I2016" t="s">
        <v>5</v>
      </c>
      <c r="J2016">
        <v>129.16</v>
      </c>
      <c r="K2016">
        <v>33.6</v>
      </c>
      <c r="L2016" t="s">
        <v>12</v>
      </c>
      <c r="M2016">
        <v>0</v>
      </c>
      <c r="N2016" t="str">
        <f t="shared" si="93"/>
        <v>60+</v>
      </c>
      <c r="O2016" t="str">
        <f t="shared" si="94"/>
        <v>Obese</v>
      </c>
    </row>
    <row r="2017" spans="1:15" x14ac:dyDescent="0.3">
      <c r="A2017">
        <v>69339</v>
      </c>
      <c r="B2017" t="s">
        <v>2</v>
      </c>
      <c r="C2017">
        <v>11</v>
      </c>
      <c r="D2017">
        <v>0</v>
      </c>
      <c r="E2017">
        <v>0</v>
      </c>
      <c r="F2017" t="str">
        <f t="shared" si="95"/>
        <v>Lower Risk</v>
      </c>
      <c r="G2017" t="s">
        <v>13</v>
      </c>
      <c r="H2017" t="s">
        <v>16</v>
      </c>
      <c r="I2017" t="s">
        <v>5</v>
      </c>
      <c r="J2017">
        <v>99.79</v>
      </c>
      <c r="K2017">
        <v>20.2</v>
      </c>
      <c r="L2017" t="s">
        <v>14</v>
      </c>
      <c r="M2017">
        <v>0</v>
      </c>
      <c r="N2017" t="str">
        <f t="shared" si="93"/>
        <v>Under 40</v>
      </c>
      <c r="O2017" t="str">
        <f t="shared" si="94"/>
        <v>Normal</v>
      </c>
    </row>
    <row r="2018" spans="1:15" x14ac:dyDescent="0.3">
      <c r="A2018">
        <v>25919</v>
      </c>
      <c r="B2018" t="s">
        <v>2</v>
      </c>
      <c r="C2018">
        <v>48</v>
      </c>
      <c r="D2018">
        <v>1</v>
      </c>
      <c r="E2018">
        <v>0</v>
      </c>
      <c r="F2018" t="str">
        <f t="shared" si="95"/>
        <v>Lower Risk</v>
      </c>
      <c r="G2018" t="s">
        <v>3</v>
      </c>
      <c r="H2018" t="s">
        <v>8</v>
      </c>
      <c r="I2018" t="s">
        <v>5</v>
      </c>
      <c r="J2018">
        <v>83.34</v>
      </c>
      <c r="K2018">
        <v>49.3</v>
      </c>
      <c r="L2018" t="s">
        <v>11</v>
      </c>
      <c r="M2018">
        <v>0</v>
      </c>
      <c r="N2018" t="str">
        <f t="shared" si="93"/>
        <v>40–59</v>
      </c>
      <c r="O2018" t="str">
        <f t="shared" si="94"/>
        <v>Obese</v>
      </c>
    </row>
    <row r="2019" spans="1:15" x14ac:dyDescent="0.3">
      <c r="A2019">
        <v>71978</v>
      </c>
      <c r="B2019" t="s">
        <v>7</v>
      </c>
      <c r="C2019">
        <v>50</v>
      </c>
      <c r="D2019">
        <v>0</v>
      </c>
      <c r="E2019">
        <v>0</v>
      </c>
      <c r="F2019" t="str">
        <f t="shared" si="95"/>
        <v>Lower Risk</v>
      </c>
      <c r="G2019" t="s">
        <v>3</v>
      </c>
      <c r="H2019" t="s">
        <v>4</v>
      </c>
      <c r="I2019" t="s">
        <v>5</v>
      </c>
      <c r="J2019">
        <v>95.01</v>
      </c>
      <c r="K2019">
        <v>26.2</v>
      </c>
      <c r="L2019" t="s">
        <v>6</v>
      </c>
      <c r="M2019">
        <v>0</v>
      </c>
      <c r="N2019" t="str">
        <f t="shared" si="93"/>
        <v>40–59</v>
      </c>
      <c r="O2019" t="str">
        <f t="shared" si="94"/>
        <v>Overweight</v>
      </c>
    </row>
    <row r="2020" spans="1:15" x14ac:dyDescent="0.3">
      <c r="A2020">
        <v>1473</v>
      </c>
      <c r="B2020" t="s">
        <v>2</v>
      </c>
      <c r="C2020">
        <v>69</v>
      </c>
      <c r="D2020">
        <v>1</v>
      </c>
      <c r="E2020">
        <v>0</v>
      </c>
      <c r="F2020" t="str">
        <f t="shared" si="95"/>
        <v>High Risk</v>
      </c>
      <c r="G2020" t="s">
        <v>3</v>
      </c>
      <c r="H2020" t="s">
        <v>4</v>
      </c>
      <c r="I2020" t="s">
        <v>5</v>
      </c>
      <c r="J2020">
        <v>229.21</v>
      </c>
      <c r="K2020">
        <v>30.1</v>
      </c>
      <c r="L2020" t="s">
        <v>12</v>
      </c>
      <c r="M2020">
        <v>0</v>
      </c>
      <c r="N2020" t="str">
        <f t="shared" si="93"/>
        <v>60+</v>
      </c>
      <c r="O2020" t="str">
        <f t="shared" si="94"/>
        <v>Obese</v>
      </c>
    </row>
    <row r="2021" spans="1:15" x14ac:dyDescent="0.3">
      <c r="A2021">
        <v>66546</v>
      </c>
      <c r="B2021" t="s">
        <v>7</v>
      </c>
      <c r="C2021">
        <v>20</v>
      </c>
      <c r="D2021">
        <v>0</v>
      </c>
      <c r="E2021">
        <v>0</v>
      </c>
      <c r="F2021" t="str">
        <f t="shared" si="95"/>
        <v>Lower Risk</v>
      </c>
      <c r="G2021" t="s">
        <v>13</v>
      </c>
      <c r="H2021" t="s">
        <v>4</v>
      </c>
      <c r="I2021" t="s">
        <v>5</v>
      </c>
      <c r="J2021">
        <v>80.08</v>
      </c>
      <c r="K2021">
        <v>25.1</v>
      </c>
      <c r="L2021" t="s">
        <v>11</v>
      </c>
      <c r="M2021">
        <v>0</v>
      </c>
      <c r="N2021" t="str">
        <f t="shared" si="93"/>
        <v>Under 40</v>
      </c>
      <c r="O2021" t="str">
        <f t="shared" si="94"/>
        <v>Overweight</v>
      </c>
    </row>
    <row r="2022" spans="1:15" x14ac:dyDescent="0.3">
      <c r="A2022">
        <v>56584</v>
      </c>
      <c r="B2022" t="s">
        <v>7</v>
      </c>
      <c r="C2022">
        <v>22</v>
      </c>
      <c r="D2022">
        <v>0</v>
      </c>
      <c r="E2022">
        <v>0</v>
      </c>
      <c r="F2022" t="str">
        <f t="shared" si="95"/>
        <v>Lower Risk</v>
      </c>
      <c r="G2022" t="s">
        <v>13</v>
      </c>
      <c r="H2022" t="s">
        <v>4</v>
      </c>
      <c r="I2022" t="s">
        <v>9</v>
      </c>
      <c r="J2022">
        <v>62</v>
      </c>
      <c r="K2022">
        <v>32.700000000000003</v>
      </c>
      <c r="L2022" t="s">
        <v>12</v>
      </c>
      <c r="M2022">
        <v>0</v>
      </c>
      <c r="N2022" t="str">
        <f t="shared" si="93"/>
        <v>Under 40</v>
      </c>
      <c r="O2022" t="str">
        <f t="shared" si="94"/>
        <v>Obese</v>
      </c>
    </row>
    <row r="2023" spans="1:15" x14ac:dyDescent="0.3">
      <c r="A2023">
        <v>38316</v>
      </c>
      <c r="B2023" t="s">
        <v>2</v>
      </c>
      <c r="C2023">
        <v>55</v>
      </c>
      <c r="D2023">
        <v>0</v>
      </c>
      <c r="E2023">
        <v>0</v>
      </c>
      <c r="F2023" t="str">
        <f t="shared" si="95"/>
        <v>Lower Risk</v>
      </c>
      <c r="G2023" t="s">
        <v>3</v>
      </c>
      <c r="H2023" t="s">
        <v>4</v>
      </c>
      <c r="I2023" t="s">
        <v>9</v>
      </c>
      <c r="J2023">
        <v>118.69</v>
      </c>
      <c r="K2023">
        <v>26.4</v>
      </c>
      <c r="L2023" t="s">
        <v>14</v>
      </c>
      <c r="M2023">
        <v>0</v>
      </c>
      <c r="N2023" t="str">
        <f t="shared" si="93"/>
        <v>40–59</v>
      </c>
      <c r="O2023" t="str">
        <f t="shared" si="94"/>
        <v>Overweight</v>
      </c>
    </row>
    <row r="2024" spans="1:15" x14ac:dyDescent="0.3">
      <c r="A2024">
        <v>15647</v>
      </c>
      <c r="B2024" t="s">
        <v>7</v>
      </c>
      <c r="C2024">
        <v>57</v>
      </c>
      <c r="D2024">
        <v>0</v>
      </c>
      <c r="E2024">
        <v>0</v>
      </c>
      <c r="F2024" t="str">
        <f t="shared" si="95"/>
        <v>Lower Risk</v>
      </c>
      <c r="G2024" t="s">
        <v>13</v>
      </c>
      <c r="H2024" t="s">
        <v>4</v>
      </c>
      <c r="I2024" t="s">
        <v>9</v>
      </c>
      <c r="J2024">
        <v>77.569999999999993</v>
      </c>
      <c r="K2024">
        <v>21</v>
      </c>
      <c r="L2024" t="s">
        <v>14</v>
      </c>
      <c r="M2024">
        <v>0</v>
      </c>
      <c r="N2024" t="str">
        <f t="shared" si="93"/>
        <v>40–59</v>
      </c>
      <c r="O2024" t="str">
        <f t="shared" si="94"/>
        <v>Normal</v>
      </c>
    </row>
    <row r="2025" spans="1:15" x14ac:dyDescent="0.3">
      <c r="A2025">
        <v>59933</v>
      </c>
      <c r="B2025" t="s">
        <v>7</v>
      </c>
      <c r="C2025">
        <v>29</v>
      </c>
      <c r="D2025">
        <v>0</v>
      </c>
      <c r="E2025">
        <v>0</v>
      </c>
      <c r="F2025" t="str">
        <f t="shared" si="95"/>
        <v>Lower Risk</v>
      </c>
      <c r="G2025" t="s">
        <v>13</v>
      </c>
      <c r="H2025" t="s">
        <v>4</v>
      </c>
      <c r="I2025" t="s">
        <v>9</v>
      </c>
      <c r="J2025">
        <v>108.75</v>
      </c>
      <c r="K2025">
        <v>24.1</v>
      </c>
      <c r="L2025" t="s">
        <v>14</v>
      </c>
      <c r="M2025">
        <v>0</v>
      </c>
      <c r="N2025" t="str">
        <f t="shared" si="93"/>
        <v>Under 40</v>
      </c>
      <c r="O2025" t="str">
        <f t="shared" si="94"/>
        <v>Normal</v>
      </c>
    </row>
    <row r="2026" spans="1:15" x14ac:dyDescent="0.3">
      <c r="A2026">
        <v>3429</v>
      </c>
      <c r="B2026" t="s">
        <v>7</v>
      </c>
      <c r="C2026">
        <v>32</v>
      </c>
      <c r="D2026">
        <v>0</v>
      </c>
      <c r="E2026">
        <v>0</v>
      </c>
      <c r="F2026" t="str">
        <f t="shared" si="95"/>
        <v>Lower Risk</v>
      </c>
      <c r="G2026" t="s">
        <v>13</v>
      </c>
      <c r="H2026" t="s">
        <v>15</v>
      </c>
      <c r="I2026" t="s">
        <v>5</v>
      </c>
      <c r="J2026">
        <v>108.23</v>
      </c>
      <c r="K2026">
        <v>20.399999999999999</v>
      </c>
      <c r="L2026" t="s">
        <v>14</v>
      </c>
      <c r="M2026">
        <v>0</v>
      </c>
      <c r="N2026" t="str">
        <f t="shared" si="93"/>
        <v>Under 40</v>
      </c>
      <c r="O2026" t="str">
        <f t="shared" si="94"/>
        <v>Normal</v>
      </c>
    </row>
    <row r="2027" spans="1:15" x14ac:dyDescent="0.3">
      <c r="A2027">
        <v>60963</v>
      </c>
      <c r="B2027" t="s">
        <v>7</v>
      </c>
      <c r="C2027">
        <v>54</v>
      </c>
      <c r="D2027">
        <v>0</v>
      </c>
      <c r="E2027">
        <v>0</v>
      </c>
      <c r="F2027" t="str">
        <f t="shared" si="95"/>
        <v>Lower Risk</v>
      </c>
      <c r="G2027" t="s">
        <v>3</v>
      </c>
      <c r="H2027" t="s">
        <v>4</v>
      </c>
      <c r="I2027" t="s">
        <v>9</v>
      </c>
      <c r="J2027">
        <v>151.33000000000001</v>
      </c>
      <c r="K2027">
        <v>30.9</v>
      </c>
      <c r="L2027" t="s">
        <v>6</v>
      </c>
      <c r="M2027">
        <v>0</v>
      </c>
      <c r="N2027" t="str">
        <f t="shared" si="93"/>
        <v>40–59</v>
      </c>
      <c r="O2027" t="str">
        <f t="shared" si="94"/>
        <v>Obese</v>
      </c>
    </row>
    <row r="2028" spans="1:15" x14ac:dyDescent="0.3">
      <c r="A2028">
        <v>67689</v>
      </c>
      <c r="B2028" t="s">
        <v>2</v>
      </c>
      <c r="C2028">
        <v>37</v>
      </c>
      <c r="D2028">
        <v>0</v>
      </c>
      <c r="E2028">
        <v>0</v>
      </c>
      <c r="F2028" t="str">
        <f t="shared" si="95"/>
        <v>Lower Risk</v>
      </c>
      <c r="G2028" t="s">
        <v>3</v>
      </c>
      <c r="H2028" t="s">
        <v>8</v>
      </c>
      <c r="I2028" t="s">
        <v>9</v>
      </c>
      <c r="J2028">
        <v>82.43</v>
      </c>
      <c r="K2028">
        <v>39.1</v>
      </c>
      <c r="L2028" t="s">
        <v>14</v>
      </c>
      <c r="M2028">
        <v>0</v>
      </c>
      <c r="N2028" t="str">
        <f t="shared" si="93"/>
        <v>Under 40</v>
      </c>
      <c r="O2028" t="str">
        <f t="shared" si="94"/>
        <v>Obese</v>
      </c>
    </row>
    <row r="2029" spans="1:15" x14ac:dyDescent="0.3">
      <c r="A2029">
        <v>31689</v>
      </c>
      <c r="B2029" t="s">
        <v>7</v>
      </c>
      <c r="C2029">
        <v>58</v>
      </c>
      <c r="D2029">
        <v>0</v>
      </c>
      <c r="E2029">
        <v>0</v>
      </c>
      <c r="F2029" t="str">
        <f t="shared" si="95"/>
        <v>Lower Risk</v>
      </c>
      <c r="G2029" t="s">
        <v>3</v>
      </c>
      <c r="H2029" t="s">
        <v>4</v>
      </c>
      <c r="I2029" t="s">
        <v>9</v>
      </c>
      <c r="J2029">
        <v>107.17</v>
      </c>
      <c r="K2029">
        <v>27.7</v>
      </c>
      <c r="L2029" t="s">
        <v>14</v>
      </c>
      <c r="M2029">
        <v>0</v>
      </c>
      <c r="N2029" t="str">
        <f t="shared" si="93"/>
        <v>40–59</v>
      </c>
      <c r="O2029" t="str">
        <f t="shared" si="94"/>
        <v>Overweight</v>
      </c>
    </row>
    <row r="2030" spans="1:15" x14ac:dyDescent="0.3">
      <c r="A2030">
        <v>23240</v>
      </c>
      <c r="B2030" t="s">
        <v>7</v>
      </c>
      <c r="C2030">
        <v>41</v>
      </c>
      <c r="D2030">
        <v>0</v>
      </c>
      <c r="E2030">
        <v>0</v>
      </c>
      <c r="F2030" t="str">
        <f t="shared" si="95"/>
        <v>Lower Risk</v>
      </c>
      <c r="G2030" t="s">
        <v>3</v>
      </c>
      <c r="H2030" t="s">
        <v>4</v>
      </c>
      <c r="I2030" t="s">
        <v>9</v>
      </c>
      <c r="J2030">
        <v>91.46</v>
      </c>
      <c r="K2030">
        <v>29.5</v>
      </c>
      <c r="L2030" t="s">
        <v>11</v>
      </c>
      <c r="M2030">
        <v>0</v>
      </c>
      <c r="N2030" t="str">
        <f t="shared" si="93"/>
        <v>40–59</v>
      </c>
      <c r="O2030" t="str">
        <f t="shared" si="94"/>
        <v>Overweight</v>
      </c>
    </row>
    <row r="2031" spans="1:15" x14ac:dyDescent="0.3">
      <c r="A2031">
        <v>30850</v>
      </c>
      <c r="B2031" t="s">
        <v>2</v>
      </c>
      <c r="C2031">
        <v>72</v>
      </c>
      <c r="D2031">
        <v>0</v>
      </c>
      <c r="E2031">
        <v>0</v>
      </c>
      <c r="F2031" t="str">
        <f t="shared" si="95"/>
        <v>Moderate Risk</v>
      </c>
      <c r="G2031" t="s">
        <v>3</v>
      </c>
      <c r="H2031" t="s">
        <v>4</v>
      </c>
      <c r="I2031" t="s">
        <v>5</v>
      </c>
      <c r="J2031">
        <v>81.05</v>
      </c>
      <c r="K2031">
        <v>30.3</v>
      </c>
      <c r="L2031" t="s">
        <v>14</v>
      </c>
      <c r="M2031">
        <v>0</v>
      </c>
      <c r="N2031" t="str">
        <f t="shared" si="93"/>
        <v>60+</v>
      </c>
      <c r="O2031" t="str">
        <f t="shared" si="94"/>
        <v>Obese</v>
      </c>
    </row>
    <row r="2032" spans="1:15" x14ac:dyDescent="0.3">
      <c r="A2032">
        <v>38920</v>
      </c>
      <c r="B2032" t="s">
        <v>2</v>
      </c>
      <c r="C2032">
        <v>0.48</v>
      </c>
      <c r="D2032">
        <v>0</v>
      </c>
      <c r="E2032">
        <v>0</v>
      </c>
      <c r="F2032" t="str">
        <f t="shared" si="95"/>
        <v>Lower Risk</v>
      </c>
      <c r="G2032" t="s">
        <v>13</v>
      </c>
      <c r="H2032" t="s">
        <v>16</v>
      </c>
      <c r="I2032" t="s">
        <v>5</v>
      </c>
      <c r="J2032">
        <v>73.02</v>
      </c>
      <c r="K2032" t="s">
        <v>10</v>
      </c>
      <c r="L2032" t="s">
        <v>14</v>
      </c>
      <c r="M2032">
        <v>0</v>
      </c>
      <c r="N2032" t="str">
        <f t="shared" si="93"/>
        <v>Under 40</v>
      </c>
      <c r="O2032" t="str">
        <f t="shared" si="94"/>
        <v>Unknown</v>
      </c>
    </row>
    <row r="2033" spans="1:15" x14ac:dyDescent="0.3">
      <c r="A2033">
        <v>66080</v>
      </c>
      <c r="B2033" t="s">
        <v>7</v>
      </c>
      <c r="C2033">
        <v>32</v>
      </c>
      <c r="D2033">
        <v>0</v>
      </c>
      <c r="E2033">
        <v>0</v>
      </c>
      <c r="F2033" t="str">
        <f t="shared" si="95"/>
        <v>Lower Risk</v>
      </c>
      <c r="G2033" t="s">
        <v>13</v>
      </c>
      <c r="H2033" t="s">
        <v>4</v>
      </c>
      <c r="I2033" t="s">
        <v>5</v>
      </c>
      <c r="J2033">
        <v>114.37</v>
      </c>
      <c r="K2033">
        <v>37.799999999999997</v>
      </c>
      <c r="L2033" t="s">
        <v>14</v>
      </c>
      <c r="M2033">
        <v>0</v>
      </c>
      <c r="N2033" t="str">
        <f t="shared" si="93"/>
        <v>Under 40</v>
      </c>
      <c r="O2033" t="str">
        <f t="shared" si="94"/>
        <v>Obese</v>
      </c>
    </row>
    <row r="2034" spans="1:15" x14ac:dyDescent="0.3">
      <c r="A2034">
        <v>57263</v>
      </c>
      <c r="B2034" t="s">
        <v>7</v>
      </c>
      <c r="C2034">
        <v>54</v>
      </c>
      <c r="D2034">
        <v>0</v>
      </c>
      <c r="E2034">
        <v>0</v>
      </c>
      <c r="F2034" t="str">
        <f t="shared" si="95"/>
        <v>Lower Risk</v>
      </c>
      <c r="G2034" t="s">
        <v>3</v>
      </c>
      <c r="H2034" t="s">
        <v>4</v>
      </c>
      <c r="I2034" t="s">
        <v>5</v>
      </c>
      <c r="J2034">
        <v>100.29</v>
      </c>
      <c r="K2034">
        <v>30.2</v>
      </c>
      <c r="L2034" t="s">
        <v>11</v>
      </c>
      <c r="M2034">
        <v>0</v>
      </c>
      <c r="N2034" t="str">
        <f t="shared" si="93"/>
        <v>40–59</v>
      </c>
      <c r="O2034" t="str">
        <f t="shared" si="94"/>
        <v>Obese</v>
      </c>
    </row>
    <row r="2035" spans="1:15" x14ac:dyDescent="0.3">
      <c r="A2035">
        <v>60126</v>
      </c>
      <c r="B2035" t="s">
        <v>7</v>
      </c>
      <c r="C2035">
        <v>79</v>
      </c>
      <c r="D2035">
        <v>0</v>
      </c>
      <c r="E2035">
        <v>0</v>
      </c>
      <c r="F2035" t="str">
        <f t="shared" si="95"/>
        <v>Moderate Risk</v>
      </c>
      <c r="G2035" t="s">
        <v>3</v>
      </c>
      <c r="H2035" t="s">
        <v>4</v>
      </c>
      <c r="I2035" t="s">
        <v>5</v>
      </c>
      <c r="J2035">
        <v>68.37</v>
      </c>
      <c r="K2035">
        <v>24.2</v>
      </c>
      <c r="L2035" t="s">
        <v>12</v>
      </c>
      <c r="M2035">
        <v>0</v>
      </c>
      <c r="N2035" t="str">
        <f t="shared" si="93"/>
        <v>60+</v>
      </c>
      <c r="O2035" t="str">
        <f t="shared" si="94"/>
        <v>Normal</v>
      </c>
    </row>
    <row r="2036" spans="1:15" x14ac:dyDescent="0.3">
      <c r="A2036">
        <v>64393</v>
      </c>
      <c r="B2036" t="s">
        <v>2</v>
      </c>
      <c r="C2036">
        <v>56</v>
      </c>
      <c r="D2036">
        <v>0</v>
      </c>
      <c r="E2036">
        <v>0</v>
      </c>
      <c r="F2036" t="str">
        <f t="shared" si="95"/>
        <v>Lower Risk</v>
      </c>
      <c r="G2036" t="s">
        <v>13</v>
      </c>
      <c r="H2036" t="s">
        <v>8</v>
      </c>
      <c r="I2036" t="s">
        <v>9</v>
      </c>
      <c r="J2036">
        <v>87.95</v>
      </c>
      <c r="K2036">
        <v>25.2</v>
      </c>
      <c r="L2036" t="s">
        <v>11</v>
      </c>
      <c r="M2036">
        <v>0</v>
      </c>
      <c r="N2036" t="str">
        <f t="shared" si="93"/>
        <v>40–59</v>
      </c>
      <c r="O2036" t="str">
        <f t="shared" si="94"/>
        <v>Overweight</v>
      </c>
    </row>
    <row r="2037" spans="1:15" x14ac:dyDescent="0.3">
      <c r="A2037">
        <v>69285</v>
      </c>
      <c r="B2037" t="s">
        <v>7</v>
      </c>
      <c r="C2037">
        <v>45</v>
      </c>
      <c r="D2037">
        <v>0</v>
      </c>
      <c r="E2037">
        <v>0</v>
      </c>
      <c r="F2037" t="str">
        <f t="shared" si="95"/>
        <v>Lower Risk</v>
      </c>
      <c r="G2037" t="s">
        <v>3</v>
      </c>
      <c r="H2037" t="s">
        <v>4</v>
      </c>
      <c r="I2037" t="s">
        <v>5</v>
      </c>
      <c r="J2037">
        <v>73.27</v>
      </c>
      <c r="K2037">
        <v>22.2</v>
      </c>
      <c r="L2037" t="s">
        <v>12</v>
      </c>
      <c r="M2037">
        <v>0</v>
      </c>
      <c r="N2037" t="str">
        <f t="shared" si="93"/>
        <v>40–59</v>
      </c>
      <c r="O2037" t="str">
        <f t="shared" si="94"/>
        <v>Normal</v>
      </c>
    </row>
    <row r="2038" spans="1:15" x14ac:dyDescent="0.3">
      <c r="A2038">
        <v>24428</v>
      </c>
      <c r="B2038" t="s">
        <v>2</v>
      </c>
      <c r="C2038">
        <v>6</v>
      </c>
      <c r="D2038">
        <v>0</v>
      </c>
      <c r="E2038">
        <v>0</v>
      </c>
      <c r="F2038" t="str">
        <f t="shared" si="95"/>
        <v>Lower Risk</v>
      </c>
      <c r="G2038" t="s">
        <v>13</v>
      </c>
      <c r="H2038" t="s">
        <v>16</v>
      </c>
      <c r="I2038" t="s">
        <v>9</v>
      </c>
      <c r="J2038">
        <v>131.43</v>
      </c>
      <c r="K2038">
        <v>17.7</v>
      </c>
      <c r="L2038" t="s">
        <v>14</v>
      </c>
      <c r="M2038">
        <v>0</v>
      </c>
      <c r="N2038" t="str">
        <f t="shared" si="93"/>
        <v>Under 40</v>
      </c>
      <c r="O2038" t="str">
        <f t="shared" si="94"/>
        <v>Underweight</v>
      </c>
    </row>
    <row r="2039" spans="1:15" x14ac:dyDescent="0.3">
      <c r="A2039">
        <v>59642</v>
      </c>
      <c r="B2039" t="s">
        <v>7</v>
      </c>
      <c r="C2039">
        <v>45</v>
      </c>
      <c r="D2039">
        <v>0</v>
      </c>
      <c r="E2039">
        <v>0</v>
      </c>
      <c r="F2039" t="str">
        <f t="shared" si="95"/>
        <v>Lower Risk</v>
      </c>
      <c r="G2039" t="s">
        <v>3</v>
      </c>
      <c r="H2039" t="s">
        <v>4</v>
      </c>
      <c r="I2039" t="s">
        <v>5</v>
      </c>
      <c r="J2039">
        <v>107.29</v>
      </c>
      <c r="K2039">
        <v>29.6</v>
      </c>
      <c r="L2039" t="s">
        <v>11</v>
      </c>
      <c r="M2039">
        <v>0</v>
      </c>
      <c r="N2039" t="str">
        <f t="shared" si="93"/>
        <v>40–59</v>
      </c>
      <c r="O2039" t="str">
        <f t="shared" si="94"/>
        <v>Overweight</v>
      </c>
    </row>
    <row r="2040" spans="1:15" x14ac:dyDescent="0.3">
      <c r="A2040">
        <v>12064</v>
      </c>
      <c r="B2040" t="s">
        <v>2</v>
      </c>
      <c r="C2040">
        <v>60</v>
      </c>
      <c r="D2040">
        <v>0</v>
      </c>
      <c r="E2040">
        <v>0</v>
      </c>
      <c r="F2040" t="str">
        <f t="shared" si="95"/>
        <v>Moderate Risk</v>
      </c>
      <c r="G2040" t="s">
        <v>3</v>
      </c>
      <c r="H2040" t="s">
        <v>4</v>
      </c>
      <c r="I2040" t="s">
        <v>9</v>
      </c>
      <c r="J2040">
        <v>68.239999999999995</v>
      </c>
      <c r="K2040">
        <v>32.200000000000003</v>
      </c>
      <c r="L2040" t="s">
        <v>14</v>
      </c>
      <c r="M2040">
        <v>0</v>
      </c>
      <c r="N2040" t="str">
        <f t="shared" si="93"/>
        <v>60+</v>
      </c>
      <c r="O2040" t="str">
        <f t="shared" si="94"/>
        <v>Obese</v>
      </c>
    </row>
    <row r="2041" spans="1:15" x14ac:dyDescent="0.3">
      <c r="A2041">
        <v>59737</v>
      </c>
      <c r="B2041" t="s">
        <v>7</v>
      </c>
      <c r="C2041">
        <v>65</v>
      </c>
      <c r="D2041">
        <v>0</v>
      </c>
      <c r="E2041">
        <v>0</v>
      </c>
      <c r="F2041" t="str">
        <f t="shared" si="95"/>
        <v>Moderate Risk</v>
      </c>
      <c r="G2041" t="s">
        <v>3</v>
      </c>
      <c r="H2041" t="s">
        <v>4</v>
      </c>
      <c r="I2041" t="s">
        <v>5</v>
      </c>
      <c r="J2041">
        <v>74.010000000000005</v>
      </c>
      <c r="K2041">
        <v>28.7</v>
      </c>
      <c r="L2041" t="s">
        <v>12</v>
      </c>
      <c r="M2041">
        <v>0</v>
      </c>
      <c r="N2041" t="str">
        <f t="shared" si="93"/>
        <v>60+</v>
      </c>
      <c r="O2041" t="str">
        <f t="shared" si="94"/>
        <v>Overweight</v>
      </c>
    </row>
    <row r="2042" spans="1:15" x14ac:dyDescent="0.3">
      <c r="A2042">
        <v>19352</v>
      </c>
      <c r="B2042" t="s">
        <v>7</v>
      </c>
      <c r="C2042">
        <v>57</v>
      </c>
      <c r="D2042">
        <v>0</v>
      </c>
      <c r="E2042">
        <v>0</v>
      </c>
      <c r="F2042" t="str">
        <f t="shared" si="95"/>
        <v>Lower Risk</v>
      </c>
      <c r="G2042" t="s">
        <v>3</v>
      </c>
      <c r="H2042" t="s">
        <v>4</v>
      </c>
      <c r="I2042" t="s">
        <v>5</v>
      </c>
      <c r="J2042">
        <v>95.4</v>
      </c>
      <c r="K2042">
        <v>19.5</v>
      </c>
      <c r="L2042" t="s">
        <v>14</v>
      </c>
      <c r="M2042">
        <v>0</v>
      </c>
      <c r="N2042" t="str">
        <f t="shared" si="93"/>
        <v>40–59</v>
      </c>
      <c r="O2042" t="str">
        <f t="shared" si="94"/>
        <v>Normal</v>
      </c>
    </row>
    <row r="2043" spans="1:15" x14ac:dyDescent="0.3">
      <c r="A2043">
        <v>61903</v>
      </c>
      <c r="B2043" t="s">
        <v>2</v>
      </c>
      <c r="C2043">
        <v>58</v>
      </c>
      <c r="D2043">
        <v>0</v>
      </c>
      <c r="E2043">
        <v>0</v>
      </c>
      <c r="F2043" t="str">
        <f t="shared" si="95"/>
        <v>Lower Risk</v>
      </c>
      <c r="G2043" t="s">
        <v>13</v>
      </c>
      <c r="H2043" t="s">
        <v>15</v>
      </c>
      <c r="I2043" t="s">
        <v>9</v>
      </c>
      <c r="J2043">
        <v>95.75</v>
      </c>
      <c r="K2043">
        <v>38.5</v>
      </c>
      <c r="L2043" t="s">
        <v>12</v>
      </c>
      <c r="M2043">
        <v>0</v>
      </c>
      <c r="N2043" t="str">
        <f t="shared" si="93"/>
        <v>40–59</v>
      </c>
      <c r="O2043" t="str">
        <f t="shared" si="94"/>
        <v>Obese</v>
      </c>
    </row>
    <row r="2044" spans="1:15" x14ac:dyDescent="0.3">
      <c r="A2044">
        <v>47701</v>
      </c>
      <c r="B2044" t="s">
        <v>2</v>
      </c>
      <c r="C2044">
        <v>8</v>
      </c>
      <c r="D2044">
        <v>0</v>
      </c>
      <c r="E2044">
        <v>0</v>
      </c>
      <c r="F2044" t="str">
        <f t="shared" si="95"/>
        <v>Lower Risk</v>
      </c>
      <c r="G2044" t="s">
        <v>13</v>
      </c>
      <c r="H2044" t="s">
        <v>16</v>
      </c>
      <c r="I2044" t="s">
        <v>5</v>
      </c>
      <c r="J2044">
        <v>104.51</v>
      </c>
      <c r="K2044">
        <v>20.6</v>
      </c>
      <c r="L2044" t="s">
        <v>14</v>
      </c>
      <c r="M2044">
        <v>0</v>
      </c>
      <c r="N2044" t="str">
        <f t="shared" si="93"/>
        <v>Under 40</v>
      </c>
      <c r="O2044" t="str">
        <f t="shared" si="94"/>
        <v>Normal</v>
      </c>
    </row>
    <row r="2045" spans="1:15" x14ac:dyDescent="0.3">
      <c r="A2045">
        <v>15225</v>
      </c>
      <c r="B2045" t="s">
        <v>2</v>
      </c>
      <c r="C2045">
        <v>18</v>
      </c>
      <c r="D2045">
        <v>0</v>
      </c>
      <c r="E2045">
        <v>0</v>
      </c>
      <c r="F2045" t="str">
        <f t="shared" si="95"/>
        <v>Lower Risk</v>
      </c>
      <c r="G2045" t="s">
        <v>13</v>
      </c>
      <c r="H2045" t="s">
        <v>4</v>
      </c>
      <c r="I2045" t="s">
        <v>9</v>
      </c>
      <c r="J2045">
        <v>108.87</v>
      </c>
      <c r="K2045">
        <v>21.5</v>
      </c>
      <c r="L2045" t="s">
        <v>14</v>
      </c>
      <c r="M2045">
        <v>0</v>
      </c>
      <c r="N2045" t="str">
        <f t="shared" si="93"/>
        <v>Under 40</v>
      </c>
      <c r="O2045" t="str">
        <f t="shared" si="94"/>
        <v>Normal</v>
      </c>
    </row>
    <row r="2046" spans="1:15" x14ac:dyDescent="0.3">
      <c r="A2046">
        <v>66431</v>
      </c>
      <c r="B2046" t="s">
        <v>2</v>
      </c>
      <c r="C2046">
        <v>49</v>
      </c>
      <c r="D2046">
        <v>0</v>
      </c>
      <c r="E2046">
        <v>0</v>
      </c>
      <c r="F2046" t="str">
        <f t="shared" si="95"/>
        <v>Lower Risk</v>
      </c>
      <c r="G2046" t="s">
        <v>3</v>
      </c>
      <c r="H2046" t="s">
        <v>4</v>
      </c>
      <c r="I2046" t="s">
        <v>5</v>
      </c>
      <c r="J2046">
        <v>209.06</v>
      </c>
      <c r="K2046">
        <v>43.8</v>
      </c>
      <c r="L2046" t="s">
        <v>14</v>
      </c>
      <c r="M2046">
        <v>0</v>
      </c>
      <c r="N2046" t="str">
        <f t="shared" si="93"/>
        <v>40–59</v>
      </c>
      <c r="O2046" t="str">
        <f t="shared" si="94"/>
        <v>Obese</v>
      </c>
    </row>
    <row r="2047" spans="1:15" x14ac:dyDescent="0.3">
      <c r="A2047">
        <v>57236</v>
      </c>
      <c r="B2047" t="s">
        <v>2</v>
      </c>
      <c r="C2047">
        <v>2</v>
      </c>
      <c r="D2047">
        <v>0</v>
      </c>
      <c r="E2047">
        <v>0</v>
      </c>
      <c r="F2047" t="str">
        <f t="shared" si="95"/>
        <v>Lower Risk</v>
      </c>
      <c r="G2047" t="s">
        <v>13</v>
      </c>
      <c r="H2047" t="s">
        <v>16</v>
      </c>
      <c r="I2047" t="s">
        <v>9</v>
      </c>
      <c r="J2047">
        <v>86.57</v>
      </c>
      <c r="K2047">
        <v>18</v>
      </c>
      <c r="L2047" t="s">
        <v>14</v>
      </c>
      <c r="M2047">
        <v>0</v>
      </c>
      <c r="N2047" t="str">
        <f t="shared" si="93"/>
        <v>Under 40</v>
      </c>
      <c r="O2047" t="str">
        <f t="shared" si="94"/>
        <v>Underweight</v>
      </c>
    </row>
    <row r="2048" spans="1:15" x14ac:dyDescent="0.3">
      <c r="A2048">
        <v>48453</v>
      </c>
      <c r="B2048" t="s">
        <v>7</v>
      </c>
      <c r="C2048">
        <v>52</v>
      </c>
      <c r="D2048">
        <v>0</v>
      </c>
      <c r="E2048">
        <v>0</v>
      </c>
      <c r="F2048" t="str">
        <f t="shared" si="95"/>
        <v>Lower Risk</v>
      </c>
      <c r="G2048" t="s">
        <v>3</v>
      </c>
      <c r="H2048" t="s">
        <v>4</v>
      </c>
      <c r="I2048" t="s">
        <v>5</v>
      </c>
      <c r="J2048">
        <v>120.25</v>
      </c>
      <c r="K2048">
        <v>28.2</v>
      </c>
      <c r="L2048" t="s">
        <v>14</v>
      </c>
      <c r="M2048">
        <v>0</v>
      </c>
      <c r="N2048" t="str">
        <f t="shared" si="93"/>
        <v>40–59</v>
      </c>
      <c r="O2048" t="str">
        <f t="shared" si="94"/>
        <v>Overweight</v>
      </c>
    </row>
    <row r="2049" spans="1:15" x14ac:dyDescent="0.3">
      <c r="A2049">
        <v>8031</v>
      </c>
      <c r="B2049" t="s">
        <v>7</v>
      </c>
      <c r="C2049">
        <v>63</v>
      </c>
      <c r="D2049">
        <v>0</v>
      </c>
      <c r="E2049">
        <v>0</v>
      </c>
      <c r="F2049" t="str">
        <f t="shared" si="95"/>
        <v>Moderate Risk</v>
      </c>
      <c r="G2049" t="s">
        <v>3</v>
      </c>
      <c r="H2049" t="s">
        <v>8</v>
      </c>
      <c r="I2049" t="s">
        <v>9</v>
      </c>
      <c r="J2049">
        <v>85.51</v>
      </c>
      <c r="K2049">
        <v>26.6</v>
      </c>
      <c r="L2049" t="s">
        <v>12</v>
      </c>
      <c r="M2049">
        <v>0</v>
      </c>
      <c r="N2049" t="str">
        <f t="shared" si="93"/>
        <v>60+</v>
      </c>
      <c r="O2049" t="str">
        <f t="shared" si="94"/>
        <v>Overweight</v>
      </c>
    </row>
    <row r="2050" spans="1:15" x14ac:dyDescent="0.3">
      <c r="A2050">
        <v>39139</v>
      </c>
      <c r="B2050" t="s">
        <v>7</v>
      </c>
      <c r="C2050">
        <v>57</v>
      </c>
      <c r="D2050">
        <v>0</v>
      </c>
      <c r="E2050">
        <v>0</v>
      </c>
      <c r="F2050" t="str">
        <f t="shared" si="95"/>
        <v>Lower Risk</v>
      </c>
      <c r="G2050" t="s">
        <v>3</v>
      </c>
      <c r="H2050" t="s">
        <v>4</v>
      </c>
      <c r="I2050" t="s">
        <v>9</v>
      </c>
      <c r="J2050">
        <v>84.18</v>
      </c>
      <c r="K2050">
        <v>35.5</v>
      </c>
      <c r="L2050" t="s">
        <v>11</v>
      </c>
      <c r="M2050">
        <v>0</v>
      </c>
      <c r="N2050" t="str">
        <f t="shared" ref="N2050:N2113" si="96">IF(C2050&lt;40,"Under 40",IF(C2050&lt;60,"40–59","60+"))</f>
        <v>40–59</v>
      </c>
      <c r="O2050" t="str">
        <f t="shared" ref="O2050:O2113" si="97">IF(K2050="N/A","Unknown",
IF(K2050="","Unknown",
IF(K2050&lt;18.5,"Underweight",
IF(K2050&lt;25,"Normal",
IF(K2050&lt;30,"Overweight","Obese")))))</f>
        <v>Obese</v>
      </c>
    </row>
    <row r="2051" spans="1:15" x14ac:dyDescent="0.3">
      <c r="A2051">
        <v>4838</v>
      </c>
      <c r="B2051" t="s">
        <v>7</v>
      </c>
      <c r="C2051">
        <v>50</v>
      </c>
      <c r="D2051">
        <v>0</v>
      </c>
      <c r="E2051">
        <v>0</v>
      </c>
      <c r="F2051" t="str">
        <f t="shared" ref="F2051:F2114" si="98">IF(C2051&gt;=60,
IF(OR(D2051=1,E2051=1),"High Risk","Moderate Risk"),
"Lower Risk")</f>
        <v>Lower Risk</v>
      </c>
      <c r="G2051" t="s">
        <v>3</v>
      </c>
      <c r="H2051" t="s">
        <v>15</v>
      </c>
      <c r="I2051" t="s">
        <v>5</v>
      </c>
      <c r="J2051">
        <v>82.37</v>
      </c>
      <c r="K2051">
        <v>30.7</v>
      </c>
      <c r="L2051" t="s">
        <v>11</v>
      </c>
      <c r="M2051">
        <v>0</v>
      </c>
      <c r="N2051" t="str">
        <f t="shared" si="96"/>
        <v>40–59</v>
      </c>
      <c r="O2051" t="str">
        <f t="shared" si="97"/>
        <v>Obese</v>
      </c>
    </row>
    <row r="2052" spans="1:15" x14ac:dyDescent="0.3">
      <c r="A2052">
        <v>22689</v>
      </c>
      <c r="B2052" t="s">
        <v>2</v>
      </c>
      <c r="C2052">
        <v>12</v>
      </c>
      <c r="D2052">
        <v>0</v>
      </c>
      <c r="E2052">
        <v>0</v>
      </c>
      <c r="F2052" t="str">
        <f t="shared" si="98"/>
        <v>Lower Risk</v>
      </c>
      <c r="G2052" t="s">
        <v>13</v>
      </c>
      <c r="H2052" t="s">
        <v>16</v>
      </c>
      <c r="I2052" t="s">
        <v>9</v>
      </c>
      <c r="J2052">
        <v>96.15</v>
      </c>
      <c r="K2052">
        <v>18.7</v>
      </c>
      <c r="L2052" t="s">
        <v>14</v>
      </c>
      <c r="M2052">
        <v>0</v>
      </c>
      <c r="N2052" t="str">
        <f t="shared" si="96"/>
        <v>Under 40</v>
      </c>
      <c r="O2052" t="str">
        <f t="shared" si="97"/>
        <v>Normal</v>
      </c>
    </row>
    <row r="2053" spans="1:15" x14ac:dyDescent="0.3">
      <c r="A2053">
        <v>37752</v>
      </c>
      <c r="B2053" t="s">
        <v>7</v>
      </c>
      <c r="C2053">
        <v>35</v>
      </c>
      <c r="D2053">
        <v>0</v>
      </c>
      <c r="E2053">
        <v>0</v>
      </c>
      <c r="F2053" t="str">
        <f t="shared" si="98"/>
        <v>Lower Risk</v>
      </c>
      <c r="G2053" t="s">
        <v>3</v>
      </c>
      <c r="H2053" t="s">
        <v>4</v>
      </c>
      <c r="I2053" t="s">
        <v>9</v>
      </c>
      <c r="J2053">
        <v>74.55</v>
      </c>
      <c r="K2053">
        <v>22.4</v>
      </c>
      <c r="L2053" t="s">
        <v>11</v>
      </c>
      <c r="M2053">
        <v>0</v>
      </c>
      <c r="N2053" t="str">
        <f t="shared" si="96"/>
        <v>Under 40</v>
      </c>
      <c r="O2053" t="str">
        <f t="shared" si="97"/>
        <v>Normal</v>
      </c>
    </row>
    <row r="2054" spans="1:15" x14ac:dyDescent="0.3">
      <c r="A2054">
        <v>32320</v>
      </c>
      <c r="B2054" t="s">
        <v>7</v>
      </c>
      <c r="C2054">
        <v>35</v>
      </c>
      <c r="D2054">
        <v>0</v>
      </c>
      <c r="E2054">
        <v>0</v>
      </c>
      <c r="F2054" t="str">
        <f t="shared" si="98"/>
        <v>Lower Risk</v>
      </c>
      <c r="G2054" t="s">
        <v>3</v>
      </c>
      <c r="H2054" t="s">
        <v>8</v>
      </c>
      <c r="I2054" t="s">
        <v>5</v>
      </c>
      <c r="J2054">
        <v>114.45</v>
      </c>
      <c r="K2054">
        <v>25.2</v>
      </c>
      <c r="L2054" t="s">
        <v>12</v>
      </c>
      <c r="M2054">
        <v>0</v>
      </c>
      <c r="N2054" t="str">
        <f t="shared" si="96"/>
        <v>Under 40</v>
      </c>
      <c r="O2054" t="str">
        <f t="shared" si="97"/>
        <v>Overweight</v>
      </c>
    </row>
    <row r="2055" spans="1:15" x14ac:dyDescent="0.3">
      <c r="A2055">
        <v>14889</v>
      </c>
      <c r="B2055" t="s">
        <v>2</v>
      </c>
      <c r="C2055">
        <v>64</v>
      </c>
      <c r="D2055">
        <v>0</v>
      </c>
      <c r="E2055">
        <v>0</v>
      </c>
      <c r="F2055" t="str">
        <f t="shared" si="98"/>
        <v>Moderate Risk</v>
      </c>
      <c r="G2055" t="s">
        <v>3</v>
      </c>
      <c r="H2055" t="s">
        <v>15</v>
      </c>
      <c r="I2055" t="s">
        <v>9</v>
      </c>
      <c r="J2055">
        <v>113.68</v>
      </c>
      <c r="K2055">
        <v>24.2</v>
      </c>
      <c r="L2055" t="s">
        <v>11</v>
      </c>
      <c r="M2055">
        <v>0</v>
      </c>
      <c r="N2055" t="str">
        <f t="shared" si="96"/>
        <v>60+</v>
      </c>
      <c r="O2055" t="str">
        <f t="shared" si="97"/>
        <v>Normal</v>
      </c>
    </row>
    <row r="2056" spans="1:15" x14ac:dyDescent="0.3">
      <c r="A2056">
        <v>13964</v>
      </c>
      <c r="B2056" t="s">
        <v>7</v>
      </c>
      <c r="C2056">
        <v>42</v>
      </c>
      <c r="D2056">
        <v>0</v>
      </c>
      <c r="E2056">
        <v>0</v>
      </c>
      <c r="F2056" t="str">
        <f t="shared" si="98"/>
        <v>Lower Risk</v>
      </c>
      <c r="G2056" t="s">
        <v>3</v>
      </c>
      <c r="H2056" t="s">
        <v>4</v>
      </c>
      <c r="I2056" t="s">
        <v>9</v>
      </c>
      <c r="J2056">
        <v>107.91</v>
      </c>
      <c r="K2056">
        <v>20.5</v>
      </c>
      <c r="L2056" t="s">
        <v>11</v>
      </c>
      <c r="M2056">
        <v>0</v>
      </c>
      <c r="N2056" t="str">
        <f t="shared" si="96"/>
        <v>40–59</v>
      </c>
      <c r="O2056" t="str">
        <f t="shared" si="97"/>
        <v>Normal</v>
      </c>
    </row>
    <row r="2057" spans="1:15" x14ac:dyDescent="0.3">
      <c r="A2057">
        <v>31746</v>
      </c>
      <c r="B2057" t="s">
        <v>7</v>
      </c>
      <c r="C2057">
        <v>62</v>
      </c>
      <c r="D2057">
        <v>0</v>
      </c>
      <c r="E2057">
        <v>0</v>
      </c>
      <c r="F2057" t="str">
        <f t="shared" si="98"/>
        <v>Moderate Risk</v>
      </c>
      <c r="G2057" t="s">
        <v>3</v>
      </c>
      <c r="H2057" t="s">
        <v>4</v>
      </c>
      <c r="I2057" t="s">
        <v>9</v>
      </c>
      <c r="J2057">
        <v>83.85</v>
      </c>
      <c r="K2057">
        <v>24.5</v>
      </c>
      <c r="L2057" t="s">
        <v>11</v>
      </c>
      <c r="M2057">
        <v>0</v>
      </c>
      <c r="N2057" t="str">
        <f t="shared" si="96"/>
        <v>60+</v>
      </c>
      <c r="O2057" t="str">
        <f t="shared" si="97"/>
        <v>Normal</v>
      </c>
    </row>
    <row r="2058" spans="1:15" x14ac:dyDescent="0.3">
      <c r="A2058">
        <v>17492</v>
      </c>
      <c r="B2058" t="s">
        <v>7</v>
      </c>
      <c r="C2058">
        <v>3</v>
      </c>
      <c r="D2058">
        <v>0</v>
      </c>
      <c r="E2058">
        <v>0</v>
      </c>
      <c r="F2058" t="str">
        <f t="shared" si="98"/>
        <v>Lower Risk</v>
      </c>
      <c r="G2058" t="s">
        <v>13</v>
      </c>
      <c r="H2058" t="s">
        <v>16</v>
      </c>
      <c r="I2058" t="s">
        <v>5</v>
      </c>
      <c r="J2058">
        <v>101.3</v>
      </c>
      <c r="K2058">
        <v>24.8</v>
      </c>
      <c r="L2058" t="s">
        <v>14</v>
      </c>
      <c r="M2058">
        <v>0</v>
      </c>
      <c r="N2058" t="str">
        <f t="shared" si="96"/>
        <v>Under 40</v>
      </c>
      <c r="O2058" t="str">
        <f t="shared" si="97"/>
        <v>Normal</v>
      </c>
    </row>
    <row r="2059" spans="1:15" x14ac:dyDescent="0.3">
      <c r="A2059">
        <v>1499</v>
      </c>
      <c r="B2059" t="s">
        <v>7</v>
      </c>
      <c r="C2059">
        <v>43</v>
      </c>
      <c r="D2059">
        <v>0</v>
      </c>
      <c r="E2059">
        <v>0</v>
      </c>
      <c r="F2059" t="str">
        <f t="shared" si="98"/>
        <v>Lower Risk</v>
      </c>
      <c r="G2059" t="s">
        <v>3</v>
      </c>
      <c r="H2059" t="s">
        <v>15</v>
      </c>
      <c r="I2059" t="s">
        <v>9</v>
      </c>
      <c r="J2059">
        <v>72.13</v>
      </c>
      <c r="K2059">
        <v>42.6</v>
      </c>
      <c r="L2059" t="s">
        <v>11</v>
      </c>
      <c r="M2059">
        <v>0</v>
      </c>
      <c r="N2059" t="str">
        <f t="shared" si="96"/>
        <v>40–59</v>
      </c>
      <c r="O2059" t="str">
        <f t="shared" si="97"/>
        <v>Obese</v>
      </c>
    </row>
    <row r="2060" spans="1:15" x14ac:dyDescent="0.3">
      <c r="A2060">
        <v>34396</v>
      </c>
      <c r="B2060" t="s">
        <v>7</v>
      </c>
      <c r="C2060">
        <v>52</v>
      </c>
      <c r="D2060">
        <v>1</v>
      </c>
      <c r="E2060">
        <v>0</v>
      </c>
      <c r="F2060" t="str">
        <f t="shared" si="98"/>
        <v>Lower Risk</v>
      </c>
      <c r="G2060" t="s">
        <v>3</v>
      </c>
      <c r="H2060" t="s">
        <v>4</v>
      </c>
      <c r="I2060" t="s">
        <v>5</v>
      </c>
      <c r="J2060">
        <v>94.98</v>
      </c>
      <c r="K2060">
        <v>23.8</v>
      </c>
      <c r="L2060" t="s">
        <v>11</v>
      </c>
      <c r="M2060">
        <v>0</v>
      </c>
      <c r="N2060" t="str">
        <f t="shared" si="96"/>
        <v>40–59</v>
      </c>
      <c r="O2060" t="str">
        <f t="shared" si="97"/>
        <v>Normal</v>
      </c>
    </row>
    <row r="2061" spans="1:15" x14ac:dyDescent="0.3">
      <c r="A2061">
        <v>36750</v>
      </c>
      <c r="B2061" t="s">
        <v>2</v>
      </c>
      <c r="C2061">
        <v>64</v>
      </c>
      <c r="D2061">
        <v>1</v>
      </c>
      <c r="E2061">
        <v>0</v>
      </c>
      <c r="F2061" t="str">
        <f t="shared" si="98"/>
        <v>High Risk</v>
      </c>
      <c r="G2061" t="s">
        <v>3</v>
      </c>
      <c r="H2061" t="s">
        <v>4</v>
      </c>
      <c r="I2061" t="s">
        <v>9</v>
      </c>
      <c r="J2061">
        <v>228.42</v>
      </c>
      <c r="K2061">
        <v>42.3</v>
      </c>
      <c r="L2061" t="s">
        <v>6</v>
      </c>
      <c r="M2061">
        <v>0</v>
      </c>
      <c r="N2061" t="str">
        <f t="shared" si="96"/>
        <v>60+</v>
      </c>
      <c r="O2061" t="str">
        <f t="shared" si="97"/>
        <v>Obese</v>
      </c>
    </row>
    <row r="2062" spans="1:15" x14ac:dyDescent="0.3">
      <c r="A2062">
        <v>68816</v>
      </c>
      <c r="B2062" t="s">
        <v>2</v>
      </c>
      <c r="C2062">
        <v>59</v>
      </c>
      <c r="D2062">
        <v>0</v>
      </c>
      <c r="E2062">
        <v>0</v>
      </c>
      <c r="F2062" t="str">
        <f t="shared" si="98"/>
        <v>Lower Risk</v>
      </c>
      <c r="G2062" t="s">
        <v>3</v>
      </c>
      <c r="H2062" t="s">
        <v>4</v>
      </c>
      <c r="I2062" t="s">
        <v>9</v>
      </c>
      <c r="J2062">
        <v>93.9</v>
      </c>
      <c r="K2062">
        <v>42.2</v>
      </c>
      <c r="L2062" t="s">
        <v>11</v>
      </c>
      <c r="M2062">
        <v>0</v>
      </c>
      <c r="N2062" t="str">
        <f t="shared" si="96"/>
        <v>40–59</v>
      </c>
      <c r="O2062" t="str">
        <f t="shared" si="97"/>
        <v>Obese</v>
      </c>
    </row>
    <row r="2063" spans="1:15" x14ac:dyDescent="0.3">
      <c r="A2063">
        <v>16129</v>
      </c>
      <c r="B2063" t="s">
        <v>7</v>
      </c>
      <c r="C2063">
        <v>81</v>
      </c>
      <c r="D2063">
        <v>0</v>
      </c>
      <c r="E2063">
        <v>0</v>
      </c>
      <c r="F2063" t="str">
        <f t="shared" si="98"/>
        <v>Moderate Risk</v>
      </c>
      <c r="G2063" t="s">
        <v>3</v>
      </c>
      <c r="H2063" t="s">
        <v>8</v>
      </c>
      <c r="I2063" t="s">
        <v>5</v>
      </c>
      <c r="J2063">
        <v>93.13</v>
      </c>
      <c r="K2063">
        <v>26.1</v>
      </c>
      <c r="L2063" t="s">
        <v>14</v>
      </c>
      <c r="M2063">
        <v>0</v>
      </c>
      <c r="N2063" t="str">
        <f t="shared" si="96"/>
        <v>60+</v>
      </c>
      <c r="O2063" t="str">
        <f t="shared" si="97"/>
        <v>Overweight</v>
      </c>
    </row>
    <row r="2064" spans="1:15" x14ac:dyDescent="0.3">
      <c r="A2064">
        <v>64006</v>
      </c>
      <c r="B2064" t="s">
        <v>7</v>
      </c>
      <c r="C2064">
        <v>15</v>
      </c>
      <c r="D2064">
        <v>0</v>
      </c>
      <c r="E2064">
        <v>0</v>
      </c>
      <c r="F2064" t="str">
        <f t="shared" si="98"/>
        <v>Lower Risk</v>
      </c>
      <c r="G2064" t="s">
        <v>13</v>
      </c>
      <c r="H2064" t="s">
        <v>4</v>
      </c>
      <c r="I2064" t="s">
        <v>5</v>
      </c>
      <c r="J2064">
        <v>121.6</v>
      </c>
      <c r="K2064">
        <v>22.8</v>
      </c>
      <c r="L2064" t="s">
        <v>11</v>
      </c>
      <c r="M2064">
        <v>0</v>
      </c>
      <c r="N2064" t="str">
        <f t="shared" si="96"/>
        <v>Under 40</v>
      </c>
      <c r="O2064" t="str">
        <f t="shared" si="97"/>
        <v>Normal</v>
      </c>
    </row>
    <row r="2065" spans="1:15" x14ac:dyDescent="0.3">
      <c r="A2065">
        <v>51845</v>
      </c>
      <c r="B2065" t="s">
        <v>2</v>
      </c>
      <c r="C2065">
        <v>50</v>
      </c>
      <c r="D2065">
        <v>0</v>
      </c>
      <c r="E2065">
        <v>0</v>
      </c>
      <c r="F2065" t="str">
        <f t="shared" si="98"/>
        <v>Lower Risk</v>
      </c>
      <c r="G2065" t="s">
        <v>3</v>
      </c>
      <c r="H2065" t="s">
        <v>15</v>
      </c>
      <c r="I2065" t="s">
        <v>9</v>
      </c>
      <c r="J2065">
        <v>84.4</v>
      </c>
      <c r="K2065">
        <v>42.3</v>
      </c>
      <c r="L2065" t="s">
        <v>6</v>
      </c>
      <c r="M2065">
        <v>0</v>
      </c>
      <c r="N2065" t="str">
        <f t="shared" si="96"/>
        <v>40–59</v>
      </c>
      <c r="O2065" t="str">
        <f t="shared" si="97"/>
        <v>Obese</v>
      </c>
    </row>
    <row r="2066" spans="1:15" x14ac:dyDescent="0.3">
      <c r="A2066">
        <v>30692</v>
      </c>
      <c r="B2066" t="s">
        <v>2</v>
      </c>
      <c r="C2066">
        <v>73</v>
      </c>
      <c r="D2066">
        <v>0</v>
      </c>
      <c r="E2066">
        <v>0</v>
      </c>
      <c r="F2066" t="str">
        <f t="shared" si="98"/>
        <v>Moderate Risk</v>
      </c>
      <c r="G2066" t="s">
        <v>3</v>
      </c>
      <c r="H2066" t="s">
        <v>4</v>
      </c>
      <c r="I2066" t="s">
        <v>9</v>
      </c>
      <c r="J2066">
        <v>82.13</v>
      </c>
      <c r="K2066">
        <v>28.5</v>
      </c>
      <c r="L2066" t="s">
        <v>11</v>
      </c>
      <c r="M2066">
        <v>0</v>
      </c>
      <c r="N2066" t="str">
        <f t="shared" si="96"/>
        <v>60+</v>
      </c>
      <c r="O2066" t="str">
        <f t="shared" si="97"/>
        <v>Overweight</v>
      </c>
    </row>
    <row r="2067" spans="1:15" x14ac:dyDescent="0.3">
      <c r="A2067">
        <v>65712</v>
      </c>
      <c r="B2067" t="s">
        <v>2</v>
      </c>
      <c r="C2067">
        <v>19</v>
      </c>
      <c r="D2067">
        <v>0</v>
      </c>
      <c r="E2067">
        <v>0</v>
      </c>
      <c r="F2067" t="str">
        <f t="shared" si="98"/>
        <v>Lower Risk</v>
      </c>
      <c r="G2067" t="s">
        <v>13</v>
      </c>
      <c r="H2067" t="s">
        <v>4</v>
      </c>
      <c r="I2067" t="s">
        <v>5</v>
      </c>
      <c r="J2067">
        <v>73.33</v>
      </c>
      <c r="K2067">
        <v>23</v>
      </c>
      <c r="L2067" t="s">
        <v>11</v>
      </c>
      <c r="M2067">
        <v>0</v>
      </c>
      <c r="N2067" t="str">
        <f t="shared" si="96"/>
        <v>Under 40</v>
      </c>
      <c r="O2067" t="str">
        <f t="shared" si="97"/>
        <v>Normal</v>
      </c>
    </row>
    <row r="2068" spans="1:15" x14ac:dyDescent="0.3">
      <c r="A2068">
        <v>42161</v>
      </c>
      <c r="B2068" t="s">
        <v>7</v>
      </c>
      <c r="C2068">
        <v>30</v>
      </c>
      <c r="D2068">
        <v>0</v>
      </c>
      <c r="E2068">
        <v>0</v>
      </c>
      <c r="F2068" t="str">
        <f t="shared" si="98"/>
        <v>Lower Risk</v>
      </c>
      <c r="G2068" t="s">
        <v>3</v>
      </c>
      <c r="H2068" t="s">
        <v>4</v>
      </c>
      <c r="I2068" t="s">
        <v>5</v>
      </c>
      <c r="J2068">
        <v>75.88</v>
      </c>
      <c r="K2068">
        <v>32.799999999999997</v>
      </c>
      <c r="L2068" t="s">
        <v>14</v>
      </c>
      <c r="M2068">
        <v>0</v>
      </c>
      <c r="N2068" t="str">
        <f t="shared" si="96"/>
        <v>Under 40</v>
      </c>
      <c r="O2068" t="str">
        <f t="shared" si="97"/>
        <v>Obese</v>
      </c>
    </row>
    <row r="2069" spans="1:15" x14ac:dyDescent="0.3">
      <c r="A2069">
        <v>16938</v>
      </c>
      <c r="B2069" t="s">
        <v>7</v>
      </c>
      <c r="C2069">
        <v>40</v>
      </c>
      <c r="D2069">
        <v>0</v>
      </c>
      <c r="E2069">
        <v>0</v>
      </c>
      <c r="F2069" t="str">
        <f t="shared" si="98"/>
        <v>Lower Risk</v>
      </c>
      <c r="G2069" t="s">
        <v>3</v>
      </c>
      <c r="H2069" t="s">
        <v>8</v>
      </c>
      <c r="I2069" t="s">
        <v>9</v>
      </c>
      <c r="J2069">
        <v>212.97</v>
      </c>
      <c r="K2069">
        <v>49.8</v>
      </c>
      <c r="L2069" t="s">
        <v>6</v>
      </c>
      <c r="M2069">
        <v>0</v>
      </c>
      <c r="N2069" t="str">
        <f t="shared" si="96"/>
        <v>40–59</v>
      </c>
      <c r="O2069" t="str">
        <f t="shared" si="97"/>
        <v>Obese</v>
      </c>
    </row>
    <row r="2070" spans="1:15" x14ac:dyDescent="0.3">
      <c r="A2070">
        <v>16113</v>
      </c>
      <c r="B2070" t="s">
        <v>7</v>
      </c>
      <c r="C2070">
        <v>47</v>
      </c>
      <c r="D2070">
        <v>0</v>
      </c>
      <c r="E2070">
        <v>0</v>
      </c>
      <c r="F2070" t="str">
        <f t="shared" si="98"/>
        <v>Lower Risk</v>
      </c>
      <c r="G2070" t="s">
        <v>3</v>
      </c>
      <c r="H2070" t="s">
        <v>15</v>
      </c>
      <c r="I2070" t="s">
        <v>9</v>
      </c>
      <c r="J2070">
        <v>100.41</v>
      </c>
      <c r="K2070">
        <v>23.8</v>
      </c>
      <c r="L2070" t="s">
        <v>11</v>
      </c>
      <c r="M2070">
        <v>0</v>
      </c>
      <c r="N2070" t="str">
        <f t="shared" si="96"/>
        <v>40–59</v>
      </c>
      <c r="O2070" t="str">
        <f t="shared" si="97"/>
        <v>Normal</v>
      </c>
    </row>
    <row r="2071" spans="1:15" x14ac:dyDescent="0.3">
      <c r="A2071">
        <v>29388</v>
      </c>
      <c r="B2071" t="s">
        <v>7</v>
      </c>
      <c r="C2071">
        <v>66</v>
      </c>
      <c r="D2071">
        <v>0</v>
      </c>
      <c r="E2071">
        <v>0</v>
      </c>
      <c r="F2071" t="str">
        <f t="shared" si="98"/>
        <v>Moderate Risk</v>
      </c>
      <c r="G2071" t="s">
        <v>3</v>
      </c>
      <c r="H2071" t="s">
        <v>4</v>
      </c>
      <c r="I2071" t="s">
        <v>5</v>
      </c>
      <c r="J2071">
        <v>202.05</v>
      </c>
      <c r="K2071">
        <v>31.7</v>
      </c>
      <c r="L2071" t="s">
        <v>12</v>
      </c>
      <c r="M2071">
        <v>0</v>
      </c>
      <c r="N2071" t="str">
        <f t="shared" si="96"/>
        <v>60+</v>
      </c>
      <c r="O2071" t="str">
        <f t="shared" si="97"/>
        <v>Obese</v>
      </c>
    </row>
    <row r="2072" spans="1:15" x14ac:dyDescent="0.3">
      <c r="A2072">
        <v>65109</v>
      </c>
      <c r="B2072" t="s">
        <v>2</v>
      </c>
      <c r="C2072">
        <v>47</v>
      </c>
      <c r="D2072">
        <v>0</v>
      </c>
      <c r="E2072">
        <v>0</v>
      </c>
      <c r="F2072" t="str">
        <f t="shared" si="98"/>
        <v>Lower Risk</v>
      </c>
      <c r="G2072" t="s">
        <v>3</v>
      </c>
      <c r="H2072" t="s">
        <v>4</v>
      </c>
      <c r="I2072" t="s">
        <v>5</v>
      </c>
      <c r="J2072">
        <v>71.42</v>
      </c>
      <c r="K2072">
        <v>34.9</v>
      </c>
      <c r="L2072" t="s">
        <v>12</v>
      </c>
      <c r="M2072">
        <v>0</v>
      </c>
      <c r="N2072" t="str">
        <f t="shared" si="96"/>
        <v>40–59</v>
      </c>
      <c r="O2072" t="str">
        <f t="shared" si="97"/>
        <v>Obese</v>
      </c>
    </row>
    <row r="2073" spans="1:15" x14ac:dyDescent="0.3">
      <c r="A2073">
        <v>61242</v>
      </c>
      <c r="B2073" t="s">
        <v>7</v>
      </c>
      <c r="C2073">
        <v>41</v>
      </c>
      <c r="D2073">
        <v>1</v>
      </c>
      <c r="E2073">
        <v>0</v>
      </c>
      <c r="F2073" t="str">
        <f t="shared" si="98"/>
        <v>Lower Risk</v>
      </c>
      <c r="G2073" t="s">
        <v>3</v>
      </c>
      <c r="H2073" t="s">
        <v>15</v>
      </c>
      <c r="I2073" t="s">
        <v>9</v>
      </c>
      <c r="J2073">
        <v>107.5</v>
      </c>
      <c r="K2073">
        <v>54</v>
      </c>
      <c r="L2073" t="s">
        <v>11</v>
      </c>
      <c r="M2073">
        <v>0</v>
      </c>
      <c r="N2073" t="str">
        <f t="shared" si="96"/>
        <v>40–59</v>
      </c>
      <c r="O2073" t="str">
        <f t="shared" si="97"/>
        <v>Obese</v>
      </c>
    </row>
    <row r="2074" spans="1:15" x14ac:dyDescent="0.3">
      <c r="A2074">
        <v>65252</v>
      </c>
      <c r="B2074" t="s">
        <v>7</v>
      </c>
      <c r="C2074">
        <v>63</v>
      </c>
      <c r="D2074">
        <v>0</v>
      </c>
      <c r="E2074">
        <v>0</v>
      </c>
      <c r="F2074" t="str">
        <f t="shared" si="98"/>
        <v>Moderate Risk</v>
      </c>
      <c r="G2074" t="s">
        <v>3</v>
      </c>
      <c r="H2074" t="s">
        <v>15</v>
      </c>
      <c r="I2074" t="s">
        <v>9</v>
      </c>
      <c r="J2074">
        <v>55.57</v>
      </c>
      <c r="K2074">
        <v>26.8</v>
      </c>
      <c r="L2074" t="s">
        <v>6</v>
      </c>
      <c r="M2074">
        <v>0</v>
      </c>
      <c r="N2074" t="str">
        <f t="shared" si="96"/>
        <v>60+</v>
      </c>
      <c r="O2074" t="str">
        <f t="shared" si="97"/>
        <v>Overweight</v>
      </c>
    </row>
    <row r="2075" spans="1:15" x14ac:dyDescent="0.3">
      <c r="A2075">
        <v>49615</v>
      </c>
      <c r="B2075" t="s">
        <v>7</v>
      </c>
      <c r="C2075">
        <v>12</v>
      </c>
      <c r="D2075">
        <v>0</v>
      </c>
      <c r="E2075">
        <v>0</v>
      </c>
      <c r="F2075" t="str">
        <f t="shared" si="98"/>
        <v>Lower Risk</v>
      </c>
      <c r="G2075" t="s">
        <v>13</v>
      </c>
      <c r="H2075" t="s">
        <v>16</v>
      </c>
      <c r="I2075" t="s">
        <v>5</v>
      </c>
      <c r="J2075">
        <v>58.14</v>
      </c>
      <c r="K2075">
        <v>21.3</v>
      </c>
      <c r="L2075" t="s">
        <v>11</v>
      </c>
      <c r="M2075">
        <v>0</v>
      </c>
      <c r="N2075" t="str">
        <f t="shared" si="96"/>
        <v>Under 40</v>
      </c>
      <c r="O2075" t="str">
        <f t="shared" si="97"/>
        <v>Normal</v>
      </c>
    </row>
    <row r="2076" spans="1:15" x14ac:dyDescent="0.3">
      <c r="A2076">
        <v>63511</v>
      </c>
      <c r="B2076" t="s">
        <v>2</v>
      </c>
      <c r="C2076">
        <v>1.32</v>
      </c>
      <c r="D2076">
        <v>0</v>
      </c>
      <c r="E2076">
        <v>0</v>
      </c>
      <c r="F2076" t="str">
        <f t="shared" si="98"/>
        <v>Lower Risk</v>
      </c>
      <c r="G2076" t="s">
        <v>13</v>
      </c>
      <c r="H2076" t="s">
        <v>16</v>
      </c>
      <c r="I2076" t="s">
        <v>9</v>
      </c>
      <c r="J2076">
        <v>78.53</v>
      </c>
      <c r="K2076">
        <v>19.8</v>
      </c>
      <c r="L2076" t="s">
        <v>14</v>
      </c>
      <c r="M2076">
        <v>0</v>
      </c>
      <c r="N2076" t="str">
        <f t="shared" si="96"/>
        <v>Under 40</v>
      </c>
      <c r="O2076" t="str">
        <f t="shared" si="97"/>
        <v>Normal</v>
      </c>
    </row>
    <row r="2077" spans="1:15" x14ac:dyDescent="0.3">
      <c r="A2077">
        <v>14089</v>
      </c>
      <c r="B2077" t="s">
        <v>7</v>
      </c>
      <c r="C2077">
        <v>46</v>
      </c>
      <c r="D2077">
        <v>0</v>
      </c>
      <c r="E2077">
        <v>0</v>
      </c>
      <c r="F2077" t="str">
        <f t="shared" si="98"/>
        <v>Lower Risk</v>
      </c>
      <c r="G2077" t="s">
        <v>3</v>
      </c>
      <c r="H2077" t="s">
        <v>4</v>
      </c>
      <c r="I2077" t="s">
        <v>5</v>
      </c>
      <c r="J2077">
        <v>78.790000000000006</v>
      </c>
      <c r="K2077">
        <v>42.4</v>
      </c>
      <c r="L2077" t="s">
        <v>12</v>
      </c>
      <c r="M2077">
        <v>0</v>
      </c>
      <c r="N2077" t="str">
        <f t="shared" si="96"/>
        <v>40–59</v>
      </c>
      <c r="O2077" t="str">
        <f t="shared" si="97"/>
        <v>Obese</v>
      </c>
    </row>
    <row r="2078" spans="1:15" x14ac:dyDescent="0.3">
      <c r="A2078">
        <v>16987</v>
      </c>
      <c r="B2078" t="s">
        <v>7</v>
      </c>
      <c r="C2078">
        <v>8</v>
      </c>
      <c r="D2078">
        <v>0</v>
      </c>
      <c r="E2078">
        <v>0</v>
      </c>
      <c r="F2078" t="str">
        <f t="shared" si="98"/>
        <v>Lower Risk</v>
      </c>
      <c r="G2078" t="s">
        <v>13</v>
      </c>
      <c r="H2078" t="s">
        <v>16</v>
      </c>
      <c r="I2078" t="s">
        <v>5</v>
      </c>
      <c r="J2078">
        <v>96.62</v>
      </c>
      <c r="K2078">
        <v>16.399999999999999</v>
      </c>
      <c r="L2078" t="s">
        <v>14</v>
      </c>
      <c r="M2078">
        <v>0</v>
      </c>
      <c r="N2078" t="str">
        <f t="shared" si="96"/>
        <v>Under 40</v>
      </c>
      <c r="O2078" t="str">
        <f t="shared" si="97"/>
        <v>Underweight</v>
      </c>
    </row>
    <row r="2079" spans="1:15" x14ac:dyDescent="0.3">
      <c r="A2079">
        <v>53399</v>
      </c>
      <c r="B2079" t="s">
        <v>2</v>
      </c>
      <c r="C2079">
        <v>74</v>
      </c>
      <c r="D2079">
        <v>0</v>
      </c>
      <c r="E2079">
        <v>0</v>
      </c>
      <c r="F2079" t="str">
        <f t="shared" si="98"/>
        <v>Moderate Risk</v>
      </c>
      <c r="G2079" t="s">
        <v>3</v>
      </c>
      <c r="H2079" t="s">
        <v>4</v>
      </c>
      <c r="I2079" t="s">
        <v>9</v>
      </c>
      <c r="J2079">
        <v>65.28</v>
      </c>
      <c r="K2079">
        <v>28.2</v>
      </c>
      <c r="L2079" t="s">
        <v>11</v>
      </c>
      <c r="M2079">
        <v>0</v>
      </c>
      <c r="N2079" t="str">
        <f t="shared" si="96"/>
        <v>60+</v>
      </c>
      <c r="O2079" t="str">
        <f t="shared" si="97"/>
        <v>Overweight</v>
      </c>
    </row>
    <row r="2080" spans="1:15" x14ac:dyDescent="0.3">
      <c r="A2080">
        <v>36946</v>
      </c>
      <c r="B2080" t="s">
        <v>2</v>
      </c>
      <c r="C2080">
        <v>74</v>
      </c>
      <c r="D2080">
        <v>0</v>
      </c>
      <c r="E2080">
        <v>0</v>
      </c>
      <c r="F2080" t="str">
        <f t="shared" si="98"/>
        <v>Moderate Risk</v>
      </c>
      <c r="G2080" t="s">
        <v>3</v>
      </c>
      <c r="H2080" t="s">
        <v>4</v>
      </c>
      <c r="I2080" t="s">
        <v>9</v>
      </c>
      <c r="J2080">
        <v>92.67</v>
      </c>
      <c r="K2080">
        <v>26.3</v>
      </c>
      <c r="L2080" t="s">
        <v>6</v>
      </c>
      <c r="M2080">
        <v>0</v>
      </c>
      <c r="N2080" t="str">
        <f t="shared" si="96"/>
        <v>60+</v>
      </c>
      <c r="O2080" t="str">
        <f t="shared" si="97"/>
        <v>Overweight</v>
      </c>
    </row>
    <row r="2081" spans="1:15" x14ac:dyDescent="0.3">
      <c r="A2081">
        <v>55522</v>
      </c>
      <c r="B2081" t="s">
        <v>7</v>
      </c>
      <c r="C2081">
        <v>4</v>
      </c>
      <c r="D2081">
        <v>0</v>
      </c>
      <c r="E2081">
        <v>0</v>
      </c>
      <c r="F2081" t="str">
        <f t="shared" si="98"/>
        <v>Lower Risk</v>
      </c>
      <c r="G2081" t="s">
        <v>13</v>
      </c>
      <c r="H2081" t="s">
        <v>16</v>
      </c>
      <c r="I2081" t="s">
        <v>9</v>
      </c>
      <c r="J2081">
        <v>206.25</v>
      </c>
      <c r="K2081">
        <v>17</v>
      </c>
      <c r="L2081" t="s">
        <v>14</v>
      </c>
      <c r="M2081">
        <v>0</v>
      </c>
      <c r="N2081" t="str">
        <f t="shared" si="96"/>
        <v>Under 40</v>
      </c>
      <c r="O2081" t="str">
        <f t="shared" si="97"/>
        <v>Underweight</v>
      </c>
    </row>
    <row r="2082" spans="1:15" x14ac:dyDescent="0.3">
      <c r="A2082">
        <v>27954</v>
      </c>
      <c r="B2082" t="s">
        <v>7</v>
      </c>
      <c r="C2082">
        <v>26</v>
      </c>
      <c r="D2082">
        <v>0</v>
      </c>
      <c r="E2082">
        <v>0</v>
      </c>
      <c r="F2082" t="str">
        <f t="shared" si="98"/>
        <v>Lower Risk</v>
      </c>
      <c r="G2082" t="s">
        <v>13</v>
      </c>
      <c r="H2082" t="s">
        <v>4</v>
      </c>
      <c r="I2082" t="s">
        <v>5</v>
      </c>
      <c r="J2082">
        <v>114.18</v>
      </c>
      <c r="K2082">
        <v>23.3</v>
      </c>
      <c r="L2082" t="s">
        <v>11</v>
      </c>
      <c r="M2082">
        <v>0</v>
      </c>
      <c r="N2082" t="str">
        <f t="shared" si="96"/>
        <v>Under 40</v>
      </c>
      <c r="O2082" t="str">
        <f t="shared" si="97"/>
        <v>Normal</v>
      </c>
    </row>
    <row r="2083" spans="1:15" x14ac:dyDescent="0.3">
      <c r="A2083">
        <v>5355</v>
      </c>
      <c r="B2083" t="s">
        <v>2</v>
      </c>
      <c r="C2083">
        <v>63</v>
      </c>
      <c r="D2083">
        <v>0</v>
      </c>
      <c r="E2083">
        <v>0</v>
      </c>
      <c r="F2083" t="str">
        <f t="shared" si="98"/>
        <v>Moderate Risk</v>
      </c>
      <c r="G2083" t="s">
        <v>3</v>
      </c>
      <c r="H2083" t="s">
        <v>15</v>
      </c>
      <c r="I2083" t="s">
        <v>9</v>
      </c>
      <c r="J2083">
        <v>231.69</v>
      </c>
      <c r="K2083">
        <v>56.1</v>
      </c>
      <c r="L2083" t="s">
        <v>6</v>
      </c>
      <c r="M2083">
        <v>0</v>
      </c>
      <c r="N2083" t="str">
        <f t="shared" si="96"/>
        <v>60+</v>
      </c>
      <c r="O2083" t="str">
        <f t="shared" si="97"/>
        <v>Obese</v>
      </c>
    </row>
    <row r="2084" spans="1:15" x14ac:dyDescent="0.3">
      <c r="A2084">
        <v>69069</v>
      </c>
      <c r="B2084" t="s">
        <v>7</v>
      </c>
      <c r="C2084">
        <v>48</v>
      </c>
      <c r="D2084">
        <v>0</v>
      </c>
      <c r="E2084">
        <v>1</v>
      </c>
      <c r="F2084" t="str">
        <f t="shared" si="98"/>
        <v>Lower Risk</v>
      </c>
      <c r="G2084" t="s">
        <v>13</v>
      </c>
      <c r="H2084" t="s">
        <v>4</v>
      </c>
      <c r="I2084" t="s">
        <v>9</v>
      </c>
      <c r="J2084">
        <v>101.89</v>
      </c>
      <c r="K2084">
        <v>25.1</v>
      </c>
      <c r="L2084" t="s">
        <v>12</v>
      </c>
      <c r="M2084">
        <v>0</v>
      </c>
      <c r="N2084" t="str">
        <f t="shared" si="96"/>
        <v>40–59</v>
      </c>
      <c r="O2084" t="str">
        <f t="shared" si="97"/>
        <v>Overweight</v>
      </c>
    </row>
    <row r="2085" spans="1:15" x14ac:dyDescent="0.3">
      <c r="A2085">
        <v>11539</v>
      </c>
      <c r="B2085" t="s">
        <v>7</v>
      </c>
      <c r="C2085">
        <v>24</v>
      </c>
      <c r="D2085">
        <v>1</v>
      </c>
      <c r="E2085">
        <v>0</v>
      </c>
      <c r="F2085" t="str">
        <f t="shared" si="98"/>
        <v>Lower Risk</v>
      </c>
      <c r="G2085" t="s">
        <v>13</v>
      </c>
      <c r="H2085" t="s">
        <v>4</v>
      </c>
      <c r="I2085" t="s">
        <v>5</v>
      </c>
      <c r="J2085">
        <v>107.22</v>
      </c>
      <c r="K2085">
        <v>35.299999999999997</v>
      </c>
      <c r="L2085" t="s">
        <v>12</v>
      </c>
      <c r="M2085">
        <v>0</v>
      </c>
      <c r="N2085" t="str">
        <f t="shared" si="96"/>
        <v>Under 40</v>
      </c>
      <c r="O2085" t="str">
        <f t="shared" si="97"/>
        <v>Obese</v>
      </c>
    </row>
    <row r="2086" spans="1:15" x14ac:dyDescent="0.3">
      <c r="A2086">
        <v>16847</v>
      </c>
      <c r="B2086" t="s">
        <v>2</v>
      </c>
      <c r="C2086">
        <v>47</v>
      </c>
      <c r="D2086">
        <v>0</v>
      </c>
      <c r="E2086">
        <v>0</v>
      </c>
      <c r="F2086" t="str">
        <f t="shared" si="98"/>
        <v>Lower Risk</v>
      </c>
      <c r="G2086" t="s">
        <v>13</v>
      </c>
      <c r="H2086" t="s">
        <v>4</v>
      </c>
      <c r="I2086" t="s">
        <v>9</v>
      </c>
      <c r="J2086">
        <v>101.99</v>
      </c>
      <c r="K2086">
        <v>36.299999999999997</v>
      </c>
      <c r="L2086" t="s">
        <v>11</v>
      </c>
      <c r="M2086">
        <v>0</v>
      </c>
      <c r="N2086" t="str">
        <f t="shared" si="96"/>
        <v>40–59</v>
      </c>
      <c r="O2086" t="str">
        <f t="shared" si="97"/>
        <v>Obese</v>
      </c>
    </row>
    <row r="2087" spans="1:15" x14ac:dyDescent="0.3">
      <c r="A2087">
        <v>15873</v>
      </c>
      <c r="B2087" t="s">
        <v>2</v>
      </c>
      <c r="C2087">
        <v>70</v>
      </c>
      <c r="D2087">
        <v>0</v>
      </c>
      <c r="E2087">
        <v>0</v>
      </c>
      <c r="F2087" t="str">
        <f t="shared" si="98"/>
        <v>Moderate Risk</v>
      </c>
      <c r="G2087" t="s">
        <v>3</v>
      </c>
      <c r="H2087" t="s">
        <v>4</v>
      </c>
      <c r="I2087" t="s">
        <v>9</v>
      </c>
      <c r="J2087">
        <v>72.56</v>
      </c>
      <c r="K2087">
        <v>30.4</v>
      </c>
      <c r="L2087" t="s">
        <v>6</v>
      </c>
      <c r="M2087">
        <v>0</v>
      </c>
      <c r="N2087" t="str">
        <f t="shared" si="96"/>
        <v>60+</v>
      </c>
      <c r="O2087" t="str">
        <f t="shared" si="97"/>
        <v>Obese</v>
      </c>
    </row>
    <row r="2088" spans="1:15" x14ac:dyDescent="0.3">
      <c r="A2088">
        <v>15415</v>
      </c>
      <c r="B2088" t="s">
        <v>2</v>
      </c>
      <c r="C2088">
        <v>41</v>
      </c>
      <c r="D2088">
        <v>1</v>
      </c>
      <c r="E2088">
        <v>1</v>
      </c>
      <c r="F2088" t="str">
        <f t="shared" si="98"/>
        <v>Lower Risk</v>
      </c>
      <c r="G2088" t="s">
        <v>3</v>
      </c>
      <c r="H2088" t="s">
        <v>4</v>
      </c>
      <c r="I2088" t="s">
        <v>5</v>
      </c>
      <c r="J2088">
        <v>94.47</v>
      </c>
      <c r="K2088">
        <v>43.9</v>
      </c>
      <c r="L2088" t="s">
        <v>11</v>
      </c>
      <c r="M2088">
        <v>0</v>
      </c>
      <c r="N2088" t="str">
        <f t="shared" si="96"/>
        <v>40–59</v>
      </c>
      <c r="O2088" t="str">
        <f t="shared" si="97"/>
        <v>Obese</v>
      </c>
    </row>
    <row r="2089" spans="1:15" x14ac:dyDescent="0.3">
      <c r="A2089">
        <v>22891</v>
      </c>
      <c r="B2089" t="s">
        <v>7</v>
      </c>
      <c r="C2089">
        <v>42</v>
      </c>
      <c r="D2089">
        <v>0</v>
      </c>
      <c r="E2089">
        <v>0</v>
      </c>
      <c r="F2089" t="str">
        <f t="shared" si="98"/>
        <v>Lower Risk</v>
      </c>
      <c r="G2089" t="s">
        <v>3</v>
      </c>
      <c r="H2089" t="s">
        <v>8</v>
      </c>
      <c r="I2089" t="s">
        <v>5</v>
      </c>
      <c r="J2089">
        <v>98.76</v>
      </c>
      <c r="K2089">
        <v>26.4</v>
      </c>
      <c r="L2089" t="s">
        <v>12</v>
      </c>
      <c r="M2089">
        <v>0</v>
      </c>
      <c r="N2089" t="str">
        <f t="shared" si="96"/>
        <v>40–59</v>
      </c>
      <c r="O2089" t="str">
        <f t="shared" si="97"/>
        <v>Overweight</v>
      </c>
    </row>
    <row r="2090" spans="1:15" x14ac:dyDescent="0.3">
      <c r="A2090">
        <v>7394</v>
      </c>
      <c r="B2090" t="s">
        <v>7</v>
      </c>
      <c r="C2090">
        <v>57</v>
      </c>
      <c r="D2090">
        <v>1</v>
      </c>
      <c r="E2090">
        <v>0</v>
      </c>
      <c r="F2090" t="str">
        <f t="shared" si="98"/>
        <v>Lower Risk</v>
      </c>
      <c r="G2090" t="s">
        <v>13</v>
      </c>
      <c r="H2090" t="s">
        <v>4</v>
      </c>
      <c r="I2090" t="s">
        <v>9</v>
      </c>
      <c r="J2090">
        <v>116.93</v>
      </c>
      <c r="K2090">
        <v>28.3</v>
      </c>
      <c r="L2090" t="s">
        <v>11</v>
      </c>
      <c r="M2090">
        <v>0</v>
      </c>
      <c r="N2090" t="str">
        <f t="shared" si="96"/>
        <v>40–59</v>
      </c>
      <c r="O2090" t="str">
        <f t="shared" si="97"/>
        <v>Overweight</v>
      </c>
    </row>
    <row r="2091" spans="1:15" x14ac:dyDescent="0.3">
      <c r="A2091">
        <v>29915</v>
      </c>
      <c r="B2091" t="s">
        <v>7</v>
      </c>
      <c r="C2091">
        <v>51</v>
      </c>
      <c r="D2091">
        <v>0</v>
      </c>
      <c r="E2091">
        <v>0</v>
      </c>
      <c r="F2091" t="str">
        <f t="shared" si="98"/>
        <v>Lower Risk</v>
      </c>
      <c r="G2091" t="s">
        <v>13</v>
      </c>
      <c r="H2091" t="s">
        <v>4</v>
      </c>
      <c r="I2091" t="s">
        <v>9</v>
      </c>
      <c r="J2091">
        <v>219.96</v>
      </c>
      <c r="K2091">
        <v>42.3</v>
      </c>
      <c r="L2091" t="s">
        <v>11</v>
      </c>
      <c r="M2091">
        <v>0</v>
      </c>
      <c r="N2091" t="str">
        <f t="shared" si="96"/>
        <v>40–59</v>
      </c>
      <c r="O2091" t="str">
        <f t="shared" si="97"/>
        <v>Obese</v>
      </c>
    </row>
    <row r="2092" spans="1:15" x14ac:dyDescent="0.3">
      <c r="A2092">
        <v>62607</v>
      </c>
      <c r="B2092" t="s">
        <v>2</v>
      </c>
      <c r="C2092">
        <v>15</v>
      </c>
      <c r="D2092">
        <v>0</v>
      </c>
      <c r="E2092">
        <v>0</v>
      </c>
      <c r="F2092" t="str">
        <f t="shared" si="98"/>
        <v>Lower Risk</v>
      </c>
      <c r="G2092" t="s">
        <v>13</v>
      </c>
      <c r="H2092" t="s">
        <v>4</v>
      </c>
      <c r="I2092" t="s">
        <v>5</v>
      </c>
      <c r="J2092">
        <v>75.77</v>
      </c>
      <c r="K2092">
        <v>38</v>
      </c>
      <c r="L2092" t="s">
        <v>11</v>
      </c>
      <c r="M2092">
        <v>0</v>
      </c>
      <c r="N2092" t="str">
        <f t="shared" si="96"/>
        <v>Under 40</v>
      </c>
      <c r="O2092" t="str">
        <f t="shared" si="97"/>
        <v>Obese</v>
      </c>
    </row>
    <row r="2093" spans="1:15" x14ac:dyDescent="0.3">
      <c r="A2093">
        <v>24404</v>
      </c>
      <c r="B2093" t="s">
        <v>2</v>
      </c>
      <c r="C2093">
        <v>11</v>
      </c>
      <c r="D2093">
        <v>0</v>
      </c>
      <c r="E2093">
        <v>0</v>
      </c>
      <c r="F2093" t="str">
        <f t="shared" si="98"/>
        <v>Lower Risk</v>
      </c>
      <c r="G2093" t="s">
        <v>13</v>
      </c>
      <c r="H2093" t="s">
        <v>16</v>
      </c>
      <c r="I2093" t="s">
        <v>5</v>
      </c>
      <c r="J2093">
        <v>124.35</v>
      </c>
      <c r="K2093">
        <v>32.700000000000003</v>
      </c>
      <c r="L2093" t="s">
        <v>14</v>
      </c>
      <c r="M2093">
        <v>0</v>
      </c>
      <c r="N2093" t="str">
        <f t="shared" si="96"/>
        <v>Under 40</v>
      </c>
      <c r="O2093" t="str">
        <f t="shared" si="97"/>
        <v>Obese</v>
      </c>
    </row>
    <row r="2094" spans="1:15" x14ac:dyDescent="0.3">
      <c r="A2094">
        <v>69666</v>
      </c>
      <c r="B2094" t="s">
        <v>7</v>
      </c>
      <c r="C2094">
        <v>27</v>
      </c>
      <c r="D2094">
        <v>0</v>
      </c>
      <c r="E2094">
        <v>0</v>
      </c>
      <c r="F2094" t="str">
        <f t="shared" si="98"/>
        <v>Lower Risk</v>
      </c>
      <c r="G2094" t="s">
        <v>3</v>
      </c>
      <c r="H2094" t="s">
        <v>8</v>
      </c>
      <c r="I2094" t="s">
        <v>5</v>
      </c>
      <c r="J2094">
        <v>88.97</v>
      </c>
      <c r="K2094">
        <v>28.8</v>
      </c>
      <c r="L2094" t="s">
        <v>11</v>
      </c>
      <c r="M2094">
        <v>0</v>
      </c>
      <c r="N2094" t="str">
        <f t="shared" si="96"/>
        <v>Under 40</v>
      </c>
      <c r="O2094" t="str">
        <f t="shared" si="97"/>
        <v>Overweight</v>
      </c>
    </row>
    <row r="2095" spans="1:15" x14ac:dyDescent="0.3">
      <c r="A2095">
        <v>54997</v>
      </c>
      <c r="B2095" t="s">
        <v>7</v>
      </c>
      <c r="C2095">
        <v>53</v>
      </c>
      <c r="D2095">
        <v>0</v>
      </c>
      <c r="E2095">
        <v>0</v>
      </c>
      <c r="F2095" t="str">
        <f t="shared" si="98"/>
        <v>Lower Risk</v>
      </c>
      <c r="G2095" t="s">
        <v>3</v>
      </c>
      <c r="H2095" t="s">
        <v>8</v>
      </c>
      <c r="I2095" t="s">
        <v>9</v>
      </c>
      <c r="J2095">
        <v>72.489999999999995</v>
      </c>
      <c r="K2095">
        <v>38.5</v>
      </c>
      <c r="L2095" t="s">
        <v>11</v>
      </c>
      <c r="M2095">
        <v>0</v>
      </c>
      <c r="N2095" t="str">
        <f t="shared" si="96"/>
        <v>40–59</v>
      </c>
      <c r="O2095" t="str">
        <f t="shared" si="97"/>
        <v>Obese</v>
      </c>
    </row>
    <row r="2096" spans="1:15" x14ac:dyDescent="0.3">
      <c r="A2096">
        <v>6199</v>
      </c>
      <c r="B2096" t="s">
        <v>7</v>
      </c>
      <c r="C2096">
        <v>52</v>
      </c>
      <c r="D2096">
        <v>0</v>
      </c>
      <c r="E2096">
        <v>0</v>
      </c>
      <c r="F2096" t="str">
        <f t="shared" si="98"/>
        <v>Lower Risk</v>
      </c>
      <c r="G2096" t="s">
        <v>3</v>
      </c>
      <c r="H2096" t="s">
        <v>15</v>
      </c>
      <c r="I2096" t="s">
        <v>9</v>
      </c>
      <c r="J2096">
        <v>107.27</v>
      </c>
      <c r="K2096">
        <v>30.1</v>
      </c>
      <c r="L2096" t="s">
        <v>14</v>
      </c>
      <c r="M2096">
        <v>0</v>
      </c>
      <c r="N2096" t="str">
        <f t="shared" si="96"/>
        <v>40–59</v>
      </c>
      <c r="O2096" t="str">
        <f t="shared" si="97"/>
        <v>Obese</v>
      </c>
    </row>
    <row r="2097" spans="1:15" x14ac:dyDescent="0.3">
      <c r="A2097">
        <v>4635</v>
      </c>
      <c r="B2097" t="s">
        <v>7</v>
      </c>
      <c r="C2097">
        <v>68</v>
      </c>
      <c r="D2097">
        <v>0</v>
      </c>
      <c r="E2097">
        <v>0</v>
      </c>
      <c r="F2097" t="str">
        <f t="shared" si="98"/>
        <v>Moderate Risk</v>
      </c>
      <c r="G2097" t="s">
        <v>3</v>
      </c>
      <c r="H2097" t="s">
        <v>4</v>
      </c>
      <c r="I2097" t="s">
        <v>9</v>
      </c>
      <c r="J2097">
        <v>97.96</v>
      </c>
      <c r="K2097">
        <v>31.3</v>
      </c>
      <c r="L2097" t="s">
        <v>11</v>
      </c>
      <c r="M2097">
        <v>0</v>
      </c>
      <c r="N2097" t="str">
        <f t="shared" si="96"/>
        <v>60+</v>
      </c>
      <c r="O2097" t="str">
        <f t="shared" si="97"/>
        <v>Obese</v>
      </c>
    </row>
    <row r="2098" spans="1:15" x14ac:dyDescent="0.3">
      <c r="A2098">
        <v>3305</v>
      </c>
      <c r="B2098" t="s">
        <v>2</v>
      </c>
      <c r="C2098">
        <v>65</v>
      </c>
      <c r="D2098">
        <v>0</v>
      </c>
      <c r="E2098">
        <v>0</v>
      </c>
      <c r="F2098" t="str">
        <f t="shared" si="98"/>
        <v>Moderate Risk</v>
      </c>
      <c r="G2098" t="s">
        <v>3</v>
      </c>
      <c r="H2098" t="s">
        <v>4</v>
      </c>
      <c r="I2098" t="s">
        <v>5</v>
      </c>
      <c r="J2098">
        <v>197.69</v>
      </c>
      <c r="K2098">
        <v>28.4</v>
      </c>
      <c r="L2098" t="s">
        <v>12</v>
      </c>
      <c r="M2098">
        <v>0</v>
      </c>
      <c r="N2098" t="str">
        <f t="shared" si="96"/>
        <v>60+</v>
      </c>
      <c r="O2098" t="str">
        <f t="shared" si="97"/>
        <v>Overweight</v>
      </c>
    </row>
    <row r="2099" spans="1:15" x14ac:dyDescent="0.3">
      <c r="A2099">
        <v>24342</v>
      </c>
      <c r="B2099" t="s">
        <v>7</v>
      </c>
      <c r="C2099">
        <v>23</v>
      </c>
      <c r="D2099">
        <v>0</v>
      </c>
      <c r="E2099">
        <v>0</v>
      </c>
      <c r="F2099" t="str">
        <f t="shared" si="98"/>
        <v>Lower Risk</v>
      </c>
      <c r="G2099" t="s">
        <v>13</v>
      </c>
      <c r="H2099" t="s">
        <v>4</v>
      </c>
      <c r="I2099" t="s">
        <v>9</v>
      </c>
      <c r="J2099">
        <v>112.3</v>
      </c>
      <c r="K2099">
        <v>26.6</v>
      </c>
      <c r="L2099" t="s">
        <v>14</v>
      </c>
      <c r="M2099">
        <v>0</v>
      </c>
      <c r="N2099" t="str">
        <f t="shared" si="96"/>
        <v>Under 40</v>
      </c>
      <c r="O2099" t="str">
        <f t="shared" si="97"/>
        <v>Overweight</v>
      </c>
    </row>
    <row r="2100" spans="1:15" x14ac:dyDescent="0.3">
      <c r="A2100">
        <v>65093</v>
      </c>
      <c r="B2100" t="s">
        <v>7</v>
      </c>
      <c r="C2100">
        <v>43</v>
      </c>
      <c r="D2100">
        <v>0</v>
      </c>
      <c r="E2100">
        <v>0</v>
      </c>
      <c r="F2100" t="str">
        <f t="shared" si="98"/>
        <v>Lower Risk</v>
      </c>
      <c r="G2100" t="s">
        <v>3</v>
      </c>
      <c r="H2100" t="s">
        <v>8</v>
      </c>
      <c r="I2100" t="s">
        <v>5</v>
      </c>
      <c r="J2100">
        <v>75.77</v>
      </c>
      <c r="K2100">
        <v>20.399999999999999</v>
      </c>
      <c r="L2100" t="s">
        <v>6</v>
      </c>
      <c r="M2100">
        <v>0</v>
      </c>
      <c r="N2100" t="str">
        <f t="shared" si="96"/>
        <v>40–59</v>
      </c>
      <c r="O2100" t="str">
        <f t="shared" si="97"/>
        <v>Normal</v>
      </c>
    </row>
    <row r="2101" spans="1:15" x14ac:dyDescent="0.3">
      <c r="A2101">
        <v>46261</v>
      </c>
      <c r="B2101" t="s">
        <v>2</v>
      </c>
      <c r="C2101">
        <v>55</v>
      </c>
      <c r="D2101">
        <v>0</v>
      </c>
      <c r="E2101">
        <v>0</v>
      </c>
      <c r="F2101" t="str">
        <f t="shared" si="98"/>
        <v>Lower Risk</v>
      </c>
      <c r="G2101" t="s">
        <v>3</v>
      </c>
      <c r="H2101" t="s">
        <v>4</v>
      </c>
      <c r="I2101" t="s">
        <v>5</v>
      </c>
      <c r="J2101">
        <v>76.510000000000005</v>
      </c>
      <c r="K2101">
        <v>34.700000000000003</v>
      </c>
      <c r="L2101" t="s">
        <v>14</v>
      </c>
      <c r="M2101">
        <v>0</v>
      </c>
      <c r="N2101" t="str">
        <f t="shared" si="96"/>
        <v>40–59</v>
      </c>
      <c r="O2101" t="str">
        <f t="shared" si="97"/>
        <v>Obese</v>
      </c>
    </row>
    <row r="2102" spans="1:15" x14ac:dyDescent="0.3">
      <c r="A2102">
        <v>42624</v>
      </c>
      <c r="B2102" t="s">
        <v>7</v>
      </c>
      <c r="C2102">
        <v>52</v>
      </c>
      <c r="D2102">
        <v>0</v>
      </c>
      <c r="E2102">
        <v>0</v>
      </c>
      <c r="F2102" t="str">
        <f t="shared" si="98"/>
        <v>Lower Risk</v>
      </c>
      <c r="G2102" t="s">
        <v>3</v>
      </c>
      <c r="H2102" t="s">
        <v>4</v>
      </c>
      <c r="I2102" t="s">
        <v>5</v>
      </c>
      <c r="J2102">
        <v>93.14</v>
      </c>
      <c r="K2102">
        <v>32.5</v>
      </c>
      <c r="L2102" t="s">
        <v>11</v>
      </c>
      <c r="M2102">
        <v>0</v>
      </c>
      <c r="N2102" t="str">
        <f t="shared" si="96"/>
        <v>40–59</v>
      </c>
      <c r="O2102" t="str">
        <f t="shared" si="97"/>
        <v>Obese</v>
      </c>
    </row>
    <row r="2103" spans="1:15" x14ac:dyDescent="0.3">
      <c r="A2103">
        <v>24735</v>
      </c>
      <c r="B2103" t="s">
        <v>7</v>
      </c>
      <c r="C2103">
        <v>21</v>
      </c>
      <c r="D2103">
        <v>0</v>
      </c>
      <c r="E2103">
        <v>0</v>
      </c>
      <c r="F2103" t="str">
        <f t="shared" si="98"/>
        <v>Lower Risk</v>
      </c>
      <c r="G2103" t="s">
        <v>13</v>
      </c>
      <c r="H2103" t="s">
        <v>4</v>
      </c>
      <c r="I2103" t="s">
        <v>9</v>
      </c>
      <c r="J2103">
        <v>80.84</v>
      </c>
      <c r="K2103">
        <v>30.7</v>
      </c>
      <c r="L2103" t="s">
        <v>14</v>
      </c>
      <c r="M2103">
        <v>0</v>
      </c>
      <c r="N2103" t="str">
        <f t="shared" si="96"/>
        <v>Under 40</v>
      </c>
      <c r="O2103" t="str">
        <f t="shared" si="97"/>
        <v>Obese</v>
      </c>
    </row>
    <row r="2104" spans="1:15" x14ac:dyDescent="0.3">
      <c r="A2104">
        <v>50671</v>
      </c>
      <c r="B2104" t="s">
        <v>2</v>
      </c>
      <c r="C2104">
        <v>78</v>
      </c>
      <c r="D2104">
        <v>1</v>
      </c>
      <c r="E2104">
        <v>1</v>
      </c>
      <c r="F2104" t="str">
        <f t="shared" si="98"/>
        <v>High Risk</v>
      </c>
      <c r="G2104" t="s">
        <v>3</v>
      </c>
      <c r="H2104" t="s">
        <v>8</v>
      </c>
      <c r="I2104" t="s">
        <v>9</v>
      </c>
      <c r="J2104">
        <v>199.88</v>
      </c>
      <c r="K2104">
        <v>29.6</v>
      </c>
      <c r="L2104" t="s">
        <v>6</v>
      </c>
      <c r="M2104">
        <v>0</v>
      </c>
      <c r="N2104" t="str">
        <f t="shared" si="96"/>
        <v>60+</v>
      </c>
      <c r="O2104" t="str">
        <f t="shared" si="97"/>
        <v>Overweight</v>
      </c>
    </row>
    <row r="2105" spans="1:15" x14ac:dyDescent="0.3">
      <c r="A2105">
        <v>1679</v>
      </c>
      <c r="B2105" t="s">
        <v>2</v>
      </c>
      <c r="C2105">
        <v>35</v>
      </c>
      <c r="D2105">
        <v>0</v>
      </c>
      <c r="E2105">
        <v>0</v>
      </c>
      <c r="F2105" t="str">
        <f t="shared" si="98"/>
        <v>Lower Risk</v>
      </c>
      <c r="G2105" t="s">
        <v>3</v>
      </c>
      <c r="H2105" t="s">
        <v>4</v>
      </c>
      <c r="I2105" t="s">
        <v>9</v>
      </c>
      <c r="J2105">
        <v>77.48</v>
      </c>
      <c r="K2105" t="s">
        <v>10</v>
      </c>
      <c r="L2105" t="s">
        <v>6</v>
      </c>
      <c r="M2105">
        <v>0</v>
      </c>
      <c r="N2105" t="str">
        <f t="shared" si="96"/>
        <v>Under 40</v>
      </c>
      <c r="O2105" t="str">
        <f t="shared" si="97"/>
        <v>Unknown</v>
      </c>
    </row>
    <row r="2106" spans="1:15" x14ac:dyDescent="0.3">
      <c r="A2106">
        <v>66680</v>
      </c>
      <c r="B2106" t="s">
        <v>7</v>
      </c>
      <c r="C2106">
        <v>49</v>
      </c>
      <c r="D2106">
        <v>1</v>
      </c>
      <c r="E2106">
        <v>0</v>
      </c>
      <c r="F2106" t="str">
        <f t="shared" si="98"/>
        <v>Lower Risk</v>
      </c>
      <c r="G2106" t="s">
        <v>3</v>
      </c>
      <c r="H2106" t="s">
        <v>4</v>
      </c>
      <c r="I2106" t="s">
        <v>9</v>
      </c>
      <c r="J2106">
        <v>65.34</v>
      </c>
      <c r="K2106">
        <v>39.4</v>
      </c>
      <c r="L2106" t="s">
        <v>11</v>
      </c>
      <c r="M2106">
        <v>0</v>
      </c>
      <c r="N2106" t="str">
        <f t="shared" si="96"/>
        <v>40–59</v>
      </c>
      <c r="O2106" t="str">
        <f t="shared" si="97"/>
        <v>Obese</v>
      </c>
    </row>
    <row r="2107" spans="1:15" x14ac:dyDescent="0.3">
      <c r="A2107">
        <v>34248</v>
      </c>
      <c r="B2107" t="s">
        <v>2</v>
      </c>
      <c r="C2107">
        <v>50</v>
      </c>
      <c r="D2107">
        <v>1</v>
      </c>
      <c r="E2107">
        <v>0</v>
      </c>
      <c r="F2107" t="str">
        <f t="shared" si="98"/>
        <v>Lower Risk</v>
      </c>
      <c r="G2107" t="s">
        <v>13</v>
      </c>
      <c r="H2107" t="s">
        <v>4</v>
      </c>
      <c r="I2107" t="s">
        <v>5</v>
      </c>
      <c r="J2107">
        <v>81.96</v>
      </c>
      <c r="K2107" t="s">
        <v>10</v>
      </c>
      <c r="L2107" t="s">
        <v>6</v>
      </c>
      <c r="M2107">
        <v>0</v>
      </c>
      <c r="N2107" t="str">
        <f t="shared" si="96"/>
        <v>40–59</v>
      </c>
      <c r="O2107" t="str">
        <f t="shared" si="97"/>
        <v>Unknown</v>
      </c>
    </row>
    <row r="2108" spans="1:15" x14ac:dyDescent="0.3">
      <c r="A2108">
        <v>65336</v>
      </c>
      <c r="B2108" t="s">
        <v>7</v>
      </c>
      <c r="C2108">
        <v>27</v>
      </c>
      <c r="D2108">
        <v>0</v>
      </c>
      <c r="E2108">
        <v>0</v>
      </c>
      <c r="F2108" t="str">
        <f t="shared" si="98"/>
        <v>Lower Risk</v>
      </c>
      <c r="G2108" t="s">
        <v>3</v>
      </c>
      <c r="H2108" t="s">
        <v>4</v>
      </c>
      <c r="I2108" t="s">
        <v>5</v>
      </c>
      <c r="J2108">
        <v>98.71</v>
      </c>
      <c r="K2108">
        <v>26.1</v>
      </c>
      <c r="L2108" t="s">
        <v>6</v>
      </c>
      <c r="M2108">
        <v>0</v>
      </c>
      <c r="N2108" t="str">
        <f t="shared" si="96"/>
        <v>Under 40</v>
      </c>
      <c r="O2108" t="str">
        <f t="shared" si="97"/>
        <v>Overweight</v>
      </c>
    </row>
    <row r="2109" spans="1:15" x14ac:dyDescent="0.3">
      <c r="A2109">
        <v>68333</v>
      </c>
      <c r="B2109" t="s">
        <v>7</v>
      </c>
      <c r="C2109">
        <v>52</v>
      </c>
      <c r="D2109">
        <v>1</v>
      </c>
      <c r="E2109">
        <v>0</v>
      </c>
      <c r="F2109" t="str">
        <f t="shared" si="98"/>
        <v>Lower Risk</v>
      </c>
      <c r="G2109" t="s">
        <v>13</v>
      </c>
      <c r="H2109" t="s">
        <v>4</v>
      </c>
      <c r="I2109" t="s">
        <v>9</v>
      </c>
      <c r="J2109">
        <v>170.22</v>
      </c>
      <c r="K2109">
        <v>27.2</v>
      </c>
      <c r="L2109" t="s">
        <v>6</v>
      </c>
      <c r="M2109">
        <v>0</v>
      </c>
      <c r="N2109" t="str">
        <f t="shared" si="96"/>
        <v>40–59</v>
      </c>
      <c r="O2109" t="str">
        <f t="shared" si="97"/>
        <v>Overweight</v>
      </c>
    </row>
    <row r="2110" spans="1:15" x14ac:dyDescent="0.3">
      <c r="A2110">
        <v>60210</v>
      </c>
      <c r="B2110" t="s">
        <v>7</v>
      </c>
      <c r="C2110">
        <v>22</v>
      </c>
      <c r="D2110">
        <v>0</v>
      </c>
      <c r="E2110">
        <v>0</v>
      </c>
      <c r="F2110" t="str">
        <f t="shared" si="98"/>
        <v>Lower Risk</v>
      </c>
      <c r="G2110" t="s">
        <v>13</v>
      </c>
      <c r="H2110" t="s">
        <v>4</v>
      </c>
      <c r="I2110" t="s">
        <v>5</v>
      </c>
      <c r="J2110">
        <v>73.5</v>
      </c>
      <c r="K2110">
        <v>41.3</v>
      </c>
      <c r="L2110" t="s">
        <v>12</v>
      </c>
      <c r="M2110">
        <v>0</v>
      </c>
      <c r="N2110" t="str">
        <f t="shared" si="96"/>
        <v>Under 40</v>
      </c>
      <c r="O2110" t="str">
        <f t="shared" si="97"/>
        <v>Obese</v>
      </c>
    </row>
    <row r="2111" spans="1:15" x14ac:dyDescent="0.3">
      <c r="A2111">
        <v>11573</v>
      </c>
      <c r="B2111" t="s">
        <v>7</v>
      </c>
      <c r="C2111">
        <v>19</v>
      </c>
      <c r="D2111">
        <v>0</v>
      </c>
      <c r="E2111">
        <v>0</v>
      </c>
      <c r="F2111" t="str">
        <f t="shared" si="98"/>
        <v>Lower Risk</v>
      </c>
      <c r="G2111" t="s">
        <v>13</v>
      </c>
      <c r="H2111" t="s">
        <v>4</v>
      </c>
      <c r="I2111" t="s">
        <v>9</v>
      </c>
      <c r="J2111">
        <v>72.39</v>
      </c>
      <c r="K2111" t="s">
        <v>10</v>
      </c>
      <c r="L2111" t="s">
        <v>12</v>
      </c>
      <c r="M2111">
        <v>0</v>
      </c>
      <c r="N2111" t="str">
        <f t="shared" si="96"/>
        <v>Under 40</v>
      </c>
      <c r="O2111" t="str">
        <f t="shared" si="97"/>
        <v>Unknown</v>
      </c>
    </row>
    <row r="2112" spans="1:15" x14ac:dyDescent="0.3">
      <c r="A2112">
        <v>67890</v>
      </c>
      <c r="B2112" t="s">
        <v>2</v>
      </c>
      <c r="C2112">
        <v>77</v>
      </c>
      <c r="D2112">
        <v>0</v>
      </c>
      <c r="E2112">
        <v>1</v>
      </c>
      <c r="F2112" t="str">
        <f t="shared" si="98"/>
        <v>High Risk</v>
      </c>
      <c r="G2112" t="s">
        <v>3</v>
      </c>
      <c r="H2112" t="s">
        <v>4</v>
      </c>
      <c r="I2112" t="s">
        <v>5</v>
      </c>
      <c r="J2112">
        <v>102.96</v>
      </c>
      <c r="K2112">
        <v>20.9</v>
      </c>
      <c r="L2112" t="s">
        <v>6</v>
      </c>
      <c r="M2112">
        <v>0</v>
      </c>
      <c r="N2112" t="str">
        <f t="shared" si="96"/>
        <v>60+</v>
      </c>
      <c r="O2112" t="str">
        <f t="shared" si="97"/>
        <v>Normal</v>
      </c>
    </row>
    <row r="2113" spans="1:15" x14ac:dyDescent="0.3">
      <c r="A2113">
        <v>49254</v>
      </c>
      <c r="B2113" t="s">
        <v>2</v>
      </c>
      <c r="C2113">
        <v>57</v>
      </c>
      <c r="D2113">
        <v>1</v>
      </c>
      <c r="E2113">
        <v>0</v>
      </c>
      <c r="F2113" t="str">
        <f t="shared" si="98"/>
        <v>Lower Risk</v>
      </c>
      <c r="G2113" t="s">
        <v>3</v>
      </c>
      <c r="H2113" t="s">
        <v>4</v>
      </c>
      <c r="I2113" t="s">
        <v>5</v>
      </c>
      <c r="J2113">
        <v>80.72</v>
      </c>
      <c r="K2113">
        <v>41.5</v>
      </c>
      <c r="L2113" t="s">
        <v>6</v>
      </c>
      <c r="M2113">
        <v>0</v>
      </c>
      <c r="N2113" t="str">
        <f t="shared" si="96"/>
        <v>40–59</v>
      </c>
      <c r="O2113" t="str">
        <f t="shared" si="97"/>
        <v>Obese</v>
      </c>
    </row>
    <row r="2114" spans="1:15" x14ac:dyDescent="0.3">
      <c r="A2114">
        <v>9199</v>
      </c>
      <c r="B2114" t="s">
        <v>2</v>
      </c>
      <c r="C2114">
        <v>13</v>
      </c>
      <c r="D2114">
        <v>0</v>
      </c>
      <c r="E2114">
        <v>0</v>
      </c>
      <c r="F2114" t="str">
        <f t="shared" si="98"/>
        <v>Lower Risk</v>
      </c>
      <c r="G2114" t="s">
        <v>13</v>
      </c>
      <c r="H2114" t="s">
        <v>8</v>
      </c>
      <c r="I2114" t="s">
        <v>5</v>
      </c>
      <c r="J2114">
        <v>74.19</v>
      </c>
      <c r="K2114">
        <v>31.1</v>
      </c>
      <c r="L2114" t="s">
        <v>6</v>
      </c>
      <c r="M2114">
        <v>0</v>
      </c>
      <c r="N2114" t="str">
        <f t="shared" ref="N2114:N2177" si="99">IF(C2114&lt;40,"Under 40",IF(C2114&lt;60,"40–59","60+"))</f>
        <v>Under 40</v>
      </c>
      <c r="O2114" t="str">
        <f t="shared" ref="O2114:O2177" si="100">IF(K2114="N/A","Unknown",
IF(K2114="","Unknown",
IF(K2114&lt;18.5,"Underweight",
IF(K2114&lt;25,"Normal",
IF(K2114&lt;30,"Overweight","Obese")))))</f>
        <v>Obese</v>
      </c>
    </row>
    <row r="2115" spans="1:15" x14ac:dyDescent="0.3">
      <c r="A2115">
        <v>35402</v>
      </c>
      <c r="B2115" t="s">
        <v>2</v>
      </c>
      <c r="C2115">
        <v>14</v>
      </c>
      <c r="D2115">
        <v>0</v>
      </c>
      <c r="E2115">
        <v>0</v>
      </c>
      <c r="F2115" t="str">
        <f t="shared" ref="F2115:F2178" si="101">IF(C2115&gt;=60,
IF(OR(D2115=1,E2115=1),"High Risk","Moderate Risk"),
"Lower Risk")</f>
        <v>Lower Risk</v>
      </c>
      <c r="G2115" t="s">
        <v>13</v>
      </c>
      <c r="H2115" t="s">
        <v>4</v>
      </c>
      <c r="I2115" t="s">
        <v>5</v>
      </c>
      <c r="J2115">
        <v>77.12</v>
      </c>
      <c r="K2115">
        <v>24.5</v>
      </c>
      <c r="L2115" t="s">
        <v>6</v>
      </c>
      <c r="M2115">
        <v>0</v>
      </c>
      <c r="N2115" t="str">
        <f t="shared" si="99"/>
        <v>Under 40</v>
      </c>
      <c r="O2115" t="str">
        <f t="shared" si="100"/>
        <v>Normal</v>
      </c>
    </row>
    <row r="2116" spans="1:15" x14ac:dyDescent="0.3">
      <c r="A2116">
        <v>25996</v>
      </c>
      <c r="B2116" t="s">
        <v>7</v>
      </c>
      <c r="C2116">
        <v>29</v>
      </c>
      <c r="D2116">
        <v>0</v>
      </c>
      <c r="E2116">
        <v>0</v>
      </c>
      <c r="F2116" t="str">
        <f t="shared" si="101"/>
        <v>Lower Risk</v>
      </c>
      <c r="G2116" t="s">
        <v>3</v>
      </c>
      <c r="H2116" t="s">
        <v>4</v>
      </c>
      <c r="I2116" t="s">
        <v>5</v>
      </c>
      <c r="J2116">
        <v>81.2</v>
      </c>
      <c r="K2116">
        <v>23</v>
      </c>
      <c r="L2116" t="s">
        <v>14</v>
      </c>
      <c r="M2116">
        <v>0</v>
      </c>
      <c r="N2116" t="str">
        <f t="shared" si="99"/>
        <v>Under 40</v>
      </c>
      <c r="O2116" t="str">
        <f t="shared" si="100"/>
        <v>Normal</v>
      </c>
    </row>
    <row r="2117" spans="1:15" x14ac:dyDescent="0.3">
      <c r="A2117">
        <v>8345</v>
      </c>
      <c r="B2117" t="s">
        <v>7</v>
      </c>
      <c r="C2117">
        <v>49</v>
      </c>
      <c r="D2117">
        <v>0</v>
      </c>
      <c r="E2117">
        <v>0</v>
      </c>
      <c r="F2117" t="str">
        <f t="shared" si="101"/>
        <v>Lower Risk</v>
      </c>
      <c r="G2117" t="s">
        <v>3</v>
      </c>
      <c r="H2117" t="s">
        <v>4</v>
      </c>
      <c r="I2117" t="s">
        <v>9</v>
      </c>
      <c r="J2117">
        <v>114.76</v>
      </c>
      <c r="K2117">
        <v>24.7</v>
      </c>
      <c r="L2117" t="s">
        <v>11</v>
      </c>
      <c r="M2117">
        <v>0</v>
      </c>
      <c r="N2117" t="str">
        <f t="shared" si="99"/>
        <v>40–59</v>
      </c>
      <c r="O2117" t="str">
        <f t="shared" si="100"/>
        <v>Normal</v>
      </c>
    </row>
    <row r="2118" spans="1:15" x14ac:dyDescent="0.3">
      <c r="A2118">
        <v>63219</v>
      </c>
      <c r="B2118" t="s">
        <v>2</v>
      </c>
      <c r="C2118">
        <v>1.24</v>
      </c>
      <c r="D2118">
        <v>0</v>
      </c>
      <c r="E2118">
        <v>0</v>
      </c>
      <c r="F2118" t="str">
        <f t="shared" si="101"/>
        <v>Lower Risk</v>
      </c>
      <c r="G2118" t="s">
        <v>13</v>
      </c>
      <c r="H2118" t="s">
        <v>16</v>
      </c>
      <c r="I2118" t="s">
        <v>5</v>
      </c>
      <c r="J2118">
        <v>109.97</v>
      </c>
      <c r="K2118">
        <v>19.3</v>
      </c>
      <c r="L2118" t="s">
        <v>14</v>
      </c>
      <c r="M2118">
        <v>0</v>
      </c>
      <c r="N2118" t="str">
        <f t="shared" si="99"/>
        <v>Under 40</v>
      </c>
      <c r="O2118" t="str">
        <f t="shared" si="100"/>
        <v>Normal</v>
      </c>
    </row>
    <row r="2119" spans="1:15" x14ac:dyDescent="0.3">
      <c r="A2119">
        <v>8770</v>
      </c>
      <c r="B2119" t="s">
        <v>2</v>
      </c>
      <c r="C2119">
        <v>21</v>
      </c>
      <c r="D2119">
        <v>0</v>
      </c>
      <c r="E2119">
        <v>0</v>
      </c>
      <c r="F2119" t="str">
        <f t="shared" si="101"/>
        <v>Lower Risk</v>
      </c>
      <c r="G2119" t="s">
        <v>13</v>
      </c>
      <c r="H2119" t="s">
        <v>8</v>
      </c>
      <c r="I2119" t="s">
        <v>5</v>
      </c>
      <c r="J2119">
        <v>92.87</v>
      </c>
      <c r="K2119">
        <v>37</v>
      </c>
      <c r="L2119" t="s">
        <v>11</v>
      </c>
      <c r="M2119">
        <v>0</v>
      </c>
      <c r="N2119" t="str">
        <f t="shared" si="99"/>
        <v>Under 40</v>
      </c>
      <c r="O2119" t="str">
        <f t="shared" si="100"/>
        <v>Obese</v>
      </c>
    </row>
    <row r="2120" spans="1:15" x14ac:dyDescent="0.3">
      <c r="A2120">
        <v>22370</v>
      </c>
      <c r="B2120" t="s">
        <v>2</v>
      </c>
      <c r="C2120">
        <v>36</v>
      </c>
      <c r="D2120">
        <v>1</v>
      </c>
      <c r="E2120">
        <v>0</v>
      </c>
      <c r="F2120" t="str">
        <f t="shared" si="101"/>
        <v>Lower Risk</v>
      </c>
      <c r="G2120" t="s">
        <v>13</v>
      </c>
      <c r="H2120" t="s">
        <v>15</v>
      </c>
      <c r="I2120" t="s">
        <v>5</v>
      </c>
      <c r="J2120">
        <v>113.05</v>
      </c>
      <c r="K2120">
        <v>31</v>
      </c>
      <c r="L2120" t="s">
        <v>12</v>
      </c>
      <c r="M2120">
        <v>0</v>
      </c>
      <c r="N2120" t="str">
        <f t="shared" si="99"/>
        <v>Under 40</v>
      </c>
      <c r="O2120" t="str">
        <f t="shared" si="100"/>
        <v>Obese</v>
      </c>
    </row>
    <row r="2121" spans="1:15" x14ac:dyDescent="0.3">
      <c r="A2121">
        <v>25930</v>
      </c>
      <c r="B2121" t="s">
        <v>2</v>
      </c>
      <c r="C2121">
        <v>42</v>
      </c>
      <c r="D2121">
        <v>0</v>
      </c>
      <c r="E2121">
        <v>0</v>
      </c>
      <c r="F2121" t="str">
        <f t="shared" si="101"/>
        <v>Lower Risk</v>
      </c>
      <c r="G2121" t="s">
        <v>3</v>
      </c>
      <c r="H2121" t="s">
        <v>4</v>
      </c>
      <c r="I2121" t="s">
        <v>5</v>
      </c>
      <c r="J2121">
        <v>68.239999999999995</v>
      </c>
      <c r="K2121">
        <v>33.1</v>
      </c>
      <c r="L2121" t="s">
        <v>6</v>
      </c>
      <c r="M2121">
        <v>0</v>
      </c>
      <c r="N2121" t="str">
        <f t="shared" si="99"/>
        <v>40–59</v>
      </c>
      <c r="O2121" t="str">
        <f t="shared" si="100"/>
        <v>Obese</v>
      </c>
    </row>
    <row r="2122" spans="1:15" x14ac:dyDescent="0.3">
      <c r="A2122">
        <v>33478</v>
      </c>
      <c r="B2122" t="s">
        <v>7</v>
      </c>
      <c r="C2122">
        <v>56</v>
      </c>
      <c r="D2122">
        <v>0</v>
      </c>
      <c r="E2122">
        <v>0</v>
      </c>
      <c r="F2122" t="str">
        <f t="shared" si="101"/>
        <v>Lower Risk</v>
      </c>
      <c r="G2122" t="s">
        <v>13</v>
      </c>
      <c r="H2122" t="s">
        <v>4</v>
      </c>
      <c r="I2122" t="s">
        <v>9</v>
      </c>
      <c r="J2122">
        <v>74.349999999999994</v>
      </c>
      <c r="K2122">
        <v>26.6</v>
      </c>
      <c r="L2122" t="s">
        <v>12</v>
      </c>
      <c r="M2122">
        <v>0</v>
      </c>
      <c r="N2122" t="str">
        <f t="shared" si="99"/>
        <v>40–59</v>
      </c>
      <c r="O2122" t="str">
        <f t="shared" si="100"/>
        <v>Overweight</v>
      </c>
    </row>
    <row r="2123" spans="1:15" x14ac:dyDescent="0.3">
      <c r="A2123">
        <v>23009</v>
      </c>
      <c r="B2123" t="s">
        <v>2</v>
      </c>
      <c r="C2123">
        <v>46</v>
      </c>
      <c r="D2123">
        <v>0</v>
      </c>
      <c r="E2123">
        <v>0</v>
      </c>
      <c r="F2123" t="str">
        <f t="shared" si="101"/>
        <v>Lower Risk</v>
      </c>
      <c r="G2123" t="s">
        <v>3</v>
      </c>
      <c r="H2123" t="s">
        <v>4</v>
      </c>
      <c r="I2123" t="s">
        <v>5</v>
      </c>
      <c r="J2123">
        <v>91.08</v>
      </c>
      <c r="K2123">
        <v>27.7</v>
      </c>
      <c r="L2123" t="s">
        <v>11</v>
      </c>
      <c r="M2123">
        <v>0</v>
      </c>
      <c r="N2123" t="str">
        <f t="shared" si="99"/>
        <v>40–59</v>
      </c>
      <c r="O2123" t="str">
        <f t="shared" si="100"/>
        <v>Overweight</v>
      </c>
    </row>
    <row r="2124" spans="1:15" x14ac:dyDescent="0.3">
      <c r="A2124">
        <v>24885</v>
      </c>
      <c r="B2124" t="s">
        <v>2</v>
      </c>
      <c r="C2124">
        <v>79</v>
      </c>
      <c r="D2124">
        <v>0</v>
      </c>
      <c r="E2124">
        <v>1</v>
      </c>
      <c r="F2124" t="str">
        <f t="shared" si="101"/>
        <v>High Risk</v>
      </c>
      <c r="G2124" t="s">
        <v>3</v>
      </c>
      <c r="H2124" t="s">
        <v>8</v>
      </c>
      <c r="I2124" t="s">
        <v>5</v>
      </c>
      <c r="J2124">
        <v>88.83</v>
      </c>
      <c r="K2124">
        <v>40.299999999999997</v>
      </c>
      <c r="L2124" t="s">
        <v>12</v>
      </c>
      <c r="M2124">
        <v>0</v>
      </c>
      <c r="N2124" t="str">
        <f t="shared" si="99"/>
        <v>60+</v>
      </c>
      <c r="O2124" t="str">
        <f t="shared" si="100"/>
        <v>Obese</v>
      </c>
    </row>
    <row r="2125" spans="1:15" x14ac:dyDescent="0.3">
      <c r="A2125">
        <v>58591</v>
      </c>
      <c r="B2125" t="s">
        <v>7</v>
      </c>
      <c r="C2125">
        <v>25</v>
      </c>
      <c r="D2125">
        <v>0</v>
      </c>
      <c r="E2125">
        <v>0</v>
      </c>
      <c r="F2125" t="str">
        <f t="shared" si="101"/>
        <v>Lower Risk</v>
      </c>
      <c r="G2125" t="s">
        <v>13</v>
      </c>
      <c r="H2125" t="s">
        <v>4</v>
      </c>
      <c r="I2125" t="s">
        <v>9</v>
      </c>
      <c r="J2125">
        <v>134.33000000000001</v>
      </c>
      <c r="K2125">
        <v>19.5</v>
      </c>
      <c r="L2125" t="s">
        <v>14</v>
      </c>
      <c r="M2125">
        <v>0</v>
      </c>
      <c r="N2125" t="str">
        <f t="shared" si="99"/>
        <v>Under 40</v>
      </c>
      <c r="O2125" t="str">
        <f t="shared" si="100"/>
        <v>Normal</v>
      </c>
    </row>
    <row r="2126" spans="1:15" x14ac:dyDescent="0.3">
      <c r="A2126">
        <v>44777</v>
      </c>
      <c r="B2126" t="s">
        <v>2</v>
      </c>
      <c r="C2126">
        <v>67</v>
      </c>
      <c r="D2126">
        <v>0</v>
      </c>
      <c r="E2126">
        <v>0</v>
      </c>
      <c r="F2126" t="str">
        <f t="shared" si="101"/>
        <v>Moderate Risk</v>
      </c>
      <c r="G2126" t="s">
        <v>3</v>
      </c>
      <c r="H2126" t="s">
        <v>4</v>
      </c>
      <c r="I2126" t="s">
        <v>9</v>
      </c>
      <c r="J2126">
        <v>208.78</v>
      </c>
      <c r="K2126">
        <v>26.7</v>
      </c>
      <c r="L2126" t="s">
        <v>14</v>
      </c>
      <c r="M2126">
        <v>0</v>
      </c>
      <c r="N2126" t="str">
        <f t="shared" si="99"/>
        <v>60+</v>
      </c>
      <c r="O2126" t="str">
        <f t="shared" si="100"/>
        <v>Overweight</v>
      </c>
    </row>
    <row r="2127" spans="1:15" x14ac:dyDescent="0.3">
      <c r="A2127">
        <v>46363</v>
      </c>
      <c r="B2127" t="s">
        <v>2</v>
      </c>
      <c r="C2127">
        <v>37</v>
      </c>
      <c r="D2127">
        <v>0</v>
      </c>
      <c r="E2127">
        <v>0</v>
      </c>
      <c r="F2127" t="str">
        <f t="shared" si="101"/>
        <v>Lower Risk</v>
      </c>
      <c r="G2127" t="s">
        <v>3</v>
      </c>
      <c r="H2127" t="s">
        <v>4</v>
      </c>
      <c r="I2127" t="s">
        <v>9</v>
      </c>
      <c r="J2127">
        <v>66.17</v>
      </c>
      <c r="K2127">
        <v>26.1</v>
      </c>
      <c r="L2127" t="s">
        <v>11</v>
      </c>
      <c r="M2127">
        <v>0</v>
      </c>
      <c r="N2127" t="str">
        <f t="shared" si="99"/>
        <v>Under 40</v>
      </c>
      <c r="O2127" t="str">
        <f t="shared" si="100"/>
        <v>Overweight</v>
      </c>
    </row>
    <row r="2128" spans="1:15" x14ac:dyDescent="0.3">
      <c r="A2128">
        <v>36377</v>
      </c>
      <c r="B2128" t="s">
        <v>7</v>
      </c>
      <c r="C2128">
        <v>44</v>
      </c>
      <c r="D2128">
        <v>0</v>
      </c>
      <c r="E2128">
        <v>0</v>
      </c>
      <c r="F2128" t="str">
        <f t="shared" si="101"/>
        <v>Lower Risk</v>
      </c>
      <c r="G2128" t="s">
        <v>3</v>
      </c>
      <c r="H2128" t="s">
        <v>4</v>
      </c>
      <c r="I2128" t="s">
        <v>9</v>
      </c>
      <c r="J2128">
        <v>222.29</v>
      </c>
      <c r="K2128">
        <v>38.200000000000003</v>
      </c>
      <c r="L2128" t="s">
        <v>11</v>
      </c>
      <c r="M2128">
        <v>0</v>
      </c>
      <c r="N2128" t="str">
        <f t="shared" si="99"/>
        <v>40–59</v>
      </c>
      <c r="O2128" t="str">
        <f t="shared" si="100"/>
        <v>Obese</v>
      </c>
    </row>
    <row r="2129" spans="1:15" x14ac:dyDescent="0.3">
      <c r="A2129">
        <v>15440</v>
      </c>
      <c r="B2129" t="s">
        <v>7</v>
      </c>
      <c r="C2129">
        <v>36</v>
      </c>
      <c r="D2129">
        <v>0</v>
      </c>
      <c r="E2129">
        <v>0</v>
      </c>
      <c r="F2129" t="str">
        <f t="shared" si="101"/>
        <v>Lower Risk</v>
      </c>
      <c r="G2129" t="s">
        <v>3</v>
      </c>
      <c r="H2129" t="s">
        <v>4</v>
      </c>
      <c r="I2129" t="s">
        <v>9</v>
      </c>
      <c r="J2129">
        <v>114.16</v>
      </c>
      <c r="K2129">
        <v>21.3</v>
      </c>
      <c r="L2129" t="s">
        <v>12</v>
      </c>
      <c r="M2129">
        <v>0</v>
      </c>
      <c r="N2129" t="str">
        <f t="shared" si="99"/>
        <v>Under 40</v>
      </c>
      <c r="O2129" t="str">
        <f t="shared" si="100"/>
        <v>Normal</v>
      </c>
    </row>
    <row r="2130" spans="1:15" x14ac:dyDescent="0.3">
      <c r="A2130">
        <v>56420</v>
      </c>
      <c r="B2130" t="s">
        <v>2</v>
      </c>
      <c r="C2130">
        <v>17</v>
      </c>
      <c r="D2130">
        <v>1</v>
      </c>
      <c r="E2130">
        <v>0</v>
      </c>
      <c r="F2130" t="str">
        <f t="shared" si="101"/>
        <v>Lower Risk</v>
      </c>
      <c r="G2130" t="s">
        <v>13</v>
      </c>
      <c r="H2130" t="s">
        <v>4</v>
      </c>
      <c r="I2130" t="s">
        <v>9</v>
      </c>
      <c r="J2130">
        <v>61.67</v>
      </c>
      <c r="K2130">
        <v>97.6</v>
      </c>
      <c r="L2130" t="s">
        <v>14</v>
      </c>
      <c r="M2130">
        <v>0</v>
      </c>
      <c r="N2130" t="str">
        <f t="shared" si="99"/>
        <v>Under 40</v>
      </c>
      <c r="O2130" t="str">
        <f t="shared" si="100"/>
        <v>Obese</v>
      </c>
    </row>
    <row r="2131" spans="1:15" x14ac:dyDescent="0.3">
      <c r="A2131">
        <v>39531</v>
      </c>
      <c r="B2131" t="s">
        <v>2</v>
      </c>
      <c r="C2131">
        <v>50</v>
      </c>
      <c r="D2131">
        <v>1</v>
      </c>
      <c r="E2131">
        <v>0</v>
      </c>
      <c r="F2131" t="str">
        <f t="shared" si="101"/>
        <v>Lower Risk</v>
      </c>
      <c r="G2131" t="s">
        <v>3</v>
      </c>
      <c r="H2131" t="s">
        <v>4</v>
      </c>
      <c r="I2131" t="s">
        <v>9</v>
      </c>
      <c r="J2131">
        <v>220.36</v>
      </c>
      <c r="K2131">
        <v>40.9</v>
      </c>
      <c r="L2131" t="s">
        <v>6</v>
      </c>
      <c r="M2131">
        <v>0</v>
      </c>
      <c r="N2131" t="str">
        <f t="shared" si="99"/>
        <v>40–59</v>
      </c>
      <c r="O2131" t="str">
        <f t="shared" si="100"/>
        <v>Obese</v>
      </c>
    </row>
    <row r="2132" spans="1:15" x14ac:dyDescent="0.3">
      <c r="A2132">
        <v>55220</v>
      </c>
      <c r="B2132" t="s">
        <v>2</v>
      </c>
      <c r="C2132">
        <v>53</v>
      </c>
      <c r="D2132">
        <v>0</v>
      </c>
      <c r="E2132">
        <v>0</v>
      </c>
      <c r="F2132" t="str">
        <f t="shared" si="101"/>
        <v>Lower Risk</v>
      </c>
      <c r="G2132" t="s">
        <v>3</v>
      </c>
      <c r="H2132" t="s">
        <v>4</v>
      </c>
      <c r="I2132" t="s">
        <v>5</v>
      </c>
      <c r="J2132">
        <v>76.03</v>
      </c>
      <c r="K2132">
        <v>27.3</v>
      </c>
      <c r="L2132" t="s">
        <v>11</v>
      </c>
      <c r="M2132">
        <v>0</v>
      </c>
      <c r="N2132" t="str">
        <f t="shared" si="99"/>
        <v>40–59</v>
      </c>
      <c r="O2132" t="str">
        <f t="shared" si="100"/>
        <v>Overweight</v>
      </c>
    </row>
    <row r="2133" spans="1:15" x14ac:dyDescent="0.3">
      <c r="A2133">
        <v>30731</v>
      </c>
      <c r="B2133" t="s">
        <v>7</v>
      </c>
      <c r="C2133">
        <v>39</v>
      </c>
      <c r="D2133">
        <v>0</v>
      </c>
      <c r="E2133">
        <v>0</v>
      </c>
      <c r="F2133" t="str">
        <f t="shared" si="101"/>
        <v>Lower Risk</v>
      </c>
      <c r="G2133" t="s">
        <v>13</v>
      </c>
      <c r="H2133" t="s">
        <v>8</v>
      </c>
      <c r="I2133" t="s">
        <v>5</v>
      </c>
      <c r="J2133">
        <v>73.06</v>
      </c>
      <c r="K2133">
        <v>20.9</v>
      </c>
      <c r="L2133" t="s">
        <v>11</v>
      </c>
      <c r="M2133">
        <v>0</v>
      </c>
      <c r="N2133" t="str">
        <f t="shared" si="99"/>
        <v>Under 40</v>
      </c>
      <c r="O2133" t="str">
        <f t="shared" si="100"/>
        <v>Normal</v>
      </c>
    </row>
    <row r="2134" spans="1:15" x14ac:dyDescent="0.3">
      <c r="A2134">
        <v>14479</v>
      </c>
      <c r="B2134" t="s">
        <v>7</v>
      </c>
      <c r="C2134">
        <v>71</v>
      </c>
      <c r="D2134">
        <v>0</v>
      </c>
      <c r="E2134">
        <v>1</v>
      </c>
      <c r="F2134" t="str">
        <f t="shared" si="101"/>
        <v>High Risk</v>
      </c>
      <c r="G2134" t="s">
        <v>3</v>
      </c>
      <c r="H2134" t="s">
        <v>4</v>
      </c>
      <c r="I2134" t="s">
        <v>5</v>
      </c>
      <c r="J2134">
        <v>187.88</v>
      </c>
      <c r="K2134">
        <v>29.2</v>
      </c>
      <c r="L2134" t="s">
        <v>6</v>
      </c>
      <c r="M2134">
        <v>0</v>
      </c>
      <c r="N2134" t="str">
        <f t="shared" si="99"/>
        <v>60+</v>
      </c>
      <c r="O2134" t="str">
        <f t="shared" si="100"/>
        <v>Overweight</v>
      </c>
    </row>
    <row r="2135" spans="1:15" x14ac:dyDescent="0.3">
      <c r="A2135">
        <v>40471</v>
      </c>
      <c r="B2135" t="s">
        <v>7</v>
      </c>
      <c r="C2135">
        <v>18</v>
      </c>
      <c r="D2135">
        <v>0</v>
      </c>
      <c r="E2135">
        <v>0</v>
      </c>
      <c r="F2135" t="str">
        <f t="shared" si="101"/>
        <v>Lower Risk</v>
      </c>
      <c r="G2135" t="s">
        <v>13</v>
      </c>
      <c r="H2135" t="s">
        <v>4</v>
      </c>
      <c r="I2135" t="s">
        <v>5</v>
      </c>
      <c r="J2135">
        <v>79.89</v>
      </c>
      <c r="K2135">
        <v>17.899999999999999</v>
      </c>
      <c r="L2135" t="s">
        <v>14</v>
      </c>
      <c r="M2135">
        <v>0</v>
      </c>
      <c r="N2135" t="str">
        <f t="shared" si="99"/>
        <v>Under 40</v>
      </c>
      <c r="O2135" t="str">
        <f t="shared" si="100"/>
        <v>Underweight</v>
      </c>
    </row>
    <row r="2136" spans="1:15" x14ac:dyDescent="0.3">
      <c r="A2136">
        <v>7384</v>
      </c>
      <c r="B2136" t="s">
        <v>2</v>
      </c>
      <c r="C2136">
        <v>55</v>
      </c>
      <c r="D2136">
        <v>0</v>
      </c>
      <c r="E2136">
        <v>0</v>
      </c>
      <c r="F2136" t="str">
        <f t="shared" si="101"/>
        <v>Lower Risk</v>
      </c>
      <c r="G2136" t="s">
        <v>13</v>
      </c>
      <c r="H2136" t="s">
        <v>8</v>
      </c>
      <c r="I2136" t="s">
        <v>9</v>
      </c>
      <c r="J2136">
        <v>79.02</v>
      </c>
      <c r="K2136">
        <v>38</v>
      </c>
      <c r="L2136" t="s">
        <v>14</v>
      </c>
      <c r="M2136">
        <v>0</v>
      </c>
      <c r="N2136" t="str">
        <f t="shared" si="99"/>
        <v>40–59</v>
      </c>
      <c r="O2136" t="str">
        <f t="shared" si="100"/>
        <v>Obese</v>
      </c>
    </row>
    <row r="2137" spans="1:15" x14ac:dyDescent="0.3">
      <c r="A2137">
        <v>53422</v>
      </c>
      <c r="B2137" t="s">
        <v>2</v>
      </c>
      <c r="C2137">
        <v>52</v>
      </c>
      <c r="D2137">
        <v>0</v>
      </c>
      <c r="E2137">
        <v>0</v>
      </c>
      <c r="F2137" t="str">
        <f t="shared" si="101"/>
        <v>Lower Risk</v>
      </c>
      <c r="G2137" t="s">
        <v>3</v>
      </c>
      <c r="H2137" t="s">
        <v>4</v>
      </c>
      <c r="I2137" t="s">
        <v>9</v>
      </c>
      <c r="J2137">
        <v>191.66</v>
      </c>
      <c r="K2137">
        <v>26.1</v>
      </c>
      <c r="L2137" t="s">
        <v>12</v>
      </c>
      <c r="M2137">
        <v>0</v>
      </c>
      <c r="N2137" t="str">
        <f t="shared" si="99"/>
        <v>40–59</v>
      </c>
      <c r="O2137" t="str">
        <f t="shared" si="100"/>
        <v>Overweight</v>
      </c>
    </row>
    <row r="2138" spans="1:15" x14ac:dyDescent="0.3">
      <c r="A2138">
        <v>59745</v>
      </c>
      <c r="B2138" t="s">
        <v>7</v>
      </c>
      <c r="C2138">
        <v>27</v>
      </c>
      <c r="D2138">
        <v>0</v>
      </c>
      <c r="E2138">
        <v>0</v>
      </c>
      <c r="F2138" t="str">
        <f t="shared" si="101"/>
        <v>Lower Risk</v>
      </c>
      <c r="G2138" t="s">
        <v>3</v>
      </c>
      <c r="H2138" t="s">
        <v>4</v>
      </c>
      <c r="I2138" t="s">
        <v>5</v>
      </c>
      <c r="J2138">
        <v>76.739999999999995</v>
      </c>
      <c r="K2138">
        <v>53.9</v>
      </c>
      <c r="L2138" t="s">
        <v>14</v>
      </c>
      <c r="M2138">
        <v>0</v>
      </c>
      <c r="N2138" t="str">
        <f t="shared" si="99"/>
        <v>Under 40</v>
      </c>
      <c r="O2138" t="str">
        <f t="shared" si="100"/>
        <v>Obese</v>
      </c>
    </row>
    <row r="2139" spans="1:15" x14ac:dyDescent="0.3">
      <c r="A2139">
        <v>24721</v>
      </c>
      <c r="B2139" t="s">
        <v>2</v>
      </c>
      <c r="C2139">
        <v>24</v>
      </c>
      <c r="D2139">
        <v>0</v>
      </c>
      <c r="E2139">
        <v>0</v>
      </c>
      <c r="F2139" t="str">
        <f t="shared" si="101"/>
        <v>Lower Risk</v>
      </c>
      <c r="G2139" t="s">
        <v>13</v>
      </c>
      <c r="H2139" t="s">
        <v>4</v>
      </c>
      <c r="I2139" t="s">
        <v>5</v>
      </c>
      <c r="J2139">
        <v>72.290000000000006</v>
      </c>
      <c r="K2139">
        <v>22.2</v>
      </c>
      <c r="L2139" t="s">
        <v>14</v>
      </c>
      <c r="M2139">
        <v>0</v>
      </c>
      <c r="N2139" t="str">
        <f t="shared" si="99"/>
        <v>Under 40</v>
      </c>
      <c r="O2139" t="str">
        <f t="shared" si="100"/>
        <v>Normal</v>
      </c>
    </row>
    <row r="2140" spans="1:15" x14ac:dyDescent="0.3">
      <c r="A2140">
        <v>9644</v>
      </c>
      <c r="B2140" t="s">
        <v>2</v>
      </c>
      <c r="C2140">
        <v>72</v>
      </c>
      <c r="D2140">
        <v>0</v>
      </c>
      <c r="E2140">
        <v>0</v>
      </c>
      <c r="F2140" t="str">
        <f t="shared" si="101"/>
        <v>Moderate Risk</v>
      </c>
      <c r="G2140" t="s">
        <v>3</v>
      </c>
      <c r="H2140" t="s">
        <v>4</v>
      </c>
      <c r="I2140" t="s">
        <v>5</v>
      </c>
      <c r="J2140">
        <v>92.59</v>
      </c>
      <c r="K2140">
        <v>24.6</v>
      </c>
      <c r="L2140" t="s">
        <v>6</v>
      </c>
      <c r="M2140">
        <v>0</v>
      </c>
      <c r="N2140" t="str">
        <f t="shared" si="99"/>
        <v>60+</v>
      </c>
      <c r="O2140" t="str">
        <f t="shared" si="100"/>
        <v>Normal</v>
      </c>
    </row>
    <row r="2141" spans="1:15" x14ac:dyDescent="0.3">
      <c r="A2141">
        <v>50837</v>
      </c>
      <c r="B2141" t="s">
        <v>2</v>
      </c>
      <c r="C2141">
        <v>41</v>
      </c>
      <c r="D2141">
        <v>0</v>
      </c>
      <c r="E2141">
        <v>0</v>
      </c>
      <c r="F2141" t="str">
        <f t="shared" si="101"/>
        <v>Lower Risk</v>
      </c>
      <c r="G2141" t="s">
        <v>3</v>
      </c>
      <c r="H2141" t="s">
        <v>8</v>
      </c>
      <c r="I2141" t="s">
        <v>9</v>
      </c>
      <c r="J2141">
        <v>80.42</v>
      </c>
      <c r="K2141">
        <v>33.4</v>
      </c>
      <c r="L2141" t="s">
        <v>6</v>
      </c>
      <c r="M2141">
        <v>0</v>
      </c>
      <c r="N2141" t="str">
        <f t="shared" si="99"/>
        <v>40–59</v>
      </c>
      <c r="O2141" t="str">
        <f t="shared" si="100"/>
        <v>Obese</v>
      </c>
    </row>
    <row r="2142" spans="1:15" x14ac:dyDescent="0.3">
      <c r="A2142">
        <v>67941</v>
      </c>
      <c r="B2142" t="s">
        <v>7</v>
      </c>
      <c r="C2142">
        <v>29</v>
      </c>
      <c r="D2142">
        <v>0</v>
      </c>
      <c r="E2142">
        <v>0</v>
      </c>
      <c r="F2142" t="str">
        <f t="shared" si="101"/>
        <v>Lower Risk</v>
      </c>
      <c r="G2142" t="s">
        <v>13</v>
      </c>
      <c r="H2142" t="s">
        <v>8</v>
      </c>
      <c r="I2142" t="s">
        <v>9</v>
      </c>
      <c r="J2142">
        <v>62.47</v>
      </c>
      <c r="K2142">
        <v>34.4</v>
      </c>
      <c r="L2142" t="s">
        <v>6</v>
      </c>
      <c r="M2142">
        <v>0</v>
      </c>
      <c r="N2142" t="str">
        <f t="shared" si="99"/>
        <v>Under 40</v>
      </c>
      <c r="O2142" t="str">
        <f t="shared" si="100"/>
        <v>Obese</v>
      </c>
    </row>
    <row r="2143" spans="1:15" x14ac:dyDescent="0.3">
      <c r="A2143">
        <v>43590</v>
      </c>
      <c r="B2143" t="s">
        <v>7</v>
      </c>
      <c r="C2143">
        <v>26</v>
      </c>
      <c r="D2143">
        <v>0</v>
      </c>
      <c r="E2143">
        <v>0</v>
      </c>
      <c r="F2143" t="str">
        <f t="shared" si="101"/>
        <v>Lower Risk</v>
      </c>
      <c r="G2143" t="s">
        <v>3</v>
      </c>
      <c r="H2143" t="s">
        <v>4</v>
      </c>
      <c r="I2143" t="s">
        <v>9</v>
      </c>
      <c r="J2143">
        <v>63.94</v>
      </c>
      <c r="K2143">
        <v>17.600000000000001</v>
      </c>
      <c r="L2143" t="s">
        <v>11</v>
      </c>
      <c r="M2143">
        <v>0</v>
      </c>
      <c r="N2143" t="str">
        <f t="shared" si="99"/>
        <v>Under 40</v>
      </c>
      <c r="O2143" t="str">
        <f t="shared" si="100"/>
        <v>Underweight</v>
      </c>
    </row>
    <row r="2144" spans="1:15" x14ac:dyDescent="0.3">
      <c r="A2144">
        <v>29014</v>
      </c>
      <c r="B2144" t="s">
        <v>7</v>
      </c>
      <c r="C2144">
        <v>23</v>
      </c>
      <c r="D2144">
        <v>0</v>
      </c>
      <c r="E2144">
        <v>0</v>
      </c>
      <c r="F2144" t="str">
        <f t="shared" si="101"/>
        <v>Lower Risk</v>
      </c>
      <c r="G2144" t="s">
        <v>3</v>
      </c>
      <c r="H2144" t="s">
        <v>4</v>
      </c>
      <c r="I2144" t="s">
        <v>9</v>
      </c>
      <c r="J2144">
        <v>77.73</v>
      </c>
      <c r="K2144">
        <v>19.2</v>
      </c>
      <c r="L2144" t="s">
        <v>11</v>
      </c>
      <c r="M2144">
        <v>0</v>
      </c>
      <c r="N2144" t="str">
        <f t="shared" si="99"/>
        <v>Under 40</v>
      </c>
      <c r="O2144" t="str">
        <f t="shared" si="100"/>
        <v>Normal</v>
      </c>
    </row>
    <row r="2145" spans="1:15" x14ac:dyDescent="0.3">
      <c r="A2145">
        <v>66051</v>
      </c>
      <c r="B2145" t="s">
        <v>2</v>
      </c>
      <c r="C2145">
        <v>43</v>
      </c>
      <c r="D2145">
        <v>0</v>
      </c>
      <c r="E2145">
        <v>0</v>
      </c>
      <c r="F2145" t="str">
        <f t="shared" si="101"/>
        <v>Lower Risk</v>
      </c>
      <c r="G2145" t="s">
        <v>3</v>
      </c>
      <c r="H2145" t="s">
        <v>8</v>
      </c>
      <c r="I2145" t="s">
        <v>9</v>
      </c>
      <c r="J2145">
        <v>115.79</v>
      </c>
      <c r="K2145">
        <v>31.8</v>
      </c>
      <c r="L2145" t="s">
        <v>14</v>
      </c>
      <c r="M2145">
        <v>0</v>
      </c>
      <c r="N2145" t="str">
        <f t="shared" si="99"/>
        <v>40–59</v>
      </c>
      <c r="O2145" t="str">
        <f t="shared" si="100"/>
        <v>Obese</v>
      </c>
    </row>
    <row r="2146" spans="1:15" x14ac:dyDescent="0.3">
      <c r="A2146">
        <v>70783</v>
      </c>
      <c r="B2146" t="s">
        <v>7</v>
      </c>
      <c r="C2146">
        <v>43</v>
      </c>
      <c r="D2146">
        <v>0</v>
      </c>
      <c r="E2146">
        <v>0</v>
      </c>
      <c r="F2146" t="str">
        <f t="shared" si="101"/>
        <v>Lower Risk</v>
      </c>
      <c r="G2146" t="s">
        <v>3</v>
      </c>
      <c r="H2146" t="s">
        <v>4</v>
      </c>
      <c r="I2146" t="s">
        <v>5</v>
      </c>
      <c r="J2146">
        <v>96.3</v>
      </c>
      <c r="K2146">
        <v>28.1</v>
      </c>
      <c r="L2146" t="s">
        <v>12</v>
      </c>
      <c r="M2146">
        <v>0</v>
      </c>
      <c r="N2146" t="str">
        <f t="shared" si="99"/>
        <v>40–59</v>
      </c>
      <c r="O2146" t="str">
        <f t="shared" si="100"/>
        <v>Overweight</v>
      </c>
    </row>
    <row r="2147" spans="1:15" x14ac:dyDescent="0.3">
      <c r="A2147">
        <v>10716</v>
      </c>
      <c r="B2147" t="s">
        <v>7</v>
      </c>
      <c r="C2147">
        <v>49</v>
      </c>
      <c r="D2147">
        <v>0</v>
      </c>
      <c r="E2147">
        <v>0</v>
      </c>
      <c r="F2147" t="str">
        <f t="shared" si="101"/>
        <v>Lower Risk</v>
      </c>
      <c r="G2147" t="s">
        <v>3</v>
      </c>
      <c r="H2147" t="s">
        <v>4</v>
      </c>
      <c r="I2147" t="s">
        <v>9</v>
      </c>
      <c r="J2147">
        <v>107.46</v>
      </c>
      <c r="K2147">
        <v>32.1</v>
      </c>
      <c r="L2147" t="s">
        <v>11</v>
      </c>
      <c r="M2147">
        <v>0</v>
      </c>
      <c r="N2147" t="str">
        <f t="shared" si="99"/>
        <v>40–59</v>
      </c>
      <c r="O2147" t="str">
        <f t="shared" si="100"/>
        <v>Obese</v>
      </c>
    </row>
    <row r="2148" spans="1:15" x14ac:dyDescent="0.3">
      <c r="A2148">
        <v>7868</v>
      </c>
      <c r="B2148" t="s">
        <v>2</v>
      </c>
      <c r="C2148">
        <v>13</v>
      </c>
      <c r="D2148">
        <v>0</v>
      </c>
      <c r="E2148">
        <v>0</v>
      </c>
      <c r="F2148" t="str">
        <f t="shared" si="101"/>
        <v>Lower Risk</v>
      </c>
      <c r="G2148" t="s">
        <v>13</v>
      </c>
      <c r="H2148" t="s">
        <v>16</v>
      </c>
      <c r="I2148" t="s">
        <v>9</v>
      </c>
      <c r="J2148">
        <v>108.33</v>
      </c>
      <c r="K2148">
        <v>17.399999999999999</v>
      </c>
      <c r="L2148" t="s">
        <v>11</v>
      </c>
      <c r="M2148">
        <v>0</v>
      </c>
      <c r="N2148" t="str">
        <f t="shared" si="99"/>
        <v>Under 40</v>
      </c>
      <c r="O2148" t="str">
        <f t="shared" si="100"/>
        <v>Underweight</v>
      </c>
    </row>
    <row r="2149" spans="1:15" x14ac:dyDescent="0.3">
      <c r="A2149">
        <v>58350</v>
      </c>
      <c r="B2149" t="s">
        <v>7</v>
      </c>
      <c r="C2149">
        <v>26</v>
      </c>
      <c r="D2149">
        <v>0</v>
      </c>
      <c r="E2149">
        <v>0</v>
      </c>
      <c r="F2149" t="str">
        <f t="shared" si="101"/>
        <v>Lower Risk</v>
      </c>
      <c r="G2149" t="s">
        <v>13</v>
      </c>
      <c r="H2149" t="s">
        <v>15</v>
      </c>
      <c r="I2149" t="s">
        <v>9</v>
      </c>
      <c r="J2149">
        <v>89.37</v>
      </c>
      <c r="K2149">
        <v>20.2</v>
      </c>
      <c r="L2149" t="s">
        <v>11</v>
      </c>
      <c r="M2149">
        <v>0</v>
      </c>
      <c r="N2149" t="str">
        <f t="shared" si="99"/>
        <v>Under 40</v>
      </c>
      <c r="O2149" t="str">
        <f t="shared" si="100"/>
        <v>Normal</v>
      </c>
    </row>
    <row r="2150" spans="1:15" x14ac:dyDescent="0.3">
      <c r="A2150">
        <v>18927</v>
      </c>
      <c r="B2150" t="s">
        <v>7</v>
      </c>
      <c r="C2150">
        <v>10</v>
      </c>
      <c r="D2150">
        <v>0</v>
      </c>
      <c r="E2150">
        <v>0</v>
      </c>
      <c r="F2150" t="str">
        <f t="shared" si="101"/>
        <v>Lower Risk</v>
      </c>
      <c r="G2150" t="s">
        <v>13</v>
      </c>
      <c r="H2150" t="s">
        <v>16</v>
      </c>
      <c r="I2150" t="s">
        <v>5</v>
      </c>
      <c r="J2150">
        <v>93.64</v>
      </c>
      <c r="K2150">
        <v>23.4</v>
      </c>
      <c r="L2150" t="s">
        <v>14</v>
      </c>
      <c r="M2150">
        <v>0</v>
      </c>
      <c r="N2150" t="str">
        <f t="shared" si="99"/>
        <v>Under 40</v>
      </c>
      <c r="O2150" t="str">
        <f t="shared" si="100"/>
        <v>Normal</v>
      </c>
    </row>
    <row r="2151" spans="1:15" x14ac:dyDescent="0.3">
      <c r="A2151">
        <v>19550</v>
      </c>
      <c r="B2151" t="s">
        <v>2</v>
      </c>
      <c r="C2151">
        <v>39</v>
      </c>
      <c r="D2151">
        <v>0</v>
      </c>
      <c r="E2151">
        <v>0</v>
      </c>
      <c r="F2151" t="str">
        <f t="shared" si="101"/>
        <v>Lower Risk</v>
      </c>
      <c r="G2151" t="s">
        <v>3</v>
      </c>
      <c r="H2151" t="s">
        <v>4</v>
      </c>
      <c r="I2151" t="s">
        <v>5</v>
      </c>
      <c r="J2151">
        <v>217.75</v>
      </c>
      <c r="K2151">
        <v>39.5</v>
      </c>
      <c r="L2151" t="s">
        <v>11</v>
      </c>
      <c r="M2151">
        <v>0</v>
      </c>
      <c r="N2151" t="str">
        <f t="shared" si="99"/>
        <v>Under 40</v>
      </c>
      <c r="O2151" t="str">
        <f t="shared" si="100"/>
        <v>Obese</v>
      </c>
    </row>
    <row r="2152" spans="1:15" x14ac:dyDescent="0.3">
      <c r="A2152">
        <v>31372</v>
      </c>
      <c r="B2152" t="s">
        <v>7</v>
      </c>
      <c r="C2152">
        <v>41</v>
      </c>
      <c r="D2152">
        <v>0</v>
      </c>
      <c r="E2152">
        <v>0</v>
      </c>
      <c r="F2152" t="str">
        <f t="shared" si="101"/>
        <v>Lower Risk</v>
      </c>
      <c r="G2152" t="s">
        <v>3</v>
      </c>
      <c r="H2152" t="s">
        <v>4</v>
      </c>
      <c r="I2152" t="s">
        <v>9</v>
      </c>
      <c r="J2152">
        <v>83.44</v>
      </c>
      <c r="K2152">
        <v>21.5</v>
      </c>
      <c r="L2152" t="s">
        <v>14</v>
      </c>
      <c r="M2152">
        <v>0</v>
      </c>
      <c r="N2152" t="str">
        <f t="shared" si="99"/>
        <v>40–59</v>
      </c>
      <c r="O2152" t="str">
        <f t="shared" si="100"/>
        <v>Normal</v>
      </c>
    </row>
    <row r="2153" spans="1:15" x14ac:dyDescent="0.3">
      <c r="A2153">
        <v>55262</v>
      </c>
      <c r="B2153" t="s">
        <v>2</v>
      </c>
      <c r="C2153">
        <v>25</v>
      </c>
      <c r="D2153">
        <v>0</v>
      </c>
      <c r="E2153">
        <v>0</v>
      </c>
      <c r="F2153" t="str">
        <f t="shared" si="101"/>
        <v>Lower Risk</v>
      </c>
      <c r="G2153" t="s">
        <v>3</v>
      </c>
      <c r="H2153" t="s">
        <v>4</v>
      </c>
      <c r="I2153" t="s">
        <v>9</v>
      </c>
      <c r="J2153">
        <v>93.88</v>
      </c>
      <c r="K2153">
        <v>24.3</v>
      </c>
      <c r="L2153" t="s">
        <v>12</v>
      </c>
      <c r="M2153">
        <v>0</v>
      </c>
      <c r="N2153" t="str">
        <f t="shared" si="99"/>
        <v>Under 40</v>
      </c>
      <c r="O2153" t="str">
        <f t="shared" si="100"/>
        <v>Normal</v>
      </c>
    </row>
    <row r="2154" spans="1:15" x14ac:dyDescent="0.3">
      <c r="A2154">
        <v>50238</v>
      </c>
      <c r="B2154" t="s">
        <v>2</v>
      </c>
      <c r="C2154">
        <v>10</v>
      </c>
      <c r="D2154">
        <v>0</v>
      </c>
      <c r="E2154">
        <v>0</v>
      </c>
      <c r="F2154" t="str">
        <f t="shared" si="101"/>
        <v>Lower Risk</v>
      </c>
      <c r="G2154" t="s">
        <v>13</v>
      </c>
      <c r="H2154" t="s">
        <v>16</v>
      </c>
      <c r="I2154" t="s">
        <v>5</v>
      </c>
      <c r="J2154">
        <v>55.34</v>
      </c>
      <c r="K2154">
        <v>15.3</v>
      </c>
      <c r="L2154" t="s">
        <v>14</v>
      </c>
      <c r="M2154">
        <v>0</v>
      </c>
      <c r="N2154" t="str">
        <f t="shared" si="99"/>
        <v>Under 40</v>
      </c>
      <c r="O2154" t="str">
        <f t="shared" si="100"/>
        <v>Underweight</v>
      </c>
    </row>
    <row r="2155" spans="1:15" x14ac:dyDescent="0.3">
      <c r="A2155">
        <v>2868</v>
      </c>
      <c r="B2155" t="s">
        <v>7</v>
      </c>
      <c r="C2155">
        <v>54</v>
      </c>
      <c r="D2155">
        <v>0</v>
      </c>
      <c r="E2155">
        <v>0</v>
      </c>
      <c r="F2155" t="str">
        <f t="shared" si="101"/>
        <v>Lower Risk</v>
      </c>
      <c r="G2155" t="s">
        <v>3</v>
      </c>
      <c r="H2155" t="s">
        <v>15</v>
      </c>
      <c r="I2155" t="s">
        <v>9</v>
      </c>
      <c r="J2155">
        <v>102.61</v>
      </c>
      <c r="K2155">
        <v>32.4</v>
      </c>
      <c r="L2155" t="s">
        <v>14</v>
      </c>
      <c r="M2155">
        <v>0</v>
      </c>
      <c r="N2155" t="str">
        <f t="shared" si="99"/>
        <v>40–59</v>
      </c>
      <c r="O2155" t="str">
        <f t="shared" si="100"/>
        <v>Obese</v>
      </c>
    </row>
    <row r="2156" spans="1:15" x14ac:dyDescent="0.3">
      <c r="A2156">
        <v>51343</v>
      </c>
      <c r="B2156" t="s">
        <v>2</v>
      </c>
      <c r="C2156">
        <v>7</v>
      </c>
      <c r="D2156">
        <v>0</v>
      </c>
      <c r="E2156">
        <v>0</v>
      </c>
      <c r="F2156" t="str">
        <f t="shared" si="101"/>
        <v>Lower Risk</v>
      </c>
      <c r="G2156" t="s">
        <v>13</v>
      </c>
      <c r="H2156" t="s">
        <v>16</v>
      </c>
      <c r="I2156" t="s">
        <v>9</v>
      </c>
      <c r="J2156">
        <v>62.08</v>
      </c>
      <c r="K2156">
        <v>16.100000000000001</v>
      </c>
      <c r="L2156" t="s">
        <v>14</v>
      </c>
      <c r="M2156">
        <v>0</v>
      </c>
      <c r="N2156" t="str">
        <f t="shared" si="99"/>
        <v>Under 40</v>
      </c>
      <c r="O2156" t="str">
        <f t="shared" si="100"/>
        <v>Underweight</v>
      </c>
    </row>
    <row r="2157" spans="1:15" x14ac:dyDescent="0.3">
      <c r="A2157">
        <v>56324</v>
      </c>
      <c r="B2157" t="s">
        <v>7</v>
      </c>
      <c r="C2157">
        <v>53</v>
      </c>
      <c r="D2157">
        <v>0</v>
      </c>
      <c r="E2157">
        <v>0</v>
      </c>
      <c r="F2157" t="str">
        <f t="shared" si="101"/>
        <v>Lower Risk</v>
      </c>
      <c r="G2157" t="s">
        <v>3</v>
      </c>
      <c r="H2157" t="s">
        <v>8</v>
      </c>
      <c r="I2157" t="s">
        <v>9</v>
      </c>
      <c r="J2157">
        <v>81.760000000000005</v>
      </c>
      <c r="K2157">
        <v>34.299999999999997</v>
      </c>
      <c r="L2157" t="s">
        <v>6</v>
      </c>
      <c r="M2157">
        <v>0</v>
      </c>
      <c r="N2157" t="str">
        <f t="shared" si="99"/>
        <v>40–59</v>
      </c>
      <c r="O2157" t="str">
        <f t="shared" si="100"/>
        <v>Obese</v>
      </c>
    </row>
    <row r="2158" spans="1:15" x14ac:dyDescent="0.3">
      <c r="A2158">
        <v>42047</v>
      </c>
      <c r="B2158" t="s">
        <v>7</v>
      </c>
      <c r="C2158">
        <v>55</v>
      </c>
      <c r="D2158">
        <v>0</v>
      </c>
      <c r="E2158">
        <v>0</v>
      </c>
      <c r="F2158" t="str">
        <f t="shared" si="101"/>
        <v>Lower Risk</v>
      </c>
      <c r="G2158" t="s">
        <v>3</v>
      </c>
      <c r="H2158" t="s">
        <v>8</v>
      </c>
      <c r="I2158" t="s">
        <v>5</v>
      </c>
      <c r="J2158">
        <v>59.2</v>
      </c>
      <c r="K2158">
        <v>43.8</v>
      </c>
      <c r="L2158" t="s">
        <v>11</v>
      </c>
      <c r="M2158">
        <v>0</v>
      </c>
      <c r="N2158" t="str">
        <f t="shared" si="99"/>
        <v>40–59</v>
      </c>
      <c r="O2158" t="str">
        <f t="shared" si="100"/>
        <v>Obese</v>
      </c>
    </row>
    <row r="2159" spans="1:15" x14ac:dyDescent="0.3">
      <c r="A2159">
        <v>36486</v>
      </c>
      <c r="B2159" t="s">
        <v>2</v>
      </c>
      <c r="C2159">
        <v>6</v>
      </c>
      <c r="D2159">
        <v>0</v>
      </c>
      <c r="E2159">
        <v>0</v>
      </c>
      <c r="F2159" t="str">
        <f t="shared" si="101"/>
        <v>Lower Risk</v>
      </c>
      <c r="G2159" t="s">
        <v>13</v>
      </c>
      <c r="H2159" t="s">
        <v>16</v>
      </c>
      <c r="I2159" t="s">
        <v>5</v>
      </c>
      <c r="J2159">
        <v>55.61</v>
      </c>
      <c r="K2159">
        <v>19.600000000000001</v>
      </c>
      <c r="L2159" t="s">
        <v>14</v>
      </c>
      <c r="M2159">
        <v>0</v>
      </c>
      <c r="N2159" t="str">
        <f t="shared" si="99"/>
        <v>Under 40</v>
      </c>
      <c r="O2159" t="str">
        <f t="shared" si="100"/>
        <v>Normal</v>
      </c>
    </row>
    <row r="2160" spans="1:15" x14ac:dyDescent="0.3">
      <c r="A2160">
        <v>62456</v>
      </c>
      <c r="B2160" t="s">
        <v>7</v>
      </c>
      <c r="C2160">
        <v>72</v>
      </c>
      <c r="D2160">
        <v>0</v>
      </c>
      <c r="E2160">
        <v>0</v>
      </c>
      <c r="F2160" t="str">
        <f t="shared" si="101"/>
        <v>Moderate Risk</v>
      </c>
      <c r="G2160" t="s">
        <v>3</v>
      </c>
      <c r="H2160" t="s">
        <v>8</v>
      </c>
      <c r="I2160" t="s">
        <v>5</v>
      </c>
      <c r="J2160">
        <v>226.88</v>
      </c>
      <c r="K2160">
        <v>36.700000000000003</v>
      </c>
      <c r="L2160" t="s">
        <v>6</v>
      </c>
      <c r="M2160">
        <v>0</v>
      </c>
      <c r="N2160" t="str">
        <f t="shared" si="99"/>
        <v>60+</v>
      </c>
      <c r="O2160" t="str">
        <f t="shared" si="100"/>
        <v>Obese</v>
      </c>
    </row>
    <row r="2161" spans="1:15" x14ac:dyDescent="0.3">
      <c r="A2161">
        <v>64980</v>
      </c>
      <c r="B2161" t="s">
        <v>7</v>
      </c>
      <c r="C2161">
        <v>42</v>
      </c>
      <c r="D2161">
        <v>0</v>
      </c>
      <c r="E2161">
        <v>0</v>
      </c>
      <c r="F2161" t="str">
        <f t="shared" si="101"/>
        <v>Lower Risk</v>
      </c>
      <c r="G2161" t="s">
        <v>3</v>
      </c>
      <c r="H2161" t="s">
        <v>15</v>
      </c>
      <c r="I2161" t="s">
        <v>5</v>
      </c>
      <c r="J2161">
        <v>65.66</v>
      </c>
      <c r="K2161">
        <v>33.700000000000003</v>
      </c>
      <c r="L2161" t="s">
        <v>11</v>
      </c>
      <c r="M2161">
        <v>0</v>
      </c>
      <c r="N2161" t="str">
        <f t="shared" si="99"/>
        <v>40–59</v>
      </c>
      <c r="O2161" t="str">
        <f t="shared" si="100"/>
        <v>Obese</v>
      </c>
    </row>
    <row r="2162" spans="1:15" x14ac:dyDescent="0.3">
      <c r="A2162">
        <v>65962</v>
      </c>
      <c r="B2162" t="s">
        <v>2</v>
      </c>
      <c r="C2162">
        <v>50</v>
      </c>
      <c r="D2162">
        <v>0</v>
      </c>
      <c r="E2162">
        <v>0</v>
      </c>
      <c r="F2162" t="str">
        <f t="shared" si="101"/>
        <v>Lower Risk</v>
      </c>
      <c r="G2162" t="s">
        <v>3</v>
      </c>
      <c r="H2162" t="s">
        <v>4</v>
      </c>
      <c r="I2162" t="s">
        <v>5</v>
      </c>
      <c r="J2162">
        <v>58.7</v>
      </c>
      <c r="K2162">
        <v>38.9</v>
      </c>
      <c r="L2162" t="s">
        <v>12</v>
      </c>
      <c r="M2162">
        <v>0</v>
      </c>
      <c r="N2162" t="str">
        <f t="shared" si="99"/>
        <v>40–59</v>
      </c>
      <c r="O2162" t="str">
        <f t="shared" si="100"/>
        <v>Obese</v>
      </c>
    </row>
    <row r="2163" spans="1:15" x14ac:dyDescent="0.3">
      <c r="A2163">
        <v>47521</v>
      </c>
      <c r="B2163" t="s">
        <v>7</v>
      </c>
      <c r="C2163">
        <v>55</v>
      </c>
      <c r="D2163">
        <v>1</v>
      </c>
      <c r="E2163">
        <v>0</v>
      </c>
      <c r="F2163" t="str">
        <f t="shared" si="101"/>
        <v>Lower Risk</v>
      </c>
      <c r="G2163" t="s">
        <v>3</v>
      </c>
      <c r="H2163" t="s">
        <v>15</v>
      </c>
      <c r="I2163" t="s">
        <v>5</v>
      </c>
      <c r="J2163">
        <v>186.4</v>
      </c>
      <c r="K2163">
        <v>28</v>
      </c>
      <c r="L2163" t="s">
        <v>11</v>
      </c>
      <c r="M2163">
        <v>0</v>
      </c>
      <c r="N2163" t="str">
        <f t="shared" si="99"/>
        <v>40–59</v>
      </c>
      <c r="O2163" t="str">
        <f t="shared" si="100"/>
        <v>Overweight</v>
      </c>
    </row>
    <row r="2164" spans="1:15" x14ac:dyDescent="0.3">
      <c r="A2164">
        <v>41501</v>
      </c>
      <c r="B2164" t="s">
        <v>7</v>
      </c>
      <c r="C2164">
        <v>47</v>
      </c>
      <c r="D2164">
        <v>0</v>
      </c>
      <c r="E2164">
        <v>0</v>
      </c>
      <c r="F2164" t="str">
        <f t="shared" si="101"/>
        <v>Lower Risk</v>
      </c>
      <c r="G2164" t="s">
        <v>3</v>
      </c>
      <c r="H2164" t="s">
        <v>15</v>
      </c>
      <c r="I2164" t="s">
        <v>5</v>
      </c>
      <c r="J2164">
        <v>122.32</v>
      </c>
      <c r="K2164">
        <v>23.9</v>
      </c>
      <c r="L2164" t="s">
        <v>14</v>
      </c>
      <c r="M2164">
        <v>0</v>
      </c>
      <c r="N2164" t="str">
        <f t="shared" si="99"/>
        <v>40–59</v>
      </c>
      <c r="O2164" t="str">
        <f t="shared" si="100"/>
        <v>Normal</v>
      </c>
    </row>
    <row r="2165" spans="1:15" x14ac:dyDescent="0.3">
      <c r="A2165">
        <v>47582</v>
      </c>
      <c r="B2165" t="s">
        <v>2</v>
      </c>
      <c r="C2165">
        <v>3</v>
      </c>
      <c r="D2165">
        <v>0</v>
      </c>
      <c r="E2165">
        <v>0</v>
      </c>
      <c r="F2165" t="str">
        <f t="shared" si="101"/>
        <v>Lower Risk</v>
      </c>
      <c r="G2165" t="s">
        <v>13</v>
      </c>
      <c r="H2165" t="s">
        <v>16</v>
      </c>
      <c r="I2165" t="s">
        <v>5</v>
      </c>
      <c r="J2165">
        <v>59.05</v>
      </c>
      <c r="K2165">
        <v>16.600000000000001</v>
      </c>
      <c r="L2165" t="s">
        <v>14</v>
      </c>
      <c r="M2165">
        <v>0</v>
      </c>
      <c r="N2165" t="str">
        <f t="shared" si="99"/>
        <v>Under 40</v>
      </c>
      <c r="O2165" t="str">
        <f t="shared" si="100"/>
        <v>Underweight</v>
      </c>
    </row>
    <row r="2166" spans="1:15" x14ac:dyDescent="0.3">
      <c r="A2166">
        <v>63938</v>
      </c>
      <c r="B2166" t="s">
        <v>7</v>
      </c>
      <c r="C2166">
        <v>49</v>
      </c>
      <c r="D2166">
        <v>0</v>
      </c>
      <c r="E2166">
        <v>0</v>
      </c>
      <c r="F2166" t="str">
        <f t="shared" si="101"/>
        <v>Lower Risk</v>
      </c>
      <c r="G2166" t="s">
        <v>3</v>
      </c>
      <c r="H2166" t="s">
        <v>8</v>
      </c>
      <c r="I2166" t="s">
        <v>5</v>
      </c>
      <c r="J2166">
        <v>149.13</v>
      </c>
      <c r="K2166">
        <v>42.9</v>
      </c>
      <c r="L2166" t="s">
        <v>12</v>
      </c>
      <c r="M2166">
        <v>0</v>
      </c>
      <c r="N2166" t="str">
        <f t="shared" si="99"/>
        <v>40–59</v>
      </c>
      <c r="O2166" t="str">
        <f t="shared" si="100"/>
        <v>Obese</v>
      </c>
    </row>
    <row r="2167" spans="1:15" x14ac:dyDescent="0.3">
      <c r="A2167">
        <v>49627</v>
      </c>
      <c r="B2167" t="s">
        <v>7</v>
      </c>
      <c r="C2167">
        <v>12</v>
      </c>
      <c r="D2167">
        <v>0</v>
      </c>
      <c r="E2167">
        <v>0</v>
      </c>
      <c r="F2167" t="str">
        <f t="shared" si="101"/>
        <v>Lower Risk</v>
      </c>
      <c r="G2167" t="s">
        <v>13</v>
      </c>
      <c r="H2167" t="s">
        <v>16</v>
      </c>
      <c r="I2167" t="s">
        <v>5</v>
      </c>
      <c r="J2167">
        <v>82.39</v>
      </c>
      <c r="K2167">
        <v>17.100000000000001</v>
      </c>
      <c r="L2167" t="s">
        <v>11</v>
      </c>
      <c r="M2167">
        <v>0</v>
      </c>
      <c r="N2167" t="str">
        <f t="shared" si="99"/>
        <v>Under 40</v>
      </c>
      <c r="O2167" t="str">
        <f t="shared" si="100"/>
        <v>Underweight</v>
      </c>
    </row>
    <row r="2168" spans="1:15" x14ac:dyDescent="0.3">
      <c r="A2168">
        <v>61291</v>
      </c>
      <c r="B2168" t="s">
        <v>2</v>
      </c>
      <c r="C2168">
        <v>28</v>
      </c>
      <c r="D2168">
        <v>0</v>
      </c>
      <c r="E2168">
        <v>0</v>
      </c>
      <c r="F2168" t="str">
        <f t="shared" si="101"/>
        <v>Lower Risk</v>
      </c>
      <c r="G2168" t="s">
        <v>3</v>
      </c>
      <c r="H2168" t="s">
        <v>4</v>
      </c>
      <c r="I2168" t="s">
        <v>9</v>
      </c>
      <c r="J2168">
        <v>169.49</v>
      </c>
      <c r="K2168">
        <v>27.2</v>
      </c>
      <c r="L2168" t="s">
        <v>14</v>
      </c>
      <c r="M2168">
        <v>0</v>
      </c>
      <c r="N2168" t="str">
        <f t="shared" si="99"/>
        <v>Under 40</v>
      </c>
      <c r="O2168" t="str">
        <f t="shared" si="100"/>
        <v>Overweight</v>
      </c>
    </row>
    <row r="2169" spans="1:15" x14ac:dyDescent="0.3">
      <c r="A2169">
        <v>53032</v>
      </c>
      <c r="B2169" t="s">
        <v>2</v>
      </c>
      <c r="C2169">
        <v>40</v>
      </c>
      <c r="D2169">
        <v>0</v>
      </c>
      <c r="E2169">
        <v>0</v>
      </c>
      <c r="F2169" t="str">
        <f t="shared" si="101"/>
        <v>Lower Risk</v>
      </c>
      <c r="G2169" t="s">
        <v>3</v>
      </c>
      <c r="H2169" t="s">
        <v>4</v>
      </c>
      <c r="I2169" t="s">
        <v>9</v>
      </c>
      <c r="J2169">
        <v>80.25</v>
      </c>
      <c r="K2169">
        <v>30.3</v>
      </c>
      <c r="L2169" t="s">
        <v>6</v>
      </c>
      <c r="M2169">
        <v>0</v>
      </c>
      <c r="N2169" t="str">
        <f t="shared" si="99"/>
        <v>40–59</v>
      </c>
      <c r="O2169" t="str">
        <f t="shared" si="100"/>
        <v>Obese</v>
      </c>
    </row>
    <row r="2170" spans="1:15" x14ac:dyDescent="0.3">
      <c r="A2170">
        <v>45040</v>
      </c>
      <c r="B2170" t="s">
        <v>2</v>
      </c>
      <c r="C2170">
        <v>55</v>
      </c>
      <c r="D2170">
        <v>0</v>
      </c>
      <c r="E2170">
        <v>0</v>
      </c>
      <c r="F2170" t="str">
        <f t="shared" si="101"/>
        <v>Lower Risk</v>
      </c>
      <c r="G2170" t="s">
        <v>3</v>
      </c>
      <c r="H2170" t="s">
        <v>4</v>
      </c>
      <c r="I2170" t="s">
        <v>5</v>
      </c>
      <c r="J2170">
        <v>203.81</v>
      </c>
      <c r="K2170">
        <v>33.9</v>
      </c>
      <c r="L2170" t="s">
        <v>6</v>
      </c>
      <c r="M2170">
        <v>0</v>
      </c>
      <c r="N2170" t="str">
        <f t="shared" si="99"/>
        <v>40–59</v>
      </c>
      <c r="O2170" t="str">
        <f t="shared" si="100"/>
        <v>Obese</v>
      </c>
    </row>
    <row r="2171" spans="1:15" x14ac:dyDescent="0.3">
      <c r="A2171">
        <v>56791</v>
      </c>
      <c r="B2171" t="s">
        <v>2</v>
      </c>
      <c r="C2171">
        <v>9</v>
      </c>
      <c r="D2171">
        <v>0</v>
      </c>
      <c r="E2171">
        <v>0</v>
      </c>
      <c r="F2171" t="str">
        <f t="shared" si="101"/>
        <v>Lower Risk</v>
      </c>
      <c r="G2171" t="s">
        <v>13</v>
      </c>
      <c r="H2171" t="s">
        <v>16</v>
      </c>
      <c r="I2171" t="s">
        <v>5</v>
      </c>
      <c r="J2171">
        <v>170.76</v>
      </c>
      <c r="K2171">
        <v>20</v>
      </c>
      <c r="L2171" t="s">
        <v>14</v>
      </c>
      <c r="M2171">
        <v>0</v>
      </c>
      <c r="N2171" t="str">
        <f t="shared" si="99"/>
        <v>Under 40</v>
      </c>
      <c r="O2171" t="str">
        <f t="shared" si="100"/>
        <v>Normal</v>
      </c>
    </row>
    <row r="2172" spans="1:15" x14ac:dyDescent="0.3">
      <c r="A2172">
        <v>37320</v>
      </c>
      <c r="B2172" t="s">
        <v>7</v>
      </c>
      <c r="C2172">
        <v>77</v>
      </c>
      <c r="D2172">
        <v>0</v>
      </c>
      <c r="E2172">
        <v>0</v>
      </c>
      <c r="F2172" t="str">
        <f t="shared" si="101"/>
        <v>Moderate Risk</v>
      </c>
      <c r="G2172" t="s">
        <v>3</v>
      </c>
      <c r="H2172" t="s">
        <v>4</v>
      </c>
      <c r="I2172" t="s">
        <v>9</v>
      </c>
      <c r="J2172">
        <v>80.849999999999994</v>
      </c>
      <c r="K2172">
        <v>19.399999999999999</v>
      </c>
      <c r="L2172" t="s">
        <v>14</v>
      </c>
      <c r="M2172">
        <v>0</v>
      </c>
      <c r="N2172" t="str">
        <f t="shared" si="99"/>
        <v>60+</v>
      </c>
      <c r="O2172" t="str">
        <f t="shared" si="100"/>
        <v>Normal</v>
      </c>
    </row>
    <row r="2173" spans="1:15" x14ac:dyDescent="0.3">
      <c r="A2173">
        <v>72514</v>
      </c>
      <c r="B2173" t="s">
        <v>2</v>
      </c>
      <c r="C2173">
        <v>18</v>
      </c>
      <c r="D2173">
        <v>0</v>
      </c>
      <c r="E2173">
        <v>0</v>
      </c>
      <c r="F2173" t="str">
        <f t="shared" si="101"/>
        <v>Lower Risk</v>
      </c>
      <c r="G2173" t="s">
        <v>13</v>
      </c>
      <c r="H2173" t="s">
        <v>4</v>
      </c>
      <c r="I2173" t="s">
        <v>9</v>
      </c>
      <c r="J2173">
        <v>120.58</v>
      </c>
      <c r="K2173">
        <v>21.5</v>
      </c>
      <c r="L2173" t="s">
        <v>11</v>
      </c>
      <c r="M2173">
        <v>0</v>
      </c>
      <c r="N2173" t="str">
        <f t="shared" si="99"/>
        <v>Under 40</v>
      </c>
      <c r="O2173" t="str">
        <f t="shared" si="100"/>
        <v>Normal</v>
      </c>
    </row>
    <row r="2174" spans="1:15" x14ac:dyDescent="0.3">
      <c r="A2174">
        <v>3842</v>
      </c>
      <c r="B2174" t="s">
        <v>2</v>
      </c>
      <c r="C2174">
        <v>73</v>
      </c>
      <c r="D2174">
        <v>0</v>
      </c>
      <c r="E2174">
        <v>0</v>
      </c>
      <c r="F2174" t="str">
        <f t="shared" si="101"/>
        <v>Moderate Risk</v>
      </c>
      <c r="G2174" t="s">
        <v>3</v>
      </c>
      <c r="H2174" t="s">
        <v>4</v>
      </c>
      <c r="I2174" t="s">
        <v>9</v>
      </c>
      <c r="J2174">
        <v>86.57</v>
      </c>
      <c r="K2174">
        <v>28.5</v>
      </c>
      <c r="L2174" t="s">
        <v>6</v>
      </c>
      <c r="M2174">
        <v>0</v>
      </c>
      <c r="N2174" t="str">
        <f t="shared" si="99"/>
        <v>60+</v>
      </c>
      <c r="O2174" t="str">
        <f t="shared" si="100"/>
        <v>Overweight</v>
      </c>
    </row>
    <row r="2175" spans="1:15" x14ac:dyDescent="0.3">
      <c r="A2175">
        <v>38143</v>
      </c>
      <c r="B2175" t="s">
        <v>7</v>
      </c>
      <c r="C2175">
        <v>67</v>
      </c>
      <c r="D2175">
        <v>1</v>
      </c>
      <c r="E2175">
        <v>0</v>
      </c>
      <c r="F2175" t="str">
        <f t="shared" si="101"/>
        <v>High Risk</v>
      </c>
      <c r="G2175" t="s">
        <v>3</v>
      </c>
      <c r="H2175" t="s">
        <v>4</v>
      </c>
      <c r="I2175" t="s">
        <v>5</v>
      </c>
      <c r="J2175">
        <v>90.01</v>
      </c>
      <c r="K2175">
        <v>34.4</v>
      </c>
      <c r="L2175" t="s">
        <v>12</v>
      </c>
      <c r="M2175">
        <v>0</v>
      </c>
      <c r="N2175" t="str">
        <f t="shared" si="99"/>
        <v>60+</v>
      </c>
      <c r="O2175" t="str">
        <f t="shared" si="100"/>
        <v>Obese</v>
      </c>
    </row>
    <row r="2176" spans="1:15" x14ac:dyDescent="0.3">
      <c r="A2176">
        <v>54296</v>
      </c>
      <c r="B2176" t="s">
        <v>2</v>
      </c>
      <c r="C2176">
        <v>58</v>
      </c>
      <c r="D2176">
        <v>0</v>
      </c>
      <c r="E2176">
        <v>0</v>
      </c>
      <c r="F2176" t="str">
        <f t="shared" si="101"/>
        <v>Lower Risk</v>
      </c>
      <c r="G2176" t="s">
        <v>3</v>
      </c>
      <c r="H2176" t="s">
        <v>8</v>
      </c>
      <c r="I2176" t="s">
        <v>9</v>
      </c>
      <c r="J2176">
        <v>68.84</v>
      </c>
      <c r="K2176">
        <v>43.7</v>
      </c>
      <c r="L2176" t="s">
        <v>6</v>
      </c>
      <c r="M2176">
        <v>0</v>
      </c>
      <c r="N2176" t="str">
        <f t="shared" si="99"/>
        <v>40–59</v>
      </c>
      <c r="O2176" t="str">
        <f t="shared" si="100"/>
        <v>Obese</v>
      </c>
    </row>
    <row r="2177" spans="1:15" x14ac:dyDescent="0.3">
      <c r="A2177">
        <v>48435</v>
      </c>
      <c r="B2177" t="s">
        <v>7</v>
      </c>
      <c r="C2177">
        <v>2</v>
      </c>
      <c r="D2177">
        <v>0</v>
      </c>
      <c r="E2177">
        <v>0</v>
      </c>
      <c r="F2177" t="str">
        <f t="shared" si="101"/>
        <v>Lower Risk</v>
      </c>
      <c r="G2177" t="s">
        <v>13</v>
      </c>
      <c r="H2177" t="s">
        <v>16</v>
      </c>
      <c r="I2177" t="s">
        <v>9</v>
      </c>
      <c r="J2177">
        <v>155.13999999999999</v>
      </c>
      <c r="K2177">
        <v>13.7</v>
      </c>
      <c r="L2177" t="s">
        <v>14</v>
      </c>
      <c r="M2177">
        <v>0</v>
      </c>
      <c r="N2177" t="str">
        <f t="shared" si="99"/>
        <v>Under 40</v>
      </c>
      <c r="O2177" t="str">
        <f t="shared" si="100"/>
        <v>Underweight</v>
      </c>
    </row>
    <row r="2178" spans="1:15" x14ac:dyDescent="0.3">
      <c r="A2178">
        <v>42212</v>
      </c>
      <c r="B2178" t="s">
        <v>7</v>
      </c>
      <c r="C2178">
        <v>38</v>
      </c>
      <c r="D2178">
        <v>0</v>
      </c>
      <c r="E2178">
        <v>0</v>
      </c>
      <c r="F2178" t="str">
        <f t="shared" si="101"/>
        <v>Lower Risk</v>
      </c>
      <c r="G2178" t="s">
        <v>3</v>
      </c>
      <c r="H2178" t="s">
        <v>4</v>
      </c>
      <c r="I2178" t="s">
        <v>5</v>
      </c>
      <c r="J2178">
        <v>158.47999999999999</v>
      </c>
      <c r="K2178">
        <v>33.700000000000003</v>
      </c>
      <c r="L2178" t="s">
        <v>6</v>
      </c>
      <c r="M2178">
        <v>0</v>
      </c>
      <c r="N2178" t="str">
        <f t="shared" ref="N2178:N2241" si="102">IF(C2178&lt;40,"Under 40",IF(C2178&lt;60,"40–59","60+"))</f>
        <v>Under 40</v>
      </c>
      <c r="O2178" t="str">
        <f t="shared" ref="O2178:O2241" si="103">IF(K2178="N/A","Unknown",
IF(K2178="","Unknown",
IF(K2178&lt;18.5,"Underweight",
IF(K2178&lt;25,"Normal",
IF(K2178&lt;30,"Overweight","Obese")))))</f>
        <v>Obese</v>
      </c>
    </row>
    <row r="2179" spans="1:15" x14ac:dyDescent="0.3">
      <c r="A2179">
        <v>47607</v>
      </c>
      <c r="B2179" t="s">
        <v>2</v>
      </c>
      <c r="C2179">
        <v>5</v>
      </c>
      <c r="D2179">
        <v>0</v>
      </c>
      <c r="E2179">
        <v>0</v>
      </c>
      <c r="F2179" t="str">
        <f t="shared" ref="F2179:F2242" si="104">IF(C2179&gt;=60,
IF(OR(D2179=1,E2179=1),"High Risk","Moderate Risk"),
"Lower Risk")</f>
        <v>Lower Risk</v>
      </c>
      <c r="G2179" t="s">
        <v>13</v>
      </c>
      <c r="H2179" t="s">
        <v>16</v>
      </c>
      <c r="I2179" t="s">
        <v>9</v>
      </c>
      <c r="J2179">
        <v>92.56</v>
      </c>
      <c r="K2179">
        <v>18</v>
      </c>
      <c r="L2179" t="s">
        <v>14</v>
      </c>
      <c r="M2179">
        <v>0</v>
      </c>
      <c r="N2179" t="str">
        <f t="shared" si="102"/>
        <v>Under 40</v>
      </c>
      <c r="O2179" t="str">
        <f t="shared" si="103"/>
        <v>Underweight</v>
      </c>
    </row>
    <row r="2180" spans="1:15" x14ac:dyDescent="0.3">
      <c r="A2180">
        <v>16535</v>
      </c>
      <c r="B2180" t="s">
        <v>7</v>
      </c>
      <c r="C2180">
        <v>34</v>
      </c>
      <c r="D2180">
        <v>0</v>
      </c>
      <c r="E2180">
        <v>0</v>
      </c>
      <c r="F2180" t="str">
        <f t="shared" si="104"/>
        <v>Lower Risk</v>
      </c>
      <c r="G2180" t="s">
        <v>13</v>
      </c>
      <c r="H2180" t="s">
        <v>4</v>
      </c>
      <c r="I2180" t="s">
        <v>9</v>
      </c>
      <c r="J2180">
        <v>90.15</v>
      </c>
      <c r="K2180">
        <v>27.9</v>
      </c>
      <c r="L2180" t="s">
        <v>6</v>
      </c>
      <c r="M2180">
        <v>0</v>
      </c>
      <c r="N2180" t="str">
        <f t="shared" si="102"/>
        <v>Under 40</v>
      </c>
      <c r="O2180" t="str">
        <f t="shared" si="103"/>
        <v>Overweight</v>
      </c>
    </row>
    <row r="2181" spans="1:15" x14ac:dyDescent="0.3">
      <c r="A2181">
        <v>66677</v>
      </c>
      <c r="B2181" t="s">
        <v>2</v>
      </c>
      <c r="C2181">
        <v>78</v>
      </c>
      <c r="D2181">
        <v>0</v>
      </c>
      <c r="E2181">
        <v>0</v>
      </c>
      <c r="F2181" t="str">
        <f t="shared" si="104"/>
        <v>Moderate Risk</v>
      </c>
      <c r="G2181" t="s">
        <v>3</v>
      </c>
      <c r="H2181" t="s">
        <v>4</v>
      </c>
      <c r="I2181" t="s">
        <v>9</v>
      </c>
      <c r="J2181">
        <v>80.09</v>
      </c>
      <c r="K2181">
        <v>21.8</v>
      </c>
      <c r="L2181" t="s">
        <v>11</v>
      </c>
      <c r="M2181">
        <v>0</v>
      </c>
      <c r="N2181" t="str">
        <f t="shared" si="102"/>
        <v>60+</v>
      </c>
      <c r="O2181" t="str">
        <f t="shared" si="103"/>
        <v>Normal</v>
      </c>
    </row>
    <row r="2182" spans="1:15" x14ac:dyDescent="0.3">
      <c r="A2182">
        <v>57270</v>
      </c>
      <c r="B2182" t="s">
        <v>7</v>
      </c>
      <c r="C2182">
        <v>57</v>
      </c>
      <c r="D2182">
        <v>0</v>
      </c>
      <c r="E2182">
        <v>0</v>
      </c>
      <c r="F2182" t="str">
        <f t="shared" si="104"/>
        <v>Lower Risk</v>
      </c>
      <c r="G2182" t="s">
        <v>3</v>
      </c>
      <c r="H2182" t="s">
        <v>4</v>
      </c>
      <c r="I2182" t="s">
        <v>9</v>
      </c>
      <c r="J2182">
        <v>189.44</v>
      </c>
      <c r="K2182">
        <v>35.799999999999997</v>
      </c>
      <c r="L2182" t="s">
        <v>11</v>
      </c>
      <c r="M2182">
        <v>0</v>
      </c>
      <c r="N2182" t="str">
        <f t="shared" si="102"/>
        <v>40–59</v>
      </c>
      <c r="O2182" t="str">
        <f t="shared" si="103"/>
        <v>Obese</v>
      </c>
    </row>
    <row r="2183" spans="1:15" x14ac:dyDescent="0.3">
      <c r="A2183">
        <v>22414</v>
      </c>
      <c r="B2183" t="s">
        <v>7</v>
      </c>
      <c r="C2183">
        <v>17</v>
      </c>
      <c r="D2183">
        <v>0</v>
      </c>
      <c r="E2183">
        <v>0</v>
      </c>
      <c r="F2183" t="str">
        <f t="shared" si="104"/>
        <v>Lower Risk</v>
      </c>
      <c r="G2183" t="s">
        <v>13</v>
      </c>
      <c r="H2183" t="s">
        <v>4</v>
      </c>
      <c r="I2183" t="s">
        <v>9</v>
      </c>
      <c r="J2183">
        <v>70.03</v>
      </c>
      <c r="K2183">
        <v>23.1</v>
      </c>
      <c r="L2183" t="s">
        <v>12</v>
      </c>
      <c r="M2183">
        <v>0</v>
      </c>
      <c r="N2183" t="str">
        <f t="shared" si="102"/>
        <v>Under 40</v>
      </c>
      <c r="O2183" t="str">
        <f t="shared" si="103"/>
        <v>Normal</v>
      </c>
    </row>
    <row r="2184" spans="1:15" x14ac:dyDescent="0.3">
      <c r="A2184">
        <v>63401</v>
      </c>
      <c r="B2184" t="s">
        <v>7</v>
      </c>
      <c r="C2184">
        <v>71</v>
      </c>
      <c r="D2184">
        <v>0</v>
      </c>
      <c r="E2184">
        <v>0</v>
      </c>
      <c r="F2184" t="str">
        <f t="shared" si="104"/>
        <v>Moderate Risk</v>
      </c>
      <c r="G2184" t="s">
        <v>3</v>
      </c>
      <c r="H2184" t="s">
        <v>8</v>
      </c>
      <c r="I2184" t="s">
        <v>9</v>
      </c>
      <c r="J2184">
        <v>249.29</v>
      </c>
      <c r="K2184">
        <v>30.3</v>
      </c>
      <c r="L2184" t="s">
        <v>12</v>
      </c>
      <c r="M2184">
        <v>0</v>
      </c>
      <c r="N2184" t="str">
        <f t="shared" si="102"/>
        <v>60+</v>
      </c>
      <c r="O2184" t="str">
        <f t="shared" si="103"/>
        <v>Obese</v>
      </c>
    </row>
    <row r="2185" spans="1:15" x14ac:dyDescent="0.3">
      <c r="A2185">
        <v>32252</v>
      </c>
      <c r="B2185" t="s">
        <v>7</v>
      </c>
      <c r="C2185">
        <v>19</v>
      </c>
      <c r="D2185">
        <v>0</v>
      </c>
      <c r="E2185">
        <v>0</v>
      </c>
      <c r="F2185" t="str">
        <f t="shared" si="104"/>
        <v>Lower Risk</v>
      </c>
      <c r="G2185" t="s">
        <v>13</v>
      </c>
      <c r="H2185" t="s">
        <v>4</v>
      </c>
      <c r="I2185" t="s">
        <v>9</v>
      </c>
      <c r="J2185">
        <v>72.52</v>
      </c>
      <c r="K2185">
        <v>32</v>
      </c>
      <c r="L2185" t="s">
        <v>14</v>
      </c>
      <c r="M2185">
        <v>0</v>
      </c>
      <c r="N2185" t="str">
        <f t="shared" si="102"/>
        <v>Under 40</v>
      </c>
      <c r="O2185" t="str">
        <f t="shared" si="103"/>
        <v>Obese</v>
      </c>
    </row>
    <row r="2186" spans="1:15" x14ac:dyDescent="0.3">
      <c r="A2186">
        <v>17950</v>
      </c>
      <c r="B2186" t="s">
        <v>2</v>
      </c>
      <c r="C2186">
        <v>56</v>
      </c>
      <c r="D2186">
        <v>0</v>
      </c>
      <c r="E2186">
        <v>0</v>
      </c>
      <c r="F2186" t="str">
        <f t="shared" si="104"/>
        <v>Lower Risk</v>
      </c>
      <c r="G2186" t="s">
        <v>3</v>
      </c>
      <c r="H2186" t="s">
        <v>4</v>
      </c>
      <c r="I2186" t="s">
        <v>5</v>
      </c>
      <c r="J2186">
        <v>96.93</v>
      </c>
      <c r="K2186">
        <v>25</v>
      </c>
      <c r="L2186" t="s">
        <v>12</v>
      </c>
      <c r="M2186">
        <v>0</v>
      </c>
      <c r="N2186" t="str">
        <f t="shared" si="102"/>
        <v>40–59</v>
      </c>
      <c r="O2186" t="str">
        <f t="shared" si="103"/>
        <v>Overweight</v>
      </c>
    </row>
    <row r="2187" spans="1:15" x14ac:dyDescent="0.3">
      <c r="A2187">
        <v>53990</v>
      </c>
      <c r="B2187" t="s">
        <v>2</v>
      </c>
      <c r="C2187">
        <v>64</v>
      </c>
      <c r="D2187">
        <v>0</v>
      </c>
      <c r="E2187">
        <v>1</v>
      </c>
      <c r="F2187" t="str">
        <f t="shared" si="104"/>
        <v>High Risk</v>
      </c>
      <c r="G2187" t="s">
        <v>3</v>
      </c>
      <c r="H2187" t="s">
        <v>4</v>
      </c>
      <c r="I2187" t="s">
        <v>5</v>
      </c>
      <c r="J2187">
        <v>211.35</v>
      </c>
      <c r="K2187">
        <v>30.7</v>
      </c>
      <c r="L2187" t="s">
        <v>6</v>
      </c>
      <c r="M2187">
        <v>0</v>
      </c>
      <c r="N2187" t="str">
        <f t="shared" si="102"/>
        <v>60+</v>
      </c>
      <c r="O2187" t="str">
        <f t="shared" si="103"/>
        <v>Obese</v>
      </c>
    </row>
    <row r="2188" spans="1:15" x14ac:dyDescent="0.3">
      <c r="A2188">
        <v>20565</v>
      </c>
      <c r="B2188" t="s">
        <v>2</v>
      </c>
      <c r="C2188">
        <v>13</v>
      </c>
      <c r="D2188">
        <v>0</v>
      </c>
      <c r="E2188">
        <v>0</v>
      </c>
      <c r="F2188" t="str">
        <f t="shared" si="104"/>
        <v>Lower Risk</v>
      </c>
      <c r="G2188" t="s">
        <v>13</v>
      </c>
      <c r="H2188" t="s">
        <v>16</v>
      </c>
      <c r="I2188" t="s">
        <v>9</v>
      </c>
      <c r="J2188">
        <v>85.87</v>
      </c>
      <c r="K2188">
        <v>24.3</v>
      </c>
      <c r="L2188" t="s">
        <v>14</v>
      </c>
      <c r="M2188">
        <v>0</v>
      </c>
      <c r="N2188" t="str">
        <f t="shared" si="102"/>
        <v>Under 40</v>
      </c>
      <c r="O2188" t="str">
        <f t="shared" si="103"/>
        <v>Normal</v>
      </c>
    </row>
    <row r="2189" spans="1:15" x14ac:dyDescent="0.3">
      <c r="A2189">
        <v>59993</v>
      </c>
      <c r="B2189" t="s">
        <v>2</v>
      </c>
      <c r="C2189">
        <v>40</v>
      </c>
      <c r="D2189">
        <v>0</v>
      </c>
      <c r="E2189">
        <v>0</v>
      </c>
      <c r="F2189" t="str">
        <f t="shared" si="104"/>
        <v>Lower Risk</v>
      </c>
      <c r="G2189" t="s">
        <v>3</v>
      </c>
      <c r="H2189" t="s">
        <v>4</v>
      </c>
      <c r="I2189" t="s">
        <v>9</v>
      </c>
      <c r="J2189">
        <v>60.96</v>
      </c>
      <c r="K2189">
        <v>11.5</v>
      </c>
      <c r="L2189" t="s">
        <v>11</v>
      </c>
      <c r="M2189">
        <v>0</v>
      </c>
      <c r="N2189" t="str">
        <f t="shared" si="102"/>
        <v>40–59</v>
      </c>
      <c r="O2189" t="str">
        <f t="shared" si="103"/>
        <v>Underweight</v>
      </c>
    </row>
    <row r="2190" spans="1:15" x14ac:dyDescent="0.3">
      <c r="A2190">
        <v>42830</v>
      </c>
      <c r="B2190" t="s">
        <v>2</v>
      </c>
      <c r="C2190">
        <v>80</v>
      </c>
      <c r="D2190">
        <v>0</v>
      </c>
      <c r="E2190">
        <v>1</v>
      </c>
      <c r="F2190" t="str">
        <f t="shared" si="104"/>
        <v>High Risk</v>
      </c>
      <c r="G2190" t="s">
        <v>3</v>
      </c>
      <c r="H2190" t="s">
        <v>4</v>
      </c>
      <c r="I2190" t="s">
        <v>5</v>
      </c>
      <c r="J2190">
        <v>120.09</v>
      </c>
      <c r="K2190">
        <v>30.7</v>
      </c>
      <c r="L2190" t="s">
        <v>11</v>
      </c>
      <c r="M2190">
        <v>0</v>
      </c>
      <c r="N2190" t="str">
        <f t="shared" si="102"/>
        <v>60+</v>
      </c>
      <c r="O2190" t="str">
        <f t="shared" si="103"/>
        <v>Obese</v>
      </c>
    </row>
    <row r="2191" spans="1:15" x14ac:dyDescent="0.3">
      <c r="A2191">
        <v>34721</v>
      </c>
      <c r="B2191" t="s">
        <v>7</v>
      </c>
      <c r="C2191">
        <v>62</v>
      </c>
      <c r="D2191">
        <v>1</v>
      </c>
      <c r="E2191">
        <v>0</v>
      </c>
      <c r="F2191" t="str">
        <f t="shared" si="104"/>
        <v>High Risk</v>
      </c>
      <c r="G2191" t="s">
        <v>3</v>
      </c>
      <c r="H2191" t="s">
        <v>15</v>
      </c>
      <c r="I2191" t="s">
        <v>5</v>
      </c>
      <c r="J2191">
        <v>92.13</v>
      </c>
      <c r="K2191">
        <v>33.700000000000003</v>
      </c>
      <c r="L2191" t="s">
        <v>11</v>
      </c>
      <c r="M2191">
        <v>0</v>
      </c>
      <c r="N2191" t="str">
        <f t="shared" si="102"/>
        <v>60+</v>
      </c>
      <c r="O2191" t="str">
        <f t="shared" si="103"/>
        <v>Obese</v>
      </c>
    </row>
    <row r="2192" spans="1:15" x14ac:dyDescent="0.3">
      <c r="A2192">
        <v>5157</v>
      </c>
      <c r="B2192" t="s">
        <v>2</v>
      </c>
      <c r="C2192">
        <v>79</v>
      </c>
      <c r="D2192">
        <v>1</v>
      </c>
      <c r="E2192">
        <v>0</v>
      </c>
      <c r="F2192" t="str">
        <f t="shared" si="104"/>
        <v>High Risk</v>
      </c>
      <c r="G2192" t="s">
        <v>3</v>
      </c>
      <c r="H2192" t="s">
        <v>8</v>
      </c>
      <c r="I2192" t="s">
        <v>5</v>
      </c>
      <c r="J2192">
        <v>83.07</v>
      </c>
      <c r="K2192">
        <v>26.5</v>
      </c>
      <c r="L2192" t="s">
        <v>12</v>
      </c>
      <c r="M2192">
        <v>0</v>
      </c>
      <c r="N2192" t="str">
        <f t="shared" si="102"/>
        <v>60+</v>
      </c>
      <c r="O2192" t="str">
        <f t="shared" si="103"/>
        <v>Overweight</v>
      </c>
    </row>
    <row r="2193" spans="1:15" x14ac:dyDescent="0.3">
      <c r="A2193">
        <v>48851</v>
      </c>
      <c r="B2193" t="s">
        <v>7</v>
      </c>
      <c r="C2193">
        <v>9</v>
      </c>
      <c r="D2193">
        <v>0</v>
      </c>
      <c r="E2193">
        <v>0</v>
      </c>
      <c r="F2193" t="str">
        <f t="shared" si="104"/>
        <v>Lower Risk</v>
      </c>
      <c r="G2193" t="s">
        <v>13</v>
      </c>
      <c r="H2193" t="s">
        <v>16</v>
      </c>
      <c r="I2193" t="s">
        <v>9</v>
      </c>
      <c r="J2193">
        <v>77.67</v>
      </c>
      <c r="K2193">
        <v>17.600000000000001</v>
      </c>
      <c r="L2193" t="s">
        <v>14</v>
      </c>
      <c r="M2193">
        <v>0</v>
      </c>
      <c r="N2193" t="str">
        <f t="shared" si="102"/>
        <v>Under 40</v>
      </c>
      <c r="O2193" t="str">
        <f t="shared" si="103"/>
        <v>Underweight</v>
      </c>
    </row>
    <row r="2194" spans="1:15" x14ac:dyDescent="0.3">
      <c r="A2194">
        <v>26084</v>
      </c>
      <c r="B2194" t="s">
        <v>7</v>
      </c>
      <c r="C2194">
        <v>77</v>
      </c>
      <c r="D2194">
        <v>1</v>
      </c>
      <c r="E2194">
        <v>0</v>
      </c>
      <c r="F2194" t="str">
        <f t="shared" si="104"/>
        <v>High Risk</v>
      </c>
      <c r="G2194" t="s">
        <v>3</v>
      </c>
      <c r="H2194" t="s">
        <v>8</v>
      </c>
      <c r="I2194" t="s">
        <v>5</v>
      </c>
      <c r="J2194">
        <v>109.51</v>
      </c>
      <c r="K2194" t="s">
        <v>10</v>
      </c>
      <c r="L2194" t="s">
        <v>11</v>
      </c>
      <c r="M2194">
        <v>0</v>
      </c>
      <c r="N2194" t="str">
        <f t="shared" si="102"/>
        <v>60+</v>
      </c>
      <c r="O2194" t="str">
        <f t="shared" si="103"/>
        <v>Unknown</v>
      </c>
    </row>
    <row r="2195" spans="1:15" x14ac:dyDescent="0.3">
      <c r="A2195">
        <v>23413</v>
      </c>
      <c r="B2195" t="s">
        <v>7</v>
      </c>
      <c r="C2195">
        <v>26</v>
      </c>
      <c r="D2195">
        <v>0</v>
      </c>
      <c r="E2195">
        <v>0</v>
      </c>
      <c r="F2195" t="str">
        <f t="shared" si="104"/>
        <v>Lower Risk</v>
      </c>
      <c r="G2195" t="s">
        <v>13</v>
      </c>
      <c r="H2195" t="s">
        <v>4</v>
      </c>
      <c r="I2195" t="s">
        <v>5</v>
      </c>
      <c r="J2195">
        <v>97.24</v>
      </c>
      <c r="K2195">
        <v>22.5</v>
      </c>
      <c r="L2195" t="s">
        <v>11</v>
      </c>
      <c r="M2195">
        <v>0</v>
      </c>
      <c r="N2195" t="str">
        <f t="shared" si="102"/>
        <v>Under 40</v>
      </c>
      <c r="O2195" t="str">
        <f t="shared" si="103"/>
        <v>Normal</v>
      </c>
    </row>
    <row r="2196" spans="1:15" x14ac:dyDescent="0.3">
      <c r="A2196">
        <v>49970</v>
      </c>
      <c r="B2196" t="s">
        <v>2</v>
      </c>
      <c r="C2196">
        <v>1.72</v>
      </c>
      <c r="D2196">
        <v>0</v>
      </c>
      <c r="E2196">
        <v>0</v>
      </c>
      <c r="F2196" t="str">
        <f t="shared" si="104"/>
        <v>Lower Risk</v>
      </c>
      <c r="G2196" t="s">
        <v>13</v>
      </c>
      <c r="H2196" t="s">
        <v>16</v>
      </c>
      <c r="I2196" t="s">
        <v>9</v>
      </c>
      <c r="J2196">
        <v>127.29</v>
      </c>
      <c r="K2196">
        <v>18.5</v>
      </c>
      <c r="L2196" t="s">
        <v>14</v>
      </c>
      <c r="M2196">
        <v>0</v>
      </c>
      <c r="N2196" t="str">
        <f t="shared" si="102"/>
        <v>Under 40</v>
      </c>
      <c r="O2196" t="str">
        <f t="shared" si="103"/>
        <v>Normal</v>
      </c>
    </row>
    <row r="2197" spans="1:15" x14ac:dyDescent="0.3">
      <c r="A2197">
        <v>72414</v>
      </c>
      <c r="B2197" t="s">
        <v>2</v>
      </c>
      <c r="C2197">
        <v>16</v>
      </c>
      <c r="D2197">
        <v>0</v>
      </c>
      <c r="E2197">
        <v>0</v>
      </c>
      <c r="F2197" t="str">
        <f t="shared" si="104"/>
        <v>Lower Risk</v>
      </c>
      <c r="G2197" t="s">
        <v>13</v>
      </c>
      <c r="H2197" t="s">
        <v>4</v>
      </c>
      <c r="I2197" t="s">
        <v>5</v>
      </c>
      <c r="J2197">
        <v>134.80000000000001</v>
      </c>
      <c r="K2197">
        <v>22.4</v>
      </c>
      <c r="L2197" t="s">
        <v>11</v>
      </c>
      <c r="M2197">
        <v>0</v>
      </c>
      <c r="N2197" t="str">
        <f t="shared" si="102"/>
        <v>Under 40</v>
      </c>
      <c r="O2197" t="str">
        <f t="shared" si="103"/>
        <v>Normal</v>
      </c>
    </row>
    <row r="2198" spans="1:15" x14ac:dyDescent="0.3">
      <c r="A2198">
        <v>21374</v>
      </c>
      <c r="B2198" t="s">
        <v>7</v>
      </c>
      <c r="C2198">
        <v>40</v>
      </c>
      <c r="D2198">
        <v>0</v>
      </c>
      <c r="E2198">
        <v>0</v>
      </c>
      <c r="F2198" t="str">
        <f t="shared" si="104"/>
        <v>Lower Risk</v>
      </c>
      <c r="G2198" t="s">
        <v>3</v>
      </c>
      <c r="H2198" t="s">
        <v>4</v>
      </c>
      <c r="I2198" t="s">
        <v>5</v>
      </c>
      <c r="J2198">
        <v>74.650000000000006</v>
      </c>
      <c r="K2198">
        <v>25.3</v>
      </c>
      <c r="L2198" t="s">
        <v>6</v>
      </c>
      <c r="M2198">
        <v>0</v>
      </c>
      <c r="N2198" t="str">
        <f t="shared" si="102"/>
        <v>40–59</v>
      </c>
      <c r="O2198" t="str">
        <f t="shared" si="103"/>
        <v>Overweight</v>
      </c>
    </row>
    <row r="2199" spans="1:15" x14ac:dyDescent="0.3">
      <c r="A2199">
        <v>69623</v>
      </c>
      <c r="B2199" t="s">
        <v>2</v>
      </c>
      <c r="C2199">
        <v>46</v>
      </c>
      <c r="D2199">
        <v>0</v>
      </c>
      <c r="E2199">
        <v>0</v>
      </c>
      <c r="F2199" t="str">
        <f t="shared" si="104"/>
        <v>Lower Risk</v>
      </c>
      <c r="G2199" t="s">
        <v>3</v>
      </c>
      <c r="H2199" t="s">
        <v>4</v>
      </c>
      <c r="I2199" t="s">
        <v>5</v>
      </c>
      <c r="J2199">
        <v>85.84</v>
      </c>
      <c r="K2199">
        <v>37.299999999999997</v>
      </c>
      <c r="L2199" t="s">
        <v>11</v>
      </c>
      <c r="M2199">
        <v>0</v>
      </c>
      <c r="N2199" t="str">
        <f t="shared" si="102"/>
        <v>40–59</v>
      </c>
      <c r="O2199" t="str">
        <f t="shared" si="103"/>
        <v>Obese</v>
      </c>
    </row>
    <row r="2200" spans="1:15" x14ac:dyDescent="0.3">
      <c r="A2200">
        <v>40378</v>
      </c>
      <c r="B2200" t="s">
        <v>2</v>
      </c>
      <c r="C2200">
        <v>45</v>
      </c>
      <c r="D2200">
        <v>1</v>
      </c>
      <c r="E2200">
        <v>0</v>
      </c>
      <c r="F2200" t="str">
        <f t="shared" si="104"/>
        <v>Lower Risk</v>
      </c>
      <c r="G2200" t="s">
        <v>3</v>
      </c>
      <c r="H2200" t="s">
        <v>8</v>
      </c>
      <c r="I2200" t="s">
        <v>5</v>
      </c>
      <c r="J2200">
        <v>90.43</v>
      </c>
      <c r="K2200">
        <v>39.700000000000003</v>
      </c>
      <c r="L2200" t="s">
        <v>12</v>
      </c>
      <c r="M2200">
        <v>0</v>
      </c>
      <c r="N2200" t="str">
        <f t="shared" si="102"/>
        <v>40–59</v>
      </c>
      <c r="O2200" t="str">
        <f t="shared" si="103"/>
        <v>Obese</v>
      </c>
    </row>
    <row r="2201" spans="1:15" x14ac:dyDescent="0.3">
      <c r="A2201">
        <v>4671</v>
      </c>
      <c r="B2201" t="s">
        <v>7</v>
      </c>
      <c r="C2201">
        <v>59</v>
      </c>
      <c r="D2201">
        <v>0</v>
      </c>
      <c r="E2201">
        <v>0</v>
      </c>
      <c r="F2201" t="str">
        <f t="shared" si="104"/>
        <v>Lower Risk</v>
      </c>
      <c r="G2201" t="s">
        <v>13</v>
      </c>
      <c r="H2201" t="s">
        <v>4</v>
      </c>
      <c r="I2201" t="s">
        <v>5</v>
      </c>
      <c r="J2201">
        <v>74.349999999999994</v>
      </c>
      <c r="K2201">
        <v>28</v>
      </c>
      <c r="L2201" t="s">
        <v>11</v>
      </c>
      <c r="M2201">
        <v>0</v>
      </c>
      <c r="N2201" t="str">
        <f t="shared" si="102"/>
        <v>40–59</v>
      </c>
      <c r="O2201" t="str">
        <f t="shared" si="103"/>
        <v>Overweight</v>
      </c>
    </row>
    <row r="2202" spans="1:15" x14ac:dyDescent="0.3">
      <c r="A2202">
        <v>17295</v>
      </c>
      <c r="B2202" t="s">
        <v>7</v>
      </c>
      <c r="C2202">
        <v>31</v>
      </c>
      <c r="D2202">
        <v>0</v>
      </c>
      <c r="E2202">
        <v>0</v>
      </c>
      <c r="F2202" t="str">
        <f t="shared" si="104"/>
        <v>Lower Risk</v>
      </c>
      <c r="G2202" t="s">
        <v>3</v>
      </c>
      <c r="H2202" t="s">
        <v>8</v>
      </c>
      <c r="I2202" t="s">
        <v>5</v>
      </c>
      <c r="J2202">
        <v>206.59</v>
      </c>
      <c r="K2202">
        <v>41.4</v>
      </c>
      <c r="L2202" t="s">
        <v>12</v>
      </c>
      <c r="M2202">
        <v>0</v>
      </c>
      <c r="N2202" t="str">
        <f t="shared" si="102"/>
        <v>Under 40</v>
      </c>
      <c r="O2202" t="str">
        <f t="shared" si="103"/>
        <v>Obese</v>
      </c>
    </row>
    <row r="2203" spans="1:15" x14ac:dyDescent="0.3">
      <c r="A2203">
        <v>55466</v>
      </c>
      <c r="B2203" t="s">
        <v>7</v>
      </c>
      <c r="C2203">
        <v>69</v>
      </c>
      <c r="D2203">
        <v>0</v>
      </c>
      <c r="E2203">
        <v>1</v>
      </c>
      <c r="F2203" t="str">
        <f t="shared" si="104"/>
        <v>High Risk</v>
      </c>
      <c r="G2203" t="s">
        <v>3</v>
      </c>
      <c r="H2203" t="s">
        <v>4</v>
      </c>
      <c r="I2203" t="s">
        <v>5</v>
      </c>
      <c r="J2203">
        <v>196.33</v>
      </c>
      <c r="K2203">
        <v>25.3</v>
      </c>
      <c r="L2203" t="s">
        <v>11</v>
      </c>
      <c r="M2203">
        <v>0</v>
      </c>
      <c r="N2203" t="str">
        <f t="shared" si="102"/>
        <v>60+</v>
      </c>
      <c r="O2203" t="str">
        <f t="shared" si="103"/>
        <v>Overweight</v>
      </c>
    </row>
    <row r="2204" spans="1:15" x14ac:dyDescent="0.3">
      <c r="A2204">
        <v>65419</v>
      </c>
      <c r="B2204" t="s">
        <v>2</v>
      </c>
      <c r="C2204">
        <v>73</v>
      </c>
      <c r="D2204">
        <v>0</v>
      </c>
      <c r="E2204">
        <v>1</v>
      </c>
      <c r="F2204" t="str">
        <f t="shared" si="104"/>
        <v>High Risk</v>
      </c>
      <c r="G2204" t="s">
        <v>3</v>
      </c>
      <c r="H2204" t="s">
        <v>15</v>
      </c>
      <c r="I2204" t="s">
        <v>9</v>
      </c>
      <c r="J2204">
        <v>70.23</v>
      </c>
      <c r="K2204">
        <v>28.1</v>
      </c>
      <c r="L2204" t="s">
        <v>11</v>
      </c>
      <c r="M2204">
        <v>0</v>
      </c>
      <c r="N2204" t="str">
        <f t="shared" si="102"/>
        <v>60+</v>
      </c>
      <c r="O2204" t="str">
        <f t="shared" si="103"/>
        <v>Overweight</v>
      </c>
    </row>
    <row r="2205" spans="1:15" x14ac:dyDescent="0.3">
      <c r="A2205">
        <v>34448</v>
      </c>
      <c r="B2205" t="s">
        <v>7</v>
      </c>
      <c r="C2205">
        <v>56</v>
      </c>
      <c r="D2205">
        <v>0</v>
      </c>
      <c r="E2205">
        <v>0</v>
      </c>
      <c r="F2205" t="str">
        <f t="shared" si="104"/>
        <v>Lower Risk</v>
      </c>
      <c r="G2205" t="s">
        <v>3</v>
      </c>
      <c r="H2205" t="s">
        <v>8</v>
      </c>
      <c r="I2205" t="s">
        <v>5</v>
      </c>
      <c r="J2205">
        <v>242.94</v>
      </c>
      <c r="K2205">
        <v>41.2</v>
      </c>
      <c r="L2205" t="s">
        <v>11</v>
      </c>
      <c r="M2205">
        <v>0</v>
      </c>
      <c r="N2205" t="str">
        <f t="shared" si="102"/>
        <v>40–59</v>
      </c>
      <c r="O2205" t="str">
        <f t="shared" si="103"/>
        <v>Obese</v>
      </c>
    </row>
    <row r="2206" spans="1:15" x14ac:dyDescent="0.3">
      <c r="A2206">
        <v>14406</v>
      </c>
      <c r="B2206" t="s">
        <v>7</v>
      </c>
      <c r="C2206">
        <v>80</v>
      </c>
      <c r="D2206">
        <v>0</v>
      </c>
      <c r="E2206">
        <v>1</v>
      </c>
      <c r="F2206" t="str">
        <f t="shared" si="104"/>
        <v>High Risk</v>
      </c>
      <c r="G2206" t="s">
        <v>3</v>
      </c>
      <c r="H2206" t="s">
        <v>8</v>
      </c>
      <c r="I2206" t="s">
        <v>9</v>
      </c>
      <c r="J2206">
        <v>103.06</v>
      </c>
      <c r="K2206">
        <v>28.8</v>
      </c>
      <c r="L2206" t="s">
        <v>11</v>
      </c>
      <c r="M2206">
        <v>0</v>
      </c>
      <c r="N2206" t="str">
        <f t="shared" si="102"/>
        <v>60+</v>
      </c>
      <c r="O2206" t="str">
        <f t="shared" si="103"/>
        <v>Overweight</v>
      </c>
    </row>
    <row r="2207" spans="1:15" x14ac:dyDescent="0.3">
      <c r="A2207">
        <v>924</v>
      </c>
      <c r="B2207" t="s">
        <v>7</v>
      </c>
      <c r="C2207">
        <v>60</v>
      </c>
      <c r="D2207">
        <v>0</v>
      </c>
      <c r="E2207">
        <v>0</v>
      </c>
      <c r="F2207" t="str">
        <f t="shared" si="104"/>
        <v>Moderate Risk</v>
      </c>
      <c r="G2207" t="s">
        <v>3</v>
      </c>
      <c r="H2207" t="s">
        <v>15</v>
      </c>
      <c r="I2207" t="s">
        <v>5</v>
      </c>
      <c r="J2207">
        <v>80.86</v>
      </c>
      <c r="K2207">
        <v>31</v>
      </c>
      <c r="L2207" t="s">
        <v>12</v>
      </c>
      <c r="M2207">
        <v>0</v>
      </c>
      <c r="N2207" t="str">
        <f t="shared" si="102"/>
        <v>60+</v>
      </c>
      <c r="O2207" t="str">
        <f t="shared" si="103"/>
        <v>Obese</v>
      </c>
    </row>
    <row r="2208" spans="1:15" x14ac:dyDescent="0.3">
      <c r="A2208">
        <v>71339</v>
      </c>
      <c r="B2208" t="s">
        <v>7</v>
      </c>
      <c r="C2208">
        <v>40</v>
      </c>
      <c r="D2208">
        <v>0</v>
      </c>
      <c r="E2208">
        <v>0</v>
      </c>
      <c r="F2208" t="str">
        <f t="shared" si="104"/>
        <v>Lower Risk</v>
      </c>
      <c r="G2208" t="s">
        <v>3</v>
      </c>
      <c r="H2208" t="s">
        <v>15</v>
      </c>
      <c r="I2208" t="s">
        <v>5</v>
      </c>
      <c r="J2208">
        <v>114.32</v>
      </c>
      <c r="K2208">
        <v>28.3</v>
      </c>
      <c r="L2208" t="s">
        <v>12</v>
      </c>
      <c r="M2208">
        <v>0</v>
      </c>
      <c r="N2208" t="str">
        <f t="shared" si="102"/>
        <v>40–59</v>
      </c>
      <c r="O2208" t="str">
        <f t="shared" si="103"/>
        <v>Overweight</v>
      </c>
    </row>
    <row r="2209" spans="1:15" x14ac:dyDescent="0.3">
      <c r="A2209">
        <v>31443</v>
      </c>
      <c r="B2209" t="s">
        <v>7</v>
      </c>
      <c r="C2209">
        <v>30</v>
      </c>
      <c r="D2209">
        <v>0</v>
      </c>
      <c r="E2209">
        <v>0</v>
      </c>
      <c r="F2209" t="str">
        <f t="shared" si="104"/>
        <v>Lower Risk</v>
      </c>
      <c r="G2209" t="s">
        <v>3</v>
      </c>
      <c r="H2209" t="s">
        <v>15</v>
      </c>
      <c r="I2209" t="s">
        <v>5</v>
      </c>
      <c r="J2209">
        <v>83.91</v>
      </c>
      <c r="K2209">
        <v>23.9</v>
      </c>
      <c r="L2209" t="s">
        <v>14</v>
      </c>
      <c r="M2209">
        <v>0</v>
      </c>
      <c r="N2209" t="str">
        <f t="shared" si="102"/>
        <v>Under 40</v>
      </c>
      <c r="O2209" t="str">
        <f t="shared" si="103"/>
        <v>Normal</v>
      </c>
    </row>
    <row r="2210" spans="1:15" x14ac:dyDescent="0.3">
      <c r="A2210">
        <v>49672</v>
      </c>
      <c r="B2210" t="s">
        <v>7</v>
      </c>
      <c r="C2210">
        <v>66</v>
      </c>
      <c r="D2210">
        <v>0</v>
      </c>
      <c r="E2210">
        <v>0</v>
      </c>
      <c r="F2210" t="str">
        <f t="shared" si="104"/>
        <v>Moderate Risk</v>
      </c>
      <c r="G2210" t="s">
        <v>3</v>
      </c>
      <c r="H2210" t="s">
        <v>15</v>
      </c>
      <c r="I2210" t="s">
        <v>9</v>
      </c>
      <c r="J2210">
        <v>152.02000000000001</v>
      </c>
      <c r="K2210">
        <v>44.2</v>
      </c>
      <c r="L2210" t="s">
        <v>6</v>
      </c>
      <c r="M2210">
        <v>0</v>
      </c>
      <c r="N2210" t="str">
        <f t="shared" si="102"/>
        <v>60+</v>
      </c>
      <c r="O2210" t="str">
        <f t="shared" si="103"/>
        <v>Obese</v>
      </c>
    </row>
    <row r="2211" spans="1:15" x14ac:dyDescent="0.3">
      <c r="A2211">
        <v>394</v>
      </c>
      <c r="B2211" t="s">
        <v>2</v>
      </c>
      <c r="C2211">
        <v>78</v>
      </c>
      <c r="D2211">
        <v>1</v>
      </c>
      <c r="E2211">
        <v>0</v>
      </c>
      <c r="F2211" t="str">
        <f t="shared" si="104"/>
        <v>High Risk</v>
      </c>
      <c r="G2211" t="s">
        <v>3</v>
      </c>
      <c r="H2211" t="s">
        <v>8</v>
      </c>
      <c r="I2211" t="s">
        <v>9</v>
      </c>
      <c r="J2211">
        <v>75.19</v>
      </c>
      <c r="K2211">
        <v>27.6</v>
      </c>
      <c r="L2211" t="s">
        <v>11</v>
      </c>
      <c r="M2211">
        <v>0</v>
      </c>
      <c r="N2211" t="str">
        <f t="shared" si="102"/>
        <v>60+</v>
      </c>
      <c r="O2211" t="str">
        <f t="shared" si="103"/>
        <v>Overweight</v>
      </c>
    </row>
    <row r="2212" spans="1:15" x14ac:dyDescent="0.3">
      <c r="A2212">
        <v>63362</v>
      </c>
      <c r="B2212" t="s">
        <v>7</v>
      </c>
      <c r="C2212">
        <v>37</v>
      </c>
      <c r="D2212">
        <v>0</v>
      </c>
      <c r="E2212">
        <v>0</v>
      </c>
      <c r="F2212" t="str">
        <f t="shared" si="104"/>
        <v>Lower Risk</v>
      </c>
      <c r="G2212" t="s">
        <v>3</v>
      </c>
      <c r="H2212" t="s">
        <v>4</v>
      </c>
      <c r="I2212" t="s">
        <v>5</v>
      </c>
      <c r="J2212">
        <v>60.61</v>
      </c>
      <c r="K2212">
        <v>35.700000000000003</v>
      </c>
      <c r="L2212" t="s">
        <v>6</v>
      </c>
      <c r="M2212">
        <v>0</v>
      </c>
      <c r="N2212" t="str">
        <f t="shared" si="102"/>
        <v>Under 40</v>
      </c>
      <c r="O2212" t="str">
        <f t="shared" si="103"/>
        <v>Obese</v>
      </c>
    </row>
    <row r="2213" spans="1:15" x14ac:dyDescent="0.3">
      <c r="A2213">
        <v>59928</v>
      </c>
      <c r="B2213" t="s">
        <v>7</v>
      </c>
      <c r="C2213">
        <v>41</v>
      </c>
      <c r="D2213">
        <v>0</v>
      </c>
      <c r="E2213">
        <v>0</v>
      </c>
      <c r="F2213" t="str">
        <f t="shared" si="104"/>
        <v>Lower Risk</v>
      </c>
      <c r="G2213" t="s">
        <v>3</v>
      </c>
      <c r="H2213" t="s">
        <v>8</v>
      </c>
      <c r="I2213" t="s">
        <v>9</v>
      </c>
      <c r="J2213">
        <v>89.14</v>
      </c>
      <c r="K2213">
        <v>37.4</v>
      </c>
      <c r="L2213" t="s">
        <v>6</v>
      </c>
      <c r="M2213">
        <v>0</v>
      </c>
      <c r="N2213" t="str">
        <f t="shared" si="102"/>
        <v>40–59</v>
      </c>
      <c r="O2213" t="str">
        <f t="shared" si="103"/>
        <v>Obese</v>
      </c>
    </row>
    <row r="2214" spans="1:15" x14ac:dyDescent="0.3">
      <c r="A2214">
        <v>62289</v>
      </c>
      <c r="B2214" t="s">
        <v>7</v>
      </c>
      <c r="C2214">
        <v>34</v>
      </c>
      <c r="D2214">
        <v>0</v>
      </c>
      <c r="E2214">
        <v>0</v>
      </c>
      <c r="F2214" t="str">
        <f t="shared" si="104"/>
        <v>Lower Risk</v>
      </c>
      <c r="G2214" t="s">
        <v>3</v>
      </c>
      <c r="H2214" t="s">
        <v>4</v>
      </c>
      <c r="I2214" t="s">
        <v>5</v>
      </c>
      <c r="J2214">
        <v>97.23</v>
      </c>
      <c r="K2214">
        <v>27.5</v>
      </c>
      <c r="L2214" t="s">
        <v>14</v>
      </c>
      <c r="M2214">
        <v>0</v>
      </c>
      <c r="N2214" t="str">
        <f t="shared" si="102"/>
        <v>Under 40</v>
      </c>
      <c r="O2214" t="str">
        <f t="shared" si="103"/>
        <v>Overweight</v>
      </c>
    </row>
    <row r="2215" spans="1:15" x14ac:dyDescent="0.3">
      <c r="A2215">
        <v>59464</v>
      </c>
      <c r="B2215" t="s">
        <v>7</v>
      </c>
      <c r="C2215">
        <v>18</v>
      </c>
      <c r="D2215">
        <v>0</v>
      </c>
      <c r="E2215">
        <v>0</v>
      </c>
      <c r="F2215" t="str">
        <f t="shared" si="104"/>
        <v>Lower Risk</v>
      </c>
      <c r="G2215" t="s">
        <v>13</v>
      </c>
      <c r="H2215" t="s">
        <v>4</v>
      </c>
      <c r="I2215" t="s">
        <v>9</v>
      </c>
      <c r="J2215">
        <v>135.19</v>
      </c>
      <c r="K2215">
        <v>23.4</v>
      </c>
      <c r="L2215" t="s">
        <v>11</v>
      </c>
      <c r="M2215">
        <v>0</v>
      </c>
      <c r="N2215" t="str">
        <f t="shared" si="102"/>
        <v>Under 40</v>
      </c>
      <c r="O2215" t="str">
        <f t="shared" si="103"/>
        <v>Normal</v>
      </c>
    </row>
    <row r="2216" spans="1:15" x14ac:dyDescent="0.3">
      <c r="A2216">
        <v>18680</v>
      </c>
      <c r="B2216" t="s">
        <v>2</v>
      </c>
      <c r="C2216">
        <v>69</v>
      </c>
      <c r="D2216">
        <v>0</v>
      </c>
      <c r="E2216">
        <v>0</v>
      </c>
      <c r="F2216" t="str">
        <f t="shared" si="104"/>
        <v>Moderate Risk</v>
      </c>
      <c r="G2216" t="s">
        <v>3</v>
      </c>
      <c r="H2216" t="s">
        <v>8</v>
      </c>
      <c r="I2216" t="s">
        <v>5</v>
      </c>
      <c r="J2216">
        <v>78.48</v>
      </c>
      <c r="K2216">
        <v>25.8</v>
      </c>
      <c r="L2216" t="s">
        <v>6</v>
      </c>
      <c r="M2216">
        <v>0</v>
      </c>
      <c r="N2216" t="str">
        <f t="shared" si="102"/>
        <v>60+</v>
      </c>
      <c r="O2216" t="str">
        <f t="shared" si="103"/>
        <v>Overweight</v>
      </c>
    </row>
    <row r="2217" spans="1:15" x14ac:dyDescent="0.3">
      <c r="A2217">
        <v>19439</v>
      </c>
      <c r="B2217" t="s">
        <v>2</v>
      </c>
      <c r="C2217">
        <v>67</v>
      </c>
      <c r="D2217">
        <v>0</v>
      </c>
      <c r="E2217">
        <v>1</v>
      </c>
      <c r="F2217" t="str">
        <f t="shared" si="104"/>
        <v>High Risk</v>
      </c>
      <c r="G2217" t="s">
        <v>3</v>
      </c>
      <c r="H2217" t="s">
        <v>4</v>
      </c>
      <c r="I2217" t="s">
        <v>9</v>
      </c>
      <c r="J2217">
        <v>97.24</v>
      </c>
      <c r="K2217" t="s">
        <v>10</v>
      </c>
      <c r="L2217" t="s">
        <v>14</v>
      </c>
      <c r="M2217">
        <v>0</v>
      </c>
      <c r="N2217" t="str">
        <f t="shared" si="102"/>
        <v>60+</v>
      </c>
      <c r="O2217" t="str">
        <f t="shared" si="103"/>
        <v>Unknown</v>
      </c>
    </row>
    <row r="2218" spans="1:15" x14ac:dyDescent="0.3">
      <c r="A2218">
        <v>27017</v>
      </c>
      <c r="B2218" t="s">
        <v>2</v>
      </c>
      <c r="C2218">
        <v>28</v>
      </c>
      <c r="D2218">
        <v>0</v>
      </c>
      <c r="E2218">
        <v>0</v>
      </c>
      <c r="F2218" t="str">
        <f t="shared" si="104"/>
        <v>Lower Risk</v>
      </c>
      <c r="G2218" t="s">
        <v>13</v>
      </c>
      <c r="H2218" t="s">
        <v>4</v>
      </c>
      <c r="I2218" t="s">
        <v>5</v>
      </c>
      <c r="J2218">
        <v>75.92</v>
      </c>
      <c r="K2218">
        <v>22.8</v>
      </c>
      <c r="L2218" t="s">
        <v>11</v>
      </c>
      <c r="M2218">
        <v>0</v>
      </c>
      <c r="N2218" t="str">
        <f t="shared" si="102"/>
        <v>Under 40</v>
      </c>
      <c r="O2218" t="str">
        <f t="shared" si="103"/>
        <v>Normal</v>
      </c>
    </row>
    <row r="2219" spans="1:15" x14ac:dyDescent="0.3">
      <c r="A2219">
        <v>8277</v>
      </c>
      <c r="B2219" t="s">
        <v>7</v>
      </c>
      <c r="C2219">
        <v>3</v>
      </c>
      <c r="D2219">
        <v>0</v>
      </c>
      <c r="E2219">
        <v>0</v>
      </c>
      <c r="F2219" t="str">
        <f t="shared" si="104"/>
        <v>Lower Risk</v>
      </c>
      <c r="G2219" t="s">
        <v>13</v>
      </c>
      <c r="H2219" t="s">
        <v>16</v>
      </c>
      <c r="I2219" t="s">
        <v>5</v>
      </c>
      <c r="J2219">
        <v>93.3</v>
      </c>
      <c r="K2219">
        <v>19.5</v>
      </c>
      <c r="L2219" t="s">
        <v>14</v>
      </c>
      <c r="M2219">
        <v>0</v>
      </c>
      <c r="N2219" t="str">
        <f t="shared" si="102"/>
        <v>Under 40</v>
      </c>
      <c r="O2219" t="str">
        <f t="shared" si="103"/>
        <v>Normal</v>
      </c>
    </row>
    <row r="2220" spans="1:15" x14ac:dyDescent="0.3">
      <c r="A2220">
        <v>14099</v>
      </c>
      <c r="B2220" t="s">
        <v>7</v>
      </c>
      <c r="C2220">
        <v>57</v>
      </c>
      <c r="D2220">
        <v>0</v>
      </c>
      <c r="E2220">
        <v>0</v>
      </c>
      <c r="F2220" t="str">
        <f t="shared" si="104"/>
        <v>Lower Risk</v>
      </c>
      <c r="G2220" t="s">
        <v>3</v>
      </c>
      <c r="H2220" t="s">
        <v>15</v>
      </c>
      <c r="I2220" t="s">
        <v>5</v>
      </c>
      <c r="J2220">
        <v>97.39</v>
      </c>
      <c r="K2220">
        <v>38</v>
      </c>
      <c r="L2220" t="s">
        <v>14</v>
      </c>
      <c r="M2220">
        <v>0</v>
      </c>
      <c r="N2220" t="str">
        <f t="shared" si="102"/>
        <v>40–59</v>
      </c>
      <c r="O2220" t="str">
        <f t="shared" si="103"/>
        <v>Obese</v>
      </c>
    </row>
    <row r="2221" spans="1:15" x14ac:dyDescent="0.3">
      <c r="A2221">
        <v>37128</v>
      </c>
      <c r="B2221" t="s">
        <v>2</v>
      </c>
      <c r="C2221">
        <v>34</v>
      </c>
      <c r="D2221">
        <v>0</v>
      </c>
      <c r="E2221">
        <v>0</v>
      </c>
      <c r="F2221" t="str">
        <f t="shared" si="104"/>
        <v>Lower Risk</v>
      </c>
      <c r="G2221" t="s">
        <v>3</v>
      </c>
      <c r="H2221" t="s">
        <v>4</v>
      </c>
      <c r="I2221" t="s">
        <v>9</v>
      </c>
      <c r="J2221">
        <v>134.61000000000001</v>
      </c>
      <c r="K2221">
        <v>23.4</v>
      </c>
      <c r="L2221" t="s">
        <v>11</v>
      </c>
      <c r="M2221">
        <v>0</v>
      </c>
      <c r="N2221" t="str">
        <f t="shared" si="102"/>
        <v>Under 40</v>
      </c>
      <c r="O2221" t="str">
        <f t="shared" si="103"/>
        <v>Normal</v>
      </c>
    </row>
    <row r="2222" spans="1:15" x14ac:dyDescent="0.3">
      <c r="A2222">
        <v>57774</v>
      </c>
      <c r="B2222" t="s">
        <v>2</v>
      </c>
      <c r="C2222">
        <v>50</v>
      </c>
      <c r="D2222">
        <v>0</v>
      </c>
      <c r="E2222">
        <v>0</v>
      </c>
      <c r="F2222" t="str">
        <f t="shared" si="104"/>
        <v>Lower Risk</v>
      </c>
      <c r="G2222" t="s">
        <v>3</v>
      </c>
      <c r="H2222" t="s">
        <v>4</v>
      </c>
      <c r="I2222" t="s">
        <v>9</v>
      </c>
      <c r="J2222">
        <v>104.02</v>
      </c>
      <c r="K2222">
        <v>29.5</v>
      </c>
      <c r="L2222" t="s">
        <v>11</v>
      </c>
      <c r="M2222">
        <v>0</v>
      </c>
      <c r="N2222" t="str">
        <f t="shared" si="102"/>
        <v>40–59</v>
      </c>
      <c r="O2222" t="str">
        <f t="shared" si="103"/>
        <v>Overweight</v>
      </c>
    </row>
    <row r="2223" spans="1:15" x14ac:dyDescent="0.3">
      <c r="A2223">
        <v>64033</v>
      </c>
      <c r="B2223" t="s">
        <v>2</v>
      </c>
      <c r="C2223">
        <v>55</v>
      </c>
      <c r="D2223">
        <v>0</v>
      </c>
      <c r="E2223">
        <v>1</v>
      </c>
      <c r="F2223" t="str">
        <f t="shared" si="104"/>
        <v>Lower Risk</v>
      </c>
      <c r="G2223" t="s">
        <v>13</v>
      </c>
      <c r="H2223" t="s">
        <v>4</v>
      </c>
      <c r="I2223" t="s">
        <v>5</v>
      </c>
      <c r="J2223">
        <v>56.9</v>
      </c>
      <c r="K2223">
        <v>28.2</v>
      </c>
      <c r="L2223" t="s">
        <v>11</v>
      </c>
      <c r="M2223">
        <v>0</v>
      </c>
      <c r="N2223" t="str">
        <f t="shared" si="102"/>
        <v>40–59</v>
      </c>
      <c r="O2223" t="str">
        <f t="shared" si="103"/>
        <v>Overweight</v>
      </c>
    </row>
    <row r="2224" spans="1:15" x14ac:dyDescent="0.3">
      <c r="A2224">
        <v>72701</v>
      </c>
      <c r="B2224" t="s">
        <v>2</v>
      </c>
      <c r="C2224">
        <v>2</v>
      </c>
      <c r="D2224">
        <v>0</v>
      </c>
      <c r="E2224">
        <v>0</v>
      </c>
      <c r="F2224" t="str">
        <f t="shared" si="104"/>
        <v>Lower Risk</v>
      </c>
      <c r="G2224" t="s">
        <v>13</v>
      </c>
      <c r="H2224" t="s">
        <v>16</v>
      </c>
      <c r="I2224" t="s">
        <v>9</v>
      </c>
      <c r="J2224">
        <v>112.66</v>
      </c>
      <c r="K2224">
        <v>14.2</v>
      </c>
      <c r="L2224" t="s">
        <v>14</v>
      </c>
      <c r="M2224">
        <v>0</v>
      </c>
      <c r="N2224" t="str">
        <f t="shared" si="102"/>
        <v>Under 40</v>
      </c>
      <c r="O2224" t="str">
        <f t="shared" si="103"/>
        <v>Underweight</v>
      </c>
    </row>
    <row r="2225" spans="1:15" x14ac:dyDescent="0.3">
      <c r="A2225">
        <v>59130</v>
      </c>
      <c r="B2225" t="s">
        <v>7</v>
      </c>
      <c r="C2225">
        <v>27</v>
      </c>
      <c r="D2225">
        <v>0</v>
      </c>
      <c r="E2225">
        <v>0</v>
      </c>
      <c r="F2225" t="str">
        <f t="shared" si="104"/>
        <v>Lower Risk</v>
      </c>
      <c r="G2225" t="s">
        <v>13</v>
      </c>
      <c r="H2225" t="s">
        <v>4</v>
      </c>
      <c r="I2225" t="s">
        <v>9</v>
      </c>
      <c r="J2225">
        <v>226.75</v>
      </c>
      <c r="K2225">
        <v>28.9</v>
      </c>
      <c r="L2225" t="s">
        <v>14</v>
      </c>
      <c r="M2225">
        <v>0</v>
      </c>
      <c r="N2225" t="str">
        <f t="shared" si="102"/>
        <v>Under 40</v>
      </c>
      <c r="O2225" t="str">
        <f t="shared" si="103"/>
        <v>Overweight</v>
      </c>
    </row>
    <row r="2226" spans="1:15" x14ac:dyDescent="0.3">
      <c r="A2226">
        <v>48472</v>
      </c>
      <c r="B2226" t="s">
        <v>2</v>
      </c>
      <c r="C2226">
        <v>57</v>
      </c>
      <c r="D2226">
        <v>0</v>
      </c>
      <c r="E2226">
        <v>0</v>
      </c>
      <c r="F2226" t="str">
        <f t="shared" si="104"/>
        <v>Lower Risk</v>
      </c>
      <c r="G2226" t="s">
        <v>3</v>
      </c>
      <c r="H2226" t="s">
        <v>4</v>
      </c>
      <c r="I2226" t="s">
        <v>9</v>
      </c>
      <c r="J2226">
        <v>76.28</v>
      </c>
      <c r="K2226">
        <v>31.4</v>
      </c>
      <c r="L2226" t="s">
        <v>6</v>
      </c>
      <c r="M2226">
        <v>0</v>
      </c>
      <c r="N2226" t="str">
        <f t="shared" si="102"/>
        <v>40–59</v>
      </c>
      <c r="O2226" t="str">
        <f t="shared" si="103"/>
        <v>Obese</v>
      </c>
    </row>
    <row r="2227" spans="1:15" x14ac:dyDescent="0.3">
      <c r="A2227">
        <v>67956</v>
      </c>
      <c r="B2227" t="s">
        <v>7</v>
      </c>
      <c r="C2227">
        <v>73</v>
      </c>
      <c r="D2227">
        <v>0</v>
      </c>
      <c r="E2227">
        <v>0</v>
      </c>
      <c r="F2227" t="str">
        <f t="shared" si="104"/>
        <v>Moderate Risk</v>
      </c>
      <c r="G2227" t="s">
        <v>3</v>
      </c>
      <c r="H2227" t="s">
        <v>4</v>
      </c>
      <c r="I2227" t="s">
        <v>5</v>
      </c>
      <c r="J2227">
        <v>90.01</v>
      </c>
      <c r="K2227">
        <v>32.4</v>
      </c>
      <c r="L2227" t="s">
        <v>6</v>
      </c>
      <c r="M2227">
        <v>0</v>
      </c>
      <c r="N2227" t="str">
        <f t="shared" si="102"/>
        <v>60+</v>
      </c>
      <c r="O2227" t="str">
        <f t="shared" si="103"/>
        <v>Obese</v>
      </c>
    </row>
    <row r="2228" spans="1:15" x14ac:dyDescent="0.3">
      <c r="A2228">
        <v>35602</v>
      </c>
      <c r="B2228" t="s">
        <v>7</v>
      </c>
      <c r="C2228">
        <v>52</v>
      </c>
      <c r="D2228">
        <v>0</v>
      </c>
      <c r="E2228">
        <v>0</v>
      </c>
      <c r="F2228" t="str">
        <f t="shared" si="104"/>
        <v>Lower Risk</v>
      </c>
      <c r="G2228" t="s">
        <v>3</v>
      </c>
      <c r="H2228" t="s">
        <v>15</v>
      </c>
      <c r="I2228" t="s">
        <v>9</v>
      </c>
      <c r="J2228">
        <v>107.84</v>
      </c>
      <c r="K2228">
        <v>22</v>
      </c>
      <c r="L2228" t="s">
        <v>6</v>
      </c>
      <c r="M2228">
        <v>0</v>
      </c>
      <c r="N2228" t="str">
        <f t="shared" si="102"/>
        <v>40–59</v>
      </c>
      <c r="O2228" t="str">
        <f t="shared" si="103"/>
        <v>Normal</v>
      </c>
    </row>
    <row r="2229" spans="1:15" x14ac:dyDescent="0.3">
      <c r="A2229">
        <v>13818</v>
      </c>
      <c r="B2229" t="s">
        <v>7</v>
      </c>
      <c r="C2229">
        <v>65</v>
      </c>
      <c r="D2229">
        <v>0</v>
      </c>
      <c r="E2229">
        <v>0</v>
      </c>
      <c r="F2229" t="str">
        <f t="shared" si="104"/>
        <v>Moderate Risk</v>
      </c>
      <c r="G2229" t="s">
        <v>3</v>
      </c>
      <c r="H2229" t="s">
        <v>4</v>
      </c>
      <c r="I2229" t="s">
        <v>9</v>
      </c>
      <c r="J2229">
        <v>71.06</v>
      </c>
      <c r="K2229">
        <v>26.4</v>
      </c>
      <c r="L2229" t="s">
        <v>11</v>
      </c>
      <c r="M2229">
        <v>0</v>
      </c>
      <c r="N2229" t="str">
        <f t="shared" si="102"/>
        <v>60+</v>
      </c>
      <c r="O2229" t="str">
        <f t="shared" si="103"/>
        <v>Overweight</v>
      </c>
    </row>
    <row r="2230" spans="1:15" x14ac:dyDescent="0.3">
      <c r="A2230">
        <v>34661</v>
      </c>
      <c r="B2230" t="s">
        <v>2</v>
      </c>
      <c r="C2230">
        <v>48</v>
      </c>
      <c r="D2230">
        <v>1</v>
      </c>
      <c r="E2230">
        <v>0</v>
      </c>
      <c r="F2230" t="str">
        <f t="shared" si="104"/>
        <v>Lower Risk</v>
      </c>
      <c r="G2230" t="s">
        <v>3</v>
      </c>
      <c r="H2230" t="s">
        <v>4</v>
      </c>
      <c r="I2230" t="s">
        <v>5</v>
      </c>
      <c r="J2230">
        <v>185</v>
      </c>
      <c r="K2230">
        <v>26.1</v>
      </c>
      <c r="L2230" t="s">
        <v>11</v>
      </c>
      <c r="M2230">
        <v>0</v>
      </c>
      <c r="N2230" t="str">
        <f t="shared" si="102"/>
        <v>40–59</v>
      </c>
      <c r="O2230" t="str">
        <f t="shared" si="103"/>
        <v>Overweight</v>
      </c>
    </row>
    <row r="2231" spans="1:15" x14ac:dyDescent="0.3">
      <c r="A2231">
        <v>64895</v>
      </c>
      <c r="B2231" t="s">
        <v>2</v>
      </c>
      <c r="C2231">
        <v>54</v>
      </c>
      <c r="D2231">
        <v>1</v>
      </c>
      <c r="E2231">
        <v>0</v>
      </c>
      <c r="F2231" t="str">
        <f t="shared" si="104"/>
        <v>Lower Risk</v>
      </c>
      <c r="G2231" t="s">
        <v>3</v>
      </c>
      <c r="H2231" t="s">
        <v>8</v>
      </c>
      <c r="I2231" t="s">
        <v>9</v>
      </c>
      <c r="J2231">
        <v>104.42</v>
      </c>
      <c r="K2231">
        <v>37.6</v>
      </c>
      <c r="L2231" t="s">
        <v>12</v>
      </c>
      <c r="M2231">
        <v>0</v>
      </c>
      <c r="N2231" t="str">
        <f t="shared" si="102"/>
        <v>40–59</v>
      </c>
      <c r="O2231" t="str">
        <f t="shared" si="103"/>
        <v>Obese</v>
      </c>
    </row>
    <row r="2232" spans="1:15" x14ac:dyDescent="0.3">
      <c r="A2232">
        <v>21969</v>
      </c>
      <c r="B2232" t="s">
        <v>2</v>
      </c>
      <c r="C2232">
        <v>8</v>
      </c>
      <c r="D2232">
        <v>0</v>
      </c>
      <c r="E2232">
        <v>0</v>
      </c>
      <c r="F2232" t="str">
        <f t="shared" si="104"/>
        <v>Lower Risk</v>
      </c>
      <c r="G2232" t="s">
        <v>13</v>
      </c>
      <c r="H2232" t="s">
        <v>16</v>
      </c>
      <c r="I2232" t="s">
        <v>5</v>
      </c>
      <c r="J2232">
        <v>89.57</v>
      </c>
      <c r="K2232">
        <v>18.8</v>
      </c>
      <c r="L2232" t="s">
        <v>14</v>
      </c>
      <c r="M2232">
        <v>0</v>
      </c>
      <c r="N2232" t="str">
        <f t="shared" si="102"/>
        <v>Under 40</v>
      </c>
      <c r="O2232" t="str">
        <f t="shared" si="103"/>
        <v>Normal</v>
      </c>
    </row>
    <row r="2233" spans="1:15" x14ac:dyDescent="0.3">
      <c r="A2233">
        <v>38320</v>
      </c>
      <c r="B2233" t="s">
        <v>2</v>
      </c>
      <c r="C2233">
        <v>45</v>
      </c>
      <c r="D2233">
        <v>1</v>
      </c>
      <c r="E2233">
        <v>0</v>
      </c>
      <c r="F2233" t="str">
        <f t="shared" si="104"/>
        <v>Lower Risk</v>
      </c>
      <c r="G2233" t="s">
        <v>3</v>
      </c>
      <c r="H2233" t="s">
        <v>4</v>
      </c>
      <c r="I2233" t="s">
        <v>9</v>
      </c>
      <c r="J2233">
        <v>136.19999999999999</v>
      </c>
      <c r="K2233">
        <v>23.8</v>
      </c>
      <c r="L2233" t="s">
        <v>14</v>
      </c>
      <c r="M2233">
        <v>0</v>
      </c>
      <c r="N2233" t="str">
        <f t="shared" si="102"/>
        <v>40–59</v>
      </c>
      <c r="O2233" t="str">
        <f t="shared" si="103"/>
        <v>Normal</v>
      </c>
    </row>
    <row r="2234" spans="1:15" x14ac:dyDescent="0.3">
      <c r="A2234">
        <v>42040</v>
      </c>
      <c r="B2234" t="s">
        <v>7</v>
      </c>
      <c r="C2234">
        <v>48</v>
      </c>
      <c r="D2234">
        <v>0</v>
      </c>
      <c r="E2234">
        <v>0</v>
      </c>
      <c r="F2234" t="str">
        <f t="shared" si="104"/>
        <v>Lower Risk</v>
      </c>
      <c r="G2234" t="s">
        <v>3</v>
      </c>
      <c r="H2234" t="s">
        <v>15</v>
      </c>
      <c r="I2234" t="s">
        <v>5</v>
      </c>
      <c r="J2234">
        <v>128.22999999999999</v>
      </c>
      <c r="K2234">
        <v>49.4</v>
      </c>
      <c r="L2234" t="s">
        <v>11</v>
      </c>
      <c r="M2234">
        <v>0</v>
      </c>
      <c r="N2234" t="str">
        <f t="shared" si="102"/>
        <v>40–59</v>
      </c>
      <c r="O2234" t="str">
        <f t="shared" si="103"/>
        <v>Obese</v>
      </c>
    </row>
    <row r="2235" spans="1:15" x14ac:dyDescent="0.3">
      <c r="A2235">
        <v>31857</v>
      </c>
      <c r="B2235" t="s">
        <v>7</v>
      </c>
      <c r="C2235">
        <v>77</v>
      </c>
      <c r="D2235">
        <v>0</v>
      </c>
      <c r="E2235">
        <v>0</v>
      </c>
      <c r="F2235" t="str">
        <f t="shared" si="104"/>
        <v>Moderate Risk</v>
      </c>
      <c r="G2235" t="s">
        <v>3</v>
      </c>
      <c r="H2235" t="s">
        <v>8</v>
      </c>
      <c r="I2235" t="s">
        <v>9</v>
      </c>
      <c r="J2235">
        <v>104.23</v>
      </c>
      <c r="K2235">
        <v>23.8</v>
      </c>
      <c r="L2235" t="s">
        <v>12</v>
      </c>
      <c r="M2235">
        <v>0</v>
      </c>
      <c r="N2235" t="str">
        <f t="shared" si="102"/>
        <v>60+</v>
      </c>
      <c r="O2235" t="str">
        <f t="shared" si="103"/>
        <v>Normal</v>
      </c>
    </row>
    <row r="2236" spans="1:15" x14ac:dyDescent="0.3">
      <c r="A2236">
        <v>64494</v>
      </c>
      <c r="B2236" t="s">
        <v>7</v>
      </c>
      <c r="C2236">
        <v>34</v>
      </c>
      <c r="D2236">
        <v>0</v>
      </c>
      <c r="E2236">
        <v>0</v>
      </c>
      <c r="F2236" t="str">
        <f t="shared" si="104"/>
        <v>Lower Risk</v>
      </c>
      <c r="G2236" t="s">
        <v>3</v>
      </c>
      <c r="H2236" t="s">
        <v>4</v>
      </c>
      <c r="I2236" t="s">
        <v>5</v>
      </c>
      <c r="J2236">
        <v>133.82</v>
      </c>
      <c r="K2236">
        <v>20.399999999999999</v>
      </c>
      <c r="L2236" t="s">
        <v>11</v>
      </c>
      <c r="M2236">
        <v>0</v>
      </c>
      <c r="N2236" t="str">
        <f t="shared" si="102"/>
        <v>Under 40</v>
      </c>
      <c r="O2236" t="str">
        <f t="shared" si="103"/>
        <v>Normal</v>
      </c>
    </row>
    <row r="2237" spans="1:15" x14ac:dyDescent="0.3">
      <c r="A2237">
        <v>34764</v>
      </c>
      <c r="B2237" t="s">
        <v>7</v>
      </c>
      <c r="C2237">
        <v>33</v>
      </c>
      <c r="D2237">
        <v>0</v>
      </c>
      <c r="E2237">
        <v>0</v>
      </c>
      <c r="F2237" t="str">
        <f t="shared" si="104"/>
        <v>Lower Risk</v>
      </c>
      <c r="G2237" t="s">
        <v>3</v>
      </c>
      <c r="H2237" t="s">
        <v>4</v>
      </c>
      <c r="I2237" t="s">
        <v>9</v>
      </c>
      <c r="J2237">
        <v>80.819999999999993</v>
      </c>
      <c r="K2237">
        <v>40.299999999999997</v>
      </c>
      <c r="L2237" t="s">
        <v>11</v>
      </c>
      <c r="M2237">
        <v>0</v>
      </c>
      <c r="N2237" t="str">
        <f t="shared" si="102"/>
        <v>Under 40</v>
      </c>
      <c r="O2237" t="str">
        <f t="shared" si="103"/>
        <v>Obese</v>
      </c>
    </row>
    <row r="2238" spans="1:15" x14ac:dyDescent="0.3">
      <c r="A2238">
        <v>20673</v>
      </c>
      <c r="B2238" t="s">
        <v>2</v>
      </c>
      <c r="C2238">
        <v>39</v>
      </c>
      <c r="D2238">
        <v>0</v>
      </c>
      <c r="E2238">
        <v>0</v>
      </c>
      <c r="F2238" t="str">
        <f t="shared" si="104"/>
        <v>Lower Risk</v>
      </c>
      <c r="G2238" t="s">
        <v>3</v>
      </c>
      <c r="H2238" t="s">
        <v>4</v>
      </c>
      <c r="I2238" t="s">
        <v>9</v>
      </c>
      <c r="J2238">
        <v>102.35</v>
      </c>
      <c r="K2238">
        <v>23.6</v>
      </c>
      <c r="L2238" t="s">
        <v>11</v>
      </c>
      <c r="M2238">
        <v>0</v>
      </c>
      <c r="N2238" t="str">
        <f t="shared" si="102"/>
        <v>Under 40</v>
      </c>
      <c r="O2238" t="str">
        <f t="shared" si="103"/>
        <v>Normal</v>
      </c>
    </row>
    <row r="2239" spans="1:15" x14ac:dyDescent="0.3">
      <c r="A2239">
        <v>64817</v>
      </c>
      <c r="B2239" t="s">
        <v>2</v>
      </c>
      <c r="C2239">
        <v>39</v>
      </c>
      <c r="D2239">
        <v>0</v>
      </c>
      <c r="E2239">
        <v>0</v>
      </c>
      <c r="F2239" t="str">
        <f t="shared" si="104"/>
        <v>Lower Risk</v>
      </c>
      <c r="G2239" t="s">
        <v>3</v>
      </c>
      <c r="H2239" t="s">
        <v>8</v>
      </c>
      <c r="I2239" t="s">
        <v>9</v>
      </c>
      <c r="J2239">
        <v>88.48</v>
      </c>
      <c r="K2239">
        <v>34.299999999999997</v>
      </c>
      <c r="L2239" t="s">
        <v>11</v>
      </c>
      <c r="M2239">
        <v>0</v>
      </c>
      <c r="N2239" t="str">
        <f t="shared" si="102"/>
        <v>Under 40</v>
      </c>
      <c r="O2239" t="str">
        <f t="shared" si="103"/>
        <v>Obese</v>
      </c>
    </row>
    <row r="2240" spans="1:15" x14ac:dyDescent="0.3">
      <c r="A2240">
        <v>72450</v>
      </c>
      <c r="B2240" t="s">
        <v>2</v>
      </c>
      <c r="C2240">
        <v>40</v>
      </c>
      <c r="D2240">
        <v>0</v>
      </c>
      <c r="E2240">
        <v>0</v>
      </c>
      <c r="F2240" t="str">
        <f t="shared" si="104"/>
        <v>Lower Risk</v>
      </c>
      <c r="G2240" t="s">
        <v>3</v>
      </c>
      <c r="H2240" t="s">
        <v>4</v>
      </c>
      <c r="I2240" t="s">
        <v>9</v>
      </c>
      <c r="J2240">
        <v>88.81</v>
      </c>
      <c r="K2240">
        <v>32.700000000000003</v>
      </c>
      <c r="L2240" t="s">
        <v>14</v>
      </c>
      <c r="M2240">
        <v>0</v>
      </c>
      <c r="N2240" t="str">
        <f t="shared" si="102"/>
        <v>40–59</v>
      </c>
      <c r="O2240" t="str">
        <f t="shared" si="103"/>
        <v>Obese</v>
      </c>
    </row>
    <row r="2241" spans="1:15" x14ac:dyDescent="0.3">
      <c r="A2241">
        <v>13988</v>
      </c>
      <c r="B2241" t="s">
        <v>7</v>
      </c>
      <c r="C2241">
        <v>46</v>
      </c>
      <c r="D2241">
        <v>0</v>
      </c>
      <c r="E2241">
        <v>0</v>
      </c>
      <c r="F2241" t="str">
        <f t="shared" si="104"/>
        <v>Lower Risk</v>
      </c>
      <c r="G2241" t="s">
        <v>3</v>
      </c>
      <c r="H2241" t="s">
        <v>4</v>
      </c>
      <c r="I2241" t="s">
        <v>9</v>
      </c>
      <c r="J2241">
        <v>75.09</v>
      </c>
      <c r="K2241">
        <v>28.7</v>
      </c>
      <c r="L2241" t="s">
        <v>11</v>
      </c>
      <c r="M2241">
        <v>0</v>
      </c>
      <c r="N2241" t="str">
        <f t="shared" si="102"/>
        <v>40–59</v>
      </c>
      <c r="O2241" t="str">
        <f t="shared" si="103"/>
        <v>Overweight</v>
      </c>
    </row>
    <row r="2242" spans="1:15" x14ac:dyDescent="0.3">
      <c r="A2242">
        <v>54985</v>
      </c>
      <c r="B2242" t="s">
        <v>7</v>
      </c>
      <c r="C2242">
        <v>1</v>
      </c>
      <c r="D2242">
        <v>0</v>
      </c>
      <c r="E2242">
        <v>0</v>
      </c>
      <c r="F2242" t="str">
        <f t="shared" si="104"/>
        <v>Lower Risk</v>
      </c>
      <c r="G2242" t="s">
        <v>13</v>
      </c>
      <c r="H2242" t="s">
        <v>16</v>
      </c>
      <c r="I2242" t="s">
        <v>5</v>
      </c>
      <c r="J2242">
        <v>199.83</v>
      </c>
      <c r="K2242">
        <v>24.5</v>
      </c>
      <c r="L2242" t="s">
        <v>14</v>
      </c>
      <c r="M2242">
        <v>0</v>
      </c>
      <c r="N2242" t="str">
        <f t="shared" ref="N2242:N2305" si="105">IF(C2242&lt;40,"Under 40",IF(C2242&lt;60,"40–59","60+"))</f>
        <v>Under 40</v>
      </c>
      <c r="O2242" t="str">
        <f t="shared" ref="O2242:O2305" si="106">IF(K2242="N/A","Unknown",
IF(K2242="","Unknown",
IF(K2242&lt;18.5,"Underweight",
IF(K2242&lt;25,"Normal",
IF(K2242&lt;30,"Overweight","Obese")))))</f>
        <v>Normal</v>
      </c>
    </row>
    <row r="2243" spans="1:15" x14ac:dyDescent="0.3">
      <c r="A2243">
        <v>6049</v>
      </c>
      <c r="B2243" t="s">
        <v>7</v>
      </c>
      <c r="C2243">
        <v>5</v>
      </c>
      <c r="D2243">
        <v>0</v>
      </c>
      <c r="E2243">
        <v>0</v>
      </c>
      <c r="F2243" t="str">
        <f t="shared" ref="F2243:F2306" si="107">IF(C2243&gt;=60,
IF(OR(D2243=1,E2243=1),"High Risk","Moderate Risk"),
"Lower Risk")</f>
        <v>Lower Risk</v>
      </c>
      <c r="G2243" t="s">
        <v>13</v>
      </c>
      <c r="H2243" t="s">
        <v>16</v>
      </c>
      <c r="I2243" t="s">
        <v>9</v>
      </c>
      <c r="J2243">
        <v>73.69</v>
      </c>
      <c r="K2243">
        <v>24.8</v>
      </c>
      <c r="L2243" t="s">
        <v>14</v>
      </c>
      <c r="M2243">
        <v>0</v>
      </c>
      <c r="N2243" t="str">
        <f t="shared" si="105"/>
        <v>Under 40</v>
      </c>
      <c r="O2243" t="str">
        <f t="shared" si="106"/>
        <v>Normal</v>
      </c>
    </row>
    <row r="2244" spans="1:15" x14ac:dyDescent="0.3">
      <c r="A2244">
        <v>13380</v>
      </c>
      <c r="B2244" t="s">
        <v>2</v>
      </c>
      <c r="C2244">
        <v>14</v>
      </c>
      <c r="D2244">
        <v>0</v>
      </c>
      <c r="E2244">
        <v>0</v>
      </c>
      <c r="F2244" t="str">
        <f t="shared" si="107"/>
        <v>Lower Risk</v>
      </c>
      <c r="G2244" t="s">
        <v>13</v>
      </c>
      <c r="H2244" t="s">
        <v>16</v>
      </c>
      <c r="I2244" t="s">
        <v>5</v>
      </c>
      <c r="J2244">
        <v>111.27</v>
      </c>
      <c r="K2244">
        <v>23.2</v>
      </c>
      <c r="L2244" t="s">
        <v>14</v>
      </c>
      <c r="M2244">
        <v>0</v>
      </c>
      <c r="N2244" t="str">
        <f t="shared" si="105"/>
        <v>Under 40</v>
      </c>
      <c r="O2244" t="str">
        <f t="shared" si="106"/>
        <v>Normal</v>
      </c>
    </row>
    <row r="2245" spans="1:15" x14ac:dyDescent="0.3">
      <c r="A2245">
        <v>64371</v>
      </c>
      <c r="B2245" t="s">
        <v>7</v>
      </c>
      <c r="C2245">
        <v>49</v>
      </c>
      <c r="D2245">
        <v>0</v>
      </c>
      <c r="E2245">
        <v>0</v>
      </c>
      <c r="F2245" t="str">
        <f t="shared" si="107"/>
        <v>Lower Risk</v>
      </c>
      <c r="G2245" t="s">
        <v>3</v>
      </c>
      <c r="H2245" t="s">
        <v>8</v>
      </c>
      <c r="I2245" t="s">
        <v>9</v>
      </c>
      <c r="J2245">
        <v>68.44</v>
      </c>
      <c r="K2245">
        <v>23</v>
      </c>
      <c r="L2245" t="s">
        <v>12</v>
      </c>
      <c r="M2245">
        <v>0</v>
      </c>
      <c r="N2245" t="str">
        <f t="shared" si="105"/>
        <v>40–59</v>
      </c>
      <c r="O2245" t="str">
        <f t="shared" si="106"/>
        <v>Normal</v>
      </c>
    </row>
    <row r="2246" spans="1:15" x14ac:dyDescent="0.3">
      <c r="A2246">
        <v>50295</v>
      </c>
      <c r="B2246" t="s">
        <v>7</v>
      </c>
      <c r="C2246">
        <v>45</v>
      </c>
      <c r="D2246">
        <v>0</v>
      </c>
      <c r="E2246">
        <v>0</v>
      </c>
      <c r="F2246" t="str">
        <f t="shared" si="107"/>
        <v>Lower Risk</v>
      </c>
      <c r="G2246" t="s">
        <v>3</v>
      </c>
      <c r="H2246" t="s">
        <v>4</v>
      </c>
      <c r="I2246" t="s">
        <v>5</v>
      </c>
      <c r="J2246">
        <v>65.36</v>
      </c>
      <c r="K2246">
        <v>39.299999999999997</v>
      </c>
      <c r="L2246" t="s">
        <v>11</v>
      </c>
      <c r="M2246">
        <v>0</v>
      </c>
      <c r="N2246" t="str">
        <f t="shared" si="105"/>
        <v>40–59</v>
      </c>
      <c r="O2246" t="str">
        <f t="shared" si="106"/>
        <v>Obese</v>
      </c>
    </row>
    <row r="2247" spans="1:15" x14ac:dyDescent="0.3">
      <c r="A2247">
        <v>14404</v>
      </c>
      <c r="B2247" t="s">
        <v>7</v>
      </c>
      <c r="C2247">
        <v>13</v>
      </c>
      <c r="D2247">
        <v>0</v>
      </c>
      <c r="E2247">
        <v>0</v>
      </c>
      <c r="F2247" t="str">
        <f t="shared" si="107"/>
        <v>Lower Risk</v>
      </c>
      <c r="G2247" t="s">
        <v>13</v>
      </c>
      <c r="H2247" t="s">
        <v>16</v>
      </c>
      <c r="I2247" t="s">
        <v>5</v>
      </c>
      <c r="J2247">
        <v>94.12</v>
      </c>
      <c r="K2247">
        <v>20.100000000000001</v>
      </c>
      <c r="L2247" t="s">
        <v>11</v>
      </c>
      <c r="M2247">
        <v>0</v>
      </c>
      <c r="N2247" t="str">
        <f t="shared" si="105"/>
        <v>Under 40</v>
      </c>
      <c r="O2247" t="str">
        <f t="shared" si="106"/>
        <v>Normal</v>
      </c>
    </row>
    <row r="2248" spans="1:15" x14ac:dyDescent="0.3">
      <c r="A2248">
        <v>58645</v>
      </c>
      <c r="B2248" t="s">
        <v>7</v>
      </c>
      <c r="C2248">
        <v>76</v>
      </c>
      <c r="D2248">
        <v>0</v>
      </c>
      <c r="E2248">
        <v>0</v>
      </c>
      <c r="F2248" t="str">
        <f t="shared" si="107"/>
        <v>Moderate Risk</v>
      </c>
      <c r="G2248" t="s">
        <v>3</v>
      </c>
      <c r="H2248" t="s">
        <v>4</v>
      </c>
      <c r="I2248" t="s">
        <v>9</v>
      </c>
      <c r="J2248">
        <v>96.24</v>
      </c>
      <c r="K2248">
        <v>25.4</v>
      </c>
      <c r="L2248" t="s">
        <v>11</v>
      </c>
      <c r="M2248">
        <v>0</v>
      </c>
      <c r="N2248" t="str">
        <f t="shared" si="105"/>
        <v>60+</v>
      </c>
      <c r="O2248" t="str">
        <f t="shared" si="106"/>
        <v>Overweight</v>
      </c>
    </row>
    <row r="2249" spans="1:15" x14ac:dyDescent="0.3">
      <c r="A2249">
        <v>19419</v>
      </c>
      <c r="B2249" t="s">
        <v>2</v>
      </c>
      <c r="C2249">
        <v>14</v>
      </c>
      <c r="D2249">
        <v>0</v>
      </c>
      <c r="E2249">
        <v>0</v>
      </c>
      <c r="F2249" t="str">
        <f t="shared" si="107"/>
        <v>Lower Risk</v>
      </c>
      <c r="G2249" t="s">
        <v>13</v>
      </c>
      <c r="H2249" t="s">
        <v>16</v>
      </c>
      <c r="I2249" t="s">
        <v>9</v>
      </c>
      <c r="J2249">
        <v>91.25</v>
      </c>
      <c r="K2249">
        <v>23.8</v>
      </c>
      <c r="L2249" t="s">
        <v>14</v>
      </c>
      <c r="M2249">
        <v>0</v>
      </c>
      <c r="N2249" t="str">
        <f t="shared" si="105"/>
        <v>Under 40</v>
      </c>
      <c r="O2249" t="str">
        <f t="shared" si="106"/>
        <v>Normal</v>
      </c>
    </row>
    <row r="2250" spans="1:15" x14ac:dyDescent="0.3">
      <c r="A2250">
        <v>24518</v>
      </c>
      <c r="B2250" t="s">
        <v>7</v>
      </c>
      <c r="C2250">
        <v>20</v>
      </c>
      <c r="D2250">
        <v>0</v>
      </c>
      <c r="E2250">
        <v>0</v>
      </c>
      <c r="F2250" t="str">
        <f t="shared" si="107"/>
        <v>Lower Risk</v>
      </c>
      <c r="G2250" t="s">
        <v>13</v>
      </c>
      <c r="H2250" t="s">
        <v>4</v>
      </c>
      <c r="I2250" t="s">
        <v>9</v>
      </c>
      <c r="J2250">
        <v>77.290000000000006</v>
      </c>
      <c r="K2250">
        <v>28.4</v>
      </c>
      <c r="L2250" t="s">
        <v>11</v>
      </c>
      <c r="M2250">
        <v>0</v>
      </c>
      <c r="N2250" t="str">
        <f t="shared" si="105"/>
        <v>Under 40</v>
      </c>
      <c r="O2250" t="str">
        <f t="shared" si="106"/>
        <v>Overweight</v>
      </c>
    </row>
    <row r="2251" spans="1:15" x14ac:dyDescent="0.3">
      <c r="A2251">
        <v>53494</v>
      </c>
      <c r="B2251" t="s">
        <v>7</v>
      </c>
      <c r="C2251">
        <v>9</v>
      </c>
      <c r="D2251">
        <v>0</v>
      </c>
      <c r="E2251">
        <v>0</v>
      </c>
      <c r="F2251" t="str">
        <f t="shared" si="107"/>
        <v>Lower Risk</v>
      </c>
      <c r="G2251" t="s">
        <v>13</v>
      </c>
      <c r="H2251" t="s">
        <v>16</v>
      </c>
      <c r="I2251" t="s">
        <v>9</v>
      </c>
      <c r="J2251">
        <v>125.09</v>
      </c>
      <c r="K2251">
        <v>15.4</v>
      </c>
      <c r="L2251" t="s">
        <v>14</v>
      </c>
      <c r="M2251">
        <v>0</v>
      </c>
      <c r="N2251" t="str">
        <f t="shared" si="105"/>
        <v>Under 40</v>
      </c>
      <c r="O2251" t="str">
        <f t="shared" si="106"/>
        <v>Underweight</v>
      </c>
    </row>
    <row r="2252" spans="1:15" x14ac:dyDescent="0.3">
      <c r="A2252">
        <v>42599</v>
      </c>
      <c r="B2252" t="s">
        <v>7</v>
      </c>
      <c r="C2252">
        <v>78</v>
      </c>
      <c r="D2252">
        <v>0</v>
      </c>
      <c r="E2252">
        <v>1</v>
      </c>
      <c r="F2252" t="str">
        <f t="shared" si="107"/>
        <v>High Risk</v>
      </c>
      <c r="G2252" t="s">
        <v>3</v>
      </c>
      <c r="H2252" t="s">
        <v>4</v>
      </c>
      <c r="I2252" t="s">
        <v>5</v>
      </c>
      <c r="J2252">
        <v>107.18</v>
      </c>
      <c r="K2252">
        <v>28.2</v>
      </c>
      <c r="L2252" t="s">
        <v>11</v>
      </c>
      <c r="M2252">
        <v>0</v>
      </c>
      <c r="N2252" t="str">
        <f t="shared" si="105"/>
        <v>60+</v>
      </c>
      <c r="O2252" t="str">
        <f t="shared" si="106"/>
        <v>Overweight</v>
      </c>
    </row>
    <row r="2253" spans="1:15" x14ac:dyDescent="0.3">
      <c r="A2253">
        <v>68370</v>
      </c>
      <c r="B2253" t="s">
        <v>2</v>
      </c>
      <c r="C2253">
        <v>49</v>
      </c>
      <c r="D2253">
        <v>0</v>
      </c>
      <c r="E2253">
        <v>0</v>
      </c>
      <c r="F2253" t="str">
        <f t="shared" si="107"/>
        <v>Lower Risk</v>
      </c>
      <c r="G2253" t="s">
        <v>3</v>
      </c>
      <c r="H2253" t="s">
        <v>4</v>
      </c>
      <c r="I2253" t="s">
        <v>5</v>
      </c>
      <c r="J2253">
        <v>130.07</v>
      </c>
      <c r="K2253">
        <v>26</v>
      </c>
      <c r="L2253" t="s">
        <v>11</v>
      </c>
      <c r="M2253">
        <v>0</v>
      </c>
      <c r="N2253" t="str">
        <f t="shared" si="105"/>
        <v>40–59</v>
      </c>
      <c r="O2253" t="str">
        <f t="shared" si="106"/>
        <v>Overweight</v>
      </c>
    </row>
    <row r="2254" spans="1:15" x14ac:dyDescent="0.3">
      <c r="A2254">
        <v>57813</v>
      </c>
      <c r="B2254" t="s">
        <v>7</v>
      </c>
      <c r="C2254">
        <v>55</v>
      </c>
      <c r="D2254">
        <v>0</v>
      </c>
      <c r="E2254">
        <v>0</v>
      </c>
      <c r="F2254" t="str">
        <f t="shared" si="107"/>
        <v>Lower Risk</v>
      </c>
      <c r="G2254" t="s">
        <v>3</v>
      </c>
      <c r="H2254" t="s">
        <v>4</v>
      </c>
      <c r="I2254" t="s">
        <v>5</v>
      </c>
      <c r="J2254">
        <v>57.3</v>
      </c>
      <c r="K2254">
        <v>41.5</v>
      </c>
      <c r="L2254" t="s">
        <v>11</v>
      </c>
      <c r="M2254">
        <v>0</v>
      </c>
      <c r="N2254" t="str">
        <f t="shared" si="105"/>
        <v>40–59</v>
      </c>
      <c r="O2254" t="str">
        <f t="shared" si="106"/>
        <v>Obese</v>
      </c>
    </row>
    <row r="2255" spans="1:15" x14ac:dyDescent="0.3">
      <c r="A2255">
        <v>1329</v>
      </c>
      <c r="B2255" t="s">
        <v>7</v>
      </c>
      <c r="C2255">
        <v>43</v>
      </c>
      <c r="D2255">
        <v>0</v>
      </c>
      <c r="E2255">
        <v>0</v>
      </c>
      <c r="F2255" t="str">
        <f t="shared" si="107"/>
        <v>Lower Risk</v>
      </c>
      <c r="G2255" t="s">
        <v>13</v>
      </c>
      <c r="H2255" t="s">
        <v>15</v>
      </c>
      <c r="I2255" t="s">
        <v>9</v>
      </c>
      <c r="J2255">
        <v>101.35</v>
      </c>
      <c r="K2255">
        <v>32.200000000000003</v>
      </c>
      <c r="L2255" t="s">
        <v>11</v>
      </c>
      <c r="M2255">
        <v>0</v>
      </c>
      <c r="N2255" t="str">
        <f t="shared" si="105"/>
        <v>40–59</v>
      </c>
      <c r="O2255" t="str">
        <f t="shared" si="106"/>
        <v>Obese</v>
      </c>
    </row>
    <row r="2256" spans="1:15" x14ac:dyDescent="0.3">
      <c r="A2256">
        <v>15255</v>
      </c>
      <c r="B2256" t="s">
        <v>7</v>
      </c>
      <c r="C2256">
        <v>16</v>
      </c>
      <c r="D2256">
        <v>0</v>
      </c>
      <c r="E2256">
        <v>0</v>
      </c>
      <c r="F2256" t="str">
        <f t="shared" si="107"/>
        <v>Lower Risk</v>
      </c>
      <c r="G2256" t="s">
        <v>13</v>
      </c>
      <c r="H2256" t="s">
        <v>4</v>
      </c>
      <c r="I2256" t="s">
        <v>9</v>
      </c>
      <c r="J2256">
        <v>94.03</v>
      </c>
      <c r="K2256">
        <v>25.7</v>
      </c>
      <c r="L2256" t="s">
        <v>11</v>
      </c>
      <c r="M2256">
        <v>0</v>
      </c>
      <c r="N2256" t="str">
        <f t="shared" si="105"/>
        <v>Under 40</v>
      </c>
      <c r="O2256" t="str">
        <f t="shared" si="106"/>
        <v>Overweight</v>
      </c>
    </row>
    <row r="2257" spans="1:15" x14ac:dyDescent="0.3">
      <c r="A2257">
        <v>65680</v>
      </c>
      <c r="B2257" t="s">
        <v>2</v>
      </c>
      <c r="C2257">
        <v>58</v>
      </c>
      <c r="D2257">
        <v>0</v>
      </c>
      <c r="E2257">
        <v>1</v>
      </c>
      <c r="F2257" t="str">
        <f t="shared" si="107"/>
        <v>Lower Risk</v>
      </c>
      <c r="G2257" t="s">
        <v>3</v>
      </c>
      <c r="H2257" t="s">
        <v>8</v>
      </c>
      <c r="I2257" t="s">
        <v>5</v>
      </c>
      <c r="J2257">
        <v>227.81</v>
      </c>
      <c r="K2257">
        <v>33</v>
      </c>
      <c r="L2257" t="s">
        <v>6</v>
      </c>
      <c r="M2257">
        <v>0</v>
      </c>
      <c r="N2257" t="str">
        <f t="shared" si="105"/>
        <v>40–59</v>
      </c>
      <c r="O2257" t="str">
        <f t="shared" si="106"/>
        <v>Obese</v>
      </c>
    </row>
    <row r="2258" spans="1:15" x14ac:dyDescent="0.3">
      <c r="A2258">
        <v>32974</v>
      </c>
      <c r="B2258" t="s">
        <v>2</v>
      </c>
      <c r="C2258">
        <v>67</v>
      </c>
      <c r="D2258">
        <v>0</v>
      </c>
      <c r="E2258">
        <v>0</v>
      </c>
      <c r="F2258" t="str">
        <f t="shared" si="107"/>
        <v>Moderate Risk</v>
      </c>
      <c r="G2258" t="s">
        <v>3</v>
      </c>
      <c r="H2258" t="s">
        <v>15</v>
      </c>
      <c r="I2258" t="s">
        <v>5</v>
      </c>
      <c r="J2258">
        <v>66.67</v>
      </c>
      <c r="K2258">
        <v>35</v>
      </c>
      <c r="L2258" t="s">
        <v>12</v>
      </c>
      <c r="M2258">
        <v>0</v>
      </c>
      <c r="N2258" t="str">
        <f t="shared" si="105"/>
        <v>60+</v>
      </c>
      <c r="O2258" t="str">
        <f t="shared" si="106"/>
        <v>Obese</v>
      </c>
    </row>
    <row r="2259" spans="1:15" x14ac:dyDescent="0.3">
      <c r="A2259">
        <v>5863</v>
      </c>
      <c r="B2259" t="s">
        <v>7</v>
      </c>
      <c r="C2259">
        <v>71</v>
      </c>
      <c r="D2259">
        <v>0</v>
      </c>
      <c r="E2259">
        <v>0</v>
      </c>
      <c r="F2259" t="str">
        <f t="shared" si="107"/>
        <v>Moderate Risk</v>
      </c>
      <c r="G2259" t="s">
        <v>3</v>
      </c>
      <c r="H2259" t="s">
        <v>4</v>
      </c>
      <c r="I2259" t="s">
        <v>5</v>
      </c>
      <c r="J2259">
        <v>240.81</v>
      </c>
      <c r="K2259">
        <v>27.4</v>
      </c>
      <c r="L2259" t="s">
        <v>11</v>
      </c>
      <c r="M2259">
        <v>0</v>
      </c>
      <c r="N2259" t="str">
        <f t="shared" si="105"/>
        <v>60+</v>
      </c>
      <c r="O2259" t="str">
        <f t="shared" si="106"/>
        <v>Overweight</v>
      </c>
    </row>
    <row r="2260" spans="1:15" x14ac:dyDescent="0.3">
      <c r="A2260">
        <v>10584</v>
      </c>
      <c r="B2260" t="s">
        <v>2</v>
      </c>
      <c r="C2260">
        <v>8</v>
      </c>
      <c r="D2260">
        <v>0</v>
      </c>
      <c r="E2260">
        <v>0</v>
      </c>
      <c r="F2260" t="str">
        <f t="shared" si="107"/>
        <v>Lower Risk</v>
      </c>
      <c r="G2260" t="s">
        <v>13</v>
      </c>
      <c r="H2260" t="s">
        <v>16</v>
      </c>
      <c r="I2260" t="s">
        <v>5</v>
      </c>
      <c r="J2260">
        <v>88.02</v>
      </c>
      <c r="K2260">
        <v>16.399999999999999</v>
      </c>
      <c r="L2260" t="s">
        <v>14</v>
      </c>
      <c r="M2260">
        <v>0</v>
      </c>
      <c r="N2260" t="str">
        <f t="shared" si="105"/>
        <v>Under 40</v>
      </c>
      <c r="O2260" t="str">
        <f t="shared" si="106"/>
        <v>Underweight</v>
      </c>
    </row>
    <row r="2261" spans="1:15" x14ac:dyDescent="0.3">
      <c r="A2261">
        <v>38675</v>
      </c>
      <c r="B2261" t="s">
        <v>7</v>
      </c>
      <c r="C2261">
        <v>18</v>
      </c>
      <c r="D2261">
        <v>0</v>
      </c>
      <c r="E2261">
        <v>0</v>
      </c>
      <c r="F2261" t="str">
        <f t="shared" si="107"/>
        <v>Lower Risk</v>
      </c>
      <c r="G2261" t="s">
        <v>13</v>
      </c>
      <c r="H2261" t="s">
        <v>4</v>
      </c>
      <c r="I2261" t="s">
        <v>5</v>
      </c>
      <c r="J2261">
        <v>152.87</v>
      </c>
      <c r="K2261">
        <v>31.5</v>
      </c>
      <c r="L2261" t="s">
        <v>14</v>
      </c>
      <c r="M2261">
        <v>0</v>
      </c>
      <c r="N2261" t="str">
        <f t="shared" si="105"/>
        <v>Under 40</v>
      </c>
      <c r="O2261" t="str">
        <f t="shared" si="106"/>
        <v>Obese</v>
      </c>
    </row>
    <row r="2262" spans="1:15" x14ac:dyDescent="0.3">
      <c r="A2262">
        <v>47600</v>
      </c>
      <c r="B2262" t="s">
        <v>7</v>
      </c>
      <c r="C2262">
        <v>47</v>
      </c>
      <c r="D2262">
        <v>0</v>
      </c>
      <c r="E2262">
        <v>0</v>
      </c>
      <c r="F2262" t="str">
        <f t="shared" si="107"/>
        <v>Lower Risk</v>
      </c>
      <c r="G2262" t="s">
        <v>3</v>
      </c>
      <c r="H2262" t="s">
        <v>4</v>
      </c>
      <c r="I2262" t="s">
        <v>5</v>
      </c>
      <c r="J2262">
        <v>96.04</v>
      </c>
      <c r="K2262">
        <v>29.2</v>
      </c>
      <c r="L2262" t="s">
        <v>14</v>
      </c>
      <c r="M2262">
        <v>0</v>
      </c>
      <c r="N2262" t="str">
        <f t="shared" si="105"/>
        <v>40–59</v>
      </c>
      <c r="O2262" t="str">
        <f t="shared" si="106"/>
        <v>Overweight</v>
      </c>
    </row>
    <row r="2263" spans="1:15" x14ac:dyDescent="0.3">
      <c r="A2263">
        <v>48246</v>
      </c>
      <c r="B2263" t="s">
        <v>2</v>
      </c>
      <c r="C2263">
        <v>59</v>
      </c>
      <c r="D2263">
        <v>0</v>
      </c>
      <c r="E2263">
        <v>0</v>
      </c>
      <c r="F2263" t="str">
        <f t="shared" si="107"/>
        <v>Lower Risk</v>
      </c>
      <c r="G2263" t="s">
        <v>3</v>
      </c>
      <c r="H2263" t="s">
        <v>4</v>
      </c>
      <c r="I2263" t="s">
        <v>5</v>
      </c>
      <c r="J2263">
        <v>60.35</v>
      </c>
      <c r="K2263">
        <v>25.9</v>
      </c>
      <c r="L2263" t="s">
        <v>6</v>
      </c>
      <c r="M2263">
        <v>0</v>
      </c>
      <c r="N2263" t="str">
        <f t="shared" si="105"/>
        <v>40–59</v>
      </c>
      <c r="O2263" t="str">
        <f t="shared" si="106"/>
        <v>Overweight</v>
      </c>
    </row>
    <row r="2264" spans="1:15" x14ac:dyDescent="0.3">
      <c r="A2264">
        <v>61743</v>
      </c>
      <c r="B2264" t="s">
        <v>2</v>
      </c>
      <c r="C2264">
        <v>28</v>
      </c>
      <c r="D2264">
        <v>0</v>
      </c>
      <c r="E2264">
        <v>0</v>
      </c>
      <c r="F2264" t="str">
        <f t="shared" si="107"/>
        <v>Lower Risk</v>
      </c>
      <c r="G2264" t="s">
        <v>13</v>
      </c>
      <c r="H2264" t="s">
        <v>15</v>
      </c>
      <c r="I2264" t="s">
        <v>5</v>
      </c>
      <c r="J2264">
        <v>118.66</v>
      </c>
      <c r="K2264">
        <v>32.299999999999997</v>
      </c>
      <c r="L2264" t="s">
        <v>11</v>
      </c>
      <c r="M2264">
        <v>0</v>
      </c>
      <c r="N2264" t="str">
        <f t="shared" si="105"/>
        <v>Under 40</v>
      </c>
      <c r="O2264" t="str">
        <f t="shared" si="106"/>
        <v>Obese</v>
      </c>
    </row>
    <row r="2265" spans="1:15" x14ac:dyDescent="0.3">
      <c r="A2265">
        <v>3879</v>
      </c>
      <c r="B2265" t="s">
        <v>7</v>
      </c>
      <c r="C2265">
        <v>20</v>
      </c>
      <c r="D2265">
        <v>0</v>
      </c>
      <c r="E2265">
        <v>0</v>
      </c>
      <c r="F2265" t="str">
        <f t="shared" si="107"/>
        <v>Lower Risk</v>
      </c>
      <c r="G2265" t="s">
        <v>13</v>
      </c>
      <c r="H2265" t="s">
        <v>4</v>
      </c>
      <c r="I2265" t="s">
        <v>5</v>
      </c>
      <c r="J2265">
        <v>89.03</v>
      </c>
      <c r="K2265" t="s">
        <v>10</v>
      </c>
      <c r="L2265" t="s">
        <v>12</v>
      </c>
      <c r="M2265">
        <v>0</v>
      </c>
      <c r="N2265" t="str">
        <f t="shared" si="105"/>
        <v>Under 40</v>
      </c>
      <c r="O2265" t="str">
        <f t="shared" si="106"/>
        <v>Unknown</v>
      </c>
    </row>
    <row r="2266" spans="1:15" x14ac:dyDescent="0.3">
      <c r="A2266">
        <v>58086</v>
      </c>
      <c r="B2266" t="s">
        <v>2</v>
      </c>
      <c r="C2266">
        <v>67</v>
      </c>
      <c r="D2266">
        <v>0</v>
      </c>
      <c r="E2266">
        <v>0</v>
      </c>
      <c r="F2266" t="str">
        <f t="shared" si="107"/>
        <v>Moderate Risk</v>
      </c>
      <c r="G2266" t="s">
        <v>3</v>
      </c>
      <c r="H2266" t="s">
        <v>4</v>
      </c>
      <c r="I2266" t="s">
        <v>5</v>
      </c>
      <c r="J2266">
        <v>58.51</v>
      </c>
      <c r="K2266">
        <v>30.4</v>
      </c>
      <c r="L2266" t="s">
        <v>6</v>
      </c>
      <c r="M2266">
        <v>0</v>
      </c>
      <c r="N2266" t="str">
        <f t="shared" si="105"/>
        <v>60+</v>
      </c>
      <c r="O2266" t="str">
        <f t="shared" si="106"/>
        <v>Obese</v>
      </c>
    </row>
    <row r="2267" spans="1:15" x14ac:dyDescent="0.3">
      <c r="A2267">
        <v>53957</v>
      </c>
      <c r="B2267" t="s">
        <v>2</v>
      </c>
      <c r="C2267">
        <v>71</v>
      </c>
      <c r="D2267">
        <v>0</v>
      </c>
      <c r="E2267">
        <v>0</v>
      </c>
      <c r="F2267" t="str">
        <f t="shared" si="107"/>
        <v>Moderate Risk</v>
      </c>
      <c r="G2267" t="s">
        <v>3</v>
      </c>
      <c r="H2267" t="s">
        <v>8</v>
      </c>
      <c r="I2267" t="s">
        <v>5</v>
      </c>
      <c r="J2267">
        <v>96.04</v>
      </c>
      <c r="K2267">
        <v>45.1</v>
      </c>
      <c r="L2267" t="s">
        <v>6</v>
      </c>
      <c r="M2267">
        <v>0</v>
      </c>
      <c r="N2267" t="str">
        <f t="shared" si="105"/>
        <v>60+</v>
      </c>
      <c r="O2267" t="str">
        <f t="shared" si="106"/>
        <v>Obese</v>
      </c>
    </row>
    <row r="2268" spans="1:15" x14ac:dyDescent="0.3">
      <c r="A2268">
        <v>40137</v>
      </c>
      <c r="B2268" t="s">
        <v>7</v>
      </c>
      <c r="C2268">
        <v>56</v>
      </c>
      <c r="D2268">
        <v>0</v>
      </c>
      <c r="E2268">
        <v>0</v>
      </c>
      <c r="F2268" t="str">
        <f t="shared" si="107"/>
        <v>Lower Risk</v>
      </c>
      <c r="G2268" t="s">
        <v>3</v>
      </c>
      <c r="H2268" t="s">
        <v>8</v>
      </c>
      <c r="I2268" t="s">
        <v>9</v>
      </c>
      <c r="J2268">
        <v>110.92</v>
      </c>
      <c r="K2268">
        <v>25.9</v>
      </c>
      <c r="L2268" t="s">
        <v>14</v>
      </c>
      <c r="M2268">
        <v>0</v>
      </c>
      <c r="N2268" t="str">
        <f t="shared" si="105"/>
        <v>40–59</v>
      </c>
      <c r="O2268" t="str">
        <f t="shared" si="106"/>
        <v>Overweight</v>
      </c>
    </row>
    <row r="2269" spans="1:15" x14ac:dyDescent="0.3">
      <c r="A2269">
        <v>70500</v>
      </c>
      <c r="B2269" t="s">
        <v>7</v>
      </c>
      <c r="C2269">
        <v>44</v>
      </c>
      <c r="D2269">
        <v>0</v>
      </c>
      <c r="E2269">
        <v>0</v>
      </c>
      <c r="F2269" t="str">
        <f t="shared" si="107"/>
        <v>Lower Risk</v>
      </c>
      <c r="G2269" t="s">
        <v>13</v>
      </c>
      <c r="H2269" t="s">
        <v>4</v>
      </c>
      <c r="I2269" t="s">
        <v>9</v>
      </c>
      <c r="J2269">
        <v>92.72</v>
      </c>
      <c r="K2269">
        <v>36.6</v>
      </c>
      <c r="L2269" t="s">
        <v>11</v>
      </c>
      <c r="M2269">
        <v>0</v>
      </c>
      <c r="N2269" t="str">
        <f t="shared" si="105"/>
        <v>40–59</v>
      </c>
      <c r="O2269" t="str">
        <f t="shared" si="106"/>
        <v>Obese</v>
      </c>
    </row>
    <row r="2270" spans="1:15" x14ac:dyDescent="0.3">
      <c r="A2270">
        <v>35085</v>
      </c>
      <c r="B2270" t="s">
        <v>7</v>
      </c>
      <c r="C2270">
        <v>6</v>
      </c>
      <c r="D2270">
        <v>0</v>
      </c>
      <c r="E2270">
        <v>0</v>
      </c>
      <c r="F2270" t="str">
        <f t="shared" si="107"/>
        <v>Lower Risk</v>
      </c>
      <c r="G2270" t="s">
        <v>13</v>
      </c>
      <c r="H2270" t="s">
        <v>16</v>
      </c>
      <c r="I2270" t="s">
        <v>9</v>
      </c>
      <c r="J2270">
        <v>108.23</v>
      </c>
      <c r="K2270">
        <v>18.600000000000001</v>
      </c>
      <c r="L2270" t="s">
        <v>14</v>
      </c>
      <c r="M2270">
        <v>0</v>
      </c>
      <c r="N2270" t="str">
        <f t="shared" si="105"/>
        <v>Under 40</v>
      </c>
      <c r="O2270" t="str">
        <f t="shared" si="106"/>
        <v>Normal</v>
      </c>
    </row>
    <row r="2271" spans="1:15" x14ac:dyDescent="0.3">
      <c r="A2271">
        <v>43872</v>
      </c>
      <c r="B2271" t="s">
        <v>7</v>
      </c>
      <c r="C2271">
        <v>78</v>
      </c>
      <c r="D2271">
        <v>0</v>
      </c>
      <c r="E2271">
        <v>0</v>
      </c>
      <c r="F2271" t="str">
        <f t="shared" si="107"/>
        <v>Moderate Risk</v>
      </c>
      <c r="G2271" t="s">
        <v>3</v>
      </c>
      <c r="H2271" t="s">
        <v>4</v>
      </c>
      <c r="I2271" t="s">
        <v>9</v>
      </c>
      <c r="J2271">
        <v>56.34</v>
      </c>
      <c r="K2271">
        <v>27.5</v>
      </c>
      <c r="L2271" t="s">
        <v>14</v>
      </c>
      <c r="M2271">
        <v>0</v>
      </c>
      <c r="N2271" t="str">
        <f t="shared" si="105"/>
        <v>60+</v>
      </c>
      <c r="O2271" t="str">
        <f t="shared" si="106"/>
        <v>Overweight</v>
      </c>
    </row>
    <row r="2272" spans="1:15" x14ac:dyDescent="0.3">
      <c r="A2272">
        <v>62951</v>
      </c>
      <c r="B2272" t="s">
        <v>7</v>
      </c>
      <c r="C2272">
        <v>32</v>
      </c>
      <c r="D2272">
        <v>0</v>
      </c>
      <c r="E2272">
        <v>0</v>
      </c>
      <c r="F2272" t="str">
        <f t="shared" si="107"/>
        <v>Lower Risk</v>
      </c>
      <c r="G2272" t="s">
        <v>3</v>
      </c>
      <c r="H2272" t="s">
        <v>4</v>
      </c>
      <c r="I2272" t="s">
        <v>9</v>
      </c>
      <c r="J2272">
        <v>61.83</v>
      </c>
      <c r="K2272">
        <v>31.3</v>
      </c>
      <c r="L2272" t="s">
        <v>11</v>
      </c>
      <c r="M2272">
        <v>0</v>
      </c>
      <c r="N2272" t="str">
        <f t="shared" si="105"/>
        <v>Under 40</v>
      </c>
      <c r="O2272" t="str">
        <f t="shared" si="106"/>
        <v>Obese</v>
      </c>
    </row>
    <row r="2273" spans="1:15" x14ac:dyDescent="0.3">
      <c r="A2273">
        <v>43244</v>
      </c>
      <c r="B2273" t="s">
        <v>7</v>
      </c>
      <c r="C2273">
        <v>40</v>
      </c>
      <c r="D2273">
        <v>0</v>
      </c>
      <c r="E2273">
        <v>0</v>
      </c>
      <c r="F2273" t="str">
        <f t="shared" si="107"/>
        <v>Lower Risk</v>
      </c>
      <c r="G2273" t="s">
        <v>3</v>
      </c>
      <c r="H2273" t="s">
        <v>4</v>
      </c>
      <c r="I2273" t="s">
        <v>9</v>
      </c>
      <c r="J2273">
        <v>131.99</v>
      </c>
      <c r="K2273">
        <v>37.5</v>
      </c>
      <c r="L2273" t="s">
        <v>11</v>
      </c>
      <c r="M2273">
        <v>0</v>
      </c>
      <c r="N2273" t="str">
        <f t="shared" si="105"/>
        <v>40–59</v>
      </c>
      <c r="O2273" t="str">
        <f t="shared" si="106"/>
        <v>Obese</v>
      </c>
    </row>
    <row r="2274" spans="1:15" x14ac:dyDescent="0.3">
      <c r="A2274">
        <v>31198</v>
      </c>
      <c r="B2274" t="s">
        <v>7</v>
      </c>
      <c r="C2274">
        <v>63</v>
      </c>
      <c r="D2274">
        <v>0</v>
      </c>
      <c r="E2274">
        <v>0</v>
      </c>
      <c r="F2274" t="str">
        <f t="shared" si="107"/>
        <v>Moderate Risk</v>
      </c>
      <c r="G2274" t="s">
        <v>3</v>
      </c>
      <c r="H2274" t="s">
        <v>8</v>
      </c>
      <c r="I2274" t="s">
        <v>9</v>
      </c>
      <c r="J2274">
        <v>136.81</v>
      </c>
      <c r="K2274">
        <v>23.1</v>
      </c>
      <c r="L2274" t="s">
        <v>12</v>
      </c>
      <c r="M2274">
        <v>0</v>
      </c>
      <c r="N2274" t="str">
        <f t="shared" si="105"/>
        <v>60+</v>
      </c>
      <c r="O2274" t="str">
        <f t="shared" si="106"/>
        <v>Normal</v>
      </c>
    </row>
    <row r="2275" spans="1:15" x14ac:dyDescent="0.3">
      <c r="A2275">
        <v>23223</v>
      </c>
      <c r="B2275" t="s">
        <v>2</v>
      </c>
      <c r="C2275">
        <v>51</v>
      </c>
      <c r="D2275">
        <v>0</v>
      </c>
      <c r="E2275">
        <v>0</v>
      </c>
      <c r="F2275" t="str">
        <f t="shared" si="107"/>
        <v>Lower Risk</v>
      </c>
      <c r="G2275" t="s">
        <v>3</v>
      </c>
      <c r="H2275" t="s">
        <v>4</v>
      </c>
      <c r="I2275" t="s">
        <v>9</v>
      </c>
      <c r="J2275">
        <v>239.28</v>
      </c>
      <c r="K2275">
        <v>35</v>
      </c>
      <c r="L2275" t="s">
        <v>11</v>
      </c>
      <c r="M2275">
        <v>0</v>
      </c>
      <c r="N2275" t="str">
        <f t="shared" si="105"/>
        <v>40–59</v>
      </c>
      <c r="O2275" t="str">
        <f t="shared" si="106"/>
        <v>Obese</v>
      </c>
    </row>
    <row r="2276" spans="1:15" x14ac:dyDescent="0.3">
      <c r="A2276">
        <v>38474</v>
      </c>
      <c r="B2276" t="s">
        <v>2</v>
      </c>
      <c r="C2276">
        <v>22</v>
      </c>
      <c r="D2276">
        <v>0</v>
      </c>
      <c r="E2276">
        <v>0</v>
      </c>
      <c r="F2276" t="str">
        <f t="shared" si="107"/>
        <v>Lower Risk</v>
      </c>
      <c r="G2276" t="s">
        <v>3</v>
      </c>
      <c r="H2276" t="s">
        <v>15</v>
      </c>
      <c r="I2276" t="s">
        <v>5</v>
      </c>
      <c r="J2276">
        <v>131.30000000000001</v>
      </c>
      <c r="K2276">
        <v>27</v>
      </c>
      <c r="L2276" t="s">
        <v>11</v>
      </c>
      <c r="M2276">
        <v>0</v>
      </c>
      <c r="N2276" t="str">
        <f t="shared" si="105"/>
        <v>Under 40</v>
      </c>
      <c r="O2276" t="str">
        <f t="shared" si="106"/>
        <v>Overweight</v>
      </c>
    </row>
    <row r="2277" spans="1:15" x14ac:dyDescent="0.3">
      <c r="A2277">
        <v>4591</v>
      </c>
      <c r="B2277" t="s">
        <v>7</v>
      </c>
      <c r="C2277">
        <v>82</v>
      </c>
      <c r="D2277">
        <v>0</v>
      </c>
      <c r="E2277">
        <v>0</v>
      </c>
      <c r="F2277" t="str">
        <f t="shared" si="107"/>
        <v>Moderate Risk</v>
      </c>
      <c r="G2277" t="s">
        <v>3</v>
      </c>
      <c r="H2277" t="s">
        <v>8</v>
      </c>
      <c r="I2277" t="s">
        <v>9</v>
      </c>
      <c r="J2277">
        <v>117.75</v>
      </c>
      <c r="K2277">
        <v>29.8</v>
      </c>
      <c r="L2277" t="s">
        <v>11</v>
      </c>
      <c r="M2277">
        <v>0</v>
      </c>
      <c r="N2277" t="str">
        <f t="shared" si="105"/>
        <v>60+</v>
      </c>
      <c r="O2277" t="str">
        <f t="shared" si="106"/>
        <v>Overweight</v>
      </c>
    </row>
    <row r="2278" spans="1:15" x14ac:dyDescent="0.3">
      <c r="A2278">
        <v>1451</v>
      </c>
      <c r="B2278" t="s">
        <v>7</v>
      </c>
      <c r="C2278">
        <v>17</v>
      </c>
      <c r="D2278">
        <v>0</v>
      </c>
      <c r="E2278">
        <v>0</v>
      </c>
      <c r="F2278" t="str">
        <f t="shared" si="107"/>
        <v>Lower Risk</v>
      </c>
      <c r="G2278" t="s">
        <v>13</v>
      </c>
      <c r="H2278" t="s">
        <v>4</v>
      </c>
      <c r="I2278" t="s">
        <v>5</v>
      </c>
      <c r="J2278">
        <v>78.459999999999994</v>
      </c>
      <c r="K2278">
        <v>23.5</v>
      </c>
      <c r="L2278" t="s">
        <v>14</v>
      </c>
      <c r="M2278">
        <v>0</v>
      </c>
      <c r="N2278" t="str">
        <f t="shared" si="105"/>
        <v>Under 40</v>
      </c>
      <c r="O2278" t="str">
        <f t="shared" si="106"/>
        <v>Normal</v>
      </c>
    </row>
    <row r="2279" spans="1:15" x14ac:dyDescent="0.3">
      <c r="A2279">
        <v>37150</v>
      </c>
      <c r="B2279" t="s">
        <v>7</v>
      </c>
      <c r="C2279">
        <v>34</v>
      </c>
      <c r="D2279">
        <v>0</v>
      </c>
      <c r="E2279">
        <v>0</v>
      </c>
      <c r="F2279" t="str">
        <f t="shared" si="107"/>
        <v>Lower Risk</v>
      </c>
      <c r="G2279" t="s">
        <v>3</v>
      </c>
      <c r="H2279" t="s">
        <v>4</v>
      </c>
      <c r="I2279" t="s">
        <v>9</v>
      </c>
      <c r="J2279">
        <v>83.53</v>
      </c>
      <c r="K2279">
        <v>48.5</v>
      </c>
      <c r="L2279" t="s">
        <v>6</v>
      </c>
      <c r="M2279">
        <v>0</v>
      </c>
      <c r="N2279" t="str">
        <f t="shared" si="105"/>
        <v>Under 40</v>
      </c>
      <c r="O2279" t="str">
        <f t="shared" si="106"/>
        <v>Obese</v>
      </c>
    </row>
    <row r="2280" spans="1:15" x14ac:dyDescent="0.3">
      <c r="A2280">
        <v>65632</v>
      </c>
      <c r="B2280" t="s">
        <v>2</v>
      </c>
      <c r="C2280">
        <v>42</v>
      </c>
      <c r="D2280">
        <v>0</v>
      </c>
      <c r="E2280">
        <v>0</v>
      </c>
      <c r="F2280" t="str">
        <f t="shared" si="107"/>
        <v>Lower Risk</v>
      </c>
      <c r="G2280" t="s">
        <v>3</v>
      </c>
      <c r="H2280" t="s">
        <v>4</v>
      </c>
      <c r="I2280" t="s">
        <v>9</v>
      </c>
      <c r="J2280">
        <v>145.5</v>
      </c>
      <c r="K2280">
        <v>31.8</v>
      </c>
      <c r="L2280" t="s">
        <v>6</v>
      </c>
      <c r="M2280">
        <v>0</v>
      </c>
      <c r="N2280" t="str">
        <f t="shared" si="105"/>
        <v>40–59</v>
      </c>
      <c r="O2280" t="str">
        <f t="shared" si="106"/>
        <v>Obese</v>
      </c>
    </row>
    <row r="2281" spans="1:15" x14ac:dyDescent="0.3">
      <c r="A2281">
        <v>62834</v>
      </c>
      <c r="B2281" t="s">
        <v>7</v>
      </c>
      <c r="C2281">
        <v>32</v>
      </c>
      <c r="D2281">
        <v>0</v>
      </c>
      <c r="E2281">
        <v>0</v>
      </c>
      <c r="F2281" t="str">
        <f t="shared" si="107"/>
        <v>Lower Risk</v>
      </c>
      <c r="G2281" t="s">
        <v>3</v>
      </c>
      <c r="H2281" t="s">
        <v>4</v>
      </c>
      <c r="I2281" t="s">
        <v>5</v>
      </c>
      <c r="J2281">
        <v>88.33</v>
      </c>
      <c r="K2281">
        <v>20</v>
      </c>
      <c r="L2281" t="s">
        <v>14</v>
      </c>
      <c r="M2281">
        <v>0</v>
      </c>
      <c r="N2281" t="str">
        <f t="shared" si="105"/>
        <v>Under 40</v>
      </c>
      <c r="O2281" t="str">
        <f t="shared" si="106"/>
        <v>Normal</v>
      </c>
    </row>
    <row r="2282" spans="1:15" x14ac:dyDescent="0.3">
      <c r="A2282">
        <v>21826</v>
      </c>
      <c r="B2282" t="s">
        <v>2</v>
      </c>
      <c r="C2282">
        <v>73</v>
      </c>
      <c r="D2282">
        <v>0</v>
      </c>
      <c r="E2282">
        <v>0</v>
      </c>
      <c r="F2282" t="str">
        <f t="shared" si="107"/>
        <v>Moderate Risk</v>
      </c>
      <c r="G2282" t="s">
        <v>3</v>
      </c>
      <c r="H2282" t="s">
        <v>8</v>
      </c>
      <c r="I2282" t="s">
        <v>9</v>
      </c>
      <c r="J2282">
        <v>101.25</v>
      </c>
      <c r="K2282">
        <v>29.4</v>
      </c>
      <c r="L2282" t="s">
        <v>6</v>
      </c>
      <c r="M2282">
        <v>0</v>
      </c>
      <c r="N2282" t="str">
        <f t="shared" si="105"/>
        <v>60+</v>
      </c>
      <c r="O2282" t="str">
        <f t="shared" si="106"/>
        <v>Overweight</v>
      </c>
    </row>
    <row r="2283" spans="1:15" x14ac:dyDescent="0.3">
      <c r="A2283">
        <v>21036</v>
      </c>
      <c r="B2283" t="s">
        <v>7</v>
      </c>
      <c r="C2283">
        <v>47</v>
      </c>
      <c r="D2283">
        <v>0</v>
      </c>
      <c r="E2283">
        <v>0</v>
      </c>
      <c r="F2283" t="str">
        <f t="shared" si="107"/>
        <v>Lower Risk</v>
      </c>
      <c r="G2283" t="s">
        <v>3</v>
      </c>
      <c r="H2283" t="s">
        <v>4</v>
      </c>
      <c r="I2283" t="s">
        <v>5</v>
      </c>
      <c r="J2283">
        <v>131.43</v>
      </c>
      <c r="K2283">
        <v>24.3</v>
      </c>
      <c r="L2283" t="s">
        <v>11</v>
      </c>
      <c r="M2283">
        <v>0</v>
      </c>
      <c r="N2283" t="str">
        <f t="shared" si="105"/>
        <v>40–59</v>
      </c>
      <c r="O2283" t="str">
        <f t="shared" si="106"/>
        <v>Normal</v>
      </c>
    </row>
    <row r="2284" spans="1:15" x14ac:dyDescent="0.3">
      <c r="A2284">
        <v>55566</v>
      </c>
      <c r="B2284" t="s">
        <v>7</v>
      </c>
      <c r="C2284">
        <v>34</v>
      </c>
      <c r="D2284">
        <v>0</v>
      </c>
      <c r="E2284">
        <v>0</v>
      </c>
      <c r="F2284" t="str">
        <f t="shared" si="107"/>
        <v>Lower Risk</v>
      </c>
      <c r="G2284" t="s">
        <v>3</v>
      </c>
      <c r="H2284" t="s">
        <v>4</v>
      </c>
      <c r="I2284" t="s">
        <v>9</v>
      </c>
      <c r="J2284">
        <v>231.5</v>
      </c>
      <c r="K2284">
        <v>45.4</v>
      </c>
      <c r="L2284" t="s">
        <v>11</v>
      </c>
      <c r="M2284">
        <v>0</v>
      </c>
      <c r="N2284" t="str">
        <f t="shared" si="105"/>
        <v>Under 40</v>
      </c>
      <c r="O2284" t="str">
        <f t="shared" si="106"/>
        <v>Obese</v>
      </c>
    </row>
    <row r="2285" spans="1:15" x14ac:dyDescent="0.3">
      <c r="A2285">
        <v>46923</v>
      </c>
      <c r="B2285" t="s">
        <v>2</v>
      </c>
      <c r="C2285">
        <v>64</v>
      </c>
      <c r="D2285">
        <v>0</v>
      </c>
      <c r="E2285">
        <v>1</v>
      </c>
      <c r="F2285" t="str">
        <f t="shared" si="107"/>
        <v>High Risk</v>
      </c>
      <c r="G2285" t="s">
        <v>3</v>
      </c>
      <c r="H2285" t="s">
        <v>4</v>
      </c>
      <c r="I2285" t="s">
        <v>9</v>
      </c>
      <c r="J2285">
        <v>82.89</v>
      </c>
      <c r="K2285">
        <v>29.5</v>
      </c>
      <c r="L2285" t="s">
        <v>11</v>
      </c>
      <c r="M2285">
        <v>0</v>
      </c>
      <c r="N2285" t="str">
        <f t="shared" si="105"/>
        <v>60+</v>
      </c>
      <c r="O2285" t="str">
        <f t="shared" si="106"/>
        <v>Overweight</v>
      </c>
    </row>
    <row r="2286" spans="1:15" x14ac:dyDescent="0.3">
      <c r="A2286">
        <v>63990</v>
      </c>
      <c r="B2286" t="s">
        <v>2</v>
      </c>
      <c r="C2286">
        <v>52</v>
      </c>
      <c r="D2286">
        <v>1</v>
      </c>
      <c r="E2286">
        <v>0</v>
      </c>
      <c r="F2286" t="str">
        <f t="shared" si="107"/>
        <v>Lower Risk</v>
      </c>
      <c r="G2286" t="s">
        <v>3</v>
      </c>
      <c r="H2286" t="s">
        <v>8</v>
      </c>
      <c r="I2286" t="s">
        <v>9</v>
      </c>
      <c r="J2286">
        <v>192.37</v>
      </c>
      <c r="K2286">
        <v>49.2</v>
      </c>
      <c r="L2286" t="s">
        <v>11</v>
      </c>
      <c r="M2286">
        <v>0</v>
      </c>
      <c r="N2286" t="str">
        <f t="shared" si="105"/>
        <v>40–59</v>
      </c>
      <c r="O2286" t="str">
        <f t="shared" si="106"/>
        <v>Obese</v>
      </c>
    </row>
    <row r="2287" spans="1:15" x14ac:dyDescent="0.3">
      <c r="A2287">
        <v>2265</v>
      </c>
      <c r="B2287" t="s">
        <v>2</v>
      </c>
      <c r="C2287">
        <v>49</v>
      </c>
      <c r="D2287">
        <v>0</v>
      </c>
      <c r="E2287">
        <v>0</v>
      </c>
      <c r="F2287" t="str">
        <f t="shared" si="107"/>
        <v>Lower Risk</v>
      </c>
      <c r="G2287" t="s">
        <v>3</v>
      </c>
      <c r="H2287" t="s">
        <v>4</v>
      </c>
      <c r="I2287" t="s">
        <v>9</v>
      </c>
      <c r="J2287">
        <v>79.64</v>
      </c>
      <c r="K2287" t="s">
        <v>10</v>
      </c>
      <c r="L2287" t="s">
        <v>12</v>
      </c>
      <c r="M2287">
        <v>0</v>
      </c>
      <c r="N2287" t="str">
        <f t="shared" si="105"/>
        <v>40–59</v>
      </c>
      <c r="O2287" t="str">
        <f t="shared" si="106"/>
        <v>Unknown</v>
      </c>
    </row>
    <row r="2288" spans="1:15" x14ac:dyDescent="0.3">
      <c r="A2288">
        <v>2860</v>
      </c>
      <c r="B2288" t="s">
        <v>2</v>
      </c>
      <c r="C2288">
        <v>55</v>
      </c>
      <c r="D2288">
        <v>0</v>
      </c>
      <c r="E2288">
        <v>0</v>
      </c>
      <c r="F2288" t="str">
        <f t="shared" si="107"/>
        <v>Lower Risk</v>
      </c>
      <c r="G2288" t="s">
        <v>3</v>
      </c>
      <c r="H2288" t="s">
        <v>4</v>
      </c>
      <c r="I2288" t="s">
        <v>9</v>
      </c>
      <c r="J2288">
        <v>82.88</v>
      </c>
      <c r="K2288">
        <v>29.4</v>
      </c>
      <c r="L2288" t="s">
        <v>14</v>
      </c>
      <c r="M2288">
        <v>0</v>
      </c>
      <c r="N2288" t="str">
        <f t="shared" si="105"/>
        <v>40–59</v>
      </c>
      <c r="O2288" t="str">
        <f t="shared" si="106"/>
        <v>Overweight</v>
      </c>
    </row>
    <row r="2289" spans="1:15" x14ac:dyDescent="0.3">
      <c r="A2289">
        <v>15964</v>
      </c>
      <c r="B2289" t="s">
        <v>7</v>
      </c>
      <c r="C2289">
        <v>64</v>
      </c>
      <c r="D2289">
        <v>1</v>
      </c>
      <c r="E2289">
        <v>0</v>
      </c>
      <c r="F2289" t="str">
        <f t="shared" si="107"/>
        <v>High Risk</v>
      </c>
      <c r="G2289" t="s">
        <v>3</v>
      </c>
      <c r="H2289" t="s">
        <v>4</v>
      </c>
      <c r="I2289" t="s">
        <v>9</v>
      </c>
      <c r="J2289">
        <v>99.4</v>
      </c>
      <c r="K2289">
        <v>29.1</v>
      </c>
      <c r="L2289" t="s">
        <v>11</v>
      </c>
      <c r="M2289">
        <v>0</v>
      </c>
      <c r="N2289" t="str">
        <f t="shared" si="105"/>
        <v>60+</v>
      </c>
      <c r="O2289" t="str">
        <f t="shared" si="106"/>
        <v>Overweight</v>
      </c>
    </row>
    <row r="2290" spans="1:15" x14ac:dyDescent="0.3">
      <c r="A2290">
        <v>46483</v>
      </c>
      <c r="B2290" t="s">
        <v>2</v>
      </c>
      <c r="C2290">
        <v>23</v>
      </c>
      <c r="D2290">
        <v>0</v>
      </c>
      <c r="E2290">
        <v>0</v>
      </c>
      <c r="F2290" t="str">
        <f t="shared" si="107"/>
        <v>Lower Risk</v>
      </c>
      <c r="G2290" t="s">
        <v>13</v>
      </c>
      <c r="H2290" t="s">
        <v>4</v>
      </c>
      <c r="I2290" t="s">
        <v>5</v>
      </c>
      <c r="J2290">
        <v>77.75</v>
      </c>
      <c r="K2290">
        <v>38.799999999999997</v>
      </c>
      <c r="L2290" t="s">
        <v>12</v>
      </c>
      <c r="M2290">
        <v>0</v>
      </c>
      <c r="N2290" t="str">
        <f t="shared" si="105"/>
        <v>Under 40</v>
      </c>
      <c r="O2290" t="str">
        <f t="shared" si="106"/>
        <v>Obese</v>
      </c>
    </row>
    <row r="2291" spans="1:15" x14ac:dyDescent="0.3">
      <c r="A2291">
        <v>33284</v>
      </c>
      <c r="B2291" t="s">
        <v>2</v>
      </c>
      <c r="C2291">
        <v>18</v>
      </c>
      <c r="D2291">
        <v>0</v>
      </c>
      <c r="E2291">
        <v>0</v>
      </c>
      <c r="F2291" t="str">
        <f t="shared" si="107"/>
        <v>Lower Risk</v>
      </c>
      <c r="G2291" t="s">
        <v>13</v>
      </c>
      <c r="H2291" t="s">
        <v>4</v>
      </c>
      <c r="I2291" t="s">
        <v>9</v>
      </c>
      <c r="J2291">
        <v>75.03</v>
      </c>
      <c r="K2291">
        <v>23.4</v>
      </c>
      <c r="L2291" t="s">
        <v>11</v>
      </c>
      <c r="M2291">
        <v>0</v>
      </c>
      <c r="N2291" t="str">
        <f t="shared" si="105"/>
        <v>Under 40</v>
      </c>
      <c r="O2291" t="str">
        <f t="shared" si="106"/>
        <v>Normal</v>
      </c>
    </row>
    <row r="2292" spans="1:15" x14ac:dyDescent="0.3">
      <c r="A2292">
        <v>61895</v>
      </c>
      <c r="B2292" t="s">
        <v>7</v>
      </c>
      <c r="C2292">
        <v>65</v>
      </c>
      <c r="D2292">
        <v>0</v>
      </c>
      <c r="E2292">
        <v>0</v>
      </c>
      <c r="F2292" t="str">
        <f t="shared" si="107"/>
        <v>Moderate Risk</v>
      </c>
      <c r="G2292" t="s">
        <v>3</v>
      </c>
      <c r="H2292" t="s">
        <v>4</v>
      </c>
      <c r="I2292" t="s">
        <v>9</v>
      </c>
      <c r="J2292">
        <v>220.47</v>
      </c>
      <c r="K2292">
        <v>48.7</v>
      </c>
      <c r="L2292" t="s">
        <v>11</v>
      </c>
      <c r="M2292">
        <v>0</v>
      </c>
      <c r="N2292" t="str">
        <f t="shared" si="105"/>
        <v>60+</v>
      </c>
      <c r="O2292" t="str">
        <f t="shared" si="106"/>
        <v>Obese</v>
      </c>
    </row>
    <row r="2293" spans="1:15" x14ac:dyDescent="0.3">
      <c r="A2293">
        <v>48875</v>
      </c>
      <c r="B2293" t="s">
        <v>2</v>
      </c>
      <c r="C2293">
        <v>12</v>
      </c>
      <c r="D2293">
        <v>0</v>
      </c>
      <c r="E2293">
        <v>0</v>
      </c>
      <c r="F2293" t="str">
        <f t="shared" si="107"/>
        <v>Lower Risk</v>
      </c>
      <c r="G2293" t="s">
        <v>13</v>
      </c>
      <c r="H2293" t="s">
        <v>16</v>
      </c>
      <c r="I2293" t="s">
        <v>9</v>
      </c>
      <c r="J2293">
        <v>196.91</v>
      </c>
      <c r="K2293">
        <v>19.7</v>
      </c>
      <c r="L2293" t="s">
        <v>14</v>
      </c>
      <c r="M2293">
        <v>0</v>
      </c>
      <c r="N2293" t="str">
        <f t="shared" si="105"/>
        <v>Under 40</v>
      </c>
      <c r="O2293" t="str">
        <f t="shared" si="106"/>
        <v>Normal</v>
      </c>
    </row>
    <row r="2294" spans="1:15" x14ac:dyDescent="0.3">
      <c r="A2294">
        <v>36589</v>
      </c>
      <c r="B2294" t="s">
        <v>7</v>
      </c>
      <c r="C2294">
        <v>61</v>
      </c>
      <c r="D2294">
        <v>0</v>
      </c>
      <c r="E2294">
        <v>0</v>
      </c>
      <c r="F2294" t="str">
        <f t="shared" si="107"/>
        <v>Moderate Risk</v>
      </c>
      <c r="G2294" t="s">
        <v>3</v>
      </c>
      <c r="H2294" t="s">
        <v>8</v>
      </c>
      <c r="I2294" t="s">
        <v>5</v>
      </c>
      <c r="J2294">
        <v>180.8</v>
      </c>
      <c r="K2294">
        <v>20.3</v>
      </c>
      <c r="L2294" t="s">
        <v>11</v>
      </c>
      <c r="M2294">
        <v>0</v>
      </c>
      <c r="N2294" t="str">
        <f t="shared" si="105"/>
        <v>60+</v>
      </c>
      <c r="O2294" t="str">
        <f t="shared" si="106"/>
        <v>Normal</v>
      </c>
    </row>
    <row r="2295" spans="1:15" x14ac:dyDescent="0.3">
      <c r="A2295">
        <v>28651</v>
      </c>
      <c r="B2295" t="s">
        <v>2</v>
      </c>
      <c r="C2295">
        <v>66</v>
      </c>
      <c r="D2295">
        <v>0</v>
      </c>
      <c r="E2295">
        <v>0</v>
      </c>
      <c r="F2295" t="str">
        <f t="shared" si="107"/>
        <v>Moderate Risk</v>
      </c>
      <c r="G2295" t="s">
        <v>3</v>
      </c>
      <c r="H2295" t="s">
        <v>4</v>
      </c>
      <c r="I2295" t="s">
        <v>5</v>
      </c>
      <c r="J2295">
        <v>247.48</v>
      </c>
      <c r="K2295">
        <v>33.5</v>
      </c>
      <c r="L2295" t="s">
        <v>12</v>
      </c>
      <c r="M2295">
        <v>0</v>
      </c>
      <c r="N2295" t="str">
        <f t="shared" si="105"/>
        <v>60+</v>
      </c>
      <c r="O2295" t="str">
        <f t="shared" si="106"/>
        <v>Obese</v>
      </c>
    </row>
    <row r="2296" spans="1:15" x14ac:dyDescent="0.3">
      <c r="A2296">
        <v>45033</v>
      </c>
      <c r="B2296" t="s">
        <v>2</v>
      </c>
      <c r="C2296">
        <v>59</v>
      </c>
      <c r="D2296">
        <v>0</v>
      </c>
      <c r="E2296">
        <v>0</v>
      </c>
      <c r="F2296" t="str">
        <f t="shared" si="107"/>
        <v>Lower Risk</v>
      </c>
      <c r="G2296" t="s">
        <v>3</v>
      </c>
      <c r="H2296" t="s">
        <v>15</v>
      </c>
      <c r="I2296" t="s">
        <v>5</v>
      </c>
      <c r="J2296">
        <v>216</v>
      </c>
      <c r="K2296">
        <v>36.700000000000003</v>
      </c>
      <c r="L2296" t="s">
        <v>12</v>
      </c>
      <c r="M2296">
        <v>0</v>
      </c>
      <c r="N2296" t="str">
        <f t="shared" si="105"/>
        <v>40–59</v>
      </c>
      <c r="O2296" t="str">
        <f t="shared" si="106"/>
        <v>Obese</v>
      </c>
    </row>
    <row r="2297" spans="1:15" x14ac:dyDescent="0.3">
      <c r="A2297">
        <v>32166</v>
      </c>
      <c r="B2297" t="s">
        <v>2</v>
      </c>
      <c r="C2297">
        <v>47</v>
      </c>
      <c r="D2297">
        <v>1</v>
      </c>
      <c r="E2297">
        <v>0</v>
      </c>
      <c r="F2297" t="str">
        <f t="shared" si="107"/>
        <v>Lower Risk</v>
      </c>
      <c r="G2297" t="s">
        <v>3</v>
      </c>
      <c r="H2297" t="s">
        <v>4</v>
      </c>
      <c r="I2297" t="s">
        <v>5</v>
      </c>
      <c r="J2297">
        <v>75.64</v>
      </c>
      <c r="K2297">
        <v>24.4</v>
      </c>
      <c r="L2297" t="s">
        <v>11</v>
      </c>
      <c r="M2297">
        <v>0</v>
      </c>
      <c r="N2297" t="str">
        <f t="shared" si="105"/>
        <v>40–59</v>
      </c>
      <c r="O2297" t="str">
        <f t="shared" si="106"/>
        <v>Normal</v>
      </c>
    </row>
    <row r="2298" spans="1:15" x14ac:dyDescent="0.3">
      <c r="A2298">
        <v>34188</v>
      </c>
      <c r="B2298" t="s">
        <v>7</v>
      </c>
      <c r="C2298">
        <v>47</v>
      </c>
      <c r="D2298">
        <v>0</v>
      </c>
      <c r="E2298">
        <v>0</v>
      </c>
      <c r="F2298" t="str">
        <f t="shared" si="107"/>
        <v>Lower Risk</v>
      </c>
      <c r="G2298" t="s">
        <v>3</v>
      </c>
      <c r="H2298" t="s">
        <v>15</v>
      </c>
      <c r="I2298" t="s">
        <v>5</v>
      </c>
      <c r="J2298">
        <v>95.07</v>
      </c>
      <c r="K2298">
        <v>38.799999999999997</v>
      </c>
      <c r="L2298" t="s">
        <v>6</v>
      </c>
      <c r="M2298">
        <v>0</v>
      </c>
      <c r="N2298" t="str">
        <f t="shared" si="105"/>
        <v>40–59</v>
      </c>
      <c r="O2298" t="str">
        <f t="shared" si="106"/>
        <v>Obese</v>
      </c>
    </row>
    <row r="2299" spans="1:15" x14ac:dyDescent="0.3">
      <c r="A2299">
        <v>58359</v>
      </c>
      <c r="B2299" t="s">
        <v>7</v>
      </c>
      <c r="C2299">
        <v>71</v>
      </c>
      <c r="D2299">
        <v>1</v>
      </c>
      <c r="E2299">
        <v>0</v>
      </c>
      <c r="F2299" t="str">
        <f t="shared" si="107"/>
        <v>High Risk</v>
      </c>
      <c r="G2299" t="s">
        <v>3</v>
      </c>
      <c r="H2299" t="s">
        <v>4</v>
      </c>
      <c r="I2299" t="s">
        <v>5</v>
      </c>
      <c r="J2299">
        <v>129.97</v>
      </c>
      <c r="K2299">
        <v>44.2</v>
      </c>
      <c r="L2299" t="s">
        <v>12</v>
      </c>
      <c r="M2299">
        <v>0</v>
      </c>
      <c r="N2299" t="str">
        <f t="shared" si="105"/>
        <v>60+</v>
      </c>
      <c r="O2299" t="str">
        <f t="shared" si="106"/>
        <v>Obese</v>
      </c>
    </row>
    <row r="2300" spans="1:15" x14ac:dyDescent="0.3">
      <c r="A2300">
        <v>59347</v>
      </c>
      <c r="B2300" t="s">
        <v>2</v>
      </c>
      <c r="C2300">
        <v>62</v>
      </c>
      <c r="D2300">
        <v>0</v>
      </c>
      <c r="E2300">
        <v>0</v>
      </c>
      <c r="F2300" t="str">
        <f t="shared" si="107"/>
        <v>Moderate Risk</v>
      </c>
      <c r="G2300" t="s">
        <v>3</v>
      </c>
      <c r="H2300" t="s">
        <v>4</v>
      </c>
      <c r="I2300" t="s">
        <v>5</v>
      </c>
      <c r="J2300">
        <v>124.26</v>
      </c>
      <c r="K2300">
        <v>33.4</v>
      </c>
      <c r="L2300" t="s">
        <v>11</v>
      </c>
      <c r="M2300">
        <v>0</v>
      </c>
      <c r="N2300" t="str">
        <f t="shared" si="105"/>
        <v>60+</v>
      </c>
      <c r="O2300" t="str">
        <f t="shared" si="106"/>
        <v>Obese</v>
      </c>
    </row>
    <row r="2301" spans="1:15" x14ac:dyDescent="0.3">
      <c r="A2301">
        <v>12849</v>
      </c>
      <c r="B2301" t="s">
        <v>7</v>
      </c>
      <c r="C2301">
        <v>28</v>
      </c>
      <c r="D2301">
        <v>0</v>
      </c>
      <c r="E2301">
        <v>0</v>
      </c>
      <c r="F2301" t="str">
        <f t="shared" si="107"/>
        <v>Lower Risk</v>
      </c>
      <c r="G2301" t="s">
        <v>3</v>
      </c>
      <c r="H2301" t="s">
        <v>4</v>
      </c>
      <c r="I2301" t="s">
        <v>5</v>
      </c>
      <c r="J2301">
        <v>87.92</v>
      </c>
      <c r="K2301">
        <v>32.5</v>
      </c>
      <c r="L2301" t="s">
        <v>14</v>
      </c>
      <c r="M2301">
        <v>0</v>
      </c>
      <c r="N2301" t="str">
        <f t="shared" si="105"/>
        <v>Under 40</v>
      </c>
      <c r="O2301" t="str">
        <f t="shared" si="106"/>
        <v>Obese</v>
      </c>
    </row>
    <row r="2302" spans="1:15" x14ac:dyDescent="0.3">
      <c r="A2302">
        <v>6104</v>
      </c>
      <c r="B2302" t="s">
        <v>7</v>
      </c>
      <c r="C2302">
        <v>7</v>
      </c>
      <c r="D2302">
        <v>0</v>
      </c>
      <c r="E2302">
        <v>0</v>
      </c>
      <c r="F2302" t="str">
        <f t="shared" si="107"/>
        <v>Lower Risk</v>
      </c>
      <c r="G2302" t="s">
        <v>13</v>
      </c>
      <c r="H2302" t="s">
        <v>16</v>
      </c>
      <c r="I2302" t="s">
        <v>9</v>
      </c>
      <c r="J2302">
        <v>85.15</v>
      </c>
      <c r="K2302">
        <v>15.1</v>
      </c>
      <c r="L2302" t="s">
        <v>14</v>
      </c>
      <c r="M2302">
        <v>0</v>
      </c>
      <c r="N2302" t="str">
        <f t="shared" si="105"/>
        <v>Under 40</v>
      </c>
      <c r="O2302" t="str">
        <f t="shared" si="106"/>
        <v>Underweight</v>
      </c>
    </row>
    <row r="2303" spans="1:15" x14ac:dyDescent="0.3">
      <c r="A2303">
        <v>29694</v>
      </c>
      <c r="B2303" t="s">
        <v>7</v>
      </c>
      <c r="C2303">
        <v>68</v>
      </c>
      <c r="D2303">
        <v>0</v>
      </c>
      <c r="E2303">
        <v>0</v>
      </c>
      <c r="F2303" t="str">
        <f t="shared" si="107"/>
        <v>Moderate Risk</v>
      </c>
      <c r="G2303" t="s">
        <v>3</v>
      </c>
      <c r="H2303" t="s">
        <v>4</v>
      </c>
      <c r="I2303" t="s">
        <v>9</v>
      </c>
      <c r="J2303">
        <v>95.36</v>
      </c>
      <c r="K2303">
        <v>21.5</v>
      </c>
      <c r="L2303" t="s">
        <v>12</v>
      </c>
      <c r="M2303">
        <v>0</v>
      </c>
      <c r="N2303" t="str">
        <f t="shared" si="105"/>
        <v>60+</v>
      </c>
      <c r="O2303" t="str">
        <f t="shared" si="106"/>
        <v>Normal</v>
      </c>
    </row>
    <row r="2304" spans="1:15" x14ac:dyDescent="0.3">
      <c r="A2304">
        <v>30806</v>
      </c>
      <c r="B2304" t="s">
        <v>2</v>
      </c>
      <c r="C2304">
        <v>37</v>
      </c>
      <c r="D2304">
        <v>0</v>
      </c>
      <c r="E2304">
        <v>0</v>
      </c>
      <c r="F2304" t="str">
        <f t="shared" si="107"/>
        <v>Lower Risk</v>
      </c>
      <c r="G2304" t="s">
        <v>3</v>
      </c>
      <c r="H2304" t="s">
        <v>8</v>
      </c>
      <c r="I2304" t="s">
        <v>5</v>
      </c>
      <c r="J2304">
        <v>87.16</v>
      </c>
      <c r="K2304">
        <v>30.4</v>
      </c>
      <c r="L2304" t="s">
        <v>6</v>
      </c>
      <c r="M2304">
        <v>0</v>
      </c>
      <c r="N2304" t="str">
        <f t="shared" si="105"/>
        <v>Under 40</v>
      </c>
      <c r="O2304" t="str">
        <f t="shared" si="106"/>
        <v>Obese</v>
      </c>
    </row>
    <row r="2305" spans="1:15" x14ac:dyDescent="0.3">
      <c r="A2305">
        <v>20316</v>
      </c>
      <c r="B2305" t="s">
        <v>7</v>
      </c>
      <c r="C2305">
        <v>75</v>
      </c>
      <c r="D2305">
        <v>0</v>
      </c>
      <c r="E2305">
        <v>0</v>
      </c>
      <c r="F2305" t="str">
        <f t="shared" si="107"/>
        <v>Moderate Risk</v>
      </c>
      <c r="G2305" t="s">
        <v>3</v>
      </c>
      <c r="H2305" t="s">
        <v>15</v>
      </c>
      <c r="I2305" t="s">
        <v>9</v>
      </c>
      <c r="J2305">
        <v>219.39</v>
      </c>
      <c r="K2305">
        <v>33.4</v>
      </c>
      <c r="L2305" t="s">
        <v>12</v>
      </c>
      <c r="M2305">
        <v>0</v>
      </c>
      <c r="N2305" t="str">
        <f t="shared" si="105"/>
        <v>60+</v>
      </c>
      <c r="O2305" t="str">
        <f t="shared" si="106"/>
        <v>Obese</v>
      </c>
    </row>
    <row r="2306" spans="1:15" x14ac:dyDescent="0.3">
      <c r="A2306">
        <v>58253</v>
      </c>
      <c r="B2306" t="s">
        <v>2</v>
      </c>
      <c r="C2306">
        <v>5</v>
      </c>
      <c r="D2306">
        <v>0</v>
      </c>
      <c r="E2306">
        <v>0</v>
      </c>
      <c r="F2306" t="str">
        <f t="shared" si="107"/>
        <v>Lower Risk</v>
      </c>
      <c r="G2306" t="s">
        <v>13</v>
      </c>
      <c r="H2306" t="s">
        <v>16</v>
      </c>
      <c r="I2306" t="s">
        <v>5</v>
      </c>
      <c r="J2306">
        <v>71.92</v>
      </c>
      <c r="K2306">
        <v>18.2</v>
      </c>
      <c r="L2306" t="s">
        <v>14</v>
      </c>
      <c r="M2306">
        <v>0</v>
      </c>
      <c r="N2306" t="str">
        <f t="shared" ref="N2306:N2369" si="108">IF(C2306&lt;40,"Under 40",IF(C2306&lt;60,"40–59","60+"))</f>
        <v>Under 40</v>
      </c>
      <c r="O2306" t="str">
        <f t="shared" ref="O2306:O2369" si="109">IF(K2306="N/A","Unknown",
IF(K2306="","Unknown",
IF(K2306&lt;18.5,"Underweight",
IF(K2306&lt;25,"Normal",
IF(K2306&lt;30,"Overweight","Obese")))))</f>
        <v>Underweight</v>
      </c>
    </row>
    <row r="2307" spans="1:15" x14ac:dyDescent="0.3">
      <c r="A2307">
        <v>57679</v>
      </c>
      <c r="B2307" t="s">
        <v>2</v>
      </c>
      <c r="C2307">
        <v>1.08</v>
      </c>
      <c r="D2307">
        <v>0</v>
      </c>
      <c r="E2307">
        <v>0</v>
      </c>
      <c r="F2307" t="str">
        <f t="shared" ref="F2307:F2370" si="110">IF(C2307&gt;=60,
IF(OR(D2307=1,E2307=1),"High Risk","Moderate Risk"),
"Lower Risk")</f>
        <v>Lower Risk</v>
      </c>
      <c r="G2307" t="s">
        <v>13</v>
      </c>
      <c r="H2307" t="s">
        <v>16</v>
      </c>
      <c r="I2307" t="s">
        <v>5</v>
      </c>
      <c r="J2307">
        <v>167.66</v>
      </c>
      <c r="K2307">
        <v>18.7</v>
      </c>
      <c r="L2307" t="s">
        <v>14</v>
      </c>
      <c r="M2307">
        <v>0</v>
      </c>
      <c r="N2307" t="str">
        <f t="shared" si="108"/>
        <v>Under 40</v>
      </c>
      <c r="O2307" t="str">
        <f t="shared" si="109"/>
        <v>Normal</v>
      </c>
    </row>
    <row r="2308" spans="1:15" x14ac:dyDescent="0.3">
      <c r="A2308">
        <v>39956</v>
      </c>
      <c r="B2308" t="s">
        <v>7</v>
      </c>
      <c r="C2308">
        <v>34</v>
      </c>
      <c r="D2308">
        <v>0</v>
      </c>
      <c r="E2308">
        <v>0</v>
      </c>
      <c r="F2308" t="str">
        <f t="shared" si="110"/>
        <v>Lower Risk</v>
      </c>
      <c r="G2308" t="s">
        <v>13</v>
      </c>
      <c r="H2308" t="s">
        <v>4</v>
      </c>
      <c r="I2308" t="s">
        <v>9</v>
      </c>
      <c r="J2308">
        <v>87.21</v>
      </c>
      <c r="K2308">
        <v>38.4</v>
      </c>
      <c r="L2308" t="s">
        <v>14</v>
      </c>
      <c r="M2308">
        <v>0</v>
      </c>
      <c r="N2308" t="str">
        <f t="shared" si="108"/>
        <v>Under 40</v>
      </c>
      <c r="O2308" t="str">
        <f t="shared" si="109"/>
        <v>Obese</v>
      </c>
    </row>
    <row r="2309" spans="1:15" x14ac:dyDescent="0.3">
      <c r="A2309">
        <v>7683</v>
      </c>
      <c r="B2309" t="s">
        <v>2</v>
      </c>
      <c r="C2309">
        <v>49</v>
      </c>
      <c r="D2309">
        <v>0</v>
      </c>
      <c r="E2309">
        <v>0</v>
      </c>
      <c r="F2309" t="str">
        <f t="shared" si="110"/>
        <v>Lower Risk</v>
      </c>
      <c r="G2309" t="s">
        <v>3</v>
      </c>
      <c r="H2309" t="s">
        <v>8</v>
      </c>
      <c r="I2309" t="s">
        <v>9</v>
      </c>
      <c r="J2309">
        <v>220.47</v>
      </c>
      <c r="K2309">
        <v>36.4</v>
      </c>
      <c r="L2309" t="s">
        <v>12</v>
      </c>
      <c r="M2309">
        <v>0</v>
      </c>
      <c r="N2309" t="str">
        <f t="shared" si="108"/>
        <v>40–59</v>
      </c>
      <c r="O2309" t="str">
        <f t="shared" si="109"/>
        <v>Obese</v>
      </c>
    </row>
    <row r="2310" spans="1:15" x14ac:dyDescent="0.3">
      <c r="A2310">
        <v>9197</v>
      </c>
      <c r="B2310" t="s">
        <v>7</v>
      </c>
      <c r="C2310">
        <v>8</v>
      </c>
      <c r="D2310">
        <v>0</v>
      </c>
      <c r="E2310">
        <v>0</v>
      </c>
      <c r="F2310" t="str">
        <f t="shared" si="110"/>
        <v>Lower Risk</v>
      </c>
      <c r="G2310" t="s">
        <v>13</v>
      </c>
      <c r="H2310" t="s">
        <v>16</v>
      </c>
      <c r="I2310" t="s">
        <v>5</v>
      </c>
      <c r="J2310">
        <v>80.47</v>
      </c>
      <c r="K2310">
        <v>20.6</v>
      </c>
      <c r="L2310" t="s">
        <v>14</v>
      </c>
      <c r="M2310">
        <v>0</v>
      </c>
      <c r="N2310" t="str">
        <f t="shared" si="108"/>
        <v>Under 40</v>
      </c>
      <c r="O2310" t="str">
        <f t="shared" si="109"/>
        <v>Normal</v>
      </c>
    </row>
    <row r="2311" spans="1:15" x14ac:dyDescent="0.3">
      <c r="A2311">
        <v>58543</v>
      </c>
      <c r="B2311" t="s">
        <v>7</v>
      </c>
      <c r="C2311">
        <v>50</v>
      </c>
      <c r="D2311">
        <v>0</v>
      </c>
      <c r="E2311">
        <v>0</v>
      </c>
      <c r="F2311" t="str">
        <f t="shared" si="110"/>
        <v>Lower Risk</v>
      </c>
      <c r="G2311" t="s">
        <v>3</v>
      </c>
      <c r="H2311" t="s">
        <v>15</v>
      </c>
      <c r="I2311" t="s">
        <v>5</v>
      </c>
      <c r="J2311">
        <v>89.95</v>
      </c>
      <c r="K2311">
        <v>48.9</v>
      </c>
      <c r="L2311" t="s">
        <v>6</v>
      </c>
      <c r="M2311">
        <v>0</v>
      </c>
      <c r="N2311" t="str">
        <f t="shared" si="108"/>
        <v>40–59</v>
      </c>
      <c r="O2311" t="str">
        <f t="shared" si="109"/>
        <v>Obese</v>
      </c>
    </row>
    <row r="2312" spans="1:15" x14ac:dyDescent="0.3">
      <c r="A2312">
        <v>6968</v>
      </c>
      <c r="B2312" t="s">
        <v>2</v>
      </c>
      <c r="C2312">
        <v>2</v>
      </c>
      <c r="D2312">
        <v>0</v>
      </c>
      <c r="E2312">
        <v>0</v>
      </c>
      <c r="F2312" t="str">
        <f t="shared" si="110"/>
        <v>Lower Risk</v>
      </c>
      <c r="G2312" t="s">
        <v>13</v>
      </c>
      <c r="H2312" t="s">
        <v>16</v>
      </c>
      <c r="I2312" t="s">
        <v>9</v>
      </c>
      <c r="J2312">
        <v>111.32</v>
      </c>
      <c r="K2312">
        <v>18.2</v>
      </c>
      <c r="L2312" t="s">
        <v>14</v>
      </c>
      <c r="M2312">
        <v>0</v>
      </c>
      <c r="N2312" t="str">
        <f t="shared" si="108"/>
        <v>Under 40</v>
      </c>
      <c r="O2312" t="str">
        <f t="shared" si="109"/>
        <v>Underweight</v>
      </c>
    </row>
    <row r="2313" spans="1:15" x14ac:dyDescent="0.3">
      <c r="A2313">
        <v>35838</v>
      </c>
      <c r="B2313" t="s">
        <v>7</v>
      </c>
      <c r="C2313">
        <v>1.1599999999999999</v>
      </c>
      <c r="D2313">
        <v>0</v>
      </c>
      <c r="E2313">
        <v>0</v>
      </c>
      <c r="F2313" t="str">
        <f t="shared" si="110"/>
        <v>Lower Risk</v>
      </c>
      <c r="G2313" t="s">
        <v>13</v>
      </c>
      <c r="H2313" t="s">
        <v>16</v>
      </c>
      <c r="I2313" t="s">
        <v>5</v>
      </c>
      <c r="J2313">
        <v>65.010000000000005</v>
      </c>
      <c r="K2313">
        <v>17</v>
      </c>
      <c r="L2313" t="s">
        <v>14</v>
      </c>
      <c r="M2313">
        <v>0</v>
      </c>
      <c r="N2313" t="str">
        <f t="shared" si="108"/>
        <v>Under 40</v>
      </c>
      <c r="O2313" t="str">
        <f t="shared" si="109"/>
        <v>Underweight</v>
      </c>
    </row>
    <row r="2314" spans="1:15" x14ac:dyDescent="0.3">
      <c r="A2314">
        <v>57549</v>
      </c>
      <c r="B2314" t="s">
        <v>7</v>
      </c>
      <c r="C2314">
        <v>76</v>
      </c>
      <c r="D2314">
        <v>0</v>
      </c>
      <c r="E2314">
        <v>0</v>
      </c>
      <c r="F2314" t="str">
        <f t="shared" si="110"/>
        <v>Moderate Risk</v>
      </c>
      <c r="G2314" t="s">
        <v>3</v>
      </c>
      <c r="H2314" t="s">
        <v>8</v>
      </c>
      <c r="I2314" t="s">
        <v>5</v>
      </c>
      <c r="J2314">
        <v>110.07</v>
      </c>
      <c r="K2314">
        <v>31.8</v>
      </c>
      <c r="L2314" t="s">
        <v>11</v>
      </c>
      <c r="M2314">
        <v>0</v>
      </c>
      <c r="N2314" t="str">
        <f t="shared" si="108"/>
        <v>60+</v>
      </c>
      <c r="O2314" t="str">
        <f t="shared" si="109"/>
        <v>Obese</v>
      </c>
    </row>
    <row r="2315" spans="1:15" x14ac:dyDescent="0.3">
      <c r="A2315">
        <v>59200</v>
      </c>
      <c r="B2315" t="s">
        <v>2</v>
      </c>
      <c r="C2315">
        <v>18</v>
      </c>
      <c r="D2315">
        <v>0</v>
      </c>
      <c r="E2315">
        <v>0</v>
      </c>
      <c r="F2315" t="str">
        <f t="shared" si="110"/>
        <v>Lower Risk</v>
      </c>
      <c r="G2315" t="s">
        <v>13</v>
      </c>
      <c r="H2315" t="s">
        <v>4</v>
      </c>
      <c r="I2315" t="s">
        <v>5</v>
      </c>
      <c r="J2315">
        <v>60.56</v>
      </c>
      <c r="K2315">
        <v>33</v>
      </c>
      <c r="L2315" t="s">
        <v>11</v>
      </c>
      <c r="M2315">
        <v>0</v>
      </c>
      <c r="N2315" t="str">
        <f t="shared" si="108"/>
        <v>Under 40</v>
      </c>
      <c r="O2315" t="str">
        <f t="shared" si="109"/>
        <v>Obese</v>
      </c>
    </row>
    <row r="2316" spans="1:15" x14ac:dyDescent="0.3">
      <c r="A2316">
        <v>24289</v>
      </c>
      <c r="B2316" t="s">
        <v>2</v>
      </c>
      <c r="C2316">
        <v>82</v>
      </c>
      <c r="D2316">
        <v>0</v>
      </c>
      <c r="E2316">
        <v>0</v>
      </c>
      <c r="F2316" t="str">
        <f t="shared" si="110"/>
        <v>Moderate Risk</v>
      </c>
      <c r="G2316" t="s">
        <v>3</v>
      </c>
      <c r="H2316" t="s">
        <v>4</v>
      </c>
      <c r="I2316" t="s">
        <v>5</v>
      </c>
      <c r="J2316">
        <v>89.83</v>
      </c>
      <c r="K2316">
        <v>24.7</v>
      </c>
      <c r="L2316" t="s">
        <v>12</v>
      </c>
      <c r="M2316">
        <v>0</v>
      </c>
      <c r="N2316" t="str">
        <f t="shared" si="108"/>
        <v>60+</v>
      </c>
      <c r="O2316" t="str">
        <f t="shared" si="109"/>
        <v>Normal</v>
      </c>
    </row>
    <row r="2317" spans="1:15" x14ac:dyDescent="0.3">
      <c r="A2317">
        <v>6206</v>
      </c>
      <c r="B2317" t="s">
        <v>7</v>
      </c>
      <c r="C2317">
        <v>67</v>
      </c>
      <c r="D2317">
        <v>0</v>
      </c>
      <c r="E2317">
        <v>0</v>
      </c>
      <c r="F2317" t="str">
        <f t="shared" si="110"/>
        <v>Moderate Risk</v>
      </c>
      <c r="G2317" t="s">
        <v>3</v>
      </c>
      <c r="H2317" t="s">
        <v>8</v>
      </c>
      <c r="I2317" t="s">
        <v>9</v>
      </c>
      <c r="J2317">
        <v>90.35</v>
      </c>
      <c r="K2317">
        <v>28.1</v>
      </c>
      <c r="L2317" t="s">
        <v>14</v>
      </c>
      <c r="M2317">
        <v>0</v>
      </c>
      <c r="N2317" t="str">
        <f t="shared" si="108"/>
        <v>60+</v>
      </c>
      <c r="O2317" t="str">
        <f t="shared" si="109"/>
        <v>Overweight</v>
      </c>
    </row>
    <row r="2318" spans="1:15" x14ac:dyDescent="0.3">
      <c r="A2318">
        <v>28227</v>
      </c>
      <c r="B2318" t="s">
        <v>7</v>
      </c>
      <c r="C2318">
        <v>27</v>
      </c>
      <c r="D2318">
        <v>0</v>
      </c>
      <c r="E2318">
        <v>0</v>
      </c>
      <c r="F2318" t="str">
        <f t="shared" si="110"/>
        <v>Lower Risk</v>
      </c>
      <c r="G2318" t="s">
        <v>3</v>
      </c>
      <c r="H2318" t="s">
        <v>4</v>
      </c>
      <c r="I2318" t="s">
        <v>5</v>
      </c>
      <c r="J2318">
        <v>71.5</v>
      </c>
      <c r="K2318">
        <v>40.299999999999997</v>
      </c>
      <c r="L2318" t="s">
        <v>12</v>
      </c>
      <c r="M2318">
        <v>0</v>
      </c>
      <c r="N2318" t="str">
        <f t="shared" si="108"/>
        <v>Under 40</v>
      </c>
      <c r="O2318" t="str">
        <f t="shared" si="109"/>
        <v>Obese</v>
      </c>
    </row>
    <row r="2319" spans="1:15" x14ac:dyDescent="0.3">
      <c r="A2319">
        <v>35229</v>
      </c>
      <c r="B2319" t="s">
        <v>2</v>
      </c>
      <c r="C2319">
        <v>57</v>
      </c>
      <c r="D2319">
        <v>0</v>
      </c>
      <c r="E2319">
        <v>0</v>
      </c>
      <c r="F2319" t="str">
        <f t="shared" si="110"/>
        <v>Lower Risk</v>
      </c>
      <c r="G2319" t="s">
        <v>3</v>
      </c>
      <c r="H2319" t="s">
        <v>15</v>
      </c>
      <c r="I2319" t="s">
        <v>5</v>
      </c>
      <c r="J2319">
        <v>71.709999999999994</v>
      </c>
      <c r="K2319">
        <v>35.200000000000003</v>
      </c>
      <c r="L2319" t="s">
        <v>12</v>
      </c>
      <c r="M2319">
        <v>0</v>
      </c>
      <c r="N2319" t="str">
        <f t="shared" si="108"/>
        <v>40–59</v>
      </c>
      <c r="O2319" t="str">
        <f t="shared" si="109"/>
        <v>Obese</v>
      </c>
    </row>
    <row r="2320" spans="1:15" x14ac:dyDescent="0.3">
      <c r="A2320">
        <v>23176</v>
      </c>
      <c r="B2320" t="s">
        <v>7</v>
      </c>
      <c r="C2320">
        <v>51</v>
      </c>
      <c r="D2320">
        <v>1</v>
      </c>
      <c r="E2320">
        <v>0</v>
      </c>
      <c r="F2320" t="str">
        <f t="shared" si="110"/>
        <v>Lower Risk</v>
      </c>
      <c r="G2320" t="s">
        <v>3</v>
      </c>
      <c r="H2320" t="s">
        <v>4</v>
      </c>
      <c r="I2320" t="s">
        <v>5</v>
      </c>
      <c r="J2320">
        <v>173.96</v>
      </c>
      <c r="K2320">
        <v>31.2</v>
      </c>
      <c r="L2320" t="s">
        <v>6</v>
      </c>
      <c r="M2320">
        <v>0</v>
      </c>
      <c r="N2320" t="str">
        <f t="shared" si="108"/>
        <v>40–59</v>
      </c>
      <c r="O2320" t="str">
        <f t="shared" si="109"/>
        <v>Obese</v>
      </c>
    </row>
    <row r="2321" spans="1:15" x14ac:dyDescent="0.3">
      <c r="A2321">
        <v>3045</v>
      </c>
      <c r="B2321" t="s">
        <v>2</v>
      </c>
      <c r="C2321">
        <v>68</v>
      </c>
      <c r="D2321">
        <v>1</v>
      </c>
      <c r="E2321">
        <v>0</v>
      </c>
      <c r="F2321" t="str">
        <f t="shared" si="110"/>
        <v>High Risk</v>
      </c>
      <c r="G2321" t="s">
        <v>3</v>
      </c>
      <c r="H2321" t="s">
        <v>4</v>
      </c>
      <c r="I2321" t="s">
        <v>5</v>
      </c>
      <c r="J2321">
        <v>96.06</v>
      </c>
      <c r="K2321">
        <v>37.6</v>
      </c>
      <c r="L2321" t="s">
        <v>11</v>
      </c>
      <c r="M2321">
        <v>0</v>
      </c>
      <c r="N2321" t="str">
        <f t="shared" si="108"/>
        <v>60+</v>
      </c>
      <c r="O2321" t="str">
        <f t="shared" si="109"/>
        <v>Obese</v>
      </c>
    </row>
    <row r="2322" spans="1:15" x14ac:dyDescent="0.3">
      <c r="A2322">
        <v>22386</v>
      </c>
      <c r="B2322" t="s">
        <v>7</v>
      </c>
      <c r="C2322">
        <v>56</v>
      </c>
      <c r="D2322">
        <v>0</v>
      </c>
      <c r="E2322">
        <v>0</v>
      </c>
      <c r="F2322" t="str">
        <f t="shared" si="110"/>
        <v>Lower Risk</v>
      </c>
      <c r="G2322" t="s">
        <v>3</v>
      </c>
      <c r="H2322" t="s">
        <v>4</v>
      </c>
      <c r="I2322" t="s">
        <v>5</v>
      </c>
      <c r="J2322">
        <v>113.2</v>
      </c>
      <c r="K2322">
        <v>38.700000000000003</v>
      </c>
      <c r="L2322" t="s">
        <v>12</v>
      </c>
      <c r="M2322">
        <v>0</v>
      </c>
      <c r="N2322" t="str">
        <f t="shared" si="108"/>
        <v>40–59</v>
      </c>
      <c r="O2322" t="str">
        <f t="shared" si="109"/>
        <v>Obese</v>
      </c>
    </row>
    <row r="2323" spans="1:15" x14ac:dyDescent="0.3">
      <c r="A2323">
        <v>1077</v>
      </c>
      <c r="B2323" t="s">
        <v>2</v>
      </c>
      <c r="C2323">
        <v>77</v>
      </c>
      <c r="D2323">
        <v>0</v>
      </c>
      <c r="E2323">
        <v>1</v>
      </c>
      <c r="F2323" t="str">
        <f t="shared" si="110"/>
        <v>High Risk</v>
      </c>
      <c r="G2323" t="s">
        <v>3</v>
      </c>
      <c r="H2323" t="s">
        <v>15</v>
      </c>
      <c r="I2323" t="s">
        <v>9</v>
      </c>
      <c r="J2323">
        <v>106.03</v>
      </c>
      <c r="K2323" t="s">
        <v>10</v>
      </c>
      <c r="L2323" t="s">
        <v>14</v>
      </c>
      <c r="M2323">
        <v>0</v>
      </c>
      <c r="N2323" t="str">
        <f t="shared" si="108"/>
        <v>60+</v>
      </c>
      <c r="O2323" t="str">
        <f t="shared" si="109"/>
        <v>Unknown</v>
      </c>
    </row>
    <row r="2324" spans="1:15" x14ac:dyDescent="0.3">
      <c r="A2324">
        <v>57903</v>
      </c>
      <c r="B2324" t="s">
        <v>7</v>
      </c>
      <c r="C2324">
        <v>52</v>
      </c>
      <c r="D2324">
        <v>1</v>
      </c>
      <c r="E2324">
        <v>0</v>
      </c>
      <c r="F2324" t="str">
        <f t="shared" si="110"/>
        <v>Lower Risk</v>
      </c>
      <c r="G2324" t="s">
        <v>3</v>
      </c>
      <c r="H2324" t="s">
        <v>8</v>
      </c>
      <c r="I2324" t="s">
        <v>9</v>
      </c>
      <c r="J2324">
        <v>111.38</v>
      </c>
      <c r="K2324" t="s">
        <v>10</v>
      </c>
      <c r="L2324" t="s">
        <v>12</v>
      </c>
      <c r="M2324">
        <v>0</v>
      </c>
      <c r="N2324" t="str">
        <f t="shared" si="108"/>
        <v>40–59</v>
      </c>
      <c r="O2324" t="str">
        <f t="shared" si="109"/>
        <v>Unknown</v>
      </c>
    </row>
    <row r="2325" spans="1:15" x14ac:dyDescent="0.3">
      <c r="A2325">
        <v>22108</v>
      </c>
      <c r="B2325" t="s">
        <v>7</v>
      </c>
      <c r="C2325">
        <v>18</v>
      </c>
      <c r="D2325">
        <v>0</v>
      </c>
      <c r="E2325">
        <v>0</v>
      </c>
      <c r="F2325" t="str">
        <f t="shared" si="110"/>
        <v>Lower Risk</v>
      </c>
      <c r="G2325" t="s">
        <v>13</v>
      </c>
      <c r="H2325" t="s">
        <v>4</v>
      </c>
      <c r="I2325" t="s">
        <v>9</v>
      </c>
      <c r="J2325">
        <v>73.290000000000006</v>
      </c>
      <c r="K2325">
        <v>28.1</v>
      </c>
      <c r="L2325" t="s">
        <v>12</v>
      </c>
      <c r="M2325">
        <v>0</v>
      </c>
      <c r="N2325" t="str">
        <f t="shared" si="108"/>
        <v>Under 40</v>
      </c>
      <c r="O2325" t="str">
        <f t="shared" si="109"/>
        <v>Overweight</v>
      </c>
    </row>
    <row r="2326" spans="1:15" x14ac:dyDescent="0.3">
      <c r="A2326">
        <v>55982</v>
      </c>
      <c r="B2326" t="s">
        <v>7</v>
      </c>
      <c r="C2326">
        <v>63</v>
      </c>
      <c r="D2326">
        <v>0</v>
      </c>
      <c r="E2326">
        <v>0</v>
      </c>
      <c r="F2326" t="str">
        <f t="shared" si="110"/>
        <v>Moderate Risk</v>
      </c>
      <c r="G2326" t="s">
        <v>3</v>
      </c>
      <c r="H2326" t="s">
        <v>8</v>
      </c>
      <c r="I2326" t="s">
        <v>5</v>
      </c>
      <c r="J2326">
        <v>65.709999999999994</v>
      </c>
      <c r="K2326">
        <v>29.2</v>
      </c>
      <c r="L2326" t="s">
        <v>12</v>
      </c>
      <c r="M2326">
        <v>0</v>
      </c>
      <c r="N2326" t="str">
        <f t="shared" si="108"/>
        <v>60+</v>
      </c>
      <c r="O2326" t="str">
        <f t="shared" si="109"/>
        <v>Overweight</v>
      </c>
    </row>
    <row r="2327" spans="1:15" x14ac:dyDescent="0.3">
      <c r="A2327">
        <v>55465</v>
      </c>
      <c r="B2327" t="s">
        <v>7</v>
      </c>
      <c r="C2327">
        <v>31</v>
      </c>
      <c r="D2327">
        <v>0</v>
      </c>
      <c r="E2327">
        <v>0</v>
      </c>
      <c r="F2327" t="str">
        <f t="shared" si="110"/>
        <v>Lower Risk</v>
      </c>
      <c r="G2327" t="s">
        <v>3</v>
      </c>
      <c r="H2327" t="s">
        <v>4</v>
      </c>
      <c r="I2327" t="s">
        <v>9</v>
      </c>
      <c r="J2327">
        <v>60.41</v>
      </c>
      <c r="K2327">
        <v>31.1</v>
      </c>
      <c r="L2327" t="s">
        <v>14</v>
      </c>
      <c r="M2327">
        <v>0</v>
      </c>
      <c r="N2327" t="str">
        <f t="shared" si="108"/>
        <v>Under 40</v>
      </c>
      <c r="O2327" t="str">
        <f t="shared" si="109"/>
        <v>Obese</v>
      </c>
    </row>
    <row r="2328" spans="1:15" x14ac:dyDescent="0.3">
      <c r="A2328">
        <v>29258</v>
      </c>
      <c r="B2328" t="s">
        <v>7</v>
      </c>
      <c r="C2328">
        <v>37</v>
      </c>
      <c r="D2328">
        <v>0</v>
      </c>
      <c r="E2328">
        <v>0</v>
      </c>
      <c r="F2328" t="str">
        <f t="shared" si="110"/>
        <v>Lower Risk</v>
      </c>
      <c r="G2328" t="s">
        <v>13</v>
      </c>
      <c r="H2328" t="s">
        <v>4</v>
      </c>
      <c r="I2328" t="s">
        <v>5</v>
      </c>
      <c r="J2328">
        <v>89.11</v>
      </c>
      <c r="K2328">
        <v>24.1</v>
      </c>
      <c r="L2328" t="s">
        <v>11</v>
      </c>
      <c r="M2328">
        <v>0</v>
      </c>
      <c r="N2328" t="str">
        <f t="shared" si="108"/>
        <v>Under 40</v>
      </c>
      <c r="O2328" t="str">
        <f t="shared" si="109"/>
        <v>Normal</v>
      </c>
    </row>
    <row r="2329" spans="1:15" x14ac:dyDescent="0.3">
      <c r="A2329">
        <v>38432</v>
      </c>
      <c r="B2329" t="s">
        <v>7</v>
      </c>
      <c r="C2329">
        <v>64</v>
      </c>
      <c r="D2329">
        <v>0</v>
      </c>
      <c r="E2329">
        <v>0</v>
      </c>
      <c r="F2329" t="str">
        <f t="shared" si="110"/>
        <v>Moderate Risk</v>
      </c>
      <c r="G2329" t="s">
        <v>3</v>
      </c>
      <c r="H2329" t="s">
        <v>4</v>
      </c>
      <c r="I2329" t="s">
        <v>5</v>
      </c>
      <c r="J2329">
        <v>63.32</v>
      </c>
      <c r="K2329">
        <v>18.7</v>
      </c>
      <c r="L2329" t="s">
        <v>6</v>
      </c>
      <c r="M2329">
        <v>0</v>
      </c>
      <c r="N2329" t="str">
        <f t="shared" si="108"/>
        <v>60+</v>
      </c>
      <c r="O2329" t="str">
        <f t="shared" si="109"/>
        <v>Normal</v>
      </c>
    </row>
    <row r="2330" spans="1:15" x14ac:dyDescent="0.3">
      <c r="A2330">
        <v>49666</v>
      </c>
      <c r="B2330" t="s">
        <v>2</v>
      </c>
      <c r="C2330">
        <v>47</v>
      </c>
      <c r="D2330">
        <v>0</v>
      </c>
      <c r="E2330">
        <v>0</v>
      </c>
      <c r="F2330" t="str">
        <f t="shared" si="110"/>
        <v>Lower Risk</v>
      </c>
      <c r="G2330" t="s">
        <v>3</v>
      </c>
      <c r="H2330" t="s">
        <v>8</v>
      </c>
      <c r="I2330" t="s">
        <v>5</v>
      </c>
      <c r="J2330">
        <v>85.68</v>
      </c>
      <c r="K2330">
        <v>39.6</v>
      </c>
      <c r="L2330" t="s">
        <v>11</v>
      </c>
      <c r="M2330">
        <v>0</v>
      </c>
      <c r="N2330" t="str">
        <f t="shared" si="108"/>
        <v>40–59</v>
      </c>
      <c r="O2330" t="str">
        <f t="shared" si="109"/>
        <v>Obese</v>
      </c>
    </row>
    <row r="2331" spans="1:15" x14ac:dyDescent="0.3">
      <c r="A2331">
        <v>59904</v>
      </c>
      <c r="B2331" t="s">
        <v>7</v>
      </c>
      <c r="C2331">
        <v>1.8</v>
      </c>
      <c r="D2331">
        <v>0</v>
      </c>
      <c r="E2331">
        <v>0</v>
      </c>
      <c r="F2331" t="str">
        <f t="shared" si="110"/>
        <v>Lower Risk</v>
      </c>
      <c r="G2331" t="s">
        <v>13</v>
      </c>
      <c r="H2331" t="s">
        <v>16</v>
      </c>
      <c r="I2331" t="s">
        <v>5</v>
      </c>
      <c r="J2331">
        <v>162.93</v>
      </c>
      <c r="K2331">
        <v>15.7</v>
      </c>
      <c r="L2331" t="s">
        <v>14</v>
      </c>
      <c r="M2331">
        <v>0</v>
      </c>
      <c r="N2331" t="str">
        <f t="shared" si="108"/>
        <v>Under 40</v>
      </c>
      <c r="O2331" t="str">
        <f t="shared" si="109"/>
        <v>Underweight</v>
      </c>
    </row>
    <row r="2332" spans="1:15" x14ac:dyDescent="0.3">
      <c r="A2332">
        <v>32365</v>
      </c>
      <c r="B2332" t="s">
        <v>2</v>
      </c>
      <c r="C2332">
        <v>42</v>
      </c>
      <c r="D2332">
        <v>0</v>
      </c>
      <c r="E2332">
        <v>0</v>
      </c>
      <c r="F2332" t="str">
        <f t="shared" si="110"/>
        <v>Lower Risk</v>
      </c>
      <c r="G2332" t="s">
        <v>3</v>
      </c>
      <c r="H2332" t="s">
        <v>4</v>
      </c>
      <c r="I2332" t="s">
        <v>9</v>
      </c>
      <c r="J2332">
        <v>89.22</v>
      </c>
      <c r="K2332">
        <v>53.8</v>
      </c>
      <c r="L2332" t="s">
        <v>14</v>
      </c>
      <c r="M2332">
        <v>0</v>
      </c>
      <c r="N2332" t="str">
        <f t="shared" si="108"/>
        <v>40–59</v>
      </c>
      <c r="O2332" t="str">
        <f t="shared" si="109"/>
        <v>Obese</v>
      </c>
    </row>
    <row r="2333" spans="1:15" x14ac:dyDescent="0.3">
      <c r="A2333">
        <v>15351</v>
      </c>
      <c r="B2333" t="s">
        <v>2</v>
      </c>
      <c r="C2333">
        <v>37</v>
      </c>
      <c r="D2333">
        <v>0</v>
      </c>
      <c r="E2333">
        <v>0</v>
      </c>
      <c r="F2333" t="str">
        <f t="shared" si="110"/>
        <v>Lower Risk</v>
      </c>
      <c r="G2333" t="s">
        <v>3</v>
      </c>
      <c r="H2333" t="s">
        <v>4</v>
      </c>
      <c r="I2333" t="s">
        <v>9</v>
      </c>
      <c r="J2333">
        <v>91.68</v>
      </c>
      <c r="K2333">
        <v>32.4</v>
      </c>
      <c r="L2333" t="s">
        <v>6</v>
      </c>
      <c r="M2333">
        <v>0</v>
      </c>
      <c r="N2333" t="str">
        <f t="shared" si="108"/>
        <v>Under 40</v>
      </c>
      <c r="O2333" t="str">
        <f t="shared" si="109"/>
        <v>Obese</v>
      </c>
    </row>
    <row r="2334" spans="1:15" x14ac:dyDescent="0.3">
      <c r="A2334">
        <v>61000</v>
      </c>
      <c r="B2334" t="s">
        <v>7</v>
      </c>
      <c r="C2334">
        <v>69</v>
      </c>
      <c r="D2334">
        <v>0</v>
      </c>
      <c r="E2334">
        <v>1</v>
      </c>
      <c r="F2334" t="str">
        <f t="shared" si="110"/>
        <v>High Risk</v>
      </c>
      <c r="G2334" t="s">
        <v>13</v>
      </c>
      <c r="H2334" t="s">
        <v>4</v>
      </c>
      <c r="I2334" t="s">
        <v>5</v>
      </c>
      <c r="J2334">
        <v>198.33</v>
      </c>
      <c r="K2334">
        <v>42.7</v>
      </c>
      <c r="L2334" t="s">
        <v>12</v>
      </c>
      <c r="M2334">
        <v>0</v>
      </c>
      <c r="N2334" t="str">
        <f t="shared" si="108"/>
        <v>60+</v>
      </c>
      <c r="O2334" t="str">
        <f t="shared" si="109"/>
        <v>Obese</v>
      </c>
    </row>
    <row r="2335" spans="1:15" x14ac:dyDescent="0.3">
      <c r="A2335">
        <v>77</v>
      </c>
      <c r="B2335" t="s">
        <v>7</v>
      </c>
      <c r="C2335">
        <v>13</v>
      </c>
      <c r="D2335">
        <v>0</v>
      </c>
      <c r="E2335">
        <v>0</v>
      </c>
      <c r="F2335" t="str">
        <f t="shared" si="110"/>
        <v>Lower Risk</v>
      </c>
      <c r="G2335" t="s">
        <v>13</v>
      </c>
      <c r="H2335" t="s">
        <v>16</v>
      </c>
      <c r="I2335" t="s">
        <v>9</v>
      </c>
      <c r="J2335">
        <v>85.81</v>
      </c>
      <c r="K2335">
        <v>18.600000000000001</v>
      </c>
      <c r="L2335" t="s">
        <v>14</v>
      </c>
      <c r="M2335">
        <v>0</v>
      </c>
      <c r="N2335" t="str">
        <f t="shared" si="108"/>
        <v>Under 40</v>
      </c>
      <c r="O2335" t="str">
        <f t="shared" si="109"/>
        <v>Normal</v>
      </c>
    </row>
    <row r="2336" spans="1:15" x14ac:dyDescent="0.3">
      <c r="A2336">
        <v>17466</v>
      </c>
      <c r="B2336" t="s">
        <v>2</v>
      </c>
      <c r="C2336">
        <v>73</v>
      </c>
      <c r="D2336">
        <v>0</v>
      </c>
      <c r="E2336">
        <v>0</v>
      </c>
      <c r="F2336" t="str">
        <f t="shared" si="110"/>
        <v>Moderate Risk</v>
      </c>
      <c r="G2336" t="s">
        <v>13</v>
      </c>
      <c r="H2336" t="s">
        <v>15</v>
      </c>
      <c r="I2336" t="s">
        <v>9</v>
      </c>
      <c r="J2336">
        <v>79.59</v>
      </c>
      <c r="K2336">
        <v>31.4</v>
      </c>
      <c r="L2336" t="s">
        <v>12</v>
      </c>
      <c r="M2336">
        <v>0</v>
      </c>
      <c r="N2336" t="str">
        <f t="shared" si="108"/>
        <v>60+</v>
      </c>
      <c r="O2336" t="str">
        <f t="shared" si="109"/>
        <v>Obese</v>
      </c>
    </row>
    <row r="2337" spans="1:15" x14ac:dyDescent="0.3">
      <c r="A2337">
        <v>57569</v>
      </c>
      <c r="B2337" t="s">
        <v>2</v>
      </c>
      <c r="C2337">
        <v>48</v>
      </c>
      <c r="D2337">
        <v>0</v>
      </c>
      <c r="E2337">
        <v>0</v>
      </c>
      <c r="F2337" t="str">
        <f t="shared" si="110"/>
        <v>Lower Risk</v>
      </c>
      <c r="G2337" t="s">
        <v>3</v>
      </c>
      <c r="H2337" t="s">
        <v>4</v>
      </c>
      <c r="I2337" t="s">
        <v>9</v>
      </c>
      <c r="J2337">
        <v>106.74</v>
      </c>
      <c r="K2337">
        <v>33.700000000000003</v>
      </c>
      <c r="L2337" t="s">
        <v>6</v>
      </c>
      <c r="M2337">
        <v>0</v>
      </c>
      <c r="N2337" t="str">
        <f t="shared" si="108"/>
        <v>40–59</v>
      </c>
      <c r="O2337" t="str">
        <f t="shared" si="109"/>
        <v>Obese</v>
      </c>
    </row>
    <row r="2338" spans="1:15" x14ac:dyDescent="0.3">
      <c r="A2338">
        <v>9026</v>
      </c>
      <c r="B2338" t="s">
        <v>7</v>
      </c>
      <c r="C2338">
        <v>78</v>
      </c>
      <c r="D2338">
        <v>1</v>
      </c>
      <c r="E2338">
        <v>0</v>
      </c>
      <c r="F2338" t="str">
        <f t="shared" si="110"/>
        <v>High Risk</v>
      </c>
      <c r="G2338" t="s">
        <v>3</v>
      </c>
      <c r="H2338" t="s">
        <v>8</v>
      </c>
      <c r="I2338" t="s">
        <v>5</v>
      </c>
      <c r="J2338">
        <v>191.33</v>
      </c>
      <c r="K2338">
        <v>24.5</v>
      </c>
      <c r="L2338" t="s">
        <v>11</v>
      </c>
      <c r="M2338">
        <v>0</v>
      </c>
      <c r="N2338" t="str">
        <f t="shared" si="108"/>
        <v>60+</v>
      </c>
      <c r="O2338" t="str">
        <f t="shared" si="109"/>
        <v>Normal</v>
      </c>
    </row>
    <row r="2339" spans="1:15" x14ac:dyDescent="0.3">
      <c r="A2339">
        <v>54590</v>
      </c>
      <c r="B2339" t="s">
        <v>7</v>
      </c>
      <c r="C2339">
        <v>21</v>
      </c>
      <c r="D2339">
        <v>0</v>
      </c>
      <c r="E2339">
        <v>0</v>
      </c>
      <c r="F2339" t="str">
        <f t="shared" si="110"/>
        <v>Lower Risk</v>
      </c>
      <c r="G2339" t="s">
        <v>13</v>
      </c>
      <c r="H2339" t="s">
        <v>4</v>
      </c>
      <c r="I2339" t="s">
        <v>9</v>
      </c>
      <c r="J2339">
        <v>59.52</v>
      </c>
      <c r="K2339">
        <v>33.700000000000003</v>
      </c>
      <c r="L2339" t="s">
        <v>11</v>
      </c>
      <c r="M2339">
        <v>0</v>
      </c>
      <c r="N2339" t="str">
        <f t="shared" si="108"/>
        <v>Under 40</v>
      </c>
      <c r="O2339" t="str">
        <f t="shared" si="109"/>
        <v>Obese</v>
      </c>
    </row>
    <row r="2340" spans="1:15" x14ac:dyDescent="0.3">
      <c r="A2340">
        <v>54301</v>
      </c>
      <c r="B2340" t="s">
        <v>2</v>
      </c>
      <c r="C2340">
        <v>54</v>
      </c>
      <c r="D2340">
        <v>0</v>
      </c>
      <c r="E2340">
        <v>0</v>
      </c>
      <c r="F2340" t="str">
        <f t="shared" si="110"/>
        <v>Lower Risk</v>
      </c>
      <c r="G2340" t="s">
        <v>3</v>
      </c>
      <c r="H2340" t="s">
        <v>4</v>
      </c>
      <c r="I2340" t="s">
        <v>9</v>
      </c>
      <c r="J2340">
        <v>206.52</v>
      </c>
      <c r="K2340">
        <v>35.4</v>
      </c>
      <c r="L2340" t="s">
        <v>12</v>
      </c>
      <c r="M2340">
        <v>0</v>
      </c>
      <c r="N2340" t="str">
        <f t="shared" si="108"/>
        <v>40–59</v>
      </c>
      <c r="O2340" t="str">
        <f t="shared" si="109"/>
        <v>Obese</v>
      </c>
    </row>
    <row r="2341" spans="1:15" x14ac:dyDescent="0.3">
      <c r="A2341">
        <v>170</v>
      </c>
      <c r="B2341" t="s">
        <v>2</v>
      </c>
      <c r="C2341">
        <v>43</v>
      </c>
      <c r="D2341">
        <v>0</v>
      </c>
      <c r="E2341">
        <v>0</v>
      </c>
      <c r="F2341" t="str">
        <f t="shared" si="110"/>
        <v>Lower Risk</v>
      </c>
      <c r="G2341" t="s">
        <v>3</v>
      </c>
      <c r="H2341" t="s">
        <v>15</v>
      </c>
      <c r="I2341" t="s">
        <v>9</v>
      </c>
      <c r="J2341">
        <v>80.069999999999993</v>
      </c>
      <c r="K2341" t="s">
        <v>10</v>
      </c>
      <c r="L2341" t="s">
        <v>11</v>
      </c>
      <c r="M2341">
        <v>0</v>
      </c>
      <c r="N2341" t="str">
        <f t="shared" si="108"/>
        <v>40–59</v>
      </c>
      <c r="O2341" t="str">
        <f t="shared" si="109"/>
        <v>Unknown</v>
      </c>
    </row>
    <row r="2342" spans="1:15" x14ac:dyDescent="0.3">
      <c r="A2342">
        <v>52554</v>
      </c>
      <c r="B2342" t="s">
        <v>2</v>
      </c>
      <c r="C2342">
        <v>19</v>
      </c>
      <c r="D2342">
        <v>0</v>
      </c>
      <c r="E2342">
        <v>0</v>
      </c>
      <c r="F2342" t="str">
        <f t="shared" si="110"/>
        <v>Lower Risk</v>
      </c>
      <c r="G2342" t="s">
        <v>13</v>
      </c>
      <c r="H2342" t="s">
        <v>4</v>
      </c>
      <c r="I2342" t="s">
        <v>9</v>
      </c>
      <c r="J2342">
        <v>64.92</v>
      </c>
      <c r="K2342">
        <v>22.5</v>
      </c>
      <c r="L2342" t="s">
        <v>14</v>
      </c>
      <c r="M2342">
        <v>0</v>
      </c>
      <c r="N2342" t="str">
        <f t="shared" si="108"/>
        <v>Under 40</v>
      </c>
      <c r="O2342" t="str">
        <f t="shared" si="109"/>
        <v>Normal</v>
      </c>
    </row>
    <row r="2343" spans="1:15" x14ac:dyDescent="0.3">
      <c r="A2343">
        <v>10649</v>
      </c>
      <c r="B2343" t="s">
        <v>7</v>
      </c>
      <c r="C2343">
        <v>82</v>
      </c>
      <c r="D2343">
        <v>0</v>
      </c>
      <c r="E2343">
        <v>0</v>
      </c>
      <c r="F2343" t="str">
        <f t="shared" si="110"/>
        <v>Moderate Risk</v>
      </c>
      <c r="G2343" t="s">
        <v>3</v>
      </c>
      <c r="H2343" t="s">
        <v>4</v>
      </c>
      <c r="I2343" t="s">
        <v>5</v>
      </c>
      <c r="J2343">
        <v>80</v>
      </c>
      <c r="K2343">
        <v>33.6</v>
      </c>
      <c r="L2343" t="s">
        <v>11</v>
      </c>
      <c r="M2343">
        <v>0</v>
      </c>
      <c r="N2343" t="str">
        <f t="shared" si="108"/>
        <v>60+</v>
      </c>
      <c r="O2343" t="str">
        <f t="shared" si="109"/>
        <v>Obese</v>
      </c>
    </row>
    <row r="2344" spans="1:15" x14ac:dyDescent="0.3">
      <c r="A2344">
        <v>28258</v>
      </c>
      <c r="B2344" t="s">
        <v>7</v>
      </c>
      <c r="C2344">
        <v>80</v>
      </c>
      <c r="D2344">
        <v>0</v>
      </c>
      <c r="E2344">
        <v>0</v>
      </c>
      <c r="F2344" t="str">
        <f t="shared" si="110"/>
        <v>Moderate Risk</v>
      </c>
      <c r="G2344" t="s">
        <v>3</v>
      </c>
      <c r="H2344" t="s">
        <v>8</v>
      </c>
      <c r="I2344" t="s">
        <v>5</v>
      </c>
      <c r="J2344">
        <v>75.06</v>
      </c>
      <c r="K2344">
        <v>29.7</v>
      </c>
      <c r="L2344" t="s">
        <v>14</v>
      </c>
      <c r="M2344">
        <v>0</v>
      </c>
      <c r="N2344" t="str">
        <f t="shared" si="108"/>
        <v>60+</v>
      </c>
      <c r="O2344" t="str">
        <f t="shared" si="109"/>
        <v>Overweight</v>
      </c>
    </row>
    <row r="2345" spans="1:15" x14ac:dyDescent="0.3">
      <c r="A2345">
        <v>22269</v>
      </c>
      <c r="B2345" t="s">
        <v>7</v>
      </c>
      <c r="C2345">
        <v>69</v>
      </c>
      <c r="D2345">
        <v>1</v>
      </c>
      <c r="E2345">
        <v>0</v>
      </c>
      <c r="F2345" t="str">
        <f t="shared" si="110"/>
        <v>High Risk</v>
      </c>
      <c r="G2345" t="s">
        <v>3</v>
      </c>
      <c r="H2345" t="s">
        <v>15</v>
      </c>
      <c r="I2345" t="s">
        <v>5</v>
      </c>
      <c r="J2345">
        <v>112.2</v>
      </c>
      <c r="K2345" t="s">
        <v>10</v>
      </c>
      <c r="L2345" t="s">
        <v>11</v>
      </c>
      <c r="M2345">
        <v>0</v>
      </c>
      <c r="N2345" t="str">
        <f t="shared" si="108"/>
        <v>60+</v>
      </c>
      <c r="O2345" t="str">
        <f t="shared" si="109"/>
        <v>Unknown</v>
      </c>
    </row>
    <row r="2346" spans="1:15" x14ac:dyDescent="0.3">
      <c r="A2346">
        <v>12557</v>
      </c>
      <c r="B2346" t="s">
        <v>7</v>
      </c>
      <c r="C2346">
        <v>21</v>
      </c>
      <c r="D2346">
        <v>0</v>
      </c>
      <c r="E2346">
        <v>0</v>
      </c>
      <c r="F2346" t="str">
        <f t="shared" si="110"/>
        <v>Lower Risk</v>
      </c>
      <c r="G2346" t="s">
        <v>13</v>
      </c>
      <c r="H2346" t="s">
        <v>8</v>
      </c>
      <c r="I2346" t="s">
        <v>5</v>
      </c>
      <c r="J2346">
        <v>91.18</v>
      </c>
      <c r="K2346">
        <v>25.7</v>
      </c>
      <c r="L2346" t="s">
        <v>11</v>
      </c>
      <c r="M2346">
        <v>0</v>
      </c>
      <c r="N2346" t="str">
        <f t="shared" si="108"/>
        <v>Under 40</v>
      </c>
      <c r="O2346" t="str">
        <f t="shared" si="109"/>
        <v>Overweight</v>
      </c>
    </row>
    <row r="2347" spans="1:15" x14ac:dyDescent="0.3">
      <c r="A2347">
        <v>2846</v>
      </c>
      <c r="B2347" t="s">
        <v>7</v>
      </c>
      <c r="C2347">
        <v>46</v>
      </c>
      <c r="D2347">
        <v>0</v>
      </c>
      <c r="E2347">
        <v>0</v>
      </c>
      <c r="F2347" t="str">
        <f t="shared" si="110"/>
        <v>Lower Risk</v>
      </c>
      <c r="G2347" t="s">
        <v>3</v>
      </c>
      <c r="H2347" t="s">
        <v>4</v>
      </c>
      <c r="I2347" t="s">
        <v>9</v>
      </c>
      <c r="J2347">
        <v>85.81</v>
      </c>
      <c r="K2347">
        <v>20.2</v>
      </c>
      <c r="L2347" t="s">
        <v>6</v>
      </c>
      <c r="M2347">
        <v>0</v>
      </c>
      <c r="N2347" t="str">
        <f t="shared" si="108"/>
        <v>40–59</v>
      </c>
      <c r="O2347" t="str">
        <f t="shared" si="109"/>
        <v>Normal</v>
      </c>
    </row>
    <row r="2348" spans="1:15" x14ac:dyDescent="0.3">
      <c r="A2348">
        <v>61219</v>
      </c>
      <c r="B2348" t="s">
        <v>7</v>
      </c>
      <c r="C2348">
        <v>14</v>
      </c>
      <c r="D2348">
        <v>0</v>
      </c>
      <c r="E2348">
        <v>0</v>
      </c>
      <c r="F2348" t="str">
        <f t="shared" si="110"/>
        <v>Lower Risk</v>
      </c>
      <c r="G2348" t="s">
        <v>13</v>
      </c>
      <c r="H2348" t="s">
        <v>17</v>
      </c>
      <c r="I2348" t="s">
        <v>5</v>
      </c>
      <c r="J2348">
        <v>148.37</v>
      </c>
      <c r="K2348">
        <v>22.7</v>
      </c>
      <c r="L2348" t="s">
        <v>11</v>
      </c>
      <c r="M2348">
        <v>0</v>
      </c>
      <c r="N2348" t="str">
        <f t="shared" si="108"/>
        <v>Under 40</v>
      </c>
      <c r="O2348" t="str">
        <f t="shared" si="109"/>
        <v>Normal</v>
      </c>
    </row>
    <row r="2349" spans="1:15" x14ac:dyDescent="0.3">
      <c r="A2349">
        <v>65321</v>
      </c>
      <c r="B2349" t="s">
        <v>2</v>
      </c>
      <c r="C2349">
        <v>6</v>
      </c>
      <c r="D2349">
        <v>0</v>
      </c>
      <c r="E2349">
        <v>0</v>
      </c>
      <c r="F2349" t="str">
        <f t="shared" si="110"/>
        <v>Lower Risk</v>
      </c>
      <c r="G2349" t="s">
        <v>13</v>
      </c>
      <c r="H2349" t="s">
        <v>16</v>
      </c>
      <c r="I2349" t="s">
        <v>9</v>
      </c>
      <c r="J2349">
        <v>64.55</v>
      </c>
      <c r="K2349">
        <v>17.399999999999999</v>
      </c>
      <c r="L2349" t="s">
        <v>14</v>
      </c>
      <c r="M2349">
        <v>0</v>
      </c>
      <c r="N2349" t="str">
        <f t="shared" si="108"/>
        <v>Under 40</v>
      </c>
      <c r="O2349" t="str">
        <f t="shared" si="109"/>
        <v>Underweight</v>
      </c>
    </row>
    <row r="2350" spans="1:15" x14ac:dyDescent="0.3">
      <c r="A2350">
        <v>23946</v>
      </c>
      <c r="B2350" t="s">
        <v>7</v>
      </c>
      <c r="C2350">
        <v>3</v>
      </c>
      <c r="D2350">
        <v>0</v>
      </c>
      <c r="E2350">
        <v>0</v>
      </c>
      <c r="F2350" t="str">
        <f t="shared" si="110"/>
        <v>Lower Risk</v>
      </c>
      <c r="G2350" t="s">
        <v>13</v>
      </c>
      <c r="H2350" t="s">
        <v>16</v>
      </c>
      <c r="I2350" t="s">
        <v>9</v>
      </c>
      <c r="J2350">
        <v>97.31</v>
      </c>
      <c r="K2350">
        <v>22.2</v>
      </c>
      <c r="L2350" t="s">
        <v>14</v>
      </c>
      <c r="M2350">
        <v>0</v>
      </c>
      <c r="N2350" t="str">
        <f t="shared" si="108"/>
        <v>Under 40</v>
      </c>
      <c r="O2350" t="str">
        <f t="shared" si="109"/>
        <v>Normal</v>
      </c>
    </row>
    <row r="2351" spans="1:15" x14ac:dyDescent="0.3">
      <c r="A2351">
        <v>56312</v>
      </c>
      <c r="B2351" t="s">
        <v>2</v>
      </c>
      <c r="C2351">
        <v>47</v>
      </c>
      <c r="D2351">
        <v>0</v>
      </c>
      <c r="E2351">
        <v>0</v>
      </c>
      <c r="F2351" t="str">
        <f t="shared" si="110"/>
        <v>Lower Risk</v>
      </c>
      <c r="G2351" t="s">
        <v>13</v>
      </c>
      <c r="H2351" t="s">
        <v>4</v>
      </c>
      <c r="I2351" t="s">
        <v>9</v>
      </c>
      <c r="J2351">
        <v>111.15</v>
      </c>
      <c r="K2351">
        <v>23.8</v>
      </c>
      <c r="L2351" t="s">
        <v>11</v>
      </c>
      <c r="M2351">
        <v>0</v>
      </c>
      <c r="N2351" t="str">
        <f t="shared" si="108"/>
        <v>40–59</v>
      </c>
      <c r="O2351" t="str">
        <f t="shared" si="109"/>
        <v>Normal</v>
      </c>
    </row>
    <row r="2352" spans="1:15" x14ac:dyDescent="0.3">
      <c r="A2352">
        <v>20256</v>
      </c>
      <c r="B2352" t="s">
        <v>2</v>
      </c>
      <c r="C2352">
        <v>34</v>
      </c>
      <c r="D2352">
        <v>0</v>
      </c>
      <c r="E2352">
        <v>0</v>
      </c>
      <c r="F2352" t="str">
        <f t="shared" si="110"/>
        <v>Lower Risk</v>
      </c>
      <c r="G2352" t="s">
        <v>3</v>
      </c>
      <c r="H2352" t="s">
        <v>4</v>
      </c>
      <c r="I2352" t="s">
        <v>5</v>
      </c>
      <c r="J2352">
        <v>80.97</v>
      </c>
      <c r="K2352">
        <v>28.7</v>
      </c>
      <c r="L2352" t="s">
        <v>11</v>
      </c>
      <c r="M2352">
        <v>0</v>
      </c>
      <c r="N2352" t="str">
        <f t="shared" si="108"/>
        <v>Under 40</v>
      </c>
      <c r="O2352" t="str">
        <f t="shared" si="109"/>
        <v>Overweight</v>
      </c>
    </row>
    <row r="2353" spans="1:15" x14ac:dyDescent="0.3">
      <c r="A2353">
        <v>26993</v>
      </c>
      <c r="B2353" t="s">
        <v>7</v>
      </c>
      <c r="C2353">
        <v>41</v>
      </c>
      <c r="D2353">
        <v>0</v>
      </c>
      <c r="E2353">
        <v>0</v>
      </c>
      <c r="F2353" t="str">
        <f t="shared" si="110"/>
        <v>Lower Risk</v>
      </c>
      <c r="G2353" t="s">
        <v>3</v>
      </c>
      <c r="H2353" t="s">
        <v>4</v>
      </c>
      <c r="I2353" t="s">
        <v>9</v>
      </c>
      <c r="J2353">
        <v>89.88</v>
      </c>
      <c r="K2353">
        <v>33.1</v>
      </c>
      <c r="L2353" t="s">
        <v>6</v>
      </c>
      <c r="M2353">
        <v>0</v>
      </c>
      <c r="N2353" t="str">
        <f t="shared" si="108"/>
        <v>40–59</v>
      </c>
      <c r="O2353" t="str">
        <f t="shared" si="109"/>
        <v>Obese</v>
      </c>
    </row>
    <row r="2354" spans="1:15" x14ac:dyDescent="0.3">
      <c r="A2354">
        <v>58599</v>
      </c>
      <c r="B2354" t="s">
        <v>7</v>
      </c>
      <c r="C2354">
        <v>67</v>
      </c>
      <c r="D2354">
        <v>0</v>
      </c>
      <c r="E2354">
        <v>0</v>
      </c>
      <c r="F2354" t="str">
        <f t="shared" si="110"/>
        <v>Moderate Risk</v>
      </c>
      <c r="G2354" t="s">
        <v>3</v>
      </c>
      <c r="H2354" t="s">
        <v>4</v>
      </c>
      <c r="I2354" t="s">
        <v>9</v>
      </c>
      <c r="J2354">
        <v>62.66</v>
      </c>
      <c r="K2354">
        <v>28</v>
      </c>
      <c r="L2354" t="s">
        <v>6</v>
      </c>
      <c r="M2354">
        <v>0</v>
      </c>
      <c r="N2354" t="str">
        <f t="shared" si="108"/>
        <v>60+</v>
      </c>
      <c r="O2354" t="str">
        <f t="shared" si="109"/>
        <v>Overweight</v>
      </c>
    </row>
    <row r="2355" spans="1:15" x14ac:dyDescent="0.3">
      <c r="A2355">
        <v>27849</v>
      </c>
      <c r="B2355" t="s">
        <v>7</v>
      </c>
      <c r="C2355">
        <v>5</v>
      </c>
      <c r="D2355">
        <v>0</v>
      </c>
      <c r="E2355">
        <v>0</v>
      </c>
      <c r="F2355" t="str">
        <f t="shared" si="110"/>
        <v>Lower Risk</v>
      </c>
      <c r="G2355" t="s">
        <v>13</v>
      </c>
      <c r="H2355" t="s">
        <v>16</v>
      </c>
      <c r="I2355" t="s">
        <v>5</v>
      </c>
      <c r="J2355">
        <v>122.25</v>
      </c>
      <c r="K2355">
        <v>16.7</v>
      </c>
      <c r="L2355" t="s">
        <v>14</v>
      </c>
      <c r="M2355">
        <v>0</v>
      </c>
      <c r="N2355" t="str">
        <f t="shared" si="108"/>
        <v>Under 40</v>
      </c>
      <c r="O2355" t="str">
        <f t="shared" si="109"/>
        <v>Underweight</v>
      </c>
    </row>
    <row r="2356" spans="1:15" x14ac:dyDescent="0.3">
      <c r="A2356">
        <v>33367</v>
      </c>
      <c r="B2356" t="s">
        <v>2</v>
      </c>
      <c r="C2356">
        <v>20</v>
      </c>
      <c r="D2356">
        <v>0</v>
      </c>
      <c r="E2356">
        <v>0</v>
      </c>
      <c r="F2356" t="str">
        <f t="shared" si="110"/>
        <v>Lower Risk</v>
      </c>
      <c r="G2356" t="s">
        <v>13</v>
      </c>
      <c r="H2356" t="s">
        <v>4</v>
      </c>
      <c r="I2356" t="s">
        <v>9</v>
      </c>
      <c r="J2356">
        <v>87.08</v>
      </c>
      <c r="K2356">
        <v>27.1</v>
      </c>
      <c r="L2356" t="s">
        <v>11</v>
      </c>
      <c r="M2356">
        <v>0</v>
      </c>
      <c r="N2356" t="str">
        <f t="shared" si="108"/>
        <v>Under 40</v>
      </c>
      <c r="O2356" t="str">
        <f t="shared" si="109"/>
        <v>Overweight</v>
      </c>
    </row>
    <row r="2357" spans="1:15" x14ac:dyDescent="0.3">
      <c r="A2357">
        <v>61764</v>
      </c>
      <c r="B2357" t="s">
        <v>7</v>
      </c>
      <c r="C2357">
        <v>63</v>
      </c>
      <c r="D2357">
        <v>0</v>
      </c>
      <c r="E2357">
        <v>0</v>
      </c>
      <c r="F2357" t="str">
        <f t="shared" si="110"/>
        <v>Moderate Risk</v>
      </c>
      <c r="G2357" t="s">
        <v>3</v>
      </c>
      <c r="H2357" t="s">
        <v>4</v>
      </c>
      <c r="I2357" t="s">
        <v>9</v>
      </c>
      <c r="J2357">
        <v>85</v>
      </c>
      <c r="K2357">
        <v>26.4</v>
      </c>
      <c r="L2357" t="s">
        <v>12</v>
      </c>
      <c r="M2357">
        <v>0</v>
      </c>
      <c r="N2357" t="str">
        <f t="shared" si="108"/>
        <v>60+</v>
      </c>
      <c r="O2357" t="str">
        <f t="shared" si="109"/>
        <v>Overweight</v>
      </c>
    </row>
    <row r="2358" spans="1:15" x14ac:dyDescent="0.3">
      <c r="A2358">
        <v>13620</v>
      </c>
      <c r="B2358" t="s">
        <v>7</v>
      </c>
      <c r="C2358">
        <v>73</v>
      </c>
      <c r="D2358">
        <v>0</v>
      </c>
      <c r="E2358">
        <v>0</v>
      </c>
      <c r="F2358" t="str">
        <f t="shared" si="110"/>
        <v>Moderate Risk</v>
      </c>
      <c r="G2358" t="s">
        <v>3</v>
      </c>
      <c r="H2358" t="s">
        <v>8</v>
      </c>
      <c r="I2358" t="s">
        <v>5</v>
      </c>
      <c r="J2358">
        <v>100.49</v>
      </c>
      <c r="K2358">
        <v>23.7</v>
      </c>
      <c r="L2358" t="s">
        <v>12</v>
      </c>
      <c r="M2358">
        <v>0</v>
      </c>
      <c r="N2358" t="str">
        <f t="shared" si="108"/>
        <v>60+</v>
      </c>
      <c r="O2358" t="str">
        <f t="shared" si="109"/>
        <v>Normal</v>
      </c>
    </row>
    <row r="2359" spans="1:15" x14ac:dyDescent="0.3">
      <c r="A2359">
        <v>39308</v>
      </c>
      <c r="B2359" t="s">
        <v>2</v>
      </c>
      <c r="C2359">
        <v>62</v>
      </c>
      <c r="D2359">
        <v>0</v>
      </c>
      <c r="E2359">
        <v>0</v>
      </c>
      <c r="F2359" t="str">
        <f t="shared" si="110"/>
        <v>Moderate Risk</v>
      </c>
      <c r="G2359" t="s">
        <v>3</v>
      </c>
      <c r="H2359" t="s">
        <v>4</v>
      </c>
      <c r="I2359" t="s">
        <v>5</v>
      </c>
      <c r="J2359">
        <v>145.37</v>
      </c>
      <c r="K2359">
        <v>33.299999999999997</v>
      </c>
      <c r="L2359" t="s">
        <v>14</v>
      </c>
      <c r="M2359">
        <v>0</v>
      </c>
      <c r="N2359" t="str">
        <f t="shared" si="108"/>
        <v>60+</v>
      </c>
      <c r="O2359" t="str">
        <f t="shared" si="109"/>
        <v>Obese</v>
      </c>
    </row>
    <row r="2360" spans="1:15" x14ac:dyDescent="0.3">
      <c r="A2360">
        <v>1275</v>
      </c>
      <c r="B2360" t="s">
        <v>2</v>
      </c>
      <c r="C2360">
        <v>0.88</v>
      </c>
      <c r="D2360">
        <v>0</v>
      </c>
      <c r="E2360">
        <v>0</v>
      </c>
      <c r="F2360" t="str">
        <f t="shared" si="110"/>
        <v>Lower Risk</v>
      </c>
      <c r="G2360" t="s">
        <v>13</v>
      </c>
      <c r="H2360" t="s">
        <v>16</v>
      </c>
      <c r="I2360" t="s">
        <v>5</v>
      </c>
      <c r="J2360">
        <v>112.19</v>
      </c>
      <c r="K2360">
        <v>18.899999999999999</v>
      </c>
      <c r="L2360" t="s">
        <v>14</v>
      </c>
      <c r="M2360">
        <v>0</v>
      </c>
      <c r="N2360" t="str">
        <f t="shared" si="108"/>
        <v>Under 40</v>
      </c>
      <c r="O2360" t="str">
        <f t="shared" si="109"/>
        <v>Normal</v>
      </c>
    </row>
    <row r="2361" spans="1:15" x14ac:dyDescent="0.3">
      <c r="A2361">
        <v>34336</v>
      </c>
      <c r="B2361" t="s">
        <v>2</v>
      </c>
      <c r="C2361">
        <v>50</v>
      </c>
      <c r="D2361">
        <v>1</v>
      </c>
      <c r="E2361">
        <v>0</v>
      </c>
      <c r="F2361" t="str">
        <f t="shared" si="110"/>
        <v>Lower Risk</v>
      </c>
      <c r="G2361" t="s">
        <v>3</v>
      </c>
      <c r="H2361" t="s">
        <v>15</v>
      </c>
      <c r="I2361" t="s">
        <v>9</v>
      </c>
      <c r="J2361">
        <v>79.73</v>
      </c>
      <c r="K2361">
        <v>25.5</v>
      </c>
      <c r="L2361" t="s">
        <v>12</v>
      </c>
      <c r="M2361">
        <v>0</v>
      </c>
      <c r="N2361" t="str">
        <f t="shared" si="108"/>
        <v>40–59</v>
      </c>
      <c r="O2361" t="str">
        <f t="shared" si="109"/>
        <v>Overweight</v>
      </c>
    </row>
    <row r="2362" spans="1:15" x14ac:dyDescent="0.3">
      <c r="A2362">
        <v>1505</v>
      </c>
      <c r="B2362" t="s">
        <v>2</v>
      </c>
      <c r="C2362">
        <v>71</v>
      </c>
      <c r="D2362">
        <v>0</v>
      </c>
      <c r="E2362">
        <v>1</v>
      </c>
      <c r="F2362" t="str">
        <f t="shared" si="110"/>
        <v>High Risk</v>
      </c>
      <c r="G2362" t="s">
        <v>3</v>
      </c>
      <c r="H2362" t="s">
        <v>8</v>
      </c>
      <c r="I2362" t="s">
        <v>9</v>
      </c>
      <c r="J2362">
        <v>101.13</v>
      </c>
      <c r="K2362">
        <v>35.9</v>
      </c>
      <c r="L2362" t="s">
        <v>6</v>
      </c>
      <c r="M2362">
        <v>0</v>
      </c>
      <c r="N2362" t="str">
        <f t="shared" si="108"/>
        <v>60+</v>
      </c>
      <c r="O2362" t="str">
        <f t="shared" si="109"/>
        <v>Obese</v>
      </c>
    </row>
    <row r="2363" spans="1:15" x14ac:dyDescent="0.3">
      <c r="A2363">
        <v>31887</v>
      </c>
      <c r="B2363" t="s">
        <v>7</v>
      </c>
      <c r="C2363">
        <v>30</v>
      </c>
      <c r="D2363">
        <v>0</v>
      </c>
      <c r="E2363">
        <v>0</v>
      </c>
      <c r="F2363" t="str">
        <f t="shared" si="110"/>
        <v>Lower Risk</v>
      </c>
      <c r="G2363" t="s">
        <v>3</v>
      </c>
      <c r="H2363" t="s">
        <v>4</v>
      </c>
      <c r="I2363" t="s">
        <v>5</v>
      </c>
      <c r="J2363">
        <v>101.98</v>
      </c>
      <c r="K2363">
        <v>23.2</v>
      </c>
      <c r="L2363" t="s">
        <v>14</v>
      </c>
      <c r="M2363">
        <v>0</v>
      </c>
      <c r="N2363" t="str">
        <f t="shared" si="108"/>
        <v>Under 40</v>
      </c>
      <c r="O2363" t="str">
        <f t="shared" si="109"/>
        <v>Normal</v>
      </c>
    </row>
    <row r="2364" spans="1:15" x14ac:dyDescent="0.3">
      <c r="A2364">
        <v>60258</v>
      </c>
      <c r="B2364" t="s">
        <v>7</v>
      </c>
      <c r="C2364">
        <v>80</v>
      </c>
      <c r="D2364">
        <v>0</v>
      </c>
      <c r="E2364">
        <v>1</v>
      </c>
      <c r="F2364" t="str">
        <f t="shared" si="110"/>
        <v>High Risk</v>
      </c>
      <c r="G2364" t="s">
        <v>3</v>
      </c>
      <c r="H2364" t="s">
        <v>8</v>
      </c>
      <c r="I2364" t="s">
        <v>9</v>
      </c>
      <c r="J2364">
        <v>98.39</v>
      </c>
      <c r="K2364">
        <v>22.2</v>
      </c>
      <c r="L2364" t="s">
        <v>12</v>
      </c>
      <c r="M2364">
        <v>0</v>
      </c>
      <c r="N2364" t="str">
        <f t="shared" si="108"/>
        <v>60+</v>
      </c>
      <c r="O2364" t="str">
        <f t="shared" si="109"/>
        <v>Normal</v>
      </c>
    </row>
    <row r="2365" spans="1:15" x14ac:dyDescent="0.3">
      <c r="A2365">
        <v>63450</v>
      </c>
      <c r="B2365" t="s">
        <v>7</v>
      </c>
      <c r="C2365">
        <v>64</v>
      </c>
      <c r="D2365">
        <v>0</v>
      </c>
      <c r="E2365">
        <v>0</v>
      </c>
      <c r="F2365" t="str">
        <f t="shared" si="110"/>
        <v>Moderate Risk</v>
      </c>
      <c r="G2365" t="s">
        <v>3</v>
      </c>
      <c r="H2365" t="s">
        <v>8</v>
      </c>
      <c r="I2365" t="s">
        <v>9</v>
      </c>
      <c r="J2365">
        <v>128.04</v>
      </c>
      <c r="K2365">
        <v>34</v>
      </c>
      <c r="L2365" t="s">
        <v>12</v>
      </c>
      <c r="M2365">
        <v>0</v>
      </c>
      <c r="N2365" t="str">
        <f t="shared" si="108"/>
        <v>60+</v>
      </c>
      <c r="O2365" t="str">
        <f t="shared" si="109"/>
        <v>Obese</v>
      </c>
    </row>
    <row r="2366" spans="1:15" x14ac:dyDescent="0.3">
      <c r="A2366">
        <v>35178</v>
      </c>
      <c r="B2366" t="s">
        <v>2</v>
      </c>
      <c r="C2366">
        <v>7</v>
      </c>
      <c r="D2366">
        <v>0</v>
      </c>
      <c r="E2366">
        <v>0</v>
      </c>
      <c r="F2366" t="str">
        <f t="shared" si="110"/>
        <v>Lower Risk</v>
      </c>
      <c r="G2366" t="s">
        <v>13</v>
      </c>
      <c r="H2366" t="s">
        <v>16</v>
      </c>
      <c r="I2366" t="s">
        <v>5</v>
      </c>
      <c r="J2366">
        <v>98.12</v>
      </c>
      <c r="K2366">
        <v>20.399999999999999</v>
      </c>
      <c r="L2366" t="s">
        <v>14</v>
      </c>
      <c r="M2366">
        <v>0</v>
      </c>
      <c r="N2366" t="str">
        <f t="shared" si="108"/>
        <v>Under 40</v>
      </c>
      <c r="O2366" t="str">
        <f t="shared" si="109"/>
        <v>Normal</v>
      </c>
    </row>
    <row r="2367" spans="1:15" x14ac:dyDescent="0.3">
      <c r="A2367">
        <v>3099</v>
      </c>
      <c r="B2367" t="s">
        <v>7</v>
      </c>
      <c r="C2367">
        <v>36</v>
      </c>
      <c r="D2367">
        <v>0</v>
      </c>
      <c r="E2367">
        <v>0</v>
      </c>
      <c r="F2367" t="str">
        <f t="shared" si="110"/>
        <v>Lower Risk</v>
      </c>
      <c r="G2367" t="s">
        <v>13</v>
      </c>
      <c r="H2367" t="s">
        <v>4</v>
      </c>
      <c r="I2367" t="s">
        <v>5</v>
      </c>
      <c r="J2367">
        <v>216.96</v>
      </c>
      <c r="K2367">
        <v>34.5</v>
      </c>
      <c r="L2367" t="s">
        <v>14</v>
      </c>
      <c r="M2367">
        <v>0</v>
      </c>
      <c r="N2367" t="str">
        <f t="shared" si="108"/>
        <v>Under 40</v>
      </c>
      <c r="O2367" t="str">
        <f t="shared" si="109"/>
        <v>Obese</v>
      </c>
    </row>
    <row r="2368" spans="1:15" x14ac:dyDescent="0.3">
      <c r="A2368">
        <v>43903</v>
      </c>
      <c r="B2368" t="s">
        <v>2</v>
      </c>
      <c r="C2368">
        <v>79</v>
      </c>
      <c r="D2368">
        <v>0</v>
      </c>
      <c r="E2368">
        <v>0</v>
      </c>
      <c r="F2368" t="str">
        <f t="shared" si="110"/>
        <v>Moderate Risk</v>
      </c>
      <c r="G2368" t="s">
        <v>3</v>
      </c>
      <c r="H2368" t="s">
        <v>8</v>
      </c>
      <c r="I2368" t="s">
        <v>9</v>
      </c>
      <c r="J2368">
        <v>94.92</v>
      </c>
      <c r="K2368">
        <v>31.9</v>
      </c>
      <c r="L2368" t="s">
        <v>14</v>
      </c>
      <c r="M2368">
        <v>0</v>
      </c>
      <c r="N2368" t="str">
        <f t="shared" si="108"/>
        <v>60+</v>
      </c>
      <c r="O2368" t="str">
        <f t="shared" si="109"/>
        <v>Obese</v>
      </c>
    </row>
    <row r="2369" spans="1:15" x14ac:dyDescent="0.3">
      <c r="A2369">
        <v>9013</v>
      </c>
      <c r="B2369" t="s">
        <v>7</v>
      </c>
      <c r="C2369">
        <v>35</v>
      </c>
      <c r="D2369">
        <v>0</v>
      </c>
      <c r="E2369">
        <v>0</v>
      </c>
      <c r="F2369" t="str">
        <f t="shared" si="110"/>
        <v>Lower Risk</v>
      </c>
      <c r="G2369" t="s">
        <v>3</v>
      </c>
      <c r="H2369" t="s">
        <v>4</v>
      </c>
      <c r="I2369" t="s">
        <v>9</v>
      </c>
      <c r="J2369">
        <v>83.27</v>
      </c>
      <c r="K2369">
        <v>19.8</v>
      </c>
      <c r="L2369" t="s">
        <v>6</v>
      </c>
      <c r="M2369">
        <v>0</v>
      </c>
      <c r="N2369" t="str">
        <f t="shared" si="108"/>
        <v>Under 40</v>
      </c>
      <c r="O2369" t="str">
        <f t="shared" si="109"/>
        <v>Normal</v>
      </c>
    </row>
    <row r="2370" spans="1:15" x14ac:dyDescent="0.3">
      <c r="A2370">
        <v>60158</v>
      </c>
      <c r="B2370" t="s">
        <v>7</v>
      </c>
      <c r="C2370">
        <v>28</v>
      </c>
      <c r="D2370">
        <v>0</v>
      </c>
      <c r="E2370">
        <v>0</v>
      </c>
      <c r="F2370" t="str">
        <f t="shared" si="110"/>
        <v>Lower Risk</v>
      </c>
      <c r="G2370" t="s">
        <v>13</v>
      </c>
      <c r="H2370" t="s">
        <v>4</v>
      </c>
      <c r="I2370" t="s">
        <v>9</v>
      </c>
      <c r="J2370">
        <v>96.86</v>
      </c>
      <c r="K2370">
        <v>29</v>
      </c>
      <c r="L2370" t="s">
        <v>14</v>
      </c>
      <c r="M2370">
        <v>0</v>
      </c>
      <c r="N2370" t="str">
        <f t="shared" ref="N2370:N2433" si="111">IF(C2370&lt;40,"Under 40",IF(C2370&lt;60,"40–59","60+"))</f>
        <v>Under 40</v>
      </c>
      <c r="O2370" t="str">
        <f t="shared" ref="O2370:O2433" si="112">IF(K2370="N/A","Unknown",
IF(K2370="","Unknown",
IF(K2370&lt;18.5,"Underweight",
IF(K2370&lt;25,"Normal",
IF(K2370&lt;30,"Overweight","Obese")))))</f>
        <v>Overweight</v>
      </c>
    </row>
    <row r="2371" spans="1:15" x14ac:dyDescent="0.3">
      <c r="A2371">
        <v>15579</v>
      </c>
      <c r="B2371" t="s">
        <v>2</v>
      </c>
      <c r="C2371">
        <v>72</v>
      </c>
      <c r="D2371">
        <v>0</v>
      </c>
      <c r="E2371">
        <v>0</v>
      </c>
      <c r="F2371" t="str">
        <f t="shared" ref="F2371:F2434" si="113">IF(C2371&gt;=60,
IF(OR(D2371=1,E2371=1),"High Risk","Moderate Risk"),
"Lower Risk")</f>
        <v>Moderate Risk</v>
      </c>
      <c r="G2371" t="s">
        <v>3</v>
      </c>
      <c r="H2371" t="s">
        <v>8</v>
      </c>
      <c r="I2371" t="s">
        <v>9</v>
      </c>
      <c r="J2371">
        <v>99.73</v>
      </c>
      <c r="K2371">
        <v>36.700000000000003</v>
      </c>
      <c r="L2371" t="s">
        <v>6</v>
      </c>
      <c r="M2371">
        <v>0</v>
      </c>
      <c r="N2371" t="str">
        <f t="shared" si="111"/>
        <v>60+</v>
      </c>
      <c r="O2371" t="str">
        <f t="shared" si="112"/>
        <v>Obese</v>
      </c>
    </row>
    <row r="2372" spans="1:15" x14ac:dyDescent="0.3">
      <c r="A2372">
        <v>8563</v>
      </c>
      <c r="B2372" t="s">
        <v>7</v>
      </c>
      <c r="C2372">
        <v>12</v>
      </c>
      <c r="D2372">
        <v>0</v>
      </c>
      <c r="E2372">
        <v>0</v>
      </c>
      <c r="F2372" t="str">
        <f t="shared" si="113"/>
        <v>Lower Risk</v>
      </c>
      <c r="G2372" t="s">
        <v>13</v>
      </c>
      <c r="H2372" t="s">
        <v>16</v>
      </c>
      <c r="I2372" t="s">
        <v>9</v>
      </c>
      <c r="J2372">
        <v>91.71</v>
      </c>
      <c r="K2372">
        <v>21.3</v>
      </c>
      <c r="L2372" t="s">
        <v>14</v>
      </c>
      <c r="M2372">
        <v>0</v>
      </c>
      <c r="N2372" t="str">
        <f t="shared" si="111"/>
        <v>Under 40</v>
      </c>
      <c r="O2372" t="str">
        <f t="shared" si="112"/>
        <v>Normal</v>
      </c>
    </row>
    <row r="2373" spans="1:15" x14ac:dyDescent="0.3">
      <c r="A2373">
        <v>61573</v>
      </c>
      <c r="B2373" t="s">
        <v>2</v>
      </c>
      <c r="C2373">
        <v>25</v>
      </c>
      <c r="D2373">
        <v>0</v>
      </c>
      <c r="E2373">
        <v>0</v>
      </c>
      <c r="F2373" t="str">
        <f t="shared" si="113"/>
        <v>Lower Risk</v>
      </c>
      <c r="G2373" t="s">
        <v>13</v>
      </c>
      <c r="H2373" t="s">
        <v>4</v>
      </c>
      <c r="I2373" t="s">
        <v>9</v>
      </c>
      <c r="J2373">
        <v>65.77</v>
      </c>
      <c r="K2373">
        <v>23.7</v>
      </c>
      <c r="L2373" t="s">
        <v>12</v>
      </c>
      <c r="M2373">
        <v>0</v>
      </c>
      <c r="N2373" t="str">
        <f t="shared" si="111"/>
        <v>Under 40</v>
      </c>
      <c r="O2373" t="str">
        <f t="shared" si="112"/>
        <v>Normal</v>
      </c>
    </row>
    <row r="2374" spans="1:15" x14ac:dyDescent="0.3">
      <c r="A2374">
        <v>43827</v>
      </c>
      <c r="B2374" t="s">
        <v>7</v>
      </c>
      <c r="C2374">
        <v>27</v>
      </c>
      <c r="D2374">
        <v>0</v>
      </c>
      <c r="E2374">
        <v>0</v>
      </c>
      <c r="F2374" t="str">
        <f t="shared" si="113"/>
        <v>Lower Risk</v>
      </c>
      <c r="G2374" t="s">
        <v>3</v>
      </c>
      <c r="H2374" t="s">
        <v>4</v>
      </c>
      <c r="I2374" t="s">
        <v>5</v>
      </c>
      <c r="J2374">
        <v>161.57</v>
      </c>
      <c r="K2374">
        <v>25.7</v>
      </c>
      <c r="L2374" t="s">
        <v>12</v>
      </c>
      <c r="M2374">
        <v>0</v>
      </c>
      <c r="N2374" t="str">
        <f t="shared" si="111"/>
        <v>Under 40</v>
      </c>
      <c r="O2374" t="str">
        <f t="shared" si="112"/>
        <v>Overweight</v>
      </c>
    </row>
    <row r="2375" spans="1:15" x14ac:dyDescent="0.3">
      <c r="A2375">
        <v>43090</v>
      </c>
      <c r="B2375" t="s">
        <v>7</v>
      </c>
      <c r="C2375">
        <v>62</v>
      </c>
      <c r="D2375">
        <v>1</v>
      </c>
      <c r="E2375">
        <v>0</v>
      </c>
      <c r="F2375" t="str">
        <f t="shared" si="113"/>
        <v>High Risk</v>
      </c>
      <c r="G2375" t="s">
        <v>3</v>
      </c>
      <c r="H2375" t="s">
        <v>8</v>
      </c>
      <c r="I2375" t="s">
        <v>9</v>
      </c>
      <c r="J2375">
        <v>74.319999999999993</v>
      </c>
      <c r="K2375">
        <v>34</v>
      </c>
      <c r="L2375" t="s">
        <v>11</v>
      </c>
      <c r="M2375">
        <v>0</v>
      </c>
      <c r="N2375" t="str">
        <f t="shared" si="111"/>
        <v>60+</v>
      </c>
      <c r="O2375" t="str">
        <f t="shared" si="112"/>
        <v>Obese</v>
      </c>
    </row>
    <row r="2376" spans="1:15" x14ac:dyDescent="0.3">
      <c r="A2376">
        <v>46068</v>
      </c>
      <c r="B2376" t="s">
        <v>2</v>
      </c>
      <c r="C2376">
        <v>58</v>
      </c>
      <c r="D2376">
        <v>0</v>
      </c>
      <c r="E2376">
        <v>0</v>
      </c>
      <c r="F2376" t="str">
        <f t="shared" si="113"/>
        <v>Lower Risk</v>
      </c>
      <c r="G2376" t="s">
        <v>13</v>
      </c>
      <c r="H2376" t="s">
        <v>8</v>
      </c>
      <c r="I2376" t="s">
        <v>9</v>
      </c>
      <c r="J2376">
        <v>170.93</v>
      </c>
      <c r="K2376">
        <v>30.7</v>
      </c>
      <c r="L2376" t="s">
        <v>14</v>
      </c>
      <c r="M2376">
        <v>0</v>
      </c>
      <c r="N2376" t="str">
        <f t="shared" si="111"/>
        <v>40–59</v>
      </c>
      <c r="O2376" t="str">
        <f t="shared" si="112"/>
        <v>Obese</v>
      </c>
    </row>
    <row r="2377" spans="1:15" x14ac:dyDescent="0.3">
      <c r="A2377">
        <v>12469</v>
      </c>
      <c r="B2377" t="s">
        <v>7</v>
      </c>
      <c r="C2377">
        <v>30</v>
      </c>
      <c r="D2377">
        <v>0</v>
      </c>
      <c r="E2377">
        <v>0</v>
      </c>
      <c r="F2377" t="str">
        <f t="shared" si="113"/>
        <v>Lower Risk</v>
      </c>
      <c r="G2377" t="s">
        <v>3</v>
      </c>
      <c r="H2377" t="s">
        <v>4</v>
      </c>
      <c r="I2377" t="s">
        <v>5</v>
      </c>
      <c r="J2377">
        <v>74.430000000000007</v>
      </c>
      <c r="K2377">
        <v>44.8</v>
      </c>
      <c r="L2377" t="s">
        <v>11</v>
      </c>
      <c r="M2377">
        <v>0</v>
      </c>
      <c r="N2377" t="str">
        <f t="shared" si="111"/>
        <v>Under 40</v>
      </c>
      <c r="O2377" t="str">
        <f t="shared" si="112"/>
        <v>Obese</v>
      </c>
    </row>
    <row r="2378" spans="1:15" x14ac:dyDescent="0.3">
      <c r="A2378">
        <v>58820</v>
      </c>
      <c r="B2378" t="s">
        <v>2</v>
      </c>
      <c r="C2378">
        <v>56</v>
      </c>
      <c r="D2378">
        <v>0</v>
      </c>
      <c r="E2378">
        <v>0</v>
      </c>
      <c r="F2378" t="str">
        <f t="shared" si="113"/>
        <v>Lower Risk</v>
      </c>
      <c r="G2378" t="s">
        <v>3</v>
      </c>
      <c r="H2378" t="s">
        <v>4</v>
      </c>
      <c r="I2378" t="s">
        <v>9</v>
      </c>
      <c r="J2378">
        <v>86.36</v>
      </c>
      <c r="K2378">
        <v>27.7</v>
      </c>
      <c r="L2378" t="s">
        <v>6</v>
      </c>
      <c r="M2378">
        <v>0</v>
      </c>
      <c r="N2378" t="str">
        <f t="shared" si="111"/>
        <v>40–59</v>
      </c>
      <c r="O2378" t="str">
        <f t="shared" si="112"/>
        <v>Overweight</v>
      </c>
    </row>
    <row r="2379" spans="1:15" x14ac:dyDescent="0.3">
      <c r="A2379">
        <v>31893</v>
      </c>
      <c r="B2379" t="s">
        <v>7</v>
      </c>
      <c r="C2379">
        <v>28</v>
      </c>
      <c r="D2379">
        <v>0</v>
      </c>
      <c r="E2379">
        <v>0</v>
      </c>
      <c r="F2379" t="str">
        <f t="shared" si="113"/>
        <v>Lower Risk</v>
      </c>
      <c r="G2379" t="s">
        <v>3</v>
      </c>
      <c r="H2379" t="s">
        <v>4</v>
      </c>
      <c r="I2379" t="s">
        <v>9</v>
      </c>
      <c r="J2379">
        <v>97.06</v>
      </c>
      <c r="K2379">
        <v>23.2</v>
      </c>
      <c r="L2379" t="s">
        <v>14</v>
      </c>
      <c r="M2379">
        <v>0</v>
      </c>
      <c r="N2379" t="str">
        <f t="shared" si="111"/>
        <v>Under 40</v>
      </c>
      <c r="O2379" t="str">
        <f t="shared" si="112"/>
        <v>Normal</v>
      </c>
    </row>
    <row r="2380" spans="1:15" x14ac:dyDescent="0.3">
      <c r="A2380">
        <v>45259</v>
      </c>
      <c r="B2380" t="s">
        <v>2</v>
      </c>
      <c r="C2380">
        <v>47</v>
      </c>
      <c r="D2380">
        <v>0</v>
      </c>
      <c r="E2380">
        <v>0</v>
      </c>
      <c r="F2380" t="str">
        <f t="shared" si="113"/>
        <v>Lower Risk</v>
      </c>
      <c r="G2380" t="s">
        <v>3</v>
      </c>
      <c r="H2380" t="s">
        <v>4</v>
      </c>
      <c r="I2380" t="s">
        <v>9</v>
      </c>
      <c r="J2380">
        <v>110.38</v>
      </c>
      <c r="K2380">
        <v>30.1</v>
      </c>
      <c r="L2380" t="s">
        <v>14</v>
      </c>
      <c r="M2380">
        <v>0</v>
      </c>
      <c r="N2380" t="str">
        <f t="shared" si="111"/>
        <v>40–59</v>
      </c>
      <c r="O2380" t="str">
        <f t="shared" si="112"/>
        <v>Obese</v>
      </c>
    </row>
    <row r="2381" spans="1:15" x14ac:dyDescent="0.3">
      <c r="A2381">
        <v>63779</v>
      </c>
      <c r="B2381" t="s">
        <v>7</v>
      </c>
      <c r="C2381">
        <v>16</v>
      </c>
      <c r="D2381">
        <v>0</v>
      </c>
      <c r="E2381">
        <v>0</v>
      </c>
      <c r="F2381" t="str">
        <f t="shared" si="113"/>
        <v>Lower Risk</v>
      </c>
      <c r="G2381" t="s">
        <v>13</v>
      </c>
      <c r="H2381" t="s">
        <v>4</v>
      </c>
      <c r="I2381" t="s">
        <v>9</v>
      </c>
      <c r="J2381">
        <v>79.03</v>
      </c>
      <c r="K2381">
        <v>29.3</v>
      </c>
      <c r="L2381" t="s">
        <v>14</v>
      </c>
      <c r="M2381">
        <v>0</v>
      </c>
      <c r="N2381" t="str">
        <f t="shared" si="111"/>
        <v>Under 40</v>
      </c>
      <c r="O2381" t="str">
        <f t="shared" si="112"/>
        <v>Overweight</v>
      </c>
    </row>
    <row r="2382" spans="1:15" x14ac:dyDescent="0.3">
      <c r="A2382">
        <v>71250</v>
      </c>
      <c r="B2382" t="s">
        <v>7</v>
      </c>
      <c r="C2382">
        <v>29</v>
      </c>
      <c r="D2382">
        <v>0</v>
      </c>
      <c r="E2382">
        <v>0</v>
      </c>
      <c r="F2382" t="str">
        <f t="shared" si="113"/>
        <v>Lower Risk</v>
      </c>
      <c r="G2382" t="s">
        <v>3</v>
      </c>
      <c r="H2382" t="s">
        <v>4</v>
      </c>
      <c r="I2382" t="s">
        <v>9</v>
      </c>
      <c r="J2382">
        <v>62.48</v>
      </c>
      <c r="K2382">
        <v>29.5</v>
      </c>
      <c r="L2382" t="s">
        <v>11</v>
      </c>
      <c r="M2382">
        <v>0</v>
      </c>
      <c r="N2382" t="str">
        <f t="shared" si="111"/>
        <v>Under 40</v>
      </c>
      <c r="O2382" t="str">
        <f t="shared" si="112"/>
        <v>Overweight</v>
      </c>
    </row>
    <row r="2383" spans="1:15" x14ac:dyDescent="0.3">
      <c r="A2383">
        <v>55051</v>
      </c>
      <c r="B2383" t="s">
        <v>2</v>
      </c>
      <c r="C2383">
        <v>26</v>
      </c>
      <c r="D2383">
        <v>0</v>
      </c>
      <c r="E2383">
        <v>0</v>
      </c>
      <c r="F2383" t="str">
        <f t="shared" si="113"/>
        <v>Lower Risk</v>
      </c>
      <c r="G2383" t="s">
        <v>3</v>
      </c>
      <c r="H2383" t="s">
        <v>4</v>
      </c>
      <c r="I2383" t="s">
        <v>9</v>
      </c>
      <c r="J2383">
        <v>55.62</v>
      </c>
      <c r="K2383">
        <v>25.8</v>
      </c>
      <c r="L2383" t="s">
        <v>11</v>
      </c>
      <c r="M2383">
        <v>0</v>
      </c>
      <c r="N2383" t="str">
        <f t="shared" si="111"/>
        <v>Under 40</v>
      </c>
      <c r="O2383" t="str">
        <f t="shared" si="112"/>
        <v>Overweight</v>
      </c>
    </row>
    <row r="2384" spans="1:15" x14ac:dyDescent="0.3">
      <c r="A2384">
        <v>2520</v>
      </c>
      <c r="B2384" t="s">
        <v>7</v>
      </c>
      <c r="C2384">
        <v>26</v>
      </c>
      <c r="D2384">
        <v>0</v>
      </c>
      <c r="E2384">
        <v>0</v>
      </c>
      <c r="F2384" t="str">
        <f t="shared" si="113"/>
        <v>Lower Risk</v>
      </c>
      <c r="G2384" t="s">
        <v>3</v>
      </c>
      <c r="H2384" t="s">
        <v>4</v>
      </c>
      <c r="I2384" t="s">
        <v>9</v>
      </c>
      <c r="J2384">
        <v>84.9</v>
      </c>
      <c r="K2384">
        <v>26.2</v>
      </c>
      <c r="L2384" t="s">
        <v>11</v>
      </c>
      <c r="M2384">
        <v>0</v>
      </c>
      <c r="N2384" t="str">
        <f t="shared" si="111"/>
        <v>Under 40</v>
      </c>
      <c r="O2384" t="str">
        <f t="shared" si="112"/>
        <v>Overweight</v>
      </c>
    </row>
    <row r="2385" spans="1:15" x14ac:dyDescent="0.3">
      <c r="A2385">
        <v>3715</v>
      </c>
      <c r="B2385" t="s">
        <v>2</v>
      </c>
      <c r="C2385">
        <v>55</v>
      </c>
      <c r="D2385">
        <v>0</v>
      </c>
      <c r="E2385">
        <v>0</v>
      </c>
      <c r="F2385" t="str">
        <f t="shared" si="113"/>
        <v>Lower Risk</v>
      </c>
      <c r="G2385" t="s">
        <v>3</v>
      </c>
      <c r="H2385" t="s">
        <v>4</v>
      </c>
      <c r="I2385" t="s">
        <v>9</v>
      </c>
      <c r="J2385">
        <v>232.81</v>
      </c>
      <c r="K2385">
        <v>28.8</v>
      </c>
      <c r="L2385" t="s">
        <v>14</v>
      </c>
      <c r="M2385">
        <v>0</v>
      </c>
      <c r="N2385" t="str">
        <f t="shared" si="111"/>
        <v>40–59</v>
      </c>
      <c r="O2385" t="str">
        <f t="shared" si="112"/>
        <v>Overweight</v>
      </c>
    </row>
    <row r="2386" spans="1:15" x14ac:dyDescent="0.3">
      <c r="A2386">
        <v>21206</v>
      </c>
      <c r="B2386" t="s">
        <v>7</v>
      </c>
      <c r="C2386">
        <v>29</v>
      </c>
      <c r="D2386">
        <v>0</v>
      </c>
      <c r="E2386">
        <v>0</v>
      </c>
      <c r="F2386" t="str">
        <f t="shared" si="113"/>
        <v>Lower Risk</v>
      </c>
      <c r="G2386" t="s">
        <v>13</v>
      </c>
      <c r="H2386" t="s">
        <v>4</v>
      </c>
      <c r="I2386" t="s">
        <v>9</v>
      </c>
      <c r="J2386">
        <v>86.55</v>
      </c>
      <c r="K2386">
        <v>29.8</v>
      </c>
      <c r="L2386" t="s">
        <v>12</v>
      </c>
      <c r="M2386">
        <v>0</v>
      </c>
      <c r="N2386" t="str">
        <f t="shared" si="111"/>
        <v>Under 40</v>
      </c>
      <c r="O2386" t="str">
        <f t="shared" si="112"/>
        <v>Overweight</v>
      </c>
    </row>
    <row r="2387" spans="1:15" x14ac:dyDescent="0.3">
      <c r="A2387">
        <v>60159</v>
      </c>
      <c r="B2387" t="s">
        <v>7</v>
      </c>
      <c r="C2387">
        <v>29</v>
      </c>
      <c r="D2387">
        <v>0</v>
      </c>
      <c r="E2387">
        <v>0</v>
      </c>
      <c r="F2387" t="str">
        <f t="shared" si="113"/>
        <v>Lower Risk</v>
      </c>
      <c r="G2387" t="s">
        <v>13</v>
      </c>
      <c r="H2387" t="s">
        <v>15</v>
      </c>
      <c r="I2387" t="s">
        <v>9</v>
      </c>
      <c r="J2387">
        <v>118.61</v>
      </c>
      <c r="K2387">
        <v>26.5</v>
      </c>
      <c r="L2387" t="s">
        <v>11</v>
      </c>
      <c r="M2387">
        <v>0</v>
      </c>
      <c r="N2387" t="str">
        <f t="shared" si="111"/>
        <v>Under 40</v>
      </c>
      <c r="O2387" t="str">
        <f t="shared" si="112"/>
        <v>Overweight</v>
      </c>
    </row>
    <row r="2388" spans="1:15" x14ac:dyDescent="0.3">
      <c r="A2388">
        <v>3113</v>
      </c>
      <c r="B2388" t="s">
        <v>7</v>
      </c>
      <c r="C2388">
        <v>33</v>
      </c>
      <c r="D2388">
        <v>0</v>
      </c>
      <c r="E2388">
        <v>0</v>
      </c>
      <c r="F2388" t="str">
        <f t="shared" si="113"/>
        <v>Lower Risk</v>
      </c>
      <c r="G2388" t="s">
        <v>13</v>
      </c>
      <c r="H2388" t="s">
        <v>4</v>
      </c>
      <c r="I2388" t="s">
        <v>9</v>
      </c>
      <c r="J2388">
        <v>80.209999999999994</v>
      </c>
      <c r="K2388">
        <v>27.8</v>
      </c>
      <c r="L2388" t="s">
        <v>6</v>
      </c>
      <c r="M2388">
        <v>0</v>
      </c>
      <c r="N2388" t="str">
        <f t="shared" si="111"/>
        <v>Under 40</v>
      </c>
      <c r="O2388" t="str">
        <f t="shared" si="112"/>
        <v>Overweight</v>
      </c>
    </row>
    <row r="2389" spans="1:15" x14ac:dyDescent="0.3">
      <c r="A2389">
        <v>62126</v>
      </c>
      <c r="B2389" t="s">
        <v>7</v>
      </c>
      <c r="C2389">
        <v>19</v>
      </c>
      <c r="D2389">
        <v>1</v>
      </c>
      <c r="E2389">
        <v>0</v>
      </c>
      <c r="F2389" t="str">
        <f t="shared" si="113"/>
        <v>Lower Risk</v>
      </c>
      <c r="G2389" t="s">
        <v>13</v>
      </c>
      <c r="H2389" t="s">
        <v>4</v>
      </c>
      <c r="I2389" t="s">
        <v>9</v>
      </c>
      <c r="J2389">
        <v>65.959999999999994</v>
      </c>
      <c r="K2389">
        <v>29</v>
      </c>
      <c r="L2389" t="s">
        <v>11</v>
      </c>
      <c r="M2389">
        <v>0</v>
      </c>
      <c r="N2389" t="str">
        <f t="shared" si="111"/>
        <v>Under 40</v>
      </c>
      <c r="O2389" t="str">
        <f t="shared" si="112"/>
        <v>Overweight</v>
      </c>
    </row>
    <row r="2390" spans="1:15" x14ac:dyDescent="0.3">
      <c r="A2390">
        <v>51275</v>
      </c>
      <c r="B2390" t="s">
        <v>7</v>
      </c>
      <c r="C2390">
        <v>10</v>
      </c>
      <c r="D2390">
        <v>0</v>
      </c>
      <c r="E2390">
        <v>0</v>
      </c>
      <c r="F2390" t="str">
        <f t="shared" si="113"/>
        <v>Lower Risk</v>
      </c>
      <c r="G2390" t="s">
        <v>13</v>
      </c>
      <c r="H2390" t="s">
        <v>16</v>
      </c>
      <c r="I2390" t="s">
        <v>5</v>
      </c>
      <c r="J2390">
        <v>61.34</v>
      </c>
      <c r="K2390">
        <v>19.100000000000001</v>
      </c>
      <c r="L2390" t="s">
        <v>14</v>
      </c>
      <c r="M2390">
        <v>0</v>
      </c>
      <c r="N2390" t="str">
        <f t="shared" si="111"/>
        <v>Under 40</v>
      </c>
      <c r="O2390" t="str">
        <f t="shared" si="112"/>
        <v>Normal</v>
      </c>
    </row>
    <row r="2391" spans="1:15" x14ac:dyDescent="0.3">
      <c r="A2391">
        <v>3115</v>
      </c>
      <c r="B2391" t="s">
        <v>7</v>
      </c>
      <c r="C2391">
        <v>3</v>
      </c>
      <c r="D2391">
        <v>0</v>
      </c>
      <c r="E2391">
        <v>0</v>
      </c>
      <c r="F2391" t="str">
        <f t="shared" si="113"/>
        <v>Lower Risk</v>
      </c>
      <c r="G2391" t="s">
        <v>13</v>
      </c>
      <c r="H2391" t="s">
        <v>16</v>
      </c>
      <c r="I2391" t="s">
        <v>5</v>
      </c>
      <c r="J2391">
        <v>116.6</v>
      </c>
      <c r="K2391">
        <v>17.100000000000001</v>
      </c>
      <c r="L2391" t="s">
        <v>14</v>
      </c>
      <c r="M2391">
        <v>0</v>
      </c>
      <c r="N2391" t="str">
        <f t="shared" si="111"/>
        <v>Under 40</v>
      </c>
      <c r="O2391" t="str">
        <f t="shared" si="112"/>
        <v>Underweight</v>
      </c>
    </row>
    <row r="2392" spans="1:15" x14ac:dyDescent="0.3">
      <c r="A2392">
        <v>9986</v>
      </c>
      <c r="B2392" t="s">
        <v>7</v>
      </c>
      <c r="C2392">
        <v>60</v>
      </c>
      <c r="D2392">
        <v>0</v>
      </c>
      <c r="E2392">
        <v>0</v>
      </c>
      <c r="F2392" t="str">
        <f t="shared" si="113"/>
        <v>Moderate Risk</v>
      </c>
      <c r="G2392" t="s">
        <v>3</v>
      </c>
      <c r="H2392" t="s">
        <v>4</v>
      </c>
      <c r="I2392" t="s">
        <v>5</v>
      </c>
      <c r="J2392">
        <v>85.13</v>
      </c>
      <c r="K2392">
        <v>24.6</v>
      </c>
      <c r="L2392" t="s">
        <v>14</v>
      </c>
      <c r="M2392">
        <v>0</v>
      </c>
      <c r="N2392" t="str">
        <f t="shared" si="111"/>
        <v>60+</v>
      </c>
      <c r="O2392" t="str">
        <f t="shared" si="112"/>
        <v>Normal</v>
      </c>
    </row>
    <row r="2393" spans="1:15" x14ac:dyDescent="0.3">
      <c r="A2393">
        <v>35974</v>
      </c>
      <c r="B2393" t="s">
        <v>7</v>
      </c>
      <c r="C2393">
        <v>16</v>
      </c>
      <c r="D2393">
        <v>0</v>
      </c>
      <c r="E2393">
        <v>0</v>
      </c>
      <c r="F2393" t="str">
        <f t="shared" si="113"/>
        <v>Lower Risk</v>
      </c>
      <c r="G2393" t="s">
        <v>13</v>
      </c>
      <c r="H2393" t="s">
        <v>4</v>
      </c>
      <c r="I2393" t="s">
        <v>9</v>
      </c>
      <c r="J2393">
        <v>86.32</v>
      </c>
      <c r="K2393">
        <v>18.3</v>
      </c>
      <c r="L2393" t="s">
        <v>14</v>
      </c>
      <c r="M2393">
        <v>0</v>
      </c>
      <c r="N2393" t="str">
        <f t="shared" si="111"/>
        <v>Under 40</v>
      </c>
      <c r="O2393" t="str">
        <f t="shared" si="112"/>
        <v>Underweight</v>
      </c>
    </row>
    <row r="2394" spans="1:15" x14ac:dyDescent="0.3">
      <c r="A2394">
        <v>46488</v>
      </c>
      <c r="B2394" t="s">
        <v>2</v>
      </c>
      <c r="C2394">
        <v>35</v>
      </c>
      <c r="D2394">
        <v>0</v>
      </c>
      <c r="E2394">
        <v>0</v>
      </c>
      <c r="F2394" t="str">
        <f t="shared" si="113"/>
        <v>Lower Risk</v>
      </c>
      <c r="G2394" t="s">
        <v>3</v>
      </c>
      <c r="H2394" t="s">
        <v>4</v>
      </c>
      <c r="I2394" t="s">
        <v>9</v>
      </c>
      <c r="J2394">
        <v>69.22</v>
      </c>
      <c r="K2394">
        <v>42.8</v>
      </c>
      <c r="L2394" t="s">
        <v>11</v>
      </c>
      <c r="M2394">
        <v>0</v>
      </c>
      <c r="N2394" t="str">
        <f t="shared" si="111"/>
        <v>Under 40</v>
      </c>
      <c r="O2394" t="str">
        <f t="shared" si="112"/>
        <v>Obese</v>
      </c>
    </row>
    <row r="2395" spans="1:15" x14ac:dyDescent="0.3">
      <c r="A2395">
        <v>54172</v>
      </c>
      <c r="B2395" t="s">
        <v>7</v>
      </c>
      <c r="C2395">
        <v>41</v>
      </c>
      <c r="D2395">
        <v>0</v>
      </c>
      <c r="E2395">
        <v>0</v>
      </c>
      <c r="F2395" t="str">
        <f t="shared" si="113"/>
        <v>Lower Risk</v>
      </c>
      <c r="G2395" t="s">
        <v>3</v>
      </c>
      <c r="H2395" t="s">
        <v>4</v>
      </c>
      <c r="I2395" t="s">
        <v>5</v>
      </c>
      <c r="J2395">
        <v>140.93</v>
      </c>
      <c r="K2395">
        <v>46.5</v>
      </c>
      <c r="L2395" t="s">
        <v>14</v>
      </c>
      <c r="M2395">
        <v>0</v>
      </c>
      <c r="N2395" t="str">
        <f t="shared" si="111"/>
        <v>40–59</v>
      </c>
      <c r="O2395" t="str">
        <f t="shared" si="112"/>
        <v>Obese</v>
      </c>
    </row>
    <row r="2396" spans="1:15" x14ac:dyDescent="0.3">
      <c r="A2396">
        <v>21804</v>
      </c>
      <c r="B2396" t="s">
        <v>7</v>
      </c>
      <c r="C2396">
        <v>19</v>
      </c>
      <c r="D2396">
        <v>0</v>
      </c>
      <c r="E2396">
        <v>0</v>
      </c>
      <c r="F2396" t="str">
        <f t="shared" si="113"/>
        <v>Lower Risk</v>
      </c>
      <c r="G2396" t="s">
        <v>13</v>
      </c>
      <c r="H2396" t="s">
        <v>4</v>
      </c>
      <c r="I2396" t="s">
        <v>5</v>
      </c>
      <c r="J2396">
        <v>83.43</v>
      </c>
      <c r="K2396">
        <v>38.4</v>
      </c>
      <c r="L2396" t="s">
        <v>14</v>
      </c>
      <c r="M2396">
        <v>0</v>
      </c>
      <c r="N2396" t="str">
        <f t="shared" si="111"/>
        <v>Under 40</v>
      </c>
      <c r="O2396" t="str">
        <f t="shared" si="112"/>
        <v>Obese</v>
      </c>
    </row>
    <row r="2397" spans="1:15" x14ac:dyDescent="0.3">
      <c r="A2397">
        <v>50402</v>
      </c>
      <c r="B2397" t="s">
        <v>7</v>
      </c>
      <c r="C2397">
        <v>79</v>
      </c>
      <c r="D2397">
        <v>0</v>
      </c>
      <c r="E2397">
        <v>0</v>
      </c>
      <c r="F2397" t="str">
        <f t="shared" si="113"/>
        <v>Moderate Risk</v>
      </c>
      <c r="G2397" t="s">
        <v>3</v>
      </c>
      <c r="H2397" t="s">
        <v>4</v>
      </c>
      <c r="I2397" t="s">
        <v>5</v>
      </c>
      <c r="J2397">
        <v>207.95</v>
      </c>
      <c r="K2397">
        <v>26</v>
      </c>
      <c r="L2397" t="s">
        <v>6</v>
      </c>
      <c r="M2397">
        <v>0</v>
      </c>
      <c r="N2397" t="str">
        <f t="shared" si="111"/>
        <v>60+</v>
      </c>
      <c r="O2397" t="str">
        <f t="shared" si="112"/>
        <v>Overweight</v>
      </c>
    </row>
    <row r="2398" spans="1:15" x14ac:dyDescent="0.3">
      <c r="A2398">
        <v>36317</v>
      </c>
      <c r="B2398" t="s">
        <v>7</v>
      </c>
      <c r="C2398">
        <v>41</v>
      </c>
      <c r="D2398">
        <v>0</v>
      </c>
      <c r="E2398">
        <v>0</v>
      </c>
      <c r="F2398" t="str">
        <f t="shared" si="113"/>
        <v>Lower Risk</v>
      </c>
      <c r="G2398" t="s">
        <v>3</v>
      </c>
      <c r="H2398" t="s">
        <v>4</v>
      </c>
      <c r="I2398" t="s">
        <v>9</v>
      </c>
      <c r="J2398">
        <v>134.29</v>
      </c>
      <c r="K2398">
        <v>26.8</v>
      </c>
      <c r="L2398" t="s">
        <v>12</v>
      </c>
      <c r="M2398">
        <v>0</v>
      </c>
      <c r="N2398" t="str">
        <f t="shared" si="111"/>
        <v>40–59</v>
      </c>
      <c r="O2398" t="str">
        <f t="shared" si="112"/>
        <v>Overweight</v>
      </c>
    </row>
    <row r="2399" spans="1:15" x14ac:dyDescent="0.3">
      <c r="A2399">
        <v>44676</v>
      </c>
      <c r="B2399" t="s">
        <v>2</v>
      </c>
      <c r="C2399">
        <v>1.64</v>
      </c>
      <c r="D2399">
        <v>0</v>
      </c>
      <c r="E2399">
        <v>0</v>
      </c>
      <c r="F2399" t="str">
        <f t="shared" si="113"/>
        <v>Lower Risk</v>
      </c>
      <c r="G2399" t="s">
        <v>13</v>
      </c>
      <c r="H2399" t="s">
        <v>16</v>
      </c>
      <c r="I2399" t="s">
        <v>5</v>
      </c>
      <c r="J2399">
        <v>115.12</v>
      </c>
      <c r="K2399">
        <v>21.1</v>
      </c>
      <c r="L2399" t="s">
        <v>14</v>
      </c>
      <c r="M2399">
        <v>0</v>
      </c>
      <c r="N2399" t="str">
        <f t="shared" si="111"/>
        <v>Under 40</v>
      </c>
      <c r="O2399" t="str">
        <f t="shared" si="112"/>
        <v>Normal</v>
      </c>
    </row>
    <row r="2400" spans="1:15" x14ac:dyDescent="0.3">
      <c r="A2400">
        <v>3724</v>
      </c>
      <c r="B2400" t="s">
        <v>7</v>
      </c>
      <c r="C2400">
        <v>51</v>
      </c>
      <c r="D2400">
        <v>0</v>
      </c>
      <c r="E2400">
        <v>0</v>
      </c>
      <c r="F2400" t="str">
        <f t="shared" si="113"/>
        <v>Lower Risk</v>
      </c>
      <c r="G2400" t="s">
        <v>3</v>
      </c>
      <c r="H2400" t="s">
        <v>15</v>
      </c>
      <c r="I2400" t="s">
        <v>5</v>
      </c>
      <c r="J2400">
        <v>86.25</v>
      </c>
      <c r="K2400">
        <v>29</v>
      </c>
      <c r="L2400" t="s">
        <v>11</v>
      </c>
      <c r="M2400">
        <v>0</v>
      </c>
      <c r="N2400" t="str">
        <f t="shared" si="111"/>
        <v>40–59</v>
      </c>
      <c r="O2400" t="str">
        <f t="shared" si="112"/>
        <v>Overweight</v>
      </c>
    </row>
    <row r="2401" spans="1:15" x14ac:dyDescent="0.3">
      <c r="A2401">
        <v>69668</v>
      </c>
      <c r="B2401" t="s">
        <v>7</v>
      </c>
      <c r="C2401">
        <v>33</v>
      </c>
      <c r="D2401">
        <v>0</v>
      </c>
      <c r="E2401">
        <v>0</v>
      </c>
      <c r="F2401" t="str">
        <f t="shared" si="113"/>
        <v>Lower Risk</v>
      </c>
      <c r="G2401" t="s">
        <v>3</v>
      </c>
      <c r="H2401" t="s">
        <v>8</v>
      </c>
      <c r="I2401" t="s">
        <v>9</v>
      </c>
      <c r="J2401">
        <v>112.94</v>
      </c>
      <c r="K2401">
        <v>43</v>
      </c>
      <c r="L2401" t="s">
        <v>11</v>
      </c>
      <c r="M2401">
        <v>0</v>
      </c>
      <c r="N2401" t="str">
        <f t="shared" si="111"/>
        <v>Under 40</v>
      </c>
      <c r="O2401" t="str">
        <f t="shared" si="112"/>
        <v>Obese</v>
      </c>
    </row>
    <row r="2402" spans="1:15" x14ac:dyDescent="0.3">
      <c r="A2402">
        <v>59274</v>
      </c>
      <c r="B2402" t="s">
        <v>7</v>
      </c>
      <c r="C2402">
        <v>33</v>
      </c>
      <c r="D2402">
        <v>0</v>
      </c>
      <c r="E2402">
        <v>0</v>
      </c>
      <c r="F2402" t="str">
        <f t="shared" si="113"/>
        <v>Lower Risk</v>
      </c>
      <c r="G2402" t="s">
        <v>3</v>
      </c>
      <c r="H2402" t="s">
        <v>15</v>
      </c>
      <c r="I2402" t="s">
        <v>9</v>
      </c>
      <c r="J2402">
        <v>73.540000000000006</v>
      </c>
      <c r="K2402">
        <v>36.6</v>
      </c>
      <c r="L2402" t="s">
        <v>12</v>
      </c>
      <c r="M2402">
        <v>0</v>
      </c>
      <c r="N2402" t="str">
        <f t="shared" si="111"/>
        <v>Under 40</v>
      </c>
      <c r="O2402" t="str">
        <f t="shared" si="112"/>
        <v>Obese</v>
      </c>
    </row>
    <row r="2403" spans="1:15" x14ac:dyDescent="0.3">
      <c r="A2403">
        <v>29676</v>
      </c>
      <c r="B2403" t="s">
        <v>2</v>
      </c>
      <c r="C2403">
        <v>48</v>
      </c>
      <c r="D2403">
        <v>0</v>
      </c>
      <c r="E2403">
        <v>0</v>
      </c>
      <c r="F2403" t="str">
        <f t="shared" si="113"/>
        <v>Lower Risk</v>
      </c>
      <c r="G2403" t="s">
        <v>13</v>
      </c>
      <c r="H2403" t="s">
        <v>4</v>
      </c>
      <c r="I2403" t="s">
        <v>5</v>
      </c>
      <c r="J2403">
        <v>80.86</v>
      </c>
      <c r="K2403">
        <v>27.5</v>
      </c>
      <c r="L2403" t="s">
        <v>14</v>
      </c>
      <c r="M2403">
        <v>0</v>
      </c>
      <c r="N2403" t="str">
        <f t="shared" si="111"/>
        <v>40–59</v>
      </c>
      <c r="O2403" t="str">
        <f t="shared" si="112"/>
        <v>Overweight</v>
      </c>
    </row>
    <row r="2404" spans="1:15" x14ac:dyDescent="0.3">
      <c r="A2404">
        <v>37655</v>
      </c>
      <c r="B2404" t="s">
        <v>2</v>
      </c>
      <c r="C2404">
        <v>45</v>
      </c>
      <c r="D2404">
        <v>0</v>
      </c>
      <c r="E2404">
        <v>0</v>
      </c>
      <c r="F2404" t="str">
        <f t="shared" si="113"/>
        <v>Lower Risk</v>
      </c>
      <c r="G2404" t="s">
        <v>3</v>
      </c>
      <c r="H2404" t="s">
        <v>4</v>
      </c>
      <c r="I2404" t="s">
        <v>9</v>
      </c>
      <c r="J2404">
        <v>83.91</v>
      </c>
      <c r="K2404">
        <v>40.200000000000003</v>
      </c>
      <c r="L2404" t="s">
        <v>14</v>
      </c>
      <c r="M2404">
        <v>0</v>
      </c>
      <c r="N2404" t="str">
        <f t="shared" si="111"/>
        <v>40–59</v>
      </c>
      <c r="O2404" t="str">
        <f t="shared" si="112"/>
        <v>Obese</v>
      </c>
    </row>
    <row r="2405" spans="1:15" x14ac:dyDescent="0.3">
      <c r="A2405">
        <v>16980</v>
      </c>
      <c r="B2405" t="s">
        <v>7</v>
      </c>
      <c r="C2405">
        <v>61</v>
      </c>
      <c r="D2405">
        <v>0</v>
      </c>
      <c r="E2405">
        <v>0</v>
      </c>
      <c r="F2405" t="str">
        <f t="shared" si="113"/>
        <v>Moderate Risk</v>
      </c>
      <c r="G2405" t="s">
        <v>13</v>
      </c>
      <c r="H2405" t="s">
        <v>4</v>
      </c>
      <c r="I2405" t="s">
        <v>9</v>
      </c>
      <c r="J2405">
        <v>69.91</v>
      </c>
      <c r="K2405">
        <v>37.1</v>
      </c>
      <c r="L2405" t="s">
        <v>11</v>
      </c>
      <c r="M2405">
        <v>0</v>
      </c>
      <c r="N2405" t="str">
        <f t="shared" si="111"/>
        <v>60+</v>
      </c>
      <c r="O2405" t="str">
        <f t="shared" si="112"/>
        <v>Obese</v>
      </c>
    </row>
    <row r="2406" spans="1:15" x14ac:dyDescent="0.3">
      <c r="A2406">
        <v>40213</v>
      </c>
      <c r="B2406" t="s">
        <v>2</v>
      </c>
      <c r="C2406">
        <v>31</v>
      </c>
      <c r="D2406">
        <v>0</v>
      </c>
      <c r="E2406">
        <v>0</v>
      </c>
      <c r="F2406" t="str">
        <f t="shared" si="113"/>
        <v>Lower Risk</v>
      </c>
      <c r="G2406" t="s">
        <v>13</v>
      </c>
      <c r="H2406" t="s">
        <v>4</v>
      </c>
      <c r="I2406" t="s">
        <v>9</v>
      </c>
      <c r="J2406">
        <v>95.62</v>
      </c>
      <c r="K2406">
        <v>32</v>
      </c>
      <c r="L2406" t="s">
        <v>12</v>
      </c>
      <c r="M2406">
        <v>0</v>
      </c>
      <c r="N2406" t="str">
        <f t="shared" si="111"/>
        <v>Under 40</v>
      </c>
      <c r="O2406" t="str">
        <f t="shared" si="112"/>
        <v>Obese</v>
      </c>
    </row>
    <row r="2407" spans="1:15" x14ac:dyDescent="0.3">
      <c r="A2407">
        <v>47831</v>
      </c>
      <c r="B2407" t="s">
        <v>2</v>
      </c>
      <c r="C2407">
        <v>60</v>
      </c>
      <c r="D2407">
        <v>1</v>
      </c>
      <c r="E2407">
        <v>0</v>
      </c>
      <c r="F2407" t="str">
        <f t="shared" si="113"/>
        <v>High Risk</v>
      </c>
      <c r="G2407" t="s">
        <v>13</v>
      </c>
      <c r="H2407" t="s">
        <v>4</v>
      </c>
      <c r="I2407" t="s">
        <v>5</v>
      </c>
      <c r="J2407">
        <v>63.95</v>
      </c>
      <c r="K2407">
        <v>32.200000000000003</v>
      </c>
      <c r="L2407" t="s">
        <v>11</v>
      </c>
      <c r="M2407">
        <v>0</v>
      </c>
      <c r="N2407" t="str">
        <f t="shared" si="111"/>
        <v>60+</v>
      </c>
      <c r="O2407" t="str">
        <f t="shared" si="112"/>
        <v>Obese</v>
      </c>
    </row>
    <row r="2408" spans="1:15" x14ac:dyDescent="0.3">
      <c r="A2408">
        <v>40977</v>
      </c>
      <c r="B2408" t="s">
        <v>2</v>
      </c>
      <c r="C2408">
        <v>51</v>
      </c>
      <c r="D2408">
        <v>0</v>
      </c>
      <c r="E2408">
        <v>0</v>
      </c>
      <c r="F2408" t="str">
        <f t="shared" si="113"/>
        <v>Lower Risk</v>
      </c>
      <c r="G2408" t="s">
        <v>3</v>
      </c>
      <c r="H2408" t="s">
        <v>4</v>
      </c>
      <c r="I2408" t="s">
        <v>9</v>
      </c>
      <c r="J2408">
        <v>122.5</v>
      </c>
      <c r="K2408">
        <v>20.6</v>
      </c>
      <c r="L2408" t="s">
        <v>14</v>
      </c>
      <c r="M2408">
        <v>0</v>
      </c>
      <c r="N2408" t="str">
        <f t="shared" si="111"/>
        <v>40–59</v>
      </c>
      <c r="O2408" t="str">
        <f t="shared" si="112"/>
        <v>Normal</v>
      </c>
    </row>
    <row r="2409" spans="1:15" x14ac:dyDescent="0.3">
      <c r="A2409">
        <v>39129</v>
      </c>
      <c r="B2409" t="s">
        <v>2</v>
      </c>
      <c r="C2409">
        <v>53</v>
      </c>
      <c r="D2409">
        <v>0</v>
      </c>
      <c r="E2409">
        <v>0</v>
      </c>
      <c r="F2409" t="str">
        <f t="shared" si="113"/>
        <v>Lower Risk</v>
      </c>
      <c r="G2409" t="s">
        <v>3</v>
      </c>
      <c r="H2409" t="s">
        <v>15</v>
      </c>
      <c r="I2409" t="s">
        <v>9</v>
      </c>
      <c r="J2409">
        <v>86</v>
      </c>
      <c r="K2409">
        <v>24.1</v>
      </c>
      <c r="L2409" t="s">
        <v>11</v>
      </c>
      <c r="M2409">
        <v>0</v>
      </c>
      <c r="N2409" t="str">
        <f t="shared" si="111"/>
        <v>40–59</v>
      </c>
      <c r="O2409" t="str">
        <f t="shared" si="112"/>
        <v>Normal</v>
      </c>
    </row>
    <row r="2410" spans="1:15" x14ac:dyDescent="0.3">
      <c r="A2410">
        <v>40837</v>
      </c>
      <c r="B2410" t="s">
        <v>2</v>
      </c>
      <c r="C2410">
        <v>52</v>
      </c>
      <c r="D2410">
        <v>0</v>
      </c>
      <c r="E2410">
        <v>0</v>
      </c>
      <c r="F2410" t="str">
        <f t="shared" si="113"/>
        <v>Lower Risk</v>
      </c>
      <c r="G2410" t="s">
        <v>3</v>
      </c>
      <c r="H2410" t="s">
        <v>15</v>
      </c>
      <c r="I2410" t="s">
        <v>5</v>
      </c>
      <c r="J2410">
        <v>120.27</v>
      </c>
      <c r="K2410">
        <v>25</v>
      </c>
      <c r="L2410" t="s">
        <v>11</v>
      </c>
      <c r="M2410">
        <v>0</v>
      </c>
      <c r="N2410" t="str">
        <f t="shared" si="111"/>
        <v>40–59</v>
      </c>
      <c r="O2410" t="str">
        <f t="shared" si="112"/>
        <v>Overweight</v>
      </c>
    </row>
    <row r="2411" spans="1:15" x14ac:dyDescent="0.3">
      <c r="A2411">
        <v>59000</v>
      </c>
      <c r="B2411" t="s">
        <v>7</v>
      </c>
      <c r="C2411">
        <v>42</v>
      </c>
      <c r="D2411">
        <v>0</v>
      </c>
      <c r="E2411">
        <v>0</v>
      </c>
      <c r="F2411" t="str">
        <f t="shared" si="113"/>
        <v>Lower Risk</v>
      </c>
      <c r="G2411" t="s">
        <v>3</v>
      </c>
      <c r="H2411" t="s">
        <v>15</v>
      </c>
      <c r="I2411" t="s">
        <v>5</v>
      </c>
      <c r="J2411">
        <v>56.71</v>
      </c>
      <c r="K2411">
        <v>25.2</v>
      </c>
      <c r="L2411" t="s">
        <v>14</v>
      </c>
      <c r="M2411">
        <v>0</v>
      </c>
      <c r="N2411" t="str">
        <f t="shared" si="111"/>
        <v>40–59</v>
      </c>
      <c r="O2411" t="str">
        <f t="shared" si="112"/>
        <v>Overweight</v>
      </c>
    </row>
    <row r="2412" spans="1:15" x14ac:dyDescent="0.3">
      <c r="A2412">
        <v>44510</v>
      </c>
      <c r="B2412" t="s">
        <v>7</v>
      </c>
      <c r="C2412">
        <v>56</v>
      </c>
      <c r="D2412">
        <v>0</v>
      </c>
      <c r="E2412">
        <v>0</v>
      </c>
      <c r="F2412" t="str">
        <f t="shared" si="113"/>
        <v>Lower Risk</v>
      </c>
      <c r="G2412" t="s">
        <v>3</v>
      </c>
      <c r="H2412" t="s">
        <v>4</v>
      </c>
      <c r="I2412" t="s">
        <v>9</v>
      </c>
      <c r="J2412">
        <v>131.63</v>
      </c>
      <c r="K2412">
        <v>27.6</v>
      </c>
      <c r="L2412" t="s">
        <v>11</v>
      </c>
      <c r="M2412">
        <v>0</v>
      </c>
      <c r="N2412" t="str">
        <f t="shared" si="111"/>
        <v>40–59</v>
      </c>
      <c r="O2412" t="str">
        <f t="shared" si="112"/>
        <v>Overweight</v>
      </c>
    </row>
    <row r="2413" spans="1:15" x14ac:dyDescent="0.3">
      <c r="A2413">
        <v>3793</v>
      </c>
      <c r="B2413" t="s">
        <v>2</v>
      </c>
      <c r="C2413">
        <v>14</v>
      </c>
      <c r="D2413">
        <v>0</v>
      </c>
      <c r="E2413">
        <v>0</v>
      </c>
      <c r="F2413" t="str">
        <f t="shared" si="113"/>
        <v>Lower Risk</v>
      </c>
      <c r="G2413" t="s">
        <v>13</v>
      </c>
      <c r="H2413" t="s">
        <v>4</v>
      </c>
      <c r="I2413" t="s">
        <v>5</v>
      </c>
      <c r="J2413">
        <v>79.36</v>
      </c>
      <c r="K2413">
        <v>48.8</v>
      </c>
      <c r="L2413" t="s">
        <v>11</v>
      </c>
      <c r="M2413">
        <v>0</v>
      </c>
      <c r="N2413" t="str">
        <f t="shared" si="111"/>
        <v>Under 40</v>
      </c>
      <c r="O2413" t="str">
        <f t="shared" si="112"/>
        <v>Obese</v>
      </c>
    </row>
    <row r="2414" spans="1:15" x14ac:dyDescent="0.3">
      <c r="A2414">
        <v>32215</v>
      </c>
      <c r="B2414" t="s">
        <v>7</v>
      </c>
      <c r="C2414">
        <v>40</v>
      </c>
      <c r="D2414">
        <v>0</v>
      </c>
      <c r="E2414">
        <v>0</v>
      </c>
      <c r="F2414" t="str">
        <f t="shared" si="113"/>
        <v>Lower Risk</v>
      </c>
      <c r="G2414" t="s">
        <v>13</v>
      </c>
      <c r="H2414" t="s">
        <v>4</v>
      </c>
      <c r="I2414" t="s">
        <v>5</v>
      </c>
      <c r="J2414">
        <v>120.77</v>
      </c>
      <c r="K2414">
        <v>27.6</v>
      </c>
      <c r="L2414" t="s">
        <v>11</v>
      </c>
      <c r="M2414">
        <v>0</v>
      </c>
      <c r="N2414" t="str">
        <f t="shared" si="111"/>
        <v>40–59</v>
      </c>
      <c r="O2414" t="str">
        <f t="shared" si="112"/>
        <v>Overweight</v>
      </c>
    </row>
    <row r="2415" spans="1:15" x14ac:dyDescent="0.3">
      <c r="A2415">
        <v>35296</v>
      </c>
      <c r="B2415" t="s">
        <v>7</v>
      </c>
      <c r="C2415">
        <v>58</v>
      </c>
      <c r="D2415">
        <v>0</v>
      </c>
      <c r="E2415">
        <v>0</v>
      </c>
      <c r="F2415" t="str">
        <f t="shared" si="113"/>
        <v>Lower Risk</v>
      </c>
      <c r="G2415" t="s">
        <v>3</v>
      </c>
      <c r="H2415" t="s">
        <v>4</v>
      </c>
      <c r="I2415" t="s">
        <v>9</v>
      </c>
      <c r="J2415">
        <v>100.42</v>
      </c>
      <c r="K2415">
        <v>39.5</v>
      </c>
      <c r="L2415" t="s">
        <v>12</v>
      </c>
      <c r="M2415">
        <v>0</v>
      </c>
      <c r="N2415" t="str">
        <f t="shared" si="111"/>
        <v>40–59</v>
      </c>
      <c r="O2415" t="str">
        <f t="shared" si="112"/>
        <v>Obese</v>
      </c>
    </row>
    <row r="2416" spans="1:15" x14ac:dyDescent="0.3">
      <c r="A2416">
        <v>69502</v>
      </c>
      <c r="B2416" t="s">
        <v>7</v>
      </c>
      <c r="C2416">
        <v>52</v>
      </c>
      <c r="D2416">
        <v>1</v>
      </c>
      <c r="E2416">
        <v>0</v>
      </c>
      <c r="F2416" t="str">
        <f t="shared" si="113"/>
        <v>Lower Risk</v>
      </c>
      <c r="G2416" t="s">
        <v>3</v>
      </c>
      <c r="H2416" t="s">
        <v>4</v>
      </c>
      <c r="I2416" t="s">
        <v>5</v>
      </c>
      <c r="J2416">
        <v>155.86000000000001</v>
      </c>
      <c r="K2416">
        <v>27.2</v>
      </c>
      <c r="L2416" t="s">
        <v>12</v>
      </c>
      <c r="M2416">
        <v>0</v>
      </c>
      <c r="N2416" t="str">
        <f t="shared" si="111"/>
        <v>40–59</v>
      </c>
      <c r="O2416" t="str">
        <f t="shared" si="112"/>
        <v>Overweight</v>
      </c>
    </row>
    <row r="2417" spans="1:15" x14ac:dyDescent="0.3">
      <c r="A2417">
        <v>67620</v>
      </c>
      <c r="B2417" t="s">
        <v>2</v>
      </c>
      <c r="C2417">
        <v>30</v>
      </c>
      <c r="D2417">
        <v>0</v>
      </c>
      <c r="E2417">
        <v>0</v>
      </c>
      <c r="F2417" t="str">
        <f t="shared" si="113"/>
        <v>Lower Risk</v>
      </c>
      <c r="G2417" t="s">
        <v>3</v>
      </c>
      <c r="H2417" t="s">
        <v>15</v>
      </c>
      <c r="I2417" t="s">
        <v>9</v>
      </c>
      <c r="J2417">
        <v>66.010000000000005</v>
      </c>
      <c r="K2417">
        <v>26.3</v>
      </c>
      <c r="L2417" t="s">
        <v>12</v>
      </c>
      <c r="M2417">
        <v>0</v>
      </c>
      <c r="N2417" t="str">
        <f t="shared" si="111"/>
        <v>Under 40</v>
      </c>
      <c r="O2417" t="str">
        <f t="shared" si="112"/>
        <v>Overweight</v>
      </c>
    </row>
    <row r="2418" spans="1:15" x14ac:dyDescent="0.3">
      <c r="A2418">
        <v>27664</v>
      </c>
      <c r="B2418" t="s">
        <v>7</v>
      </c>
      <c r="C2418">
        <v>47</v>
      </c>
      <c r="D2418">
        <v>0</v>
      </c>
      <c r="E2418">
        <v>0</v>
      </c>
      <c r="F2418" t="str">
        <f t="shared" si="113"/>
        <v>Lower Risk</v>
      </c>
      <c r="G2418" t="s">
        <v>3</v>
      </c>
      <c r="H2418" t="s">
        <v>4</v>
      </c>
      <c r="I2418" t="s">
        <v>5</v>
      </c>
      <c r="J2418">
        <v>86.99</v>
      </c>
      <c r="K2418">
        <v>28.9</v>
      </c>
      <c r="L2418" t="s">
        <v>12</v>
      </c>
      <c r="M2418">
        <v>0</v>
      </c>
      <c r="N2418" t="str">
        <f t="shared" si="111"/>
        <v>40–59</v>
      </c>
      <c r="O2418" t="str">
        <f t="shared" si="112"/>
        <v>Overweight</v>
      </c>
    </row>
    <row r="2419" spans="1:15" x14ac:dyDescent="0.3">
      <c r="A2419">
        <v>49555</v>
      </c>
      <c r="B2419" t="s">
        <v>7</v>
      </c>
      <c r="C2419">
        <v>34</v>
      </c>
      <c r="D2419">
        <v>0</v>
      </c>
      <c r="E2419">
        <v>0</v>
      </c>
      <c r="F2419" t="str">
        <f t="shared" si="113"/>
        <v>Lower Risk</v>
      </c>
      <c r="G2419" t="s">
        <v>3</v>
      </c>
      <c r="H2419" t="s">
        <v>15</v>
      </c>
      <c r="I2419" t="s">
        <v>5</v>
      </c>
      <c r="J2419">
        <v>90.55</v>
      </c>
      <c r="K2419">
        <v>30</v>
      </c>
      <c r="L2419" t="s">
        <v>11</v>
      </c>
      <c r="M2419">
        <v>0</v>
      </c>
      <c r="N2419" t="str">
        <f t="shared" si="111"/>
        <v>Under 40</v>
      </c>
      <c r="O2419" t="str">
        <f t="shared" si="112"/>
        <v>Obese</v>
      </c>
    </row>
    <row r="2420" spans="1:15" x14ac:dyDescent="0.3">
      <c r="A2420">
        <v>16812</v>
      </c>
      <c r="B2420" t="s">
        <v>7</v>
      </c>
      <c r="C2420">
        <v>82</v>
      </c>
      <c r="D2420">
        <v>0</v>
      </c>
      <c r="E2420">
        <v>1</v>
      </c>
      <c r="F2420" t="str">
        <f t="shared" si="113"/>
        <v>High Risk</v>
      </c>
      <c r="G2420" t="s">
        <v>3</v>
      </c>
      <c r="H2420" t="s">
        <v>8</v>
      </c>
      <c r="I2420" t="s">
        <v>9</v>
      </c>
      <c r="J2420">
        <v>229.58</v>
      </c>
      <c r="K2420">
        <v>23.7</v>
      </c>
      <c r="L2420" t="s">
        <v>14</v>
      </c>
      <c r="M2420">
        <v>0</v>
      </c>
      <c r="N2420" t="str">
        <f t="shared" si="111"/>
        <v>60+</v>
      </c>
      <c r="O2420" t="str">
        <f t="shared" si="112"/>
        <v>Normal</v>
      </c>
    </row>
    <row r="2421" spans="1:15" x14ac:dyDescent="0.3">
      <c r="A2421">
        <v>63665</v>
      </c>
      <c r="B2421" t="s">
        <v>7</v>
      </c>
      <c r="C2421">
        <v>31</v>
      </c>
      <c r="D2421">
        <v>0</v>
      </c>
      <c r="E2421">
        <v>0</v>
      </c>
      <c r="F2421" t="str">
        <f t="shared" si="113"/>
        <v>Lower Risk</v>
      </c>
      <c r="G2421" t="s">
        <v>3</v>
      </c>
      <c r="H2421" t="s">
        <v>4</v>
      </c>
      <c r="I2421" t="s">
        <v>5</v>
      </c>
      <c r="J2421">
        <v>60.06</v>
      </c>
      <c r="K2421">
        <v>25.5</v>
      </c>
      <c r="L2421" t="s">
        <v>12</v>
      </c>
      <c r="M2421">
        <v>0</v>
      </c>
      <c r="N2421" t="str">
        <f t="shared" si="111"/>
        <v>Under 40</v>
      </c>
      <c r="O2421" t="str">
        <f t="shared" si="112"/>
        <v>Overweight</v>
      </c>
    </row>
    <row r="2422" spans="1:15" x14ac:dyDescent="0.3">
      <c r="A2422">
        <v>68141</v>
      </c>
      <c r="B2422" t="s">
        <v>7</v>
      </c>
      <c r="C2422">
        <v>58</v>
      </c>
      <c r="D2422">
        <v>0</v>
      </c>
      <c r="E2422">
        <v>0</v>
      </c>
      <c r="F2422" t="str">
        <f t="shared" si="113"/>
        <v>Lower Risk</v>
      </c>
      <c r="G2422" t="s">
        <v>3</v>
      </c>
      <c r="H2422" t="s">
        <v>4</v>
      </c>
      <c r="I2422" t="s">
        <v>9</v>
      </c>
      <c r="J2422">
        <v>65.66</v>
      </c>
      <c r="K2422">
        <v>24.6</v>
      </c>
      <c r="L2422" t="s">
        <v>6</v>
      </c>
      <c r="M2422">
        <v>0</v>
      </c>
      <c r="N2422" t="str">
        <f t="shared" si="111"/>
        <v>40–59</v>
      </c>
      <c r="O2422" t="str">
        <f t="shared" si="112"/>
        <v>Normal</v>
      </c>
    </row>
    <row r="2423" spans="1:15" x14ac:dyDescent="0.3">
      <c r="A2423">
        <v>33674</v>
      </c>
      <c r="B2423" t="s">
        <v>7</v>
      </c>
      <c r="C2423">
        <v>47</v>
      </c>
      <c r="D2423">
        <v>0</v>
      </c>
      <c r="E2423">
        <v>0</v>
      </c>
      <c r="F2423" t="str">
        <f t="shared" si="113"/>
        <v>Lower Risk</v>
      </c>
      <c r="G2423" t="s">
        <v>3</v>
      </c>
      <c r="H2423" t="s">
        <v>4</v>
      </c>
      <c r="I2423" t="s">
        <v>5</v>
      </c>
      <c r="J2423">
        <v>104.7</v>
      </c>
      <c r="K2423">
        <v>20.7</v>
      </c>
      <c r="L2423" t="s">
        <v>12</v>
      </c>
      <c r="M2423">
        <v>0</v>
      </c>
      <c r="N2423" t="str">
        <f t="shared" si="111"/>
        <v>40–59</v>
      </c>
      <c r="O2423" t="str">
        <f t="shared" si="112"/>
        <v>Normal</v>
      </c>
    </row>
    <row r="2424" spans="1:15" x14ac:dyDescent="0.3">
      <c r="A2424">
        <v>30432</v>
      </c>
      <c r="B2424" t="s">
        <v>2</v>
      </c>
      <c r="C2424">
        <v>65</v>
      </c>
      <c r="D2424">
        <v>1</v>
      </c>
      <c r="E2424">
        <v>0</v>
      </c>
      <c r="F2424" t="str">
        <f t="shared" si="113"/>
        <v>High Risk</v>
      </c>
      <c r="G2424" t="s">
        <v>3</v>
      </c>
      <c r="H2424" t="s">
        <v>8</v>
      </c>
      <c r="I2424" t="s">
        <v>5</v>
      </c>
      <c r="J2424">
        <v>113.86</v>
      </c>
      <c r="K2424">
        <v>36.4</v>
      </c>
      <c r="L2424" t="s">
        <v>11</v>
      </c>
      <c r="M2424">
        <v>0</v>
      </c>
      <c r="N2424" t="str">
        <f t="shared" si="111"/>
        <v>60+</v>
      </c>
      <c r="O2424" t="str">
        <f t="shared" si="112"/>
        <v>Obese</v>
      </c>
    </row>
    <row r="2425" spans="1:15" x14ac:dyDescent="0.3">
      <c r="A2425">
        <v>10886</v>
      </c>
      <c r="B2425" t="s">
        <v>7</v>
      </c>
      <c r="C2425">
        <v>13</v>
      </c>
      <c r="D2425">
        <v>0</v>
      </c>
      <c r="E2425">
        <v>0</v>
      </c>
      <c r="F2425" t="str">
        <f t="shared" si="113"/>
        <v>Lower Risk</v>
      </c>
      <c r="G2425" t="s">
        <v>13</v>
      </c>
      <c r="H2425" t="s">
        <v>16</v>
      </c>
      <c r="I2425" t="s">
        <v>9</v>
      </c>
      <c r="J2425">
        <v>99.49</v>
      </c>
      <c r="K2425">
        <v>23.4</v>
      </c>
      <c r="L2425" t="s">
        <v>14</v>
      </c>
      <c r="M2425">
        <v>0</v>
      </c>
      <c r="N2425" t="str">
        <f t="shared" si="111"/>
        <v>Under 40</v>
      </c>
      <c r="O2425" t="str">
        <f t="shared" si="112"/>
        <v>Normal</v>
      </c>
    </row>
    <row r="2426" spans="1:15" x14ac:dyDescent="0.3">
      <c r="A2426">
        <v>62629</v>
      </c>
      <c r="B2426" t="s">
        <v>2</v>
      </c>
      <c r="C2426">
        <v>37</v>
      </c>
      <c r="D2426">
        <v>1</v>
      </c>
      <c r="E2426">
        <v>0</v>
      </c>
      <c r="F2426" t="str">
        <f t="shared" si="113"/>
        <v>Lower Risk</v>
      </c>
      <c r="G2426" t="s">
        <v>3</v>
      </c>
      <c r="H2426" t="s">
        <v>4</v>
      </c>
      <c r="I2426" t="s">
        <v>5</v>
      </c>
      <c r="J2426">
        <v>165.99</v>
      </c>
      <c r="K2426">
        <v>32.299999999999997</v>
      </c>
      <c r="L2426" t="s">
        <v>11</v>
      </c>
      <c r="M2426">
        <v>0</v>
      </c>
      <c r="N2426" t="str">
        <f t="shared" si="111"/>
        <v>Under 40</v>
      </c>
      <c r="O2426" t="str">
        <f t="shared" si="112"/>
        <v>Obese</v>
      </c>
    </row>
    <row r="2427" spans="1:15" x14ac:dyDescent="0.3">
      <c r="A2427">
        <v>67758</v>
      </c>
      <c r="B2427" t="s">
        <v>2</v>
      </c>
      <c r="C2427">
        <v>9</v>
      </c>
      <c r="D2427">
        <v>0</v>
      </c>
      <c r="E2427">
        <v>0</v>
      </c>
      <c r="F2427" t="str">
        <f t="shared" si="113"/>
        <v>Lower Risk</v>
      </c>
      <c r="G2427" t="s">
        <v>13</v>
      </c>
      <c r="H2427" t="s">
        <v>16</v>
      </c>
      <c r="I2427" t="s">
        <v>5</v>
      </c>
      <c r="J2427">
        <v>114.99</v>
      </c>
      <c r="K2427">
        <v>18.8</v>
      </c>
      <c r="L2427" t="s">
        <v>14</v>
      </c>
      <c r="M2427">
        <v>0</v>
      </c>
      <c r="N2427" t="str">
        <f t="shared" si="111"/>
        <v>Under 40</v>
      </c>
      <c r="O2427" t="str">
        <f t="shared" si="112"/>
        <v>Normal</v>
      </c>
    </row>
    <row r="2428" spans="1:15" x14ac:dyDescent="0.3">
      <c r="A2428">
        <v>41244</v>
      </c>
      <c r="B2428" t="s">
        <v>7</v>
      </c>
      <c r="C2428">
        <v>7</v>
      </c>
      <c r="D2428">
        <v>0</v>
      </c>
      <c r="E2428">
        <v>0</v>
      </c>
      <c r="F2428" t="str">
        <f t="shared" si="113"/>
        <v>Lower Risk</v>
      </c>
      <c r="G2428" t="s">
        <v>13</v>
      </c>
      <c r="H2428" t="s">
        <v>16</v>
      </c>
      <c r="I2428" t="s">
        <v>5</v>
      </c>
      <c r="J2428">
        <v>79.58</v>
      </c>
      <c r="K2428">
        <v>15.5</v>
      </c>
      <c r="L2428" t="s">
        <v>14</v>
      </c>
      <c r="M2428">
        <v>0</v>
      </c>
      <c r="N2428" t="str">
        <f t="shared" si="111"/>
        <v>Under 40</v>
      </c>
      <c r="O2428" t="str">
        <f t="shared" si="112"/>
        <v>Underweight</v>
      </c>
    </row>
    <row r="2429" spans="1:15" x14ac:dyDescent="0.3">
      <c r="A2429">
        <v>50309</v>
      </c>
      <c r="B2429" t="s">
        <v>7</v>
      </c>
      <c r="C2429">
        <v>37</v>
      </c>
      <c r="D2429">
        <v>0</v>
      </c>
      <c r="E2429">
        <v>0</v>
      </c>
      <c r="F2429" t="str">
        <f t="shared" si="113"/>
        <v>Lower Risk</v>
      </c>
      <c r="G2429" t="s">
        <v>13</v>
      </c>
      <c r="H2429" t="s">
        <v>15</v>
      </c>
      <c r="I2429" t="s">
        <v>9</v>
      </c>
      <c r="J2429">
        <v>77.37</v>
      </c>
      <c r="K2429">
        <v>21.4</v>
      </c>
      <c r="L2429" t="s">
        <v>11</v>
      </c>
      <c r="M2429">
        <v>0</v>
      </c>
      <c r="N2429" t="str">
        <f t="shared" si="111"/>
        <v>Under 40</v>
      </c>
      <c r="O2429" t="str">
        <f t="shared" si="112"/>
        <v>Normal</v>
      </c>
    </row>
    <row r="2430" spans="1:15" x14ac:dyDescent="0.3">
      <c r="A2430">
        <v>6480</v>
      </c>
      <c r="B2430" t="s">
        <v>2</v>
      </c>
      <c r="C2430">
        <v>62</v>
      </c>
      <c r="D2430">
        <v>0</v>
      </c>
      <c r="E2430">
        <v>0</v>
      </c>
      <c r="F2430" t="str">
        <f t="shared" si="113"/>
        <v>Moderate Risk</v>
      </c>
      <c r="G2430" t="s">
        <v>13</v>
      </c>
      <c r="H2430" t="s">
        <v>15</v>
      </c>
      <c r="I2430" t="s">
        <v>5</v>
      </c>
      <c r="J2430">
        <v>93.55</v>
      </c>
      <c r="K2430">
        <v>31.7</v>
      </c>
      <c r="L2430" t="s">
        <v>11</v>
      </c>
      <c r="M2430">
        <v>0</v>
      </c>
      <c r="N2430" t="str">
        <f t="shared" si="111"/>
        <v>60+</v>
      </c>
      <c r="O2430" t="str">
        <f t="shared" si="112"/>
        <v>Obese</v>
      </c>
    </row>
    <row r="2431" spans="1:15" x14ac:dyDescent="0.3">
      <c r="A2431">
        <v>27007</v>
      </c>
      <c r="B2431" t="s">
        <v>2</v>
      </c>
      <c r="C2431">
        <v>14</v>
      </c>
      <c r="D2431">
        <v>0</v>
      </c>
      <c r="E2431">
        <v>0</v>
      </c>
      <c r="F2431" t="str">
        <f t="shared" si="113"/>
        <v>Lower Risk</v>
      </c>
      <c r="G2431" t="s">
        <v>13</v>
      </c>
      <c r="H2431" t="s">
        <v>8</v>
      </c>
      <c r="I2431" t="s">
        <v>5</v>
      </c>
      <c r="J2431">
        <v>187.22</v>
      </c>
      <c r="K2431">
        <v>29.7</v>
      </c>
      <c r="L2431" t="s">
        <v>14</v>
      </c>
      <c r="M2431">
        <v>0</v>
      </c>
      <c r="N2431" t="str">
        <f t="shared" si="111"/>
        <v>Under 40</v>
      </c>
      <c r="O2431" t="str">
        <f t="shared" si="112"/>
        <v>Overweight</v>
      </c>
    </row>
    <row r="2432" spans="1:15" x14ac:dyDescent="0.3">
      <c r="A2432">
        <v>63912</v>
      </c>
      <c r="B2432" t="s">
        <v>7</v>
      </c>
      <c r="C2432">
        <v>77</v>
      </c>
      <c r="D2432">
        <v>0</v>
      </c>
      <c r="E2432">
        <v>0</v>
      </c>
      <c r="F2432" t="str">
        <f t="shared" si="113"/>
        <v>Moderate Risk</v>
      </c>
      <c r="G2432" t="s">
        <v>3</v>
      </c>
      <c r="H2432" t="s">
        <v>15</v>
      </c>
      <c r="I2432" t="s">
        <v>9</v>
      </c>
      <c r="J2432">
        <v>167.59</v>
      </c>
      <c r="K2432">
        <v>34.299999999999997</v>
      </c>
      <c r="L2432" t="s">
        <v>6</v>
      </c>
      <c r="M2432">
        <v>0</v>
      </c>
      <c r="N2432" t="str">
        <f t="shared" si="111"/>
        <v>60+</v>
      </c>
      <c r="O2432" t="str">
        <f t="shared" si="112"/>
        <v>Obese</v>
      </c>
    </row>
    <row r="2433" spans="1:15" x14ac:dyDescent="0.3">
      <c r="A2433">
        <v>37483</v>
      </c>
      <c r="B2433" t="s">
        <v>2</v>
      </c>
      <c r="C2433">
        <v>36</v>
      </c>
      <c r="D2433">
        <v>0</v>
      </c>
      <c r="E2433">
        <v>0</v>
      </c>
      <c r="F2433" t="str">
        <f t="shared" si="113"/>
        <v>Lower Risk</v>
      </c>
      <c r="G2433" t="s">
        <v>3</v>
      </c>
      <c r="H2433" t="s">
        <v>4</v>
      </c>
      <c r="I2433" t="s">
        <v>5</v>
      </c>
      <c r="J2433">
        <v>98.03</v>
      </c>
      <c r="K2433">
        <v>22.1</v>
      </c>
      <c r="L2433" t="s">
        <v>12</v>
      </c>
      <c r="M2433">
        <v>0</v>
      </c>
      <c r="N2433" t="str">
        <f t="shared" si="111"/>
        <v>Under 40</v>
      </c>
      <c r="O2433" t="str">
        <f t="shared" si="112"/>
        <v>Normal</v>
      </c>
    </row>
    <row r="2434" spans="1:15" x14ac:dyDescent="0.3">
      <c r="A2434">
        <v>29855</v>
      </c>
      <c r="B2434" t="s">
        <v>7</v>
      </c>
      <c r="C2434">
        <v>3</v>
      </c>
      <c r="D2434">
        <v>0</v>
      </c>
      <c r="E2434">
        <v>0</v>
      </c>
      <c r="F2434" t="str">
        <f t="shared" si="113"/>
        <v>Lower Risk</v>
      </c>
      <c r="G2434" t="s">
        <v>13</v>
      </c>
      <c r="H2434" t="s">
        <v>16</v>
      </c>
      <c r="I2434" t="s">
        <v>5</v>
      </c>
      <c r="J2434">
        <v>88.79</v>
      </c>
      <c r="K2434">
        <v>21.5</v>
      </c>
      <c r="L2434" t="s">
        <v>14</v>
      </c>
      <c r="M2434">
        <v>0</v>
      </c>
      <c r="N2434" t="str">
        <f t="shared" ref="N2434:N2497" si="114">IF(C2434&lt;40,"Under 40",IF(C2434&lt;60,"40–59","60+"))</f>
        <v>Under 40</v>
      </c>
      <c r="O2434" t="str">
        <f t="shared" ref="O2434:O2497" si="115">IF(K2434="N/A","Unknown",
IF(K2434="","Unknown",
IF(K2434&lt;18.5,"Underweight",
IF(K2434&lt;25,"Normal",
IF(K2434&lt;30,"Overweight","Obese")))))</f>
        <v>Normal</v>
      </c>
    </row>
    <row r="2435" spans="1:15" x14ac:dyDescent="0.3">
      <c r="A2435">
        <v>22136</v>
      </c>
      <c r="B2435" t="s">
        <v>2</v>
      </c>
      <c r="C2435">
        <v>78</v>
      </c>
      <c r="D2435">
        <v>1</v>
      </c>
      <c r="E2435">
        <v>1</v>
      </c>
      <c r="F2435" t="str">
        <f t="shared" ref="F2435:F2498" si="116">IF(C2435&gt;=60,
IF(OR(D2435=1,E2435=1),"High Risk","Moderate Risk"),
"Lower Risk")</f>
        <v>High Risk</v>
      </c>
      <c r="G2435" t="s">
        <v>13</v>
      </c>
      <c r="H2435" t="s">
        <v>8</v>
      </c>
      <c r="I2435" t="s">
        <v>5</v>
      </c>
      <c r="J2435">
        <v>92.9</v>
      </c>
      <c r="K2435">
        <v>30.4</v>
      </c>
      <c r="L2435" t="s">
        <v>12</v>
      </c>
      <c r="M2435">
        <v>0</v>
      </c>
      <c r="N2435" t="str">
        <f t="shared" si="114"/>
        <v>60+</v>
      </c>
      <c r="O2435" t="str">
        <f t="shared" si="115"/>
        <v>Obese</v>
      </c>
    </row>
    <row r="2436" spans="1:15" x14ac:dyDescent="0.3">
      <c r="A2436">
        <v>66637</v>
      </c>
      <c r="B2436" t="s">
        <v>7</v>
      </c>
      <c r="C2436">
        <v>49</v>
      </c>
      <c r="D2436">
        <v>0</v>
      </c>
      <c r="E2436">
        <v>0</v>
      </c>
      <c r="F2436" t="str">
        <f t="shared" si="116"/>
        <v>Lower Risk</v>
      </c>
      <c r="G2436" t="s">
        <v>3</v>
      </c>
      <c r="H2436" t="s">
        <v>15</v>
      </c>
      <c r="I2436" t="s">
        <v>5</v>
      </c>
      <c r="J2436">
        <v>117.34</v>
      </c>
      <c r="K2436">
        <v>21.6</v>
      </c>
      <c r="L2436" t="s">
        <v>11</v>
      </c>
      <c r="M2436">
        <v>0</v>
      </c>
      <c r="N2436" t="str">
        <f t="shared" si="114"/>
        <v>40–59</v>
      </c>
      <c r="O2436" t="str">
        <f t="shared" si="115"/>
        <v>Normal</v>
      </c>
    </row>
    <row r="2437" spans="1:15" x14ac:dyDescent="0.3">
      <c r="A2437">
        <v>2244</v>
      </c>
      <c r="B2437" t="s">
        <v>2</v>
      </c>
      <c r="C2437">
        <v>44</v>
      </c>
      <c r="D2437">
        <v>0</v>
      </c>
      <c r="E2437">
        <v>0</v>
      </c>
      <c r="F2437" t="str">
        <f t="shared" si="116"/>
        <v>Lower Risk</v>
      </c>
      <c r="G2437" t="s">
        <v>3</v>
      </c>
      <c r="H2437" t="s">
        <v>4</v>
      </c>
      <c r="I2437" t="s">
        <v>5</v>
      </c>
      <c r="J2437">
        <v>80.75</v>
      </c>
      <c r="K2437">
        <v>30.9</v>
      </c>
      <c r="L2437" t="s">
        <v>11</v>
      </c>
      <c r="M2437">
        <v>0</v>
      </c>
      <c r="N2437" t="str">
        <f t="shared" si="114"/>
        <v>40–59</v>
      </c>
      <c r="O2437" t="str">
        <f t="shared" si="115"/>
        <v>Obese</v>
      </c>
    </row>
    <row r="2438" spans="1:15" x14ac:dyDescent="0.3">
      <c r="A2438">
        <v>22259</v>
      </c>
      <c r="B2438" t="s">
        <v>2</v>
      </c>
      <c r="C2438">
        <v>10</v>
      </c>
      <c r="D2438">
        <v>0</v>
      </c>
      <c r="E2438">
        <v>0</v>
      </c>
      <c r="F2438" t="str">
        <f t="shared" si="116"/>
        <v>Lower Risk</v>
      </c>
      <c r="G2438" t="s">
        <v>13</v>
      </c>
      <c r="H2438" t="s">
        <v>16</v>
      </c>
      <c r="I2438" t="s">
        <v>9</v>
      </c>
      <c r="J2438">
        <v>77.510000000000005</v>
      </c>
      <c r="K2438">
        <v>21.9</v>
      </c>
      <c r="L2438" t="s">
        <v>14</v>
      </c>
      <c r="M2438">
        <v>0</v>
      </c>
      <c r="N2438" t="str">
        <f t="shared" si="114"/>
        <v>Under 40</v>
      </c>
      <c r="O2438" t="str">
        <f t="shared" si="115"/>
        <v>Normal</v>
      </c>
    </row>
    <row r="2439" spans="1:15" x14ac:dyDescent="0.3">
      <c r="A2439">
        <v>19088</v>
      </c>
      <c r="B2439" t="s">
        <v>2</v>
      </c>
      <c r="C2439">
        <v>8</v>
      </c>
      <c r="D2439">
        <v>0</v>
      </c>
      <c r="E2439">
        <v>0</v>
      </c>
      <c r="F2439" t="str">
        <f t="shared" si="116"/>
        <v>Lower Risk</v>
      </c>
      <c r="G2439" t="s">
        <v>13</v>
      </c>
      <c r="H2439" t="s">
        <v>16</v>
      </c>
      <c r="I2439" t="s">
        <v>5</v>
      </c>
      <c r="J2439">
        <v>105.63</v>
      </c>
      <c r="K2439">
        <v>19.2</v>
      </c>
      <c r="L2439" t="s">
        <v>14</v>
      </c>
      <c r="M2439">
        <v>0</v>
      </c>
      <c r="N2439" t="str">
        <f t="shared" si="114"/>
        <v>Under 40</v>
      </c>
      <c r="O2439" t="str">
        <f t="shared" si="115"/>
        <v>Normal</v>
      </c>
    </row>
    <row r="2440" spans="1:15" x14ac:dyDescent="0.3">
      <c r="A2440">
        <v>61010</v>
      </c>
      <c r="B2440" t="s">
        <v>7</v>
      </c>
      <c r="C2440">
        <v>60</v>
      </c>
      <c r="D2440">
        <v>0</v>
      </c>
      <c r="E2440">
        <v>0</v>
      </c>
      <c r="F2440" t="str">
        <f t="shared" si="116"/>
        <v>Moderate Risk</v>
      </c>
      <c r="G2440" t="s">
        <v>3</v>
      </c>
      <c r="H2440" t="s">
        <v>4</v>
      </c>
      <c r="I2440" t="s">
        <v>5</v>
      </c>
      <c r="J2440">
        <v>114.34</v>
      </c>
      <c r="K2440">
        <v>30.3</v>
      </c>
      <c r="L2440" t="s">
        <v>12</v>
      </c>
      <c r="M2440">
        <v>0</v>
      </c>
      <c r="N2440" t="str">
        <f t="shared" si="114"/>
        <v>60+</v>
      </c>
      <c r="O2440" t="str">
        <f t="shared" si="115"/>
        <v>Obese</v>
      </c>
    </row>
    <row r="2441" spans="1:15" x14ac:dyDescent="0.3">
      <c r="A2441">
        <v>49574</v>
      </c>
      <c r="B2441" t="s">
        <v>7</v>
      </c>
      <c r="C2441">
        <v>56</v>
      </c>
      <c r="D2441">
        <v>0</v>
      </c>
      <c r="E2441">
        <v>0</v>
      </c>
      <c r="F2441" t="str">
        <f t="shared" si="116"/>
        <v>Lower Risk</v>
      </c>
      <c r="G2441" t="s">
        <v>3</v>
      </c>
      <c r="H2441" t="s">
        <v>4</v>
      </c>
      <c r="I2441" t="s">
        <v>9</v>
      </c>
      <c r="J2441">
        <v>227.04</v>
      </c>
      <c r="K2441">
        <v>23</v>
      </c>
      <c r="L2441" t="s">
        <v>12</v>
      </c>
      <c r="M2441">
        <v>0</v>
      </c>
      <c r="N2441" t="str">
        <f t="shared" si="114"/>
        <v>40–59</v>
      </c>
      <c r="O2441" t="str">
        <f t="shared" si="115"/>
        <v>Normal</v>
      </c>
    </row>
    <row r="2442" spans="1:15" x14ac:dyDescent="0.3">
      <c r="A2442">
        <v>12336</v>
      </c>
      <c r="B2442" t="s">
        <v>7</v>
      </c>
      <c r="C2442">
        <v>73</v>
      </c>
      <c r="D2442">
        <v>0</v>
      </c>
      <c r="E2442">
        <v>0</v>
      </c>
      <c r="F2442" t="str">
        <f t="shared" si="116"/>
        <v>Moderate Risk</v>
      </c>
      <c r="G2442" t="s">
        <v>3</v>
      </c>
      <c r="H2442" t="s">
        <v>8</v>
      </c>
      <c r="I2442" t="s">
        <v>5</v>
      </c>
      <c r="J2442">
        <v>87.56</v>
      </c>
      <c r="K2442">
        <v>24.1</v>
      </c>
      <c r="L2442" t="s">
        <v>11</v>
      </c>
      <c r="M2442">
        <v>0</v>
      </c>
      <c r="N2442" t="str">
        <f t="shared" si="114"/>
        <v>60+</v>
      </c>
      <c r="O2442" t="str">
        <f t="shared" si="115"/>
        <v>Normal</v>
      </c>
    </row>
    <row r="2443" spans="1:15" x14ac:dyDescent="0.3">
      <c r="A2443">
        <v>3668</v>
      </c>
      <c r="B2443" t="s">
        <v>7</v>
      </c>
      <c r="C2443">
        <v>65</v>
      </c>
      <c r="D2443">
        <v>0</v>
      </c>
      <c r="E2443">
        <v>0</v>
      </c>
      <c r="F2443" t="str">
        <f t="shared" si="116"/>
        <v>Moderate Risk</v>
      </c>
      <c r="G2443" t="s">
        <v>3</v>
      </c>
      <c r="H2443" t="s">
        <v>15</v>
      </c>
      <c r="I2443" t="s">
        <v>5</v>
      </c>
      <c r="J2443">
        <v>84.47</v>
      </c>
      <c r="K2443">
        <v>52.7</v>
      </c>
      <c r="L2443" t="s">
        <v>12</v>
      </c>
      <c r="M2443">
        <v>0</v>
      </c>
      <c r="N2443" t="str">
        <f t="shared" si="114"/>
        <v>60+</v>
      </c>
      <c r="O2443" t="str">
        <f t="shared" si="115"/>
        <v>Obese</v>
      </c>
    </row>
    <row r="2444" spans="1:15" x14ac:dyDescent="0.3">
      <c r="A2444">
        <v>6034</v>
      </c>
      <c r="B2444" t="s">
        <v>7</v>
      </c>
      <c r="C2444">
        <v>34</v>
      </c>
      <c r="D2444">
        <v>0</v>
      </c>
      <c r="E2444">
        <v>0</v>
      </c>
      <c r="F2444" t="str">
        <f t="shared" si="116"/>
        <v>Lower Risk</v>
      </c>
      <c r="G2444" t="s">
        <v>3</v>
      </c>
      <c r="H2444" t="s">
        <v>8</v>
      </c>
      <c r="I2444" t="s">
        <v>9</v>
      </c>
      <c r="J2444">
        <v>96.26</v>
      </c>
      <c r="K2444">
        <v>27.6</v>
      </c>
      <c r="L2444" t="s">
        <v>14</v>
      </c>
      <c r="M2444">
        <v>0</v>
      </c>
      <c r="N2444" t="str">
        <f t="shared" si="114"/>
        <v>Under 40</v>
      </c>
      <c r="O2444" t="str">
        <f t="shared" si="115"/>
        <v>Overweight</v>
      </c>
    </row>
    <row r="2445" spans="1:15" x14ac:dyDescent="0.3">
      <c r="A2445">
        <v>61418</v>
      </c>
      <c r="B2445" t="s">
        <v>2</v>
      </c>
      <c r="C2445">
        <v>13</v>
      </c>
      <c r="D2445">
        <v>0</v>
      </c>
      <c r="E2445">
        <v>0</v>
      </c>
      <c r="F2445" t="str">
        <f t="shared" si="116"/>
        <v>Lower Risk</v>
      </c>
      <c r="G2445" t="s">
        <v>13</v>
      </c>
      <c r="H2445" t="s">
        <v>16</v>
      </c>
      <c r="I2445" t="s">
        <v>9</v>
      </c>
      <c r="J2445">
        <v>116.64</v>
      </c>
      <c r="K2445">
        <v>23.9</v>
      </c>
      <c r="L2445" t="s">
        <v>14</v>
      </c>
      <c r="M2445">
        <v>0</v>
      </c>
      <c r="N2445" t="str">
        <f t="shared" si="114"/>
        <v>Under 40</v>
      </c>
      <c r="O2445" t="str">
        <f t="shared" si="115"/>
        <v>Normal</v>
      </c>
    </row>
    <row r="2446" spans="1:15" x14ac:dyDescent="0.3">
      <c r="A2446">
        <v>68725</v>
      </c>
      <c r="B2446" t="s">
        <v>7</v>
      </c>
      <c r="C2446">
        <v>80</v>
      </c>
      <c r="D2446">
        <v>0</v>
      </c>
      <c r="E2446">
        <v>0</v>
      </c>
      <c r="F2446" t="str">
        <f t="shared" si="116"/>
        <v>Moderate Risk</v>
      </c>
      <c r="G2446" t="s">
        <v>3</v>
      </c>
      <c r="H2446" t="s">
        <v>4</v>
      </c>
      <c r="I2446" t="s">
        <v>5</v>
      </c>
      <c r="J2446">
        <v>79.569999999999993</v>
      </c>
      <c r="K2446">
        <v>26.9</v>
      </c>
      <c r="L2446" t="s">
        <v>11</v>
      </c>
      <c r="M2446">
        <v>0</v>
      </c>
      <c r="N2446" t="str">
        <f t="shared" si="114"/>
        <v>60+</v>
      </c>
      <c r="O2446" t="str">
        <f t="shared" si="115"/>
        <v>Overweight</v>
      </c>
    </row>
    <row r="2447" spans="1:15" x14ac:dyDescent="0.3">
      <c r="A2447">
        <v>464</v>
      </c>
      <c r="B2447" t="s">
        <v>2</v>
      </c>
      <c r="C2447">
        <v>46</v>
      </c>
      <c r="D2447">
        <v>0</v>
      </c>
      <c r="E2447">
        <v>0</v>
      </c>
      <c r="F2447" t="str">
        <f t="shared" si="116"/>
        <v>Lower Risk</v>
      </c>
      <c r="G2447" t="s">
        <v>3</v>
      </c>
      <c r="H2447" t="s">
        <v>4</v>
      </c>
      <c r="I2447" t="s">
        <v>9</v>
      </c>
      <c r="J2447">
        <v>78.44</v>
      </c>
      <c r="K2447">
        <v>23.9</v>
      </c>
      <c r="L2447" t="s">
        <v>11</v>
      </c>
      <c r="M2447">
        <v>0</v>
      </c>
      <c r="N2447" t="str">
        <f t="shared" si="114"/>
        <v>40–59</v>
      </c>
      <c r="O2447" t="str">
        <f t="shared" si="115"/>
        <v>Normal</v>
      </c>
    </row>
    <row r="2448" spans="1:15" x14ac:dyDescent="0.3">
      <c r="A2448">
        <v>42225</v>
      </c>
      <c r="B2448" t="s">
        <v>7</v>
      </c>
      <c r="C2448">
        <v>80</v>
      </c>
      <c r="D2448">
        <v>0</v>
      </c>
      <c r="E2448">
        <v>0</v>
      </c>
      <c r="F2448" t="str">
        <f t="shared" si="116"/>
        <v>Moderate Risk</v>
      </c>
      <c r="G2448" t="s">
        <v>3</v>
      </c>
      <c r="H2448" t="s">
        <v>8</v>
      </c>
      <c r="I2448" t="s">
        <v>5</v>
      </c>
      <c r="J2448">
        <v>64.150000000000006</v>
      </c>
      <c r="K2448">
        <v>40.5</v>
      </c>
      <c r="L2448" t="s">
        <v>11</v>
      </c>
      <c r="M2448">
        <v>0</v>
      </c>
      <c r="N2448" t="str">
        <f t="shared" si="114"/>
        <v>60+</v>
      </c>
      <c r="O2448" t="str">
        <f t="shared" si="115"/>
        <v>Obese</v>
      </c>
    </row>
    <row r="2449" spans="1:15" x14ac:dyDescent="0.3">
      <c r="A2449">
        <v>51254</v>
      </c>
      <c r="B2449" t="s">
        <v>7</v>
      </c>
      <c r="C2449">
        <v>65</v>
      </c>
      <c r="D2449">
        <v>0</v>
      </c>
      <c r="E2449">
        <v>0</v>
      </c>
      <c r="F2449" t="str">
        <f t="shared" si="116"/>
        <v>Moderate Risk</v>
      </c>
      <c r="G2449" t="s">
        <v>13</v>
      </c>
      <c r="H2449" t="s">
        <v>4</v>
      </c>
      <c r="I2449" t="s">
        <v>5</v>
      </c>
      <c r="J2449">
        <v>74.5</v>
      </c>
      <c r="K2449">
        <v>32</v>
      </c>
      <c r="L2449" t="s">
        <v>11</v>
      </c>
      <c r="M2449">
        <v>0</v>
      </c>
      <c r="N2449" t="str">
        <f t="shared" si="114"/>
        <v>60+</v>
      </c>
      <c r="O2449" t="str">
        <f t="shared" si="115"/>
        <v>Obese</v>
      </c>
    </row>
    <row r="2450" spans="1:15" x14ac:dyDescent="0.3">
      <c r="A2450">
        <v>59164</v>
      </c>
      <c r="B2450" t="s">
        <v>7</v>
      </c>
      <c r="C2450">
        <v>24</v>
      </c>
      <c r="D2450">
        <v>0</v>
      </c>
      <c r="E2450">
        <v>0</v>
      </c>
      <c r="F2450" t="str">
        <f t="shared" si="116"/>
        <v>Lower Risk</v>
      </c>
      <c r="G2450" t="s">
        <v>13</v>
      </c>
      <c r="H2450" t="s">
        <v>4</v>
      </c>
      <c r="I2450" t="s">
        <v>5</v>
      </c>
      <c r="J2450">
        <v>70.319999999999993</v>
      </c>
      <c r="K2450">
        <v>20.5</v>
      </c>
      <c r="L2450" t="s">
        <v>14</v>
      </c>
      <c r="M2450">
        <v>0</v>
      </c>
      <c r="N2450" t="str">
        <f t="shared" si="114"/>
        <v>Under 40</v>
      </c>
      <c r="O2450" t="str">
        <f t="shared" si="115"/>
        <v>Normal</v>
      </c>
    </row>
    <row r="2451" spans="1:15" x14ac:dyDescent="0.3">
      <c r="A2451">
        <v>70429</v>
      </c>
      <c r="B2451" t="s">
        <v>7</v>
      </c>
      <c r="C2451">
        <v>33</v>
      </c>
      <c r="D2451">
        <v>0</v>
      </c>
      <c r="E2451">
        <v>0</v>
      </c>
      <c r="F2451" t="str">
        <f t="shared" si="116"/>
        <v>Lower Risk</v>
      </c>
      <c r="G2451" t="s">
        <v>3</v>
      </c>
      <c r="H2451" t="s">
        <v>4</v>
      </c>
      <c r="I2451" t="s">
        <v>5</v>
      </c>
      <c r="J2451">
        <v>84.48</v>
      </c>
      <c r="K2451">
        <v>44.5</v>
      </c>
      <c r="L2451" t="s">
        <v>11</v>
      </c>
      <c r="M2451">
        <v>0</v>
      </c>
      <c r="N2451" t="str">
        <f t="shared" si="114"/>
        <v>Under 40</v>
      </c>
      <c r="O2451" t="str">
        <f t="shared" si="115"/>
        <v>Obese</v>
      </c>
    </row>
    <row r="2452" spans="1:15" x14ac:dyDescent="0.3">
      <c r="A2452">
        <v>54253</v>
      </c>
      <c r="B2452" t="s">
        <v>2</v>
      </c>
      <c r="C2452">
        <v>11</v>
      </c>
      <c r="D2452">
        <v>0</v>
      </c>
      <c r="E2452">
        <v>0</v>
      </c>
      <c r="F2452" t="str">
        <f t="shared" si="116"/>
        <v>Lower Risk</v>
      </c>
      <c r="G2452" t="s">
        <v>13</v>
      </c>
      <c r="H2452" t="s">
        <v>16</v>
      </c>
      <c r="I2452" t="s">
        <v>5</v>
      </c>
      <c r="J2452">
        <v>144.08000000000001</v>
      </c>
      <c r="K2452">
        <v>16.2</v>
      </c>
      <c r="L2452" t="s">
        <v>6</v>
      </c>
      <c r="M2452">
        <v>0</v>
      </c>
      <c r="N2452" t="str">
        <f t="shared" si="114"/>
        <v>Under 40</v>
      </c>
      <c r="O2452" t="str">
        <f t="shared" si="115"/>
        <v>Underweight</v>
      </c>
    </row>
    <row r="2453" spans="1:15" x14ac:dyDescent="0.3">
      <c r="A2453">
        <v>47937</v>
      </c>
      <c r="B2453" t="s">
        <v>7</v>
      </c>
      <c r="C2453">
        <v>57</v>
      </c>
      <c r="D2453">
        <v>0</v>
      </c>
      <c r="E2453">
        <v>0</v>
      </c>
      <c r="F2453" t="str">
        <f t="shared" si="116"/>
        <v>Lower Risk</v>
      </c>
      <c r="G2453" t="s">
        <v>3</v>
      </c>
      <c r="H2453" t="s">
        <v>8</v>
      </c>
      <c r="I2453" t="s">
        <v>9</v>
      </c>
      <c r="J2453">
        <v>78.14</v>
      </c>
      <c r="K2453">
        <v>35.799999999999997</v>
      </c>
      <c r="L2453" t="s">
        <v>11</v>
      </c>
      <c r="M2453">
        <v>0</v>
      </c>
      <c r="N2453" t="str">
        <f t="shared" si="114"/>
        <v>40–59</v>
      </c>
      <c r="O2453" t="str">
        <f t="shared" si="115"/>
        <v>Obese</v>
      </c>
    </row>
    <row r="2454" spans="1:15" x14ac:dyDescent="0.3">
      <c r="A2454">
        <v>66882</v>
      </c>
      <c r="B2454" t="s">
        <v>7</v>
      </c>
      <c r="C2454">
        <v>19</v>
      </c>
      <c r="D2454">
        <v>0</v>
      </c>
      <c r="E2454">
        <v>0</v>
      </c>
      <c r="F2454" t="str">
        <f t="shared" si="116"/>
        <v>Lower Risk</v>
      </c>
      <c r="G2454" t="s">
        <v>13</v>
      </c>
      <c r="H2454" t="s">
        <v>15</v>
      </c>
      <c r="I2454" t="s">
        <v>5</v>
      </c>
      <c r="J2454">
        <v>133.58000000000001</v>
      </c>
      <c r="K2454">
        <v>24</v>
      </c>
      <c r="L2454" t="s">
        <v>11</v>
      </c>
      <c r="M2454">
        <v>0</v>
      </c>
      <c r="N2454" t="str">
        <f t="shared" si="114"/>
        <v>Under 40</v>
      </c>
      <c r="O2454" t="str">
        <f t="shared" si="115"/>
        <v>Normal</v>
      </c>
    </row>
    <row r="2455" spans="1:15" x14ac:dyDescent="0.3">
      <c r="A2455">
        <v>7411</v>
      </c>
      <c r="B2455" t="s">
        <v>2</v>
      </c>
      <c r="C2455">
        <v>82</v>
      </c>
      <c r="D2455">
        <v>0</v>
      </c>
      <c r="E2455">
        <v>0</v>
      </c>
      <c r="F2455" t="str">
        <f t="shared" si="116"/>
        <v>Moderate Risk</v>
      </c>
      <c r="G2455" t="s">
        <v>3</v>
      </c>
      <c r="H2455" t="s">
        <v>4</v>
      </c>
      <c r="I2455" t="s">
        <v>5</v>
      </c>
      <c r="J2455">
        <v>214.42</v>
      </c>
      <c r="K2455">
        <v>33.9</v>
      </c>
      <c r="L2455" t="s">
        <v>6</v>
      </c>
      <c r="M2455">
        <v>0</v>
      </c>
      <c r="N2455" t="str">
        <f t="shared" si="114"/>
        <v>60+</v>
      </c>
      <c r="O2455" t="str">
        <f t="shared" si="115"/>
        <v>Obese</v>
      </c>
    </row>
    <row r="2456" spans="1:15" x14ac:dyDescent="0.3">
      <c r="A2456">
        <v>39593</v>
      </c>
      <c r="B2456" t="s">
        <v>7</v>
      </c>
      <c r="C2456">
        <v>39</v>
      </c>
      <c r="D2456">
        <v>0</v>
      </c>
      <c r="E2456">
        <v>0</v>
      </c>
      <c r="F2456" t="str">
        <f t="shared" si="116"/>
        <v>Lower Risk</v>
      </c>
      <c r="G2456" t="s">
        <v>3</v>
      </c>
      <c r="H2456" t="s">
        <v>4</v>
      </c>
      <c r="I2456" t="s">
        <v>5</v>
      </c>
      <c r="J2456">
        <v>80.63</v>
      </c>
      <c r="K2456">
        <v>36</v>
      </c>
      <c r="L2456" t="s">
        <v>12</v>
      </c>
      <c r="M2456">
        <v>0</v>
      </c>
      <c r="N2456" t="str">
        <f t="shared" si="114"/>
        <v>Under 40</v>
      </c>
      <c r="O2456" t="str">
        <f t="shared" si="115"/>
        <v>Obese</v>
      </c>
    </row>
    <row r="2457" spans="1:15" x14ac:dyDescent="0.3">
      <c r="A2457">
        <v>6239</v>
      </c>
      <c r="B2457" t="s">
        <v>7</v>
      </c>
      <c r="C2457">
        <v>14</v>
      </c>
      <c r="D2457">
        <v>0</v>
      </c>
      <c r="E2457">
        <v>0</v>
      </c>
      <c r="F2457" t="str">
        <f t="shared" si="116"/>
        <v>Lower Risk</v>
      </c>
      <c r="G2457" t="s">
        <v>13</v>
      </c>
      <c r="H2457" t="s">
        <v>4</v>
      </c>
      <c r="I2457" t="s">
        <v>9</v>
      </c>
      <c r="J2457">
        <v>233.71</v>
      </c>
      <c r="K2457">
        <v>22.9</v>
      </c>
      <c r="L2457" t="s">
        <v>11</v>
      </c>
      <c r="M2457">
        <v>0</v>
      </c>
      <c r="N2457" t="str">
        <f t="shared" si="114"/>
        <v>Under 40</v>
      </c>
      <c r="O2457" t="str">
        <f t="shared" si="115"/>
        <v>Normal</v>
      </c>
    </row>
    <row r="2458" spans="1:15" x14ac:dyDescent="0.3">
      <c r="A2458">
        <v>35378</v>
      </c>
      <c r="B2458" t="s">
        <v>7</v>
      </c>
      <c r="C2458">
        <v>60</v>
      </c>
      <c r="D2458">
        <v>1</v>
      </c>
      <c r="E2458">
        <v>0</v>
      </c>
      <c r="F2458" t="str">
        <f t="shared" si="116"/>
        <v>High Risk</v>
      </c>
      <c r="G2458" t="s">
        <v>13</v>
      </c>
      <c r="H2458" t="s">
        <v>4</v>
      </c>
      <c r="I2458" t="s">
        <v>5</v>
      </c>
      <c r="J2458">
        <v>96</v>
      </c>
      <c r="K2458">
        <v>44.5</v>
      </c>
      <c r="L2458" t="s">
        <v>12</v>
      </c>
      <c r="M2458">
        <v>0</v>
      </c>
      <c r="N2458" t="str">
        <f t="shared" si="114"/>
        <v>60+</v>
      </c>
      <c r="O2458" t="str">
        <f t="shared" si="115"/>
        <v>Obese</v>
      </c>
    </row>
    <row r="2459" spans="1:15" x14ac:dyDescent="0.3">
      <c r="A2459">
        <v>54012</v>
      </c>
      <c r="B2459" t="s">
        <v>7</v>
      </c>
      <c r="C2459">
        <v>3</v>
      </c>
      <c r="D2459">
        <v>0</v>
      </c>
      <c r="E2459">
        <v>0</v>
      </c>
      <c r="F2459" t="str">
        <f t="shared" si="116"/>
        <v>Lower Risk</v>
      </c>
      <c r="G2459" t="s">
        <v>13</v>
      </c>
      <c r="H2459" t="s">
        <v>16</v>
      </c>
      <c r="I2459" t="s">
        <v>5</v>
      </c>
      <c r="J2459">
        <v>74.52</v>
      </c>
      <c r="K2459">
        <v>17.5</v>
      </c>
      <c r="L2459" t="s">
        <v>14</v>
      </c>
      <c r="M2459">
        <v>0</v>
      </c>
      <c r="N2459" t="str">
        <f t="shared" si="114"/>
        <v>Under 40</v>
      </c>
      <c r="O2459" t="str">
        <f t="shared" si="115"/>
        <v>Underweight</v>
      </c>
    </row>
    <row r="2460" spans="1:15" x14ac:dyDescent="0.3">
      <c r="A2460">
        <v>69835</v>
      </c>
      <c r="B2460" t="s">
        <v>7</v>
      </c>
      <c r="C2460">
        <v>57</v>
      </c>
      <c r="D2460">
        <v>0</v>
      </c>
      <c r="E2460">
        <v>0</v>
      </c>
      <c r="F2460" t="str">
        <f t="shared" si="116"/>
        <v>Lower Risk</v>
      </c>
      <c r="G2460" t="s">
        <v>3</v>
      </c>
      <c r="H2460" t="s">
        <v>4</v>
      </c>
      <c r="I2460" t="s">
        <v>9</v>
      </c>
      <c r="J2460">
        <v>131.4</v>
      </c>
      <c r="K2460">
        <v>32.299999999999997</v>
      </c>
      <c r="L2460" t="s">
        <v>11</v>
      </c>
      <c r="M2460">
        <v>0</v>
      </c>
      <c r="N2460" t="str">
        <f t="shared" si="114"/>
        <v>40–59</v>
      </c>
      <c r="O2460" t="str">
        <f t="shared" si="115"/>
        <v>Obese</v>
      </c>
    </row>
    <row r="2461" spans="1:15" x14ac:dyDescent="0.3">
      <c r="A2461">
        <v>44591</v>
      </c>
      <c r="B2461" t="s">
        <v>2</v>
      </c>
      <c r="C2461">
        <v>79</v>
      </c>
      <c r="D2461">
        <v>0</v>
      </c>
      <c r="E2461">
        <v>0</v>
      </c>
      <c r="F2461" t="str">
        <f t="shared" si="116"/>
        <v>Moderate Risk</v>
      </c>
      <c r="G2461" t="s">
        <v>3</v>
      </c>
      <c r="H2461" t="s">
        <v>4</v>
      </c>
      <c r="I2461" t="s">
        <v>5</v>
      </c>
      <c r="J2461">
        <v>216.4</v>
      </c>
      <c r="K2461">
        <v>30.3</v>
      </c>
      <c r="L2461" t="s">
        <v>11</v>
      </c>
      <c r="M2461">
        <v>0</v>
      </c>
      <c r="N2461" t="str">
        <f t="shared" si="114"/>
        <v>60+</v>
      </c>
      <c r="O2461" t="str">
        <f t="shared" si="115"/>
        <v>Obese</v>
      </c>
    </row>
    <row r="2462" spans="1:15" x14ac:dyDescent="0.3">
      <c r="A2462">
        <v>4709</v>
      </c>
      <c r="B2462" t="s">
        <v>7</v>
      </c>
      <c r="C2462">
        <v>65</v>
      </c>
      <c r="D2462">
        <v>0</v>
      </c>
      <c r="E2462">
        <v>0</v>
      </c>
      <c r="F2462" t="str">
        <f t="shared" si="116"/>
        <v>Moderate Risk</v>
      </c>
      <c r="G2462" t="s">
        <v>3</v>
      </c>
      <c r="H2462" t="s">
        <v>4</v>
      </c>
      <c r="I2462" t="s">
        <v>9</v>
      </c>
      <c r="J2462">
        <v>108.8</v>
      </c>
      <c r="K2462">
        <v>33.5</v>
      </c>
      <c r="L2462" t="s">
        <v>14</v>
      </c>
      <c r="M2462">
        <v>0</v>
      </c>
      <c r="N2462" t="str">
        <f t="shared" si="114"/>
        <v>60+</v>
      </c>
      <c r="O2462" t="str">
        <f t="shared" si="115"/>
        <v>Obese</v>
      </c>
    </row>
    <row r="2463" spans="1:15" x14ac:dyDescent="0.3">
      <c r="A2463">
        <v>20393</v>
      </c>
      <c r="B2463" t="s">
        <v>7</v>
      </c>
      <c r="C2463">
        <v>67</v>
      </c>
      <c r="D2463">
        <v>1</v>
      </c>
      <c r="E2463">
        <v>0</v>
      </c>
      <c r="F2463" t="str">
        <f t="shared" si="116"/>
        <v>High Risk</v>
      </c>
      <c r="G2463" t="s">
        <v>3</v>
      </c>
      <c r="H2463" t="s">
        <v>4</v>
      </c>
      <c r="I2463" t="s">
        <v>5</v>
      </c>
      <c r="J2463">
        <v>97.06</v>
      </c>
      <c r="K2463">
        <v>30.9</v>
      </c>
      <c r="L2463" t="s">
        <v>11</v>
      </c>
      <c r="M2463">
        <v>0</v>
      </c>
      <c r="N2463" t="str">
        <f t="shared" si="114"/>
        <v>60+</v>
      </c>
      <c r="O2463" t="str">
        <f t="shared" si="115"/>
        <v>Obese</v>
      </c>
    </row>
    <row r="2464" spans="1:15" x14ac:dyDescent="0.3">
      <c r="A2464">
        <v>27626</v>
      </c>
      <c r="B2464" t="s">
        <v>7</v>
      </c>
      <c r="C2464">
        <v>60</v>
      </c>
      <c r="D2464">
        <v>0</v>
      </c>
      <c r="E2464">
        <v>0</v>
      </c>
      <c r="F2464" t="str">
        <f t="shared" si="116"/>
        <v>Moderate Risk</v>
      </c>
      <c r="G2464" t="s">
        <v>13</v>
      </c>
      <c r="H2464" t="s">
        <v>15</v>
      </c>
      <c r="I2464" t="s">
        <v>9</v>
      </c>
      <c r="J2464">
        <v>266.58999999999997</v>
      </c>
      <c r="K2464">
        <v>25.5</v>
      </c>
      <c r="L2464" t="s">
        <v>11</v>
      </c>
      <c r="M2464">
        <v>0</v>
      </c>
      <c r="N2464" t="str">
        <f t="shared" si="114"/>
        <v>60+</v>
      </c>
      <c r="O2464" t="str">
        <f t="shared" si="115"/>
        <v>Overweight</v>
      </c>
    </row>
    <row r="2465" spans="1:15" x14ac:dyDescent="0.3">
      <c r="A2465">
        <v>45864</v>
      </c>
      <c r="B2465" t="s">
        <v>7</v>
      </c>
      <c r="C2465">
        <v>36</v>
      </c>
      <c r="D2465">
        <v>0</v>
      </c>
      <c r="E2465">
        <v>0</v>
      </c>
      <c r="F2465" t="str">
        <f t="shared" si="116"/>
        <v>Lower Risk</v>
      </c>
      <c r="G2465" t="s">
        <v>13</v>
      </c>
      <c r="H2465" t="s">
        <v>4</v>
      </c>
      <c r="I2465" t="s">
        <v>9</v>
      </c>
      <c r="J2465">
        <v>55.58</v>
      </c>
      <c r="K2465">
        <v>30</v>
      </c>
      <c r="L2465" t="s">
        <v>11</v>
      </c>
      <c r="M2465">
        <v>0</v>
      </c>
      <c r="N2465" t="str">
        <f t="shared" si="114"/>
        <v>Under 40</v>
      </c>
      <c r="O2465" t="str">
        <f t="shared" si="115"/>
        <v>Obese</v>
      </c>
    </row>
    <row r="2466" spans="1:15" x14ac:dyDescent="0.3">
      <c r="A2466">
        <v>68685</v>
      </c>
      <c r="B2466" t="s">
        <v>2</v>
      </c>
      <c r="C2466">
        <v>36</v>
      </c>
      <c r="D2466">
        <v>0</v>
      </c>
      <c r="E2466">
        <v>0</v>
      </c>
      <c r="F2466" t="str">
        <f t="shared" si="116"/>
        <v>Lower Risk</v>
      </c>
      <c r="G2466" t="s">
        <v>3</v>
      </c>
      <c r="H2466" t="s">
        <v>15</v>
      </c>
      <c r="I2466" t="s">
        <v>5</v>
      </c>
      <c r="J2466">
        <v>65.87</v>
      </c>
      <c r="K2466">
        <v>32.200000000000003</v>
      </c>
      <c r="L2466" t="s">
        <v>6</v>
      </c>
      <c r="M2466">
        <v>0</v>
      </c>
      <c r="N2466" t="str">
        <f t="shared" si="114"/>
        <v>Under 40</v>
      </c>
      <c r="O2466" t="str">
        <f t="shared" si="115"/>
        <v>Obese</v>
      </c>
    </row>
    <row r="2467" spans="1:15" x14ac:dyDescent="0.3">
      <c r="A2467">
        <v>28711</v>
      </c>
      <c r="B2467" t="s">
        <v>7</v>
      </c>
      <c r="C2467">
        <v>26</v>
      </c>
      <c r="D2467">
        <v>0</v>
      </c>
      <c r="E2467">
        <v>0</v>
      </c>
      <c r="F2467" t="str">
        <f t="shared" si="116"/>
        <v>Lower Risk</v>
      </c>
      <c r="G2467" t="s">
        <v>13</v>
      </c>
      <c r="H2467" t="s">
        <v>4</v>
      </c>
      <c r="I2467" t="s">
        <v>5</v>
      </c>
      <c r="J2467">
        <v>89.28</v>
      </c>
      <c r="K2467">
        <v>21.7</v>
      </c>
      <c r="L2467" t="s">
        <v>12</v>
      </c>
      <c r="M2467">
        <v>0</v>
      </c>
      <c r="N2467" t="str">
        <f t="shared" si="114"/>
        <v>Under 40</v>
      </c>
      <c r="O2467" t="str">
        <f t="shared" si="115"/>
        <v>Normal</v>
      </c>
    </row>
    <row r="2468" spans="1:15" x14ac:dyDescent="0.3">
      <c r="A2468">
        <v>44962</v>
      </c>
      <c r="B2468" t="s">
        <v>2</v>
      </c>
      <c r="C2468">
        <v>71</v>
      </c>
      <c r="D2468">
        <v>0</v>
      </c>
      <c r="E2468">
        <v>0</v>
      </c>
      <c r="F2468" t="str">
        <f t="shared" si="116"/>
        <v>Moderate Risk</v>
      </c>
      <c r="G2468" t="s">
        <v>3</v>
      </c>
      <c r="H2468" t="s">
        <v>15</v>
      </c>
      <c r="I2468" t="s">
        <v>5</v>
      </c>
      <c r="J2468">
        <v>56.12</v>
      </c>
      <c r="K2468">
        <v>24.7</v>
      </c>
      <c r="L2468" t="s">
        <v>14</v>
      </c>
      <c r="M2468">
        <v>0</v>
      </c>
      <c r="N2468" t="str">
        <f t="shared" si="114"/>
        <v>60+</v>
      </c>
      <c r="O2468" t="str">
        <f t="shared" si="115"/>
        <v>Normal</v>
      </c>
    </row>
    <row r="2469" spans="1:15" x14ac:dyDescent="0.3">
      <c r="A2469">
        <v>7892</v>
      </c>
      <c r="B2469" t="s">
        <v>2</v>
      </c>
      <c r="C2469">
        <v>78</v>
      </c>
      <c r="D2469">
        <v>0</v>
      </c>
      <c r="E2469">
        <v>0</v>
      </c>
      <c r="F2469" t="str">
        <f t="shared" si="116"/>
        <v>Moderate Risk</v>
      </c>
      <c r="G2469" t="s">
        <v>3</v>
      </c>
      <c r="H2469" t="s">
        <v>4</v>
      </c>
      <c r="I2469" t="s">
        <v>5</v>
      </c>
      <c r="J2469">
        <v>74.7</v>
      </c>
      <c r="K2469">
        <v>28.8</v>
      </c>
      <c r="L2469" t="s">
        <v>6</v>
      </c>
      <c r="M2469">
        <v>0</v>
      </c>
      <c r="N2469" t="str">
        <f t="shared" si="114"/>
        <v>60+</v>
      </c>
      <c r="O2469" t="str">
        <f t="shared" si="115"/>
        <v>Overweight</v>
      </c>
    </row>
    <row r="2470" spans="1:15" x14ac:dyDescent="0.3">
      <c r="A2470">
        <v>11744</v>
      </c>
      <c r="B2470" t="s">
        <v>2</v>
      </c>
      <c r="C2470">
        <v>77</v>
      </c>
      <c r="D2470">
        <v>0</v>
      </c>
      <c r="E2470">
        <v>0</v>
      </c>
      <c r="F2470" t="str">
        <f t="shared" si="116"/>
        <v>Moderate Risk</v>
      </c>
      <c r="G2470" t="s">
        <v>3</v>
      </c>
      <c r="H2470" t="s">
        <v>8</v>
      </c>
      <c r="I2470" t="s">
        <v>5</v>
      </c>
      <c r="J2470">
        <v>83.06</v>
      </c>
      <c r="K2470">
        <v>27</v>
      </c>
      <c r="L2470" t="s">
        <v>14</v>
      </c>
      <c r="M2470">
        <v>0</v>
      </c>
      <c r="N2470" t="str">
        <f t="shared" si="114"/>
        <v>60+</v>
      </c>
      <c r="O2470" t="str">
        <f t="shared" si="115"/>
        <v>Overweight</v>
      </c>
    </row>
    <row r="2471" spans="1:15" x14ac:dyDescent="0.3">
      <c r="A2471">
        <v>12279</v>
      </c>
      <c r="B2471" t="s">
        <v>2</v>
      </c>
      <c r="C2471">
        <v>74</v>
      </c>
      <c r="D2471">
        <v>0</v>
      </c>
      <c r="E2471">
        <v>0</v>
      </c>
      <c r="F2471" t="str">
        <f t="shared" si="116"/>
        <v>Moderate Risk</v>
      </c>
      <c r="G2471" t="s">
        <v>3</v>
      </c>
      <c r="H2471" t="s">
        <v>4</v>
      </c>
      <c r="I2471" t="s">
        <v>5</v>
      </c>
      <c r="J2471">
        <v>227.94</v>
      </c>
      <c r="K2471">
        <v>26</v>
      </c>
      <c r="L2471" t="s">
        <v>14</v>
      </c>
      <c r="M2471">
        <v>0</v>
      </c>
      <c r="N2471" t="str">
        <f t="shared" si="114"/>
        <v>60+</v>
      </c>
      <c r="O2471" t="str">
        <f t="shared" si="115"/>
        <v>Overweight</v>
      </c>
    </row>
    <row r="2472" spans="1:15" x14ac:dyDescent="0.3">
      <c r="A2472">
        <v>20740</v>
      </c>
      <c r="B2472" t="s">
        <v>7</v>
      </c>
      <c r="C2472">
        <v>50</v>
      </c>
      <c r="D2472">
        <v>0</v>
      </c>
      <c r="E2472">
        <v>0</v>
      </c>
      <c r="F2472" t="str">
        <f t="shared" si="116"/>
        <v>Lower Risk</v>
      </c>
      <c r="G2472" t="s">
        <v>3</v>
      </c>
      <c r="H2472" t="s">
        <v>8</v>
      </c>
      <c r="I2472" t="s">
        <v>9</v>
      </c>
      <c r="J2472">
        <v>84.88</v>
      </c>
      <c r="K2472">
        <v>27.1</v>
      </c>
      <c r="L2472" t="s">
        <v>11</v>
      </c>
      <c r="M2472">
        <v>0</v>
      </c>
      <c r="N2472" t="str">
        <f t="shared" si="114"/>
        <v>40–59</v>
      </c>
      <c r="O2472" t="str">
        <f t="shared" si="115"/>
        <v>Overweight</v>
      </c>
    </row>
    <row r="2473" spans="1:15" x14ac:dyDescent="0.3">
      <c r="A2473">
        <v>58257</v>
      </c>
      <c r="B2473" t="s">
        <v>2</v>
      </c>
      <c r="C2473">
        <v>9</v>
      </c>
      <c r="D2473">
        <v>0</v>
      </c>
      <c r="E2473">
        <v>0</v>
      </c>
      <c r="F2473" t="str">
        <f t="shared" si="116"/>
        <v>Lower Risk</v>
      </c>
      <c r="G2473" t="s">
        <v>13</v>
      </c>
      <c r="H2473" t="s">
        <v>16</v>
      </c>
      <c r="I2473" t="s">
        <v>5</v>
      </c>
      <c r="J2473">
        <v>64.2</v>
      </c>
      <c r="K2473">
        <v>18.5</v>
      </c>
      <c r="L2473" t="s">
        <v>14</v>
      </c>
      <c r="M2473">
        <v>0</v>
      </c>
      <c r="N2473" t="str">
        <f t="shared" si="114"/>
        <v>Under 40</v>
      </c>
      <c r="O2473" t="str">
        <f t="shared" si="115"/>
        <v>Normal</v>
      </c>
    </row>
    <row r="2474" spans="1:15" x14ac:dyDescent="0.3">
      <c r="A2474">
        <v>36547</v>
      </c>
      <c r="B2474" t="s">
        <v>2</v>
      </c>
      <c r="C2474">
        <v>1.64</v>
      </c>
      <c r="D2474">
        <v>0</v>
      </c>
      <c r="E2474">
        <v>0</v>
      </c>
      <c r="F2474" t="str">
        <f t="shared" si="116"/>
        <v>Lower Risk</v>
      </c>
      <c r="G2474" t="s">
        <v>13</v>
      </c>
      <c r="H2474" t="s">
        <v>16</v>
      </c>
      <c r="I2474" t="s">
        <v>9</v>
      </c>
      <c r="J2474">
        <v>137.22</v>
      </c>
      <c r="K2474">
        <v>18.8</v>
      </c>
      <c r="L2474" t="s">
        <v>14</v>
      </c>
      <c r="M2474">
        <v>0</v>
      </c>
      <c r="N2474" t="str">
        <f t="shared" si="114"/>
        <v>Under 40</v>
      </c>
      <c r="O2474" t="str">
        <f t="shared" si="115"/>
        <v>Normal</v>
      </c>
    </row>
    <row r="2475" spans="1:15" x14ac:dyDescent="0.3">
      <c r="A2475">
        <v>559</v>
      </c>
      <c r="B2475" t="s">
        <v>7</v>
      </c>
      <c r="C2475">
        <v>54</v>
      </c>
      <c r="D2475">
        <v>0</v>
      </c>
      <c r="E2475">
        <v>0</v>
      </c>
      <c r="F2475" t="str">
        <f t="shared" si="116"/>
        <v>Lower Risk</v>
      </c>
      <c r="G2475" t="s">
        <v>3</v>
      </c>
      <c r="H2475" t="s">
        <v>4</v>
      </c>
      <c r="I2475" t="s">
        <v>5</v>
      </c>
      <c r="J2475">
        <v>81.44</v>
      </c>
      <c r="K2475">
        <v>31.5</v>
      </c>
      <c r="L2475" t="s">
        <v>6</v>
      </c>
      <c r="M2475">
        <v>0</v>
      </c>
      <c r="N2475" t="str">
        <f t="shared" si="114"/>
        <v>40–59</v>
      </c>
      <c r="O2475" t="str">
        <f t="shared" si="115"/>
        <v>Obese</v>
      </c>
    </row>
    <row r="2476" spans="1:15" x14ac:dyDescent="0.3">
      <c r="A2476">
        <v>13728</v>
      </c>
      <c r="B2476" t="s">
        <v>2</v>
      </c>
      <c r="C2476">
        <v>8</v>
      </c>
      <c r="D2476">
        <v>0</v>
      </c>
      <c r="E2476">
        <v>0</v>
      </c>
      <c r="F2476" t="str">
        <f t="shared" si="116"/>
        <v>Lower Risk</v>
      </c>
      <c r="G2476" t="s">
        <v>13</v>
      </c>
      <c r="H2476" t="s">
        <v>16</v>
      </c>
      <c r="I2476" t="s">
        <v>9</v>
      </c>
      <c r="J2476">
        <v>90.26</v>
      </c>
      <c r="K2476">
        <v>18.100000000000001</v>
      </c>
      <c r="L2476" t="s">
        <v>14</v>
      </c>
      <c r="M2476">
        <v>0</v>
      </c>
      <c r="N2476" t="str">
        <f t="shared" si="114"/>
        <v>Under 40</v>
      </c>
      <c r="O2476" t="str">
        <f t="shared" si="115"/>
        <v>Underweight</v>
      </c>
    </row>
    <row r="2477" spans="1:15" x14ac:dyDescent="0.3">
      <c r="A2477">
        <v>4400</v>
      </c>
      <c r="B2477" t="s">
        <v>7</v>
      </c>
      <c r="C2477">
        <v>36</v>
      </c>
      <c r="D2477">
        <v>0</v>
      </c>
      <c r="E2477">
        <v>0</v>
      </c>
      <c r="F2477" t="str">
        <f t="shared" si="116"/>
        <v>Lower Risk</v>
      </c>
      <c r="G2477" t="s">
        <v>3</v>
      </c>
      <c r="H2477" t="s">
        <v>4</v>
      </c>
      <c r="I2477" t="s">
        <v>5</v>
      </c>
      <c r="J2477">
        <v>68.48</v>
      </c>
      <c r="K2477">
        <v>24.3</v>
      </c>
      <c r="L2477" t="s">
        <v>11</v>
      </c>
      <c r="M2477">
        <v>0</v>
      </c>
      <c r="N2477" t="str">
        <f t="shared" si="114"/>
        <v>Under 40</v>
      </c>
      <c r="O2477" t="str">
        <f t="shared" si="115"/>
        <v>Normal</v>
      </c>
    </row>
    <row r="2478" spans="1:15" x14ac:dyDescent="0.3">
      <c r="A2478">
        <v>68524</v>
      </c>
      <c r="B2478" t="s">
        <v>7</v>
      </c>
      <c r="C2478">
        <v>38</v>
      </c>
      <c r="D2478">
        <v>0</v>
      </c>
      <c r="E2478">
        <v>0</v>
      </c>
      <c r="F2478" t="str">
        <f t="shared" si="116"/>
        <v>Lower Risk</v>
      </c>
      <c r="G2478" t="s">
        <v>3</v>
      </c>
      <c r="H2478" t="s">
        <v>4</v>
      </c>
      <c r="I2478" t="s">
        <v>5</v>
      </c>
      <c r="J2478">
        <v>100.02</v>
      </c>
      <c r="K2478">
        <v>28</v>
      </c>
      <c r="L2478" t="s">
        <v>11</v>
      </c>
      <c r="M2478">
        <v>0</v>
      </c>
      <c r="N2478" t="str">
        <f t="shared" si="114"/>
        <v>Under 40</v>
      </c>
      <c r="O2478" t="str">
        <f t="shared" si="115"/>
        <v>Overweight</v>
      </c>
    </row>
    <row r="2479" spans="1:15" x14ac:dyDescent="0.3">
      <c r="A2479">
        <v>24096</v>
      </c>
      <c r="B2479" t="s">
        <v>7</v>
      </c>
      <c r="C2479">
        <v>34</v>
      </c>
      <c r="D2479">
        <v>1</v>
      </c>
      <c r="E2479">
        <v>0</v>
      </c>
      <c r="F2479" t="str">
        <f t="shared" si="116"/>
        <v>Lower Risk</v>
      </c>
      <c r="G2479" t="s">
        <v>3</v>
      </c>
      <c r="H2479" t="s">
        <v>8</v>
      </c>
      <c r="I2479" t="s">
        <v>5</v>
      </c>
      <c r="J2479">
        <v>100.61</v>
      </c>
      <c r="K2479" t="s">
        <v>10</v>
      </c>
      <c r="L2479" t="s">
        <v>14</v>
      </c>
      <c r="M2479">
        <v>0</v>
      </c>
      <c r="N2479" t="str">
        <f t="shared" si="114"/>
        <v>Under 40</v>
      </c>
      <c r="O2479" t="str">
        <f t="shared" si="115"/>
        <v>Unknown</v>
      </c>
    </row>
    <row r="2480" spans="1:15" x14ac:dyDescent="0.3">
      <c r="A2480">
        <v>65643</v>
      </c>
      <c r="B2480" t="s">
        <v>7</v>
      </c>
      <c r="C2480">
        <v>7</v>
      </c>
      <c r="D2480">
        <v>0</v>
      </c>
      <c r="E2480">
        <v>0</v>
      </c>
      <c r="F2480" t="str">
        <f t="shared" si="116"/>
        <v>Lower Risk</v>
      </c>
      <c r="G2480" t="s">
        <v>13</v>
      </c>
      <c r="H2480" t="s">
        <v>16</v>
      </c>
      <c r="I2480" t="s">
        <v>5</v>
      </c>
      <c r="J2480">
        <v>156.82</v>
      </c>
      <c r="K2480">
        <v>17.3</v>
      </c>
      <c r="L2480" t="s">
        <v>14</v>
      </c>
      <c r="M2480">
        <v>0</v>
      </c>
      <c r="N2480" t="str">
        <f t="shared" si="114"/>
        <v>Under 40</v>
      </c>
      <c r="O2480" t="str">
        <f t="shared" si="115"/>
        <v>Underweight</v>
      </c>
    </row>
    <row r="2481" spans="1:15" x14ac:dyDescent="0.3">
      <c r="A2481">
        <v>30186</v>
      </c>
      <c r="B2481" t="s">
        <v>7</v>
      </c>
      <c r="C2481">
        <v>5</v>
      </c>
      <c r="D2481">
        <v>0</v>
      </c>
      <c r="E2481">
        <v>0</v>
      </c>
      <c r="F2481" t="str">
        <f t="shared" si="116"/>
        <v>Lower Risk</v>
      </c>
      <c r="G2481" t="s">
        <v>13</v>
      </c>
      <c r="H2481" t="s">
        <v>16</v>
      </c>
      <c r="I2481" t="s">
        <v>5</v>
      </c>
      <c r="J2481">
        <v>81.66</v>
      </c>
      <c r="K2481">
        <v>17.2</v>
      </c>
      <c r="L2481" t="s">
        <v>14</v>
      </c>
      <c r="M2481">
        <v>0</v>
      </c>
      <c r="N2481" t="str">
        <f t="shared" si="114"/>
        <v>Under 40</v>
      </c>
      <c r="O2481" t="str">
        <f t="shared" si="115"/>
        <v>Underweight</v>
      </c>
    </row>
    <row r="2482" spans="1:15" x14ac:dyDescent="0.3">
      <c r="A2482">
        <v>11904</v>
      </c>
      <c r="B2482" t="s">
        <v>2</v>
      </c>
      <c r="C2482">
        <v>14</v>
      </c>
      <c r="D2482">
        <v>0</v>
      </c>
      <c r="E2482">
        <v>0</v>
      </c>
      <c r="F2482" t="str">
        <f t="shared" si="116"/>
        <v>Lower Risk</v>
      </c>
      <c r="G2482" t="s">
        <v>13</v>
      </c>
      <c r="H2482" t="s">
        <v>16</v>
      </c>
      <c r="I2482" t="s">
        <v>9</v>
      </c>
      <c r="J2482">
        <v>112.22</v>
      </c>
      <c r="K2482">
        <v>26.9</v>
      </c>
      <c r="L2482" t="s">
        <v>14</v>
      </c>
      <c r="M2482">
        <v>0</v>
      </c>
      <c r="N2482" t="str">
        <f t="shared" si="114"/>
        <v>Under 40</v>
      </c>
      <c r="O2482" t="str">
        <f t="shared" si="115"/>
        <v>Overweight</v>
      </c>
    </row>
    <row r="2483" spans="1:15" x14ac:dyDescent="0.3">
      <c r="A2483">
        <v>20257</v>
      </c>
      <c r="B2483" t="s">
        <v>2</v>
      </c>
      <c r="C2483">
        <v>0.88</v>
      </c>
      <c r="D2483">
        <v>0</v>
      </c>
      <c r="E2483">
        <v>0</v>
      </c>
      <c r="F2483" t="str">
        <f t="shared" si="116"/>
        <v>Lower Risk</v>
      </c>
      <c r="G2483" t="s">
        <v>13</v>
      </c>
      <c r="H2483" t="s">
        <v>16</v>
      </c>
      <c r="I2483" t="s">
        <v>5</v>
      </c>
      <c r="J2483">
        <v>90.62</v>
      </c>
      <c r="K2483">
        <v>22.4</v>
      </c>
      <c r="L2483" t="s">
        <v>14</v>
      </c>
      <c r="M2483">
        <v>0</v>
      </c>
      <c r="N2483" t="str">
        <f t="shared" si="114"/>
        <v>Under 40</v>
      </c>
      <c r="O2483" t="str">
        <f t="shared" si="115"/>
        <v>Normal</v>
      </c>
    </row>
    <row r="2484" spans="1:15" x14ac:dyDescent="0.3">
      <c r="A2484">
        <v>2822</v>
      </c>
      <c r="B2484" t="s">
        <v>7</v>
      </c>
      <c r="C2484">
        <v>30</v>
      </c>
      <c r="D2484">
        <v>0</v>
      </c>
      <c r="E2484">
        <v>0</v>
      </c>
      <c r="F2484" t="str">
        <f t="shared" si="116"/>
        <v>Lower Risk</v>
      </c>
      <c r="G2484" t="s">
        <v>3</v>
      </c>
      <c r="H2484" t="s">
        <v>4</v>
      </c>
      <c r="I2484" t="s">
        <v>9</v>
      </c>
      <c r="J2484">
        <v>72.489999999999995</v>
      </c>
      <c r="K2484">
        <v>25.8</v>
      </c>
      <c r="L2484" t="s">
        <v>11</v>
      </c>
      <c r="M2484">
        <v>0</v>
      </c>
      <c r="N2484" t="str">
        <f t="shared" si="114"/>
        <v>Under 40</v>
      </c>
      <c r="O2484" t="str">
        <f t="shared" si="115"/>
        <v>Overweight</v>
      </c>
    </row>
    <row r="2485" spans="1:15" x14ac:dyDescent="0.3">
      <c r="A2485">
        <v>18072</v>
      </c>
      <c r="B2485" t="s">
        <v>7</v>
      </c>
      <c r="C2485">
        <v>39</v>
      </c>
      <c r="D2485">
        <v>0</v>
      </c>
      <c r="E2485">
        <v>0</v>
      </c>
      <c r="F2485" t="str">
        <f t="shared" si="116"/>
        <v>Lower Risk</v>
      </c>
      <c r="G2485" t="s">
        <v>3</v>
      </c>
      <c r="H2485" t="s">
        <v>15</v>
      </c>
      <c r="I2485" t="s">
        <v>5</v>
      </c>
      <c r="J2485">
        <v>107.47</v>
      </c>
      <c r="K2485">
        <v>21.3</v>
      </c>
      <c r="L2485" t="s">
        <v>14</v>
      </c>
      <c r="M2485">
        <v>0</v>
      </c>
      <c r="N2485" t="str">
        <f t="shared" si="114"/>
        <v>Under 40</v>
      </c>
      <c r="O2485" t="str">
        <f t="shared" si="115"/>
        <v>Normal</v>
      </c>
    </row>
    <row r="2486" spans="1:15" x14ac:dyDescent="0.3">
      <c r="A2486">
        <v>34896</v>
      </c>
      <c r="B2486" t="s">
        <v>7</v>
      </c>
      <c r="C2486">
        <v>17</v>
      </c>
      <c r="D2486">
        <v>0</v>
      </c>
      <c r="E2486">
        <v>0</v>
      </c>
      <c r="F2486" t="str">
        <f t="shared" si="116"/>
        <v>Lower Risk</v>
      </c>
      <c r="G2486" t="s">
        <v>13</v>
      </c>
      <c r="H2486" t="s">
        <v>4</v>
      </c>
      <c r="I2486" t="s">
        <v>9</v>
      </c>
      <c r="J2486">
        <v>92.11</v>
      </c>
      <c r="K2486">
        <v>43</v>
      </c>
      <c r="L2486" t="s">
        <v>11</v>
      </c>
      <c r="M2486">
        <v>0</v>
      </c>
      <c r="N2486" t="str">
        <f t="shared" si="114"/>
        <v>Under 40</v>
      </c>
      <c r="O2486" t="str">
        <f t="shared" si="115"/>
        <v>Obese</v>
      </c>
    </row>
    <row r="2487" spans="1:15" x14ac:dyDescent="0.3">
      <c r="A2487">
        <v>53328</v>
      </c>
      <c r="B2487" t="s">
        <v>7</v>
      </c>
      <c r="C2487">
        <v>14</v>
      </c>
      <c r="D2487">
        <v>0</v>
      </c>
      <c r="E2487">
        <v>0</v>
      </c>
      <c r="F2487" t="str">
        <f t="shared" si="116"/>
        <v>Lower Risk</v>
      </c>
      <c r="G2487" t="s">
        <v>13</v>
      </c>
      <c r="H2487" t="s">
        <v>4</v>
      </c>
      <c r="I2487" t="s">
        <v>9</v>
      </c>
      <c r="J2487">
        <v>70.540000000000006</v>
      </c>
      <c r="K2487">
        <v>24.4</v>
      </c>
      <c r="L2487" t="s">
        <v>6</v>
      </c>
      <c r="M2487">
        <v>0</v>
      </c>
      <c r="N2487" t="str">
        <f t="shared" si="114"/>
        <v>Under 40</v>
      </c>
      <c r="O2487" t="str">
        <f t="shared" si="115"/>
        <v>Normal</v>
      </c>
    </row>
    <row r="2488" spans="1:15" x14ac:dyDescent="0.3">
      <c r="A2488">
        <v>28303</v>
      </c>
      <c r="B2488" t="s">
        <v>7</v>
      </c>
      <c r="C2488">
        <v>52</v>
      </c>
      <c r="D2488">
        <v>0</v>
      </c>
      <c r="E2488">
        <v>0</v>
      </c>
      <c r="F2488" t="str">
        <f t="shared" si="116"/>
        <v>Lower Risk</v>
      </c>
      <c r="G2488" t="s">
        <v>3</v>
      </c>
      <c r="H2488" t="s">
        <v>8</v>
      </c>
      <c r="I2488" t="s">
        <v>9</v>
      </c>
      <c r="J2488">
        <v>205</v>
      </c>
      <c r="K2488">
        <v>30.1</v>
      </c>
      <c r="L2488" t="s">
        <v>11</v>
      </c>
      <c r="M2488">
        <v>0</v>
      </c>
      <c r="N2488" t="str">
        <f t="shared" si="114"/>
        <v>40–59</v>
      </c>
      <c r="O2488" t="str">
        <f t="shared" si="115"/>
        <v>Obese</v>
      </c>
    </row>
    <row r="2489" spans="1:15" x14ac:dyDescent="0.3">
      <c r="A2489">
        <v>44325</v>
      </c>
      <c r="B2489" t="s">
        <v>2</v>
      </c>
      <c r="C2489">
        <v>78</v>
      </c>
      <c r="D2489">
        <v>0</v>
      </c>
      <c r="E2489">
        <v>0</v>
      </c>
      <c r="F2489" t="str">
        <f t="shared" si="116"/>
        <v>Moderate Risk</v>
      </c>
      <c r="G2489" t="s">
        <v>3</v>
      </c>
      <c r="H2489" t="s">
        <v>8</v>
      </c>
      <c r="I2489" t="s">
        <v>9</v>
      </c>
      <c r="J2489">
        <v>126.39</v>
      </c>
      <c r="K2489">
        <v>21.3</v>
      </c>
      <c r="L2489" t="s">
        <v>12</v>
      </c>
      <c r="M2489">
        <v>0</v>
      </c>
      <c r="N2489" t="str">
        <f t="shared" si="114"/>
        <v>60+</v>
      </c>
      <c r="O2489" t="str">
        <f t="shared" si="115"/>
        <v>Normal</v>
      </c>
    </row>
    <row r="2490" spans="1:15" x14ac:dyDescent="0.3">
      <c r="A2490">
        <v>8579</v>
      </c>
      <c r="B2490" t="s">
        <v>7</v>
      </c>
      <c r="C2490">
        <v>2</v>
      </c>
      <c r="D2490">
        <v>0</v>
      </c>
      <c r="E2490">
        <v>0</v>
      </c>
      <c r="F2490" t="str">
        <f t="shared" si="116"/>
        <v>Lower Risk</v>
      </c>
      <c r="G2490" t="s">
        <v>13</v>
      </c>
      <c r="H2490" t="s">
        <v>16</v>
      </c>
      <c r="I2490" t="s">
        <v>9</v>
      </c>
      <c r="J2490">
        <v>89.72</v>
      </c>
      <c r="K2490">
        <v>17.8</v>
      </c>
      <c r="L2490" t="s">
        <v>14</v>
      </c>
      <c r="M2490">
        <v>0</v>
      </c>
      <c r="N2490" t="str">
        <f t="shared" si="114"/>
        <v>Under 40</v>
      </c>
      <c r="O2490" t="str">
        <f t="shared" si="115"/>
        <v>Underweight</v>
      </c>
    </row>
    <row r="2491" spans="1:15" x14ac:dyDescent="0.3">
      <c r="A2491">
        <v>29229</v>
      </c>
      <c r="B2491" t="s">
        <v>2</v>
      </c>
      <c r="C2491">
        <v>32</v>
      </c>
      <c r="D2491">
        <v>0</v>
      </c>
      <c r="E2491">
        <v>0</v>
      </c>
      <c r="F2491" t="str">
        <f t="shared" si="116"/>
        <v>Lower Risk</v>
      </c>
      <c r="G2491" t="s">
        <v>3</v>
      </c>
      <c r="H2491" t="s">
        <v>4</v>
      </c>
      <c r="I2491" t="s">
        <v>5</v>
      </c>
      <c r="J2491">
        <v>92.08</v>
      </c>
      <c r="K2491">
        <v>28.4</v>
      </c>
      <c r="L2491" t="s">
        <v>12</v>
      </c>
      <c r="M2491">
        <v>0</v>
      </c>
      <c r="N2491" t="str">
        <f t="shared" si="114"/>
        <v>Under 40</v>
      </c>
      <c r="O2491" t="str">
        <f t="shared" si="115"/>
        <v>Overweight</v>
      </c>
    </row>
    <row r="2492" spans="1:15" x14ac:dyDescent="0.3">
      <c r="A2492">
        <v>48406</v>
      </c>
      <c r="B2492" t="s">
        <v>2</v>
      </c>
      <c r="C2492">
        <v>0.88</v>
      </c>
      <c r="D2492">
        <v>0</v>
      </c>
      <c r="E2492">
        <v>0</v>
      </c>
      <c r="F2492" t="str">
        <f t="shared" si="116"/>
        <v>Lower Risk</v>
      </c>
      <c r="G2492" t="s">
        <v>13</v>
      </c>
      <c r="H2492" t="s">
        <v>16</v>
      </c>
      <c r="I2492" t="s">
        <v>5</v>
      </c>
      <c r="J2492">
        <v>85.38</v>
      </c>
      <c r="K2492">
        <v>23.4</v>
      </c>
      <c r="L2492" t="s">
        <v>14</v>
      </c>
      <c r="M2492">
        <v>0</v>
      </c>
      <c r="N2492" t="str">
        <f t="shared" si="114"/>
        <v>Under 40</v>
      </c>
      <c r="O2492" t="str">
        <f t="shared" si="115"/>
        <v>Normal</v>
      </c>
    </row>
    <row r="2493" spans="1:15" x14ac:dyDescent="0.3">
      <c r="A2493">
        <v>3761</v>
      </c>
      <c r="B2493" t="s">
        <v>7</v>
      </c>
      <c r="C2493">
        <v>50</v>
      </c>
      <c r="D2493">
        <v>0</v>
      </c>
      <c r="E2493">
        <v>0</v>
      </c>
      <c r="F2493" t="str">
        <f t="shared" si="116"/>
        <v>Lower Risk</v>
      </c>
      <c r="G2493" t="s">
        <v>3</v>
      </c>
      <c r="H2493" t="s">
        <v>8</v>
      </c>
      <c r="I2493" t="s">
        <v>9</v>
      </c>
      <c r="J2493">
        <v>95.25</v>
      </c>
      <c r="K2493">
        <v>24.3</v>
      </c>
      <c r="L2493" t="s">
        <v>11</v>
      </c>
      <c r="M2493">
        <v>0</v>
      </c>
      <c r="N2493" t="str">
        <f t="shared" si="114"/>
        <v>40–59</v>
      </c>
      <c r="O2493" t="str">
        <f t="shared" si="115"/>
        <v>Normal</v>
      </c>
    </row>
    <row r="2494" spans="1:15" x14ac:dyDescent="0.3">
      <c r="A2494">
        <v>65324</v>
      </c>
      <c r="B2494" t="s">
        <v>7</v>
      </c>
      <c r="C2494">
        <v>48</v>
      </c>
      <c r="D2494">
        <v>0</v>
      </c>
      <c r="E2494">
        <v>0</v>
      </c>
      <c r="F2494" t="str">
        <f t="shared" si="116"/>
        <v>Lower Risk</v>
      </c>
      <c r="G2494" t="s">
        <v>3</v>
      </c>
      <c r="H2494" t="s">
        <v>15</v>
      </c>
      <c r="I2494" t="s">
        <v>9</v>
      </c>
      <c r="J2494">
        <v>75.91</v>
      </c>
      <c r="K2494">
        <v>27.8</v>
      </c>
      <c r="L2494" t="s">
        <v>14</v>
      </c>
      <c r="M2494">
        <v>0</v>
      </c>
      <c r="N2494" t="str">
        <f t="shared" si="114"/>
        <v>40–59</v>
      </c>
      <c r="O2494" t="str">
        <f t="shared" si="115"/>
        <v>Overweight</v>
      </c>
    </row>
    <row r="2495" spans="1:15" x14ac:dyDescent="0.3">
      <c r="A2495">
        <v>7658</v>
      </c>
      <c r="B2495" t="s">
        <v>2</v>
      </c>
      <c r="C2495">
        <v>66</v>
      </c>
      <c r="D2495">
        <v>0</v>
      </c>
      <c r="E2495">
        <v>0</v>
      </c>
      <c r="F2495" t="str">
        <f t="shared" si="116"/>
        <v>Moderate Risk</v>
      </c>
      <c r="G2495" t="s">
        <v>3</v>
      </c>
      <c r="H2495" t="s">
        <v>15</v>
      </c>
      <c r="I2495" t="s">
        <v>9</v>
      </c>
      <c r="J2495">
        <v>203.44</v>
      </c>
      <c r="K2495">
        <v>30.5</v>
      </c>
      <c r="L2495" t="s">
        <v>6</v>
      </c>
      <c r="M2495">
        <v>0</v>
      </c>
      <c r="N2495" t="str">
        <f t="shared" si="114"/>
        <v>60+</v>
      </c>
      <c r="O2495" t="str">
        <f t="shared" si="115"/>
        <v>Obese</v>
      </c>
    </row>
    <row r="2496" spans="1:15" x14ac:dyDescent="0.3">
      <c r="A2496">
        <v>35997</v>
      </c>
      <c r="B2496" t="s">
        <v>2</v>
      </c>
      <c r="C2496">
        <v>78</v>
      </c>
      <c r="D2496">
        <v>0</v>
      </c>
      <c r="E2496">
        <v>1</v>
      </c>
      <c r="F2496" t="str">
        <f t="shared" si="116"/>
        <v>High Risk</v>
      </c>
      <c r="G2496" t="s">
        <v>3</v>
      </c>
      <c r="H2496" t="s">
        <v>8</v>
      </c>
      <c r="I2496" t="s">
        <v>5</v>
      </c>
      <c r="J2496">
        <v>243.73</v>
      </c>
      <c r="K2496" t="s">
        <v>10</v>
      </c>
      <c r="L2496" t="s">
        <v>12</v>
      </c>
      <c r="M2496">
        <v>0</v>
      </c>
      <c r="N2496" t="str">
        <f t="shared" si="114"/>
        <v>60+</v>
      </c>
      <c r="O2496" t="str">
        <f t="shared" si="115"/>
        <v>Unknown</v>
      </c>
    </row>
    <row r="2497" spans="1:15" x14ac:dyDescent="0.3">
      <c r="A2497">
        <v>34383</v>
      </c>
      <c r="B2497" t="s">
        <v>2</v>
      </c>
      <c r="C2497">
        <v>46</v>
      </c>
      <c r="D2497">
        <v>0</v>
      </c>
      <c r="E2497">
        <v>0</v>
      </c>
      <c r="F2497" t="str">
        <f t="shared" si="116"/>
        <v>Lower Risk</v>
      </c>
      <c r="G2497" t="s">
        <v>3</v>
      </c>
      <c r="H2497" t="s">
        <v>4</v>
      </c>
      <c r="I2497" t="s">
        <v>5</v>
      </c>
      <c r="J2497">
        <v>88.23</v>
      </c>
      <c r="K2497">
        <v>25.8</v>
      </c>
      <c r="L2497" t="s">
        <v>14</v>
      </c>
      <c r="M2497">
        <v>0</v>
      </c>
      <c r="N2497" t="str">
        <f t="shared" si="114"/>
        <v>40–59</v>
      </c>
      <c r="O2497" t="str">
        <f t="shared" si="115"/>
        <v>Overweight</v>
      </c>
    </row>
    <row r="2498" spans="1:15" x14ac:dyDescent="0.3">
      <c r="A2498">
        <v>8646</v>
      </c>
      <c r="B2498" t="s">
        <v>7</v>
      </c>
      <c r="C2498">
        <v>54</v>
      </c>
      <c r="D2498">
        <v>0</v>
      </c>
      <c r="E2498">
        <v>0</v>
      </c>
      <c r="F2498" t="str">
        <f t="shared" si="116"/>
        <v>Lower Risk</v>
      </c>
      <c r="G2498" t="s">
        <v>3</v>
      </c>
      <c r="H2498" t="s">
        <v>4</v>
      </c>
      <c r="I2498" t="s">
        <v>9</v>
      </c>
      <c r="J2498">
        <v>97.47</v>
      </c>
      <c r="K2498">
        <v>26.7</v>
      </c>
      <c r="L2498" t="s">
        <v>11</v>
      </c>
      <c r="M2498">
        <v>0</v>
      </c>
      <c r="N2498" t="str">
        <f t="shared" ref="N2498:N2561" si="117">IF(C2498&lt;40,"Under 40",IF(C2498&lt;60,"40–59","60+"))</f>
        <v>40–59</v>
      </c>
      <c r="O2498" t="str">
        <f t="shared" ref="O2498:O2561" si="118">IF(K2498="N/A","Unknown",
IF(K2498="","Unknown",
IF(K2498&lt;18.5,"Underweight",
IF(K2498&lt;25,"Normal",
IF(K2498&lt;30,"Overweight","Obese")))))</f>
        <v>Overweight</v>
      </c>
    </row>
    <row r="2499" spans="1:15" x14ac:dyDescent="0.3">
      <c r="A2499">
        <v>46653</v>
      </c>
      <c r="B2499" t="s">
        <v>7</v>
      </c>
      <c r="C2499">
        <v>81</v>
      </c>
      <c r="D2499">
        <v>1</v>
      </c>
      <c r="E2499">
        <v>1</v>
      </c>
      <c r="F2499" t="str">
        <f t="shared" ref="F2499:F2562" si="119">IF(C2499&gt;=60,
IF(OR(D2499=1,E2499=1),"High Risk","Moderate Risk"),
"Lower Risk")</f>
        <v>High Risk</v>
      </c>
      <c r="G2499" t="s">
        <v>3</v>
      </c>
      <c r="H2499" t="s">
        <v>4</v>
      </c>
      <c r="I2499" t="s">
        <v>9</v>
      </c>
      <c r="J2499">
        <v>59.28</v>
      </c>
      <c r="K2499">
        <v>28.1</v>
      </c>
      <c r="L2499" t="s">
        <v>11</v>
      </c>
      <c r="M2499">
        <v>0</v>
      </c>
      <c r="N2499" t="str">
        <f t="shared" si="117"/>
        <v>60+</v>
      </c>
      <c r="O2499" t="str">
        <f t="shared" si="118"/>
        <v>Overweight</v>
      </c>
    </row>
    <row r="2500" spans="1:15" x14ac:dyDescent="0.3">
      <c r="A2500">
        <v>1099</v>
      </c>
      <c r="B2500" t="s">
        <v>7</v>
      </c>
      <c r="C2500">
        <v>15</v>
      </c>
      <c r="D2500">
        <v>0</v>
      </c>
      <c r="E2500">
        <v>0</v>
      </c>
      <c r="F2500" t="str">
        <f t="shared" si="119"/>
        <v>Lower Risk</v>
      </c>
      <c r="G2500" t="s">
        <v>13</v>
      </c>
      <c r="H2500" t="s">
        <v>16</v>
      </c>
      <c r="I2500" t="s">
        <v>9</v>
      </c>
      <c r="J2500">
        <v>101.15</v>
      </c>
      <c r="K2500">
        <v>22.2</v>
      </c>
      <c r="L2500" t="s">
        <v>14</v>
      </c>
      <c r="M2500">
        <v>0</v>
      </c>
      <c r="N2500" t="str">
        <f t="shared" si="117"/>
        <v>Under 40</v>
      </c>
      <c r="O2500" t="str">
        <f t="shared" si="118"/>
        <v>Normal</v>
      </c>
    </row>
    <row r="2501" spans="1:15" x14ac:dyDescent="0.3">
      <c r="A2501">
        <v>61676</v>
      </c>
      <c r="B2501" t="s">
        <v>2</v>
      </c>
      <c r="C2501">
        <v>77</v>
      </c>
      <c r="D2501">
        <v>0</v>
      </c>
      <c r="E2501">
        <v>0</v>
      </c>
      <c r="F2501" t="str">
        <f t="shared" si="119"/>
        <v>Moderate Risk</v>
      </c>
      <c r="G2501" t="s">
        <v>3</v>
      </c>
      <c r="H2501" t="s">
        <v>8</v>
      </c>
      <c r="I2501" t="s">
        <v>5</v>
      </c>
      <c r="J2501">
        <v>68.38</v>
      </c>
      <c r="K2501">
        <v>25.1</v>
      </c>
      <c r="L2501" t="s">
        <v>14</v>
      </c>
      <c r="M2501">
        <v>0</v>
      </c>
      <c r="N2501" t="str">
        <f t="shared" si="117"/>
        <v>60+</v>
      </c>
      <c r="O2501" t="str">
        <f t="shared" si="118"/>
        <v>Overweight</v>
      </c>
    </row>
    <row r="2502" spans="1:15" x14ac:dyDescent="0.3">
      <c r="A2502">
        <v>38131</v>
      </c>
      <c r="B2502" t="s">
        <v>7</v>
      </c>
      <c r="C2502">
        <v>59</v>
      </c>
      <c r="D2502">
        <v>0</v>
      </c>
      <c r="E2502">
        <v>0</v>
      </c>
      <c r="F2502" t="str">
        <f t="shared" si="119"/>
        <v>Lower Risk</v>
      </c>
      <c r="G2502" t="s">
        <v>3</v>
      </c>
      <c r="H2502" t="s">
        <v>8</v>
      </c>
      <c r="I2502" t="s">
        <v>9</v>
      </c>
      <c r="J2502">
        <v>55.46</v>
      </c>
      <c r="K2502">
        <v>20.9</v>
      </c>
      <c r="L2502" t="s">
        <v>11</v>
      </c>
      <c r="M2502">
        <v>0</v>
      </c>
      <c r="N2502" t="str">
        <f t="shared" si="117"/>
        <v>40–59</v>
      </c>
      <c r="O2502" t="str">
        <f t="shared" si="118"/>
        <v>Normal</v>
      </c>
    </row>
    <row r="2503" spans="1:15" x14ac:dyDescent="0.3">
      <c r="A2503">
        <v>61848</v>
      </c>
      <c r="B2503" t="s">
        <v>7</v>
      </c>
      <c r="C2503">
        <v>48</v>
      </c>
      <c r="D2503">
        <v>0</v>
      </c>
      <c r="E2503">
        <v>0</v>
      </c>
      <c r="F2503" t="str">
        <f t="shared" si="119"/>
        <v>Lower Risk</v>
      </c>
      <c r="G2503" t="s">
        <v>3</v>
      </c>
      <c r="H2503" t="s">
        <v>4</v>
      </c>
      <c r="I2503" t="s">
        <v>5</v>
      </c>
      <c r="J2503">
        <v>113.87</v>
      </c>
      <c r="K2503">
        <v>28.9</v>
      </c>
      <c r="L2503" t="s">
        <v>11</v>
      </c>
      <c r="M2503">
        <v>0</v>
      </c>
      <c r="N2503" t="str">
        <f t="shared" si="117"/>
        <v>40–59</v>
      </c>
      <c r="O2503" t="str">
        <f t="shared" si="118"/>
        <v>Overweight</v>
      </c>
    </row>
    <row r="2504" spans="1:15" x14ac:dyDescent="0.3">
      <c r="A2504">
        <v>56228</v>
      </c>
      <c r="B2504" t="s">
        <v>2</v>
      </c>
      <c r="C2504">
        <v>76</v>
      </c>
      <c r="D2504">
        <v>0</v>
      </c>
      <c r="E2504">
        <v>1</v>
      </c>
      <c r="F2504" t="str">
        <f t="shared" si="119"/>
        <v>High Risk</v>
      </c>
      <c r="G2504" t="s">
        <v>3</v>
      </c>
      <c r="H2504" t="s">
        <v>8</v>
      </c>
      <c r="I2504" t="s">
        <v>5</v>
      </c>
      <c r="J2504">
        <v>67.03</v>
      </c>
      <c r="K2504" t="s">
        <v>10</v>
      </c>
      <c r="L2504" t="s">
        <v>11</v>
      </c>
      <c r="M2504">
        <v>0</v>
      </c>
      <c r="N2504" t="str">
        <f t="shared" si="117"/>
        <v>60+</v>
      </c>
      <c r="O2504" t="str">
        <f t="shared" si="118"/>
        <v>Unknown</v>
      </c>
    </row>
    <row r="2505" spans="1:15" x14ac:dyDescent="0.3">
      <c r="A2505">
        <v>4949</v>
      </c>
      <c r="B2505" t="s">
        <v>2</v>
      </c>
      <c r="C2505">
        <v>49</v>
      </c>
      <c r="D2505">
        <v>0</v>
      </c>
      <c r="E2505">
        <v>0</v>
      </c>
      <c r="F2505" t="str">
        <f t="shared" si="119"/>
        <v>Lower Risk</v>
      </c>
      <c r="G2505" t="s">
        <v>3</v>
      </c>
      <c r="H2505" t="s">
        <v>4</v>
      </c>
      <c r="I2505" t="s">
        <v>9</v>
      </c>
      <c r="J2505">
        <v>96.35</v>
      </c>
      <c r="K2505">
        <v>35.9</v>
      </c>
      <c r="L2505" t="s">
        <v>11</v>
      </c>
      <c r="M2505">
        <v>0</v>
      </c>
      <c r="N2505" t="str">
        <f t="shared" si="117"/>
        <v>40–59</v>
      </c>
      <c r="O2505" t="str">
        <f t="shared" si="118"/>
        <v>Obese</v>
      </c>
    </row>
    <row r="2506" spans="1:15" x14ac:dyDescent="0.3">
      <c r="A2506">
        <v>46688</v>
      </c>
      <c r="B2506" t="s">
        <v>7</v>
      </c>
      <c r="C2506">
        <v>44</v>
      </c>
      <c r="D2506">
        <v>0</v>
      </c>
      <c r="E2506">
        <v>0</v>
      </c>
      <c r="F2506" t="str">
        <f t="shared" si="119"/>
        <v>Lower Risk</v>
      </c>
      <c r="G2506" t="s">
        <v>13</v>
      </c>
      <c r="H2506" t="s">
        <v>4</v>
      </c>
      <c r="I2506" t="s">
        <v>5</v>
      </c>
      <c r="J2506">
        <v>127.21</v>
      </c>
      <c r="K2506">
        <v>29.8</v>
      </c>
      <c r="L2506" t="s">
        <v>12</v>
      </c>
      <c r="M2506">
        <v>0</v>
      </c>
      <c r="N2506" t="str">
        <f t="shared" si="117"/>
        <v>40–59</v>
      </c>
      <c r="O2506" t="str">
        <f t="shared" si="118"/>
        <v>Overweight</v>
      </c>
    </row>
    <row r="2507" spans="1:15" x14ac:dyDescent="0.3">
      <c r="A2507">
        <v>30491</v>
      </c>
      <c r="B2507" t="s">
        <v>7</v>
      </c>
      <c r="C2507">
        <v>39</v>
      </c>
      <c r="D2507">
        <v>0</v>
      </c>
      <c r="E2507">
        <v>0</v>
      </c>
      <c r="F2507" t="str">
        <f t="shared" si="119"/>
        <v>Lower Risk</v>
      </c>
      <c r="G2507" t="s">
        <v>3</v>
      </c>
      <c r="H2507" t="s">
        <v>4</v>
      </c>
      <c r="I2507" t="s">
        <v>5</v>
      </c>
      <c r="J2507">
        <v>78.900000000000006</v>
      </c>
      <c r="K2507">
        <v>26.7</v>
      </c>
      <c r="L2507" t="s">
        <v>11</v>
      </c>
      <c r="M2507">
        <v>0</v>
      </c>
      <c r="N2507" t="str">
        <f t="shared" si="117"/>
        <v>Under 40</v>
      </c>
      <c r="O2507" t="str">
        <f t="shared" si="118"/>
        <v>Overweight</v>
      </c>
    </row>
    <row r="2508" spans="1:15" x14ac:dyDescent="0.3">
      <c r="A2508">
        <v>43478</v>
      </c>
      <c r="B2508" t="s">
        <v>2</v>
      </c>
      <c r="C2508">
        <v>34</v>
      </c>
      <c r="D2508">
        <v>0</v>
      </c>
      <c r="E2508">
        <v>0</v>
      </c>
      <c r="F2508" t="str">
        <f t="shared" si="119"/>
        <v>Lower Risk</v>
      </c>
      <c r="G2508" t="s">
        <v>3</v>
      </c>
      <c r="H2508" t="s">
        <v>4</v>
      </c>
      <c r="I2508" t="s">
        <v>5</v>
      </c>
      <c r="J2508">
        <v>59.91</v>
      </c>
      <c r="K2508">
        <v>28.4</v>
      </c>
      <c r="L2508" t="s">
        <v>6</v>
      </c>
      <c r="M2508">
        <v>0</v>
      </c>
      <c r="N2508" t="str">
        <f t="shared" si="117"/>
        <v>Under 40</v>
      </c>
      <c r="O2508" t="str">
        <f t="shared" si="118"/>
        <v>Overweight</v>
      </c>
    </row>
    <row r="2509" spans="1:15" x14ac:dyDescent="0.3">
      <c r="A2509">
        <v>25443</v>
      </c>
      <c r="B2509" t="s">
        <v>2</v>
      </c>
      <c r="C2509">
        <v>50</v>
      </c>
      <c r="D2509">
        <v>0</v>
      </c>
      <c r="E2509">
        <v>0</v>
      </c>
      <c r="F2509" t="str">
        <f t="shared" si="119"/>
        <v>Lower Risk</v>
      </c>
      <c r="G2509" t="s">
        <v>13</v>
      </c>
      <c r="H2509" t="s">
        <v>4</v>
      </c>
      <c r="I2509" t="s">
        <v>5</v>
      </c>
      <c r="J2509">
        <v>160.94</v>
      </c>
      <c r="K2509">
        <v>26.7</v>
      </c>
      <c r="L2509" t="s">
        <v>12</v>
      </c>
      <c r="M2509">
        <v>0</v>
      </c>
      <c r="N2509" t="str">
        <f t="shared" si="117"/>
        <v>40–59</v>
      </c>
      <c r="O2509" t="str">
        <f t="shared" si="118"/>
        <v>Overweight</v>
      </c>
    </row>
    <row r="2510" spans="1:15" x14ac:dyDescent="0.3">
      <c r="A2510">
        <v>52519</v>
      </c>
      <c r="B2510" t="s">
        <v>2</v>
      </c>
      <c r="C2510">
        <v>62</v>
      </c>
      <c r="D2510">
        <v>0</v>
      </c>
      <c r="E2510">
        <v>0</v>
      </c>
      <c r="F2510" t="str">
        <f t="shared" si="119"/>
        <v>Moderate Risk</v>
      </c>
      <c r="G2510" t="s">
        <v>3</v>
      </c>
      <c r="H2510" t="s">
        <v>4</v>
      </c>
      <c r="I2510" t="s">
        <v>9</v>
      </c>
      <c r="J2510">
        <v>59.61</v>
      </c>
      <c r="K2510">
        <v>32.5</v>
      </c>
      <c r="L2510" t="s">
        <v>14</v>
      </c>
      <c r="M2510">
        <v>0</v>
      </c>
      <c r="N2510" t="str">
        <f t="shared" si="117"/>
        <v>60+</v>
      </c>
      <c r="O2510" t="str">
        <f t="shared" si="118"/>
        <v>Obese</v>
      </c>
    </row>
    <row r="2511" spans="1:15" x14ac:dyDescent="0.3">
      <c r="A2511">
        <v>24361</v>
      </c>
      <c r="B2511" t="s">
        <v>7</v>
      </c>
      <c r="C2511">
        <v>38</v>
      </c>
      <c r="D2511">
        <v>0</v>
      </c>
      <c r="E2511">
        <v>0</v>
      </c>
      <c r="F2511" t="str">
        <f t="shared" si="119"/>
        <v>Lower Risk</v>
      </c>
      <c r="G2511" t="s">
        <v>3</v>
      </c>
      <c r="H2511" t="s">
        <v>4</v>
      </c>
      <c r="I2511" t="s">
        <v>5</v>
      </c>
      <c r="J2511">
        <v>87.94</v>
      </c>
      <c r="K2511">
        <v>43.8</v>
      </c>
      <c r="L2511" t="s">
        <v>11</v>
      </c>
      <c r="M2511">
        <v>0</v>
      </c>
      <c r="N2511" t="str">
        <f t="shared" si="117"/>
        <v>Under 40</v>
      </c>
      <c r="O2511" t="str">
        <f t="shared" si="118"/>
        <v>Obese</v>
      </c>
    </row>
    <row r="2512" spans="1:15" x14ac:dyDescent="0.3">
      <c r="A2512">
        <v>29514</v>
      </c>
      <c r="B2512" t="s">
        <v>7</v>
      </c>
      <c r="C2512">
        <v>43</v>
      </c>
      <c r="D2512">
        <v>0</v>
      </c>
      <c r="E2512">
        <v>0</v>
      </c>
      <c r="F2512" t="str">
        <f t="shared" si="119"/>
        <v>Lower Risk</v>
      </c>
      <c r="G2512" t="s">
        <v>3</v>
      </c>
      <c r="H2512" t="s">
        <v>4</v>
      </c>
      <c r="I2512" t="s">
        <v>9</v>
      </c>
      <c r="J2512">
        <v>97.55</v>
      </c>
      <c r="K2512">
        <v>28.3</v>
      </c>
      <c r="L2512" t="s">
        <v>6</v>
      </c>
      <c r="M2512">
        <v>0</v>
      </c>
      <c r="N2512" t="str">
        <f t="shared" si="117"/>
        <v>40–59</v>
      </c>
      <c r="O2512" t="str">
        <f t="shared" si="118"/>
        <v>Overweight</v>
      </c>
    </row>
    <row r="2513" spans="1:15" x14ac:dyDescent="0.3">
      <c r="A2513">
        <v>35893</v>
      </c>
      <c r="B2513" t="s">
        <v>2</v>
      </c>
      <c r="C2513">
        <v>28</v>
      </c>
      <c r="D2513">
        <v>0</v>
      </c>
      <c r="E2513">
        <v>0</v>
      </c>
      <c r="F2513" t="str">
        <f t="shared" si="119"/>
        <v>Lower Risk</v>
      </c>
      <c r="G2513" t="s">
        <v>13</v>
      </c>
      <c r="H2513" t="s">
        <v>4</v>
      </c>
      <c r="I2513" t="s">
        <v>5</v>
      </c>
      <c r="J2513">
        <v>116.02</v>
      </c>
      <c r="K2513">
        <v>36.6</v>
      </c>
      <c r="L2513" t="s">
        <v>6</v>
      </c>
      <c r="M2513">
        <v>0</v>
      </c>
      <c r="N2513" t="str">
        <f t="shared" si="117"/>
        <v>Under 40</v>
      </c>
      <c r="O2513" t="str">
        <f t="shared" si="118"/>
        <v>Obese</v>
      </c>
    </row>
    <row r="2514" spans="1:15" x14ac:dyDescent="0.3">
      <c r="A2514">
        <v>58568</v>
      </c>
      <c r="B2514" t="s">
        <v>7</v>
      </c>
      <c r="C2514">
        <v>58</v>
      </c>
      <c r="D2514">
        <v>0</v>
      </c>
      <c r="E2514">
        <v>0</v>
      </c>
      <c r="F2514" t="str">
        <f t="shared" si="119"/>
        <v>Lower Risk</v>
      </c>
      <c r="G2514" t="s">
        <v>3</v>
      </c>
      <c r="H2514" t="s">
        <v>4</v>
      </c>
      <c r="I2514" t="s">
        <v>9</v>
      </c>
      <c r="J2514">
        <v>127.32</v>
      </c>
      <c r="K2514">
        <v>33.1</v>
      </c>
      <c r="L2514" t="s">
        <v>12</v>
      </c>
      <c r="M2514">
        <v>0</v>
      </c>
      <c r="N2514" t="str">
        <f t="shared" si="117"/>
        <v>40–59</v>
      </c>
      <c r="O2514" t="str">
        <f t="shared" si="118"/>
        <v>Obese</v>
      </c>
    </row>
    <row r="2515" spans="1:15" x14ac:dyDescent="0.3">
      <c r="A2515">
        <v>63303</v>
      </c>
      <c r="B2515" t="s">
        <v>2</v>
      </c>
      <c r="C2515">
        <v>28</v>
      </c>
      <c r="D2515">
        <v>0</v>
      </c>
      <c r="E2515">
        <v>0</v>
      </c>
      <c r="F2515" t="str">
        <f t="shared" si="119"/>
        <v>Lower Risk</v>
      </c>
      <c r="G2515" t="s">
        <v>13</v>
      </c>
      <c r="H2515" t="s">
        <v>4</v>
      </c>
      <c r="I2515" t="s">
        <v>5</v>
      </c>
      <c r="J2515">
        <v>75.5</v>
      </c>
      <c r="K2515">
        <v>27</v>
      </c>
      <c r="L2515" t="s">
        <v>12</v>
      </c>
      <c r="M2515">
        <v>0</v>
      </c>
      <c r="N2515" t="str">
        <f t="shared" si="117"/>
        <v>Under 40</v>
      </c>
      <c r="O2515" t="str">
        <f t="shared" si="118"/>
        <v>Overweight</v>
      </c>
    </row>
    <row r="2516" spans="1:15" x14ac:dyDescent="0.3">
      <c r="A2516">
        <v>70625</v>
      </c>
      <c r="B2516" t="s">
        <v>2</v>
      </c>
      <c r="C2516">
        <v>18</v>
      </c>
      <c r="D2516">
        <v>0</v>
      </c>
      <c r="E2516">
        <v>0</v>
      </c>
      <c r="F2516" t="str">
        <f t="shared" si="119"/>
        <v>Lower Risk</v>
      </c>
      <c r="G2516" t="s">
        <v>13</v>
      </c>
      <c r="H2516" t="s">
        <v>4</v>
      </c>
      <c r="I2516" t="s">
        <v>5</v>
      </c>
      <c r="J2516">
        <v>79.349999999999994</v>
      </c>
      <c r="K2516">
        <v>23.6</v>
      </c>
      <c r="L2516" t="s">
        <v>14</v>
      </c>
      <c r="M2516">
        <v>0</v>
      </c>
      <c r="N2516" t="str">
        <f t="shared" si="117"/>
        <v>Under 40</v>
      </c>
      <c r="O2516" t="str">
        <f t="shared" si="118"/>
        <v>Normal</v>
      </c>
    </row>
    <row r="2517" spans="1:15" x14ac:dyDescent="0.3">
      <c r="A2517">
        <v>54807</v>
      </c>
      <c r="B2517" t="s">
        <v>2</v>
      </c>
      <c r="C2517">
        <v>62</v>
      </c>
      <c r="D2517">
        <v>1</v>
      </c>
      <c r="E2517">
        <v>1</v>
      </c>
      <c r="F2517" t="str">
        <f t="shared" si="119"/>
        <v>High Risk</v>
      </c>
      <c r="G2517" t="s">
        <v>3</v>
      </c>
      <c r="H2517" t="s">
        <v>4</v>
      </c>
      <c r="I2517" t="s">
        <v>9</v>
      </c>
      <c r="J2517">
        <v>176.25</v>
      </c>
      <c r="K2517" t="s">
        <v>10</v>
      </c>
      <c r="L2517" t="s">
        <v>11</v>
      </c>
      <c r="M2517">
        <v>0</v>
      </c>
      <c r="N2517" t="str">
        <f t="shared" si="117"/>
        <v>60+</v>
      </c>
      <c r="O2517" t="str">
        <f t="shared" si="118"/>
        <v>Unknown</v>
      </c>
    </row>
    <row r="2518" spans="1:15" x14ac:dyDescent="0.3">
      <c r="A2518">
        <v>18820</v>
      </c>
      <c r="B2518" t="s">
        <v>2</v>
      </c>
      <c r="C2518">
        <v>31</v>
      </c>
      <c r="D2518">
        <v>0</v>
      </c>
      <c r="E2518">
        <v>0</v>
      </c>
      <c r="F2518" t="str">
        <f t="shared" si="119"/>
        <v>Lower Risk</v>
      </c>
      <c r="G2518" t="s">
        <v>13</v>
      </c>
      <c r="H2518" t="s">
        <v>4</v>
      </c>
      <c r="I2518" t="s">
        <v>9</v>
      </c>
      <c r="J2518">
        <v>108.56</v>
      </c>
      <c r="K2518">
        <v>21.8</v>
      </c>
      <c r="L2518" t="s">
        <v>11</v>
      </c>
      <c r="M2518">
        <v>0</v>
      </c>
      <c r="N2518" t="str">
        <f t="shared" si="117"/>
        <v>Under 40</v>
      </c>
      <c r="O2518" t="str">
        <f t="shared" si="118"/>
        <v>Normal</v>
      </c>
    </row>
    <row r="2519" spans="1:15" x14ac:dyDescent="0.3">
      <c r="A2519">
        <v>64029</v>
      </c>
      <c r="B2519" t="s">
        <v>2</v>
      </c>
      <c r="C2519">
        <v>55</v>
      </c>
      <c r="D2519">
        <v>1</v>
      </c>
      <c r="E2519">
        <v>0</v>
      </c>
      <c r="F2519" t="str">
        <f t="shared" si="119"/>
        <v>Lower Risk</v>
      </c>
      <c r="G2519" t="s">
        <v>3</v>
      </c>
      <c r="H2519" t="s">
        <v>4</v>
      </c>
      <c r="I2519" t="s">
        <v>5</v>
      </c>
      <c r="J2519">
        <v>168.06</v>
      </c>
      <c r="K2519">
        <v>23.5</v>
      </c>
      <c r="L2519" t="s">
        <v>12</v>
      </c>
      <c r="M2519">
        <v>0</v>
      </c>
      <c r="N2519" t="str">
        <f t="shared" si="117"/>
        <v>40–59</v>
      </c>
      <c r="O2519" t="str">
        <f t="shared" si="118"/>
        <v>Normal</v>
      </c>
    </row>
    <row r="2520" spans="1:15" x14ac:dyDescent="0.3">
      <c r="A2520">
        <v>72703</v>
      </c>
      <c r="B2520" t="s">
        <v>7</v>
      </c>
      <c r="C2520">
        <v>54</v>
      </c>
      <c r="D2520">
        <v>0</v>
      </c>
      <c r="E2520">
        <v>0</v>
      </c>
      <c r="F2520" t="str">
        <f t="shared" si="119"/>
        <v>Lower Risk</v>
      </c>
      <c r="G2520" t="s">
        <v>3</v>
      </c>
      <c r="H2520" t="s">
        <v>4</v>
      </c>
      <c r="I2520" t="s">
        <v>5</v>
      </c>
      <c r="J2520">
        <v>75.52</v>
      </c>
      <c r="K2520">
        <v>28.7</v>
      </c>
      <c r="L2520" t="s">
        <v>6</v>
      </c>
      <c r="M2520">
        <v>0</v>
      </c>
      <c r="N2520" t="str">
        <f t="shared" si="117"/>
        <v>40–59</v>
      </c>
      <c r="O2520" t="str">
        <f t="shared" si="118"/>
        <v>Overweight</v>
      </c>
    </row>
    <row r="2521" spans="1:15" x14ac:dyDescent="0.3">
      <c r="A2521">
        <v>11394</v>
      </c>
      <c r="B2521" t="s">
        <v>2</v>
      </c>
      <c r="C2521">
        <v>73</v>
      </c>
      <c r="D2521">
        <v>0</v>
      </c>
      <c r="E2521">
        <v>1</v>
      </c>
      <c r="F2521" t="str">
        <f t="shared" si="119"/>
        <v>High Risk</v>
      </c>
      <c r="G2521" t="s">
        <v>3</v>
      </c>
      <c r="H2521" t="s">
        <v>4</v>
      </c>
      <c r="I2521" t="s">
        <v>9</v>
      </c>
      <c r="J2521">
        <v>82.15</v>
      </c>
      <c r="K2521">
        <v>31.6</v>
      </c>
      <c r="L2521" t="s">
        <v>6</v>
      </c>
      <c r="M2521">
        <v>0</v>
      </c>
      <c r="N2521" t="str">
        <f t="shared" si="117"/>
        <v>60+</v>
      </c>
      <c r="O2521" t="str">
        <f t="shared" si="118"/>
        <v>Obese</v>
      </c>
    </row>
    <row r="2522" spans="1:15" x14ac:dyDescent="0.3">
      <c r="A2522">
        <v>12298</v>
      </c>
      <c r="B2522" t="s">
        <v>2</v>
      </c>
      <c r="C2522">
        <v>26</v>
      </c>
      <c r="D2522">
        <v>0</v>
      </c>
      <c r="E2522">
        <v>0</v>
      </c>
      <c r="F2522" t="str">
        <f t="shared" si="119"/>
        <v>Lower Risk</v>
      </c>
      <c r="G2522" t="s">
        <v>13</v>
      </c>
      <c r="H2522" t="s">
        <v>8</v>
      </c>
      <c r="I2522" t="s">
        <v>5</v>
      </c>
      <c r="J2522">
        <v>200.28</v>
      </c>
      <c r="K2522">
        <v>31.9</v>
      </c>
      <c r="L2522" t="s">
        <v>6</v>
      </c>
      <c r="M2522">
        <v>0</v>
      </c>
      <c r="N2522" t="str">
        <f t="shared" si="117"/>
        <v>Under 40</v>
      </c>
      <c r="O2522" t="str">
        <f t="shared" si="118"/>
        <v>Obese</v>
      </c>
    </row>
    <row r="2523" spans="1:15" x14ac:dyDescent="0.3">
      <c r="A2523">
        <v>70845</v>
      </c>
      <c r="B2523" t="s">
        <v>2</v>
      </c>
      <c r="C2523">
        <v>73</v>
      </c>
      <c r="D2523">
        <v>0</v>
      </c>
      <c r="E2523">
        <v>1</v>
      </c>
      <c r="F2523" t="str">
        <f t="shared" si="119"/>
        <v>High Risk</v>
      </c>
      <c r="G2523" t="s">
        <v>3</v>
      </c>
      <c r="H2523" t="s">
        <v>4</v>
      </c>
      <c r="I2523" t="s">
        <v>9</v>
      </c>
      <c r="J2523">
        <v>62.44</v>
      </c>
      <c r="K2523">
        <v>25.2</v>
      </c>
      <c r="L2523" t="s">
        <v>12</v>
      </c>
      <c r="M2523">
        <v>0</v>
      </c>
      <c r="N2523" t="str">
        <f t="shared" si="117"/>
        <v>60+</v>
      </c>
      <c r="O2523" t="str">
        <f t="shared" si="118"/>
        <v>Overweight</v>
      </c>
    </row>
    <row r="2524" spans="1:15" x14ac:dyDescent="0.3">
      <c r="A2524">
        <v>44494</v>
      </c>
      <c r="B2524" t="s">
        <v>7</v>
      </c>
      <c r="C2524">
        <v>38</v>
      </c>
      <c r="D2524">
        <v>0</v>
      </c>
      <c r="E2524">
        <v>0</v>
      </c>
      <c r="F2524" t="str">
        <f t="shared" si="119"/>
        <v>Lower Risk</v>
      </c>
      <c r="G2524" t="s">
        <v>3</v>
      </c>
      <c r="H2524" t="s">
        <v>4</v>
      </c>
      <c r="I2524" t="s">
        <v>9</v>
      </c>
      <c r="J2524">
        <v>84.31</v>
      </c>
      <c r="K2524">
        <v>25.9</v>
      </c>
      <c r="L2524" t="s">
        <v>12</v>
      </c>
      <c r="M2524">
        <v>0</v>
      </c>
      <c r="N2524" t="str">
        <f t="shared" si="117"/>
        <v>Under 40</v>
      </c>
      <c r="O2524" t="str">
        <f t="shared" si="118"/>
        <v>Overweight</v>
      </c>
    </row>
    <row r="2525" spans="1:15" x14ac:dyDescent="0.3">
      <c r="A2525">
        <v>30953</v>
      </c>
      <c r="B2525" t="s">
        <v>2</v>
      </c>
      <c r="C2525">
        <v>75</v>
      </c>
      <c r="D2525">
        <v>1</v>
      </c>
      <c r="E2525">
        <v>1</v>
      </c>
      <c r="F2525" t="str">
        <f t="shared" si="119"/>
        <v>High Risk</v>
      </c>
      <c r="G2525" t="s">
        <v>3</v>
      </c>
      <c r="H2525" t="s">
        <v>4</v>
      </c>
      <c r="I2525" t="s">
        <v>9</v>
      </c>
      <c r="J2525">
        <v>221.43</v>
      </c>
      <c r="K2525">
        <v>32.5</v>
      </c>
      <c r="L2525" t="s">
        <v>14</v>
      </c>
      <c r="M2525">
        <v>0</v>
      </c>
      <c r="N2525" t="str">
        <f t="shared" si="117"/>
        <v>60+</v>
      </c>
      <c r="O2525" t="str">
        <f t="shared" si="118"/>
        <v>Obese</v>
      </c>
    </row>
    <row r="2526" spans="1:15" x14ac:dyDescent="0.3">
      <c r="A2526">
        <v>47861</v>
      </c>
      <c r="B2526" t="s">
        <v>2</v>
      </c>
      <c r="C2526">
        <v>81</v>
      </c>
      <c r="D2526">
        <v>0</v>
      </c>
      <c r="E2526">
        <v>0</v>
      </c>
      <c r="F2526" t="str">
        <f t="shared" si="119"/>
        <v>Moderate Risk</v>
      </c>
      <c r="G2526" t="s">
        <v>3</v>
      </c>
      <c r="H2526" t="s">
        <v>4</v>
      </c>
      <c r="I2526" t="s">
        <v>5</v>
      </c>
      <c r="J2526">
        <v>165.47</v>
      </c>
      <c r="K2526">
        <v>28.1</v>
      </c>
      <c r="L2526" t="s">
        <v>14</v>
      </c>
      <c r="M2526">
        <v>0</v>
      </c>
      <c r="N2526" t="str">
        <f t="shared" si="117"/>
        <v>60+</v>
      </c>
      <c r="O2526" t="str">
        <f t="shared" si="118"/>
        <v>Overweight</v>
      </c>
    </row>
    <row r="2527" spans="1:15" x14ac:dyDescent="0.3">
      <c r="A2527">
        <v>13465</v>
      </c>
      <c r="B2527" t="s">
        <v>7</v>
      </c>
      <c r="C2527">
        <v>20</v>
      </c>
      <c r="D2527">
        <v>0</v>
      </c>
      <c r="E2527">
        <v>0</v>
      </c>
      <c r="F2527" t="str">
        <f t="shared" si="119"/>
        <v>Lower Risk</v>
      </c>
      <c r="G2527" t="s">
        <v>13</v>
      </c>
      <c r="H2527" t="s">
        <v>4</v>
      </c>
      <c r="I2527" t="s">
        <v>9</v>
      </c>
      <c r="J2527">
        <v>96.69</v>
      </c>
      <c r="K2527">
        <v>27.4</v>
      </c>
      <c r="L2527" t="s">
        <v>12</v>
      </c>
      <c r="M2527">
        <v>0</v>
      </c>
      <c r="N2527" t="str">
        <f t="shared" si="117"/>
        <v>Under 40</v>
      </c>
      <c r="O2527" t="str">
        <f t="shared" si="118"/>
        <v>Overweight</v>
      </c>
    </row>
    <row r="2528" spans="1:15" x14ac:dyDescent="0.3">
      <c r="A2528">
        <v>62454</v>
      </c>
      <c r="B2528" t="s">
        <v>7</v>
      </c>
      <c r="C2528">
        <v>12</v>
      </c>
      <c r="D2528">
        <v>0</v>
      </c>
      <c r="E2528">
        <v>0</v>
      </c>
      <c r="F2528" t="str">
        <f t="shared" si="119"/>
        <v>Lower Risk</v>
      </c>
      <c r="G2528" t="s">
        <v>13</v>
      </c>
      <c r="H2528" t="s">
        <v>16</v>
      </c>
      <c r="I2528" t="s">
        <v>5</v>
      </c>
      <c r="J2528">
        <v>63.98</v>
      </c>
      <c r="K2528">
        <v>21.2</v>
      </c>
      <c r="L2528" t="s">
        <v>6</v>
      </c>
      <c r="M2528">
        <v>0</v>
      </c>
      <c r="N2528" t="str">
        <f t="shared" si="117"/>
        <v>Under 40</v>
      </c>
      <c r="O2528" t="str">
        <f t="shared" si="118"/>
        <v>Normal</v>
      </c>
    </row>
    <row r="2529" spans="1:15" x14ac:dyDescent="0.3">
      <c r="A2529">
        <v>52593</v>
      </c>
      <c r="B2529" t="s">
        <v>2</v>
      </c>
      <c r="C2529">
        <v>78</v>
      </c>
      <c r="D2529">
        <v>0</v>
      </c>
      <c r="E2529">
        <v>1</v>
      </c>
      <c r="F2529" t="str">
        <f t="shared" si="119"/>
        <v>High Risk</v>
      </c>
      <c r="G2529" t="s">
        <v>3</v>
      </c>
      <c r="H2529" t="s">
        <v>4</v>
      </c>
      <c r="I2529" t="s">
        <v>5</v>
      </c>
      <c r="J2529">
        <v>145.03</v>
      </c>
      <c r="K2529">
        <v>26.8</v>
      </c>
      <c r="L2529" t="s">
        <v>6</v>
      </c>
      <c r="M2529">
        <v>0</v>
      </c>
      <c r="N2529" t="str">
        <f t="shared" si="117"/>
        <v>60+</v>
      </c>
      <c r="O2529" t="str">
        <f t="shared" si="118"/>
        <v>Overweight</v>
      </c>
    </row>
    <row r="2530" spans="1:15" x14ac:dyDescent="0.3">
      <c r="A2530">
        <v>91</v>
      </c>
      <c r="B2530" t="s">
        <v>7</v>
      </c>
      <c r="C2530">
        <v>42</v>
      </c>
      <c r="D2530">
        <v>0</v>
      </c>
      <c r="E2530">
        <v>0</v>
      </c>
      <c r="F2530" t="str">
        <f t="shared" si="119"/>
        <v>Lower Risk</v>
      </c>
      <c r="G2530" t="s">
        <v>13</v>
      </c>
      <c r="H2530" t="s">
        <v>4</v>
      </c>
      <c r="I2530" t="s">
        <v>5</v>
      </c>
      <c r="J2530">
        <v>98.53</v>
      </c>
      <c r="K2530">
        <v>18.5</v>
      </c>
      <c r="L2530" t="s">
        <v>11</v>
      </c>
      <c r="M2530">
        <v>0</v>
      </c>
      <c r="N2530" t="str">
        <f t="shared" si="117"/>
        <v>40–59</v>
      </c>
      <c r="O2530" t="str">
        <f t="shared" si="118"/>
        <v>Normal</v>
      </c>
    </row>
    <row r="2531" spans="1:15" x14ac:dyDescent="0.3">
      <c r="A2531">
        <v>22056</v>
      </c>
      <c r="B2531" t="s">
        <v>7</v>
      </c>
      <c r="C2531">
        <v>71</v>
      </c>
      <c r="D2531">
        <v>1</v>
      </c>
      <c r="E2531">
        <v>0</v>
      </c>
      <c r="F2531" t="str">
        <f t="shared" si="119"/>
        <v>High Risk</v>
      </c>
      <c r="G2531" t="s">
        <v>3</v>
      </c>
      <c r="H2531" t="s">
        <v>4</v>
      </c>
      <c r="I2531" t="s">
        <v>5</v>
      </c>
      <c r="J2531">
        <v>105.55</v>
      </c>
      <c r="K2531" t="s">
        <v>10</v>
      </c>
      <c r="L2531" t="s">
        <v>12</v>
      </c>
      <c r="M2531">
        <v>0</v>
      </c>
      <c r="N2531" t="str">
        <f t="shared" si="117"/>
        <v>60+</v>
      </c>
      <c r="O2531" t="str">
        <f t="shared" si="118"/>
        <v>Unknown</v>
      </c>
    </row>
    <row r="2532" spans="1:15" x14ac:dyDescent="0.3">
      <c r="A2532">
        <v>45469</v>
      </c>
      <c r="B2532" t="s">
        <v>2</v>
      </c>
      <c r="C2532">
        <v>16</v>
      </c>
      <c r="D2532">
        <v>0</v>
      </c>
      <c r="E2532">
        <v>0</v>
      </c>
      <c r="F2532" t="str">
        <f t="shared" si="119"/>
        <v>Lower Risk</v>
      </c>
      <c r="G2532" t="s">
        <v>13</v>
      </c>
      <c r="H2532" t="s">
        <v>16</v>
      </c>
      <c r="I2532" t="s">
        <v>9</v>
      </c>
      <c r="J2532">
        <v>134.22999999999999</v>
      </c>
      <c r="K2532">
        <v>30.6</v>
      </c>
      <c r="L2532" t="s">
        <v>14</v>
      </c>
      <c r="M2532">
        <v>0</v>
      </c>
      <c r="N2532" t="str">
        <f t="shared" si="117"/>
        <v>Under 40</v>
      </c>
      <c r="O2532" t="str">
        <f t="shared" si="118"/>
        <v>Obese</v>
      </c>
    </row>
    <row r="2533" spans="1:15" x14ac:dyDescent="0.3">
      <c r="A2533">
        <v>41284</v>
      </c>
      <c r="B2533" t="s">
        <v>2</v>
      </c>
      <c r="C2533">
        <v>4</v>
      </c>
      <c r="D2533">
        <v>0</v>
      </c>
      <c r="E2533">
        <v>0</v>
      </c>
      <c r="F2533" t="str">
        <f t="shared" si="119"/>
        <v>Lower Risk</v>
      </c>
      <c r="G2533" t="s">
        <v>13</v>
      </c>
      <c r="H2533" t="s">
        <v>16</v>
      </c>
      <c r="I2533" t="s">
        <v>9</v>
      </c>
      <c r="J2533">
        <v>62.48</v>
      </c>
      <c r="K2533">
        <v>19.899999999999999</v>
      </c>
      <c r="L2533" t="s">
        <v>14</v>
      </c>
      <c r="M2533">
        <v>0</v>
      </c>
      <c r="N2533" t="str">
        <f t="shared" si="117"/>
        <v>Under 40</v>
      </c>
      <c r="O2533" t="str">
        <f t="shared" si="118"/>
        <v>Normal</v>
      </c>
    </row>
    <row r="2534" spans="1:15" x14ac:dyDescent="0.3">
      <c r="A2534">
        <v>20112</v>
      </c>
      <c r="B2534" t="s">
        <v>2</v>
      </c>
      <c r="C2534">
        <v>79</v>
      </c>
      <c r="D2534">
        <v>0</v>
      </c>
      <c r="E2534">
        <v>1</v>
      </c>
      <c r="F2534" t="str">
        <f t="shared" si="119"/>
        <v>High Risk</v>
      </c>
      <c r="G2534" t="s">
        <v>3</v>
      </c>
      <c r="H2534" t="s">
        <v>4</v>
      </c>
      <c r="I2534" t="s">
        <v>5</v>
      </c>
      <c r="J2534">
        <v>213.38</v>
      </c>
      <c r="K2534" t="s">
        <v>10</v>
      </c>
      <c r="L2534" t="s">
        <v>14</v>
      </c>
      <c r="M2534">
        <v>0</v>
      </c>
      <c r="N2534" t="str">
        <f t="shared" si="117"/>
        <v>60+</v>
      </c>
      <c r="O2534" t="str">
        <f t="shared" si="118"/>
        <v>Unknown</v>
      </c>
    </row>
    <row r="2535" spans="1:15" x14ac:dyDescent="0.3">
      <c r="A2535">
        <v>45627</v>
      </c>
      <c r="B2535" t="s">
        <v>2</v>
      </c>
      <c r="C2535">
        <v>60</v>
      </c>
      <c r="D2535">
        <v>0</v>
      </c>
      <c r="E2535">
        <v>0</v>
      </c>
      <c r="F2535" t="str">
        <f t="shared" si="119"/>
        <v>Moderate Risk</v>
      </c>
      <c r="G2535" t="s">
        <v>3</v>
      </c>
      <c r="H2535" t="s">
        <v>4</v>
      </c>
      <c r="I2535" t="s">
        <v>9</v>
      </c>
      <c r="J2535">
        <v>70.52</v>
      </c>
      <c r="K2535">
        <v>26.5</v>
      </c>
      <c r="L2535" t="s">
        <v>6</v>
      </c>
      <c r="M2535">
        <v>0</v>
      </c>
      <c r="N2535" t="str">
        <f t="shared" si="117"/>
        <v>60+</v>
      </c>
      <c r="O2535" t="str">
        <f t="shared" si="118"/>
        <v>Overweight</v>
      </c>
    </row>
    <row r="2536" spans="1:15" x14ac:dyDescent="0.3">
      <c r="A2536">
        <v>4174</v>
      </c>
      <c r="B2536" t="s">
        <v>7</v>
      </c>
      <c r="C2536">
        <v>45</v>
      </c>
      <c r="D2536">
        <v>1</v>
      </c>
      <c r="E2536">
        <v>0</v>
      </c>
      <c r="F2536" t="str">
        <f t="shared" si="119"/>
        <v>Lower Risk</v>
      </c>
      <c r="G2536" t="s">
        <v>3</v>
      </c>
      <c r="H2536" t="s">
        <v>4</v>
      </c>
      <c r="I2536" t="s">
        <v>5</v>
      </c>
      <c r="J2536">
        <v>93.21</v>
      </c>
      <c r="K2536">
        <v>43.8</v>
      </c>
      <c r="L2536" t="s">
        <v>11</v>
      </c>
      <c r="M2536">
        <v>0</v>
      </c>
      <c r="N2536" t="str">
        <f t="shared" si="117"/>
        <v>40–59</v>
      </c>
      <c r="O2536" t="str">
        <f t="shared" si="118"/>
        <v>Obese</v>
      </c>
    </row>
    <row r="2537" spans="1:15" x14ac:dyDescent="0.3">
      <c r="A2537">
        <v>31660</v>
      </c>
      <c r="B2537" t="s">
        <v>2</v>
      </c>
      <c r="C2537">
        <v>23</v>
      </c>
      <c r="D2537">
        <v>0</v>
      </c>
      <c r="E2537">
        <v>0</v>
      </c>
      <c r="F2537" t="str">
        <f t="shared" si="119"/>
        <v>Lower Risk</v>
      </c>
      <c r="G2537" t="s">
        <v>13</v>
      </c>
      <c r="H2537" t="s">
        <v>4</v>
      </c>
      <c r="I2537" t="s">
        <v>9</v>
      </c>
      <c r="J2537">
        <v>82.39</v>
      </c>
      <c r="K2537">
        <v>31.8</v>
      </c>
      <c r="L2537" t="s">
        <v>14</v>
      </c>
      <c r="M2537">
        <v>0</v>
      </c>
      <c r="N2537" t="str">
        <f t="shared" si="117"/>
        <v>Under 40</v>
      </c>
      <c r="O2537" t="str">
        <f t="shared" si="118"/>
        <v>Obese</v>
      </c>
    </row>
    <row r="2538" spans="1:15" x14ac:dyDescent="0.3">
      <c r="A2538">
        <v>36196</v>
      </c>
      <c r="B2538" t="s">
        <v>2</v>
      </c>
      <c r="C2538">
        <v>21</v>
      </c>
      <c r="D2538">
        <v>0</v>
      </c>
      <c r="E2538">
        <v>0</v>
      </c>
      <c r="F2538" t="str">
        <f t="shared" si="119"/>
        <v>Lower Risk</v>
      </c>
      <c r="G2538" t="s">
        <v>13</v>
      </c>
      <c r="H2538" t="s">
        <v>4</v>
      </c>
      <c r="I2538" t="s">
        <v>9</v>
      </c>
      <c r="J2538">
        <v>88.29</v>
      </c>
      <c r="K2538">
        <v>36.6</v>
      </c>
      <c r="L2538" t="s">
        <v>12</v>
      </c>
      <c r="M2538">
        <v>0</v>
      </c>
      <c r="N2538" t="str">
        <f t="shared" si="117"/>
        <v>Under 40</v>
      </c>
      <c r="O2538" t="str">
        <f t="shared" si="118"/>
        <v>Obese</v>
      </c>
    </row>
    <row r="2539" spans="1:15" x14ac:dyDescent="0.3">
      <c r="A2539">
        <v>19769</v>
      </c>
      <c r="B2539" t="s">
        <v>7</v>
      </c>
      <c r="C2539">
        <v>67</v>
      </c>
      <c r="D2539">
        <v>0</v>
      </c>
      <c r="E2539">
        <v>0</v>
      </c>
      <c r="F2539" t="str">
        <f t="shared" si="119"/>
        <v>Moderate Risk</v>
      </c>
      <c r="G2539" t="s">
        <v>3</v>
      </c>
      <c r="H2539" t="s">
        <v>8</v>
      </c>
      <c r="I2539" t="s">
        <v>9</v>
      </c>
      <c r="J2539">
        <v>80.180000000000007</v>
      </c>
      <c r="K2539">
        <v>22.9</v>
      </c>
      <c r="L2539" t="s">
        <v>6</v>
      </c>
      <c r="M2539">
        <v>0</v>
      </c>
      <c r="N2539" t="str">
        <f t="shared" si="117"/>
        <v>60+</v>
      </c>
      <c r="O2539" t="str">
        <f t="shared" si="118"/>
        <v>Normal</v>
      </c>
    </row>
    <row r="2540" spans="1:15" x14ac:dyDescent="0.3">
      <c r="A2540">
        <v>8341</v>
      </c>
      <c r="B2540" t="s">
        <v>2</v>
      </c>
      <c r="C2540">
        <v>10</v>
      </c>
      <c r="D2540">
        <v>0</v>
      </c>
      <c r="E2540">
        <v>0</v>
      </c>
      <c r="F2540" t="str">
        <f t="shared" si="119"/>
        <v>Lower Risk</v>
      </c>
      <c r="G2540" t="s">
        <v>13</v>
      </c>
      <c r="H2540" t="s">
        <v>16</v>
      </c>
      <c r="I2540" t="s">
        <v>9</v>
      </c>
      <c r="J2540">
        <v>84.02</v>
      </c>
      <c r="K2540">
        <v>18.7</v>
      </c>
      <c r="L2540" t="s">
        <v>11</v>
      </c>
      <c r="M2540">
        <v>0</v>
      </c>
      <c r="N2540" t="str">
        <f t="shared" si="117"/>
        <v>Under 40</v>
      </c>
      <c r="O2540" t="str">
        <f t="shared" si="118"/>
        <v>Normal</v>
      </c>
    </row>
    <row r="2541" spans="1:15" x14ac:dyDescent="0.3">
      <c r="A2541">
        <v>42172</v>
      </c>
      <c r="B2541" t="s">
        <v>7</v>
      </c>
      <c r="C2541">
        <v>24</v>
      </c>
      <c r="D2541">
        <v>0</v>
      </c>
      <c r="E2541">
        <v>0</v>
      </c>
      <c r="F2541" t="str">
        <f t="shared" si="119"/>
        <v>Lower Risk</v>
      </c>
      <c r="G2541" t="s">
        <v>3</v>
      </c>
      <c r="H2541" t="s">
        <v>8</v>
      </c>
      <c r="I2541" t="s">
        <v>9</v>
      </c>
      <c r="J2541">
        <v>69.72</v>
      </c>
      <c r="K2541">
        <v>29.6</v>
      </c>
      <c r="L2541" t="s">
        <v>11</v>
      </c>
      <c r="M2541">
        <v>0</v>
      </c>
      <c r="N2541" t="str">
        <f t="shared" si="117"/>
        <v>Under 40</v>
      </c>
      <c r="O2541" t="str">
        <f t="shared" si="118"/>
        <v>Overweight</v>
      </c>
    </row>
    <row r="2542" spans="1:15" x14ac:dyDescent="0.3">
      <c r="A2542">
        <v>14372</v>
      </c>
      <c r="B2542" t="s">
        <v>2</v>
      </c>
      <c r="C2542">
        <v>50</v>
      </c>
      <c r="D2542">
        <v>0</v>
      </c>
      <c r="E2542">
        <v>0</v>
      </c>
      <c r="F2542" t="str">
        <f t="shared" si="119"/>
        <v>Lower Risk</v>
      </c>
      <c r="G2542" t="s">
        <v>3</v>
      </c>
      <c r="H2542" t="s">
        <v>8</v>
      </c>
      <c r="I2542" t="s">
        <v>5</v>
      </c>
      <c r="J2542">
        <v>192.16</v>
      </c>
      <c r="K2542">
        <v>43.6</v>
      </c>
      <c r="L2542" t="s">
        <v>11</v>
      </c>
      <c r="M2542">
        <v>0</v>
      </c>
      <c r="N2542" t="str">
        <f t="shared" si="117"/>
        <v>40–59</v>
      </c>
      <c r="O2542" t="str">
        <f t="shared" si="118"/>
        <v>Obese</v>
      </c>
    </row>
    <row r="2543" spans="1:15" x14ac:dyDescent="0.3">
      <c r="A2543">
        <v>61252</v>
      </c>
      <c r="B2543" t="s">
        <v>2</v>
      </c>
      <c r="C2543">
        <v>79</v>
      </c>
      <c r="D2543">
        <v>0</v>
      </c>
      <c r="E2543">
        <v>1</v>
      </c>
      <c r="F2543" t="str">
        <f t="shared" si="119"/>
        <v>High Risk</v>
      </c>
      <c r="G2543" t="s">
        <v>3</v>
      </c>
      <c r="H2543" t="s">
        <v>4</v>
      </c>
      <c r="I2543" t="s">
        <v>9</v>
      </c>
      <c r="J2543">
        <v>82.27</v>
      </c>
      <c r="K2543" t="s">
        <v>10</v>
      </c>
      <c r="L2543" t="s">
        <v>11</v>
      </c>
      <c r="M2543">
        <v>0</v>
      </c>
      <c r="N2543" t="str">
        <f t="shared" si="117"/>
        <v>60+</v>
      </c>
      <c r="O2543" t="str">
        <f t="shared" si="118"/>
        <v>Unknown</v>
      </c>
    </row>
    <row r="2544" spans="1:15" x14ac:dyDescent="0.3">
      <c r="A2544">
        <v>15251</v>
      </c>
      <c r="B2544" t="s">
        <v>2</v>
      </c>
      <c r="C2544">
        <v>14</v>
      </c>
      <c r="D2544">
        <v>0</v>
      </c>
      <c r="E2544">
        <v>0</v>
      </c>
      <c r="F2544" t="str">
        <f t="shared" si="119"/>
        <v>Lower Risk</v>
      </c>
      <c r="G2544" t="s">
        <v>13</v>
      </c>
      <c r="H2544" t="s">
        <v>16</v>
      </c>
      <c r="I2544" t="s">
        <v>5</v>
      </c>
      <c r="J2544">
        <v>101.87</v>
      </c>
      <c r="K2544">
        <v>20.3</v>
      </c>
      <c r="L2544" t="s">
        <v>11</v>
      </c>
      <c r="M2544">
        <v>0</v>
      </c>
      <c r="N2544" t="str">
        <f t="shared" si="117"/>
        <v>Under 40</v>
      </c>
      <c r="O2544" t="str">
        <f t="shared" si="118"/>
        <v>Normal</v>
      </c>
    </row>
    <row r="2545" spans="1:15" x14ac:dyDescent="0.3">
      <c r="A2545">
        <v>67800</v>
      </c>
      <c r="B2545" t="s">
        <v>7</v>
      </c>
      <c r="C2545">
        <v>13</v>
      </c>
      <c r="D2545">
        <v>0</v>
      </c>
      <c r="E2545">
        <v>0</v>
      </c>
      <c r="F2545" t="str">
        <f t="shared" si="119"/>
        <v>Lower Risk</v>
      </c>
      <c r="G2545" t="s">
        <v>13</v>
      </c>
      <c r="H2545" t="s">
        <v>16</v>
      </c>
      <c r="I2545" t="s">
        <v>9</v>
      </c>
      <c r="J2545">
        <v>77.55</v>
      </c>
      <c r="K2545">
        <v>21.3</v>
      </c>
      <c r="L2545" t="s">
        <v>14</v>
      </c>
      <c r="M2545">
        <v>0</v>
      </c>
      <c r="N2545" t="str">
        <f t="shared" si="117"/>
        <v>Under 40</v>
      </c>
      <c r="O2545" t="str">
        <f t="shared" si="118"/>
        <v>Normal</v>
      </c>
    </row>
    <row r="2546" spans="1:15" x14ac:dyDescent="0.3">
      <c r="A2546">
        <v>10416</v>
      </c>
      <c r="B2546" t="s">
        <v>2</v>
      </c>
      <c r="C2546">
        <v>71</v>
      </c>
      <c r="D2546">
        <v>0</v>
      </c>
      <c r="E2546">
        <v>1</v>
      </c>
      <c r="F2546" t="str">
        <f t="shared" si="119"/>
        <v>High Risk</v>
      </c>
      <c r="G2546" t="s">
        <v>3</v>
      </c>
      <c r="H2546" t="s">
        <v>4</v>
      </c>
      <c r="I2546" t="s">
        <v>5</v>
      </c>
      <c r="J2546">
        <v>215.72</v>
      </c>
      <c r="K2546">
        <v>39.200000000000003</v>
      </c>
      <c r="L2546" t="s">
        <v>12</v>
      </c>
      <c r="M2546">
        <v>0</v>
      </c>
      <c r="N2546" t="str">
        <f t="shared" si="117"/>
        <v>60+</v>
      </c>
      <c r="O2546" t="str">
        <f t="shared" si="118"/>
        <v>Obese</v>
      </c>
    </row>
    <row r="2547" spans="1:15" x14ac:dyDescent="0.3">
      <c r="A2547">
        <v>19504</v>
      </c>
      <c r="B2547" t="s">
        <v>7</v>
      </c>
      <c r="C2547">
        <v>66</v>
      </c>
      <c r="D2547">
        <v>0</v>
      </c>
      <c r="E2547">
        <v>0</v>
      </c>
      <c r="F2547" t="str">
        <f t="shared" si="119"/>
        <v>Moderate Risk</v>
      </c>
      <c r="G2547" t="s">
        <v>3</v>
      </c>
      <c r="H2547" t="s">
        <v>4</v>
      </c>
      <c r="I2547" t="s">
        <v>9</v>
      </c>
      <c r="J2547">
        <v>87.84</v>
      </c>
      <c r="K2547">
        <v>52.8</v>
      </c>
      <c r="L2547" t="s">
        <v>14</v>
      </c>
      <c r="M2547">
        <v>0</v>
      </c>
      <c r="N2547" t="str">
        <f t="shared" si="117"/>
        <v>60+</v>
      </c>
      <c r="O2547" t="str">
        <f t="shared" si="118"/>
        <v>Obese</v>
      </c>
    </row>
    <row r="2548" spans="1:15" x14ac:dyDescent="0.3">
      <c r="A2548">
        <v>7476</v>
      </c>
      <c r="B2548" t="s">
        <v>2</v>
      </c>
      <c r="C2548">
        <v>32</v>
      </c>
      <c r="D2548">
        <v>0</v>
      </c>
      <c r="E2548">
        <v>0</v>
      </c>
      <c r="F2548" t="str">
        <f t="shared" si="119"/>
        <v>Lower Risk</v>
      </c>
      <c r="G2548" t="s">
        <v>13</v>
      </c>
      <c r="H2548" t="s">
        <v>15</v>
      </c>
      <c r="I2548" t="s">
        <v>9</v>
      </c>
      <c r="J2548">
        <v>91.93</v>
      </c>
      <c r="K2548">
        <v>30.2</v>
      </c>
      <c r="L2548" t="s">
        <v>11</v>
      </c>
      <c r="M2548">
        <v>0</v>
      </c>
      <c r="N2548" t="str">
        <f t="shared" si="117"/>
        <v>Under 40</v>
      </c>
      <c r="O2548" t="str">
        <f t="shared" si="118"/>
        <v>Obese</v>
      </c>
    </row>
    <row r="2549" spans="1:15" x14ac:dyDescent="0.3">
      <c r="A2549">
        <v>55526</v>
      </c>
      <c r="B2549" t="s">
        <v>2</v>
      </c>
      <c r="C2549">
        <v>46</v>
      </c>
      <c r="D2549">
        <v>0</v>
      </c>
      <c r="E2549">
        <v>0</v>
      </c>
      <c r="F2549" t="str">
        <f t="shared" si="119"/>
        <v>Lower Risk</v>
      </c>
      <c r="G2549" t="s">
        <v>3</v>
      </c>
      <c r="H2549" t="s">
        <v>15</v>
      </c>
      <c r="I2549" t="s">
        <v>5</v>
      </c>
      <c r="J2549">
        <v>58.63</v>
      </c>
      <c r="K2549">
        <v>35.299999999999997</v>
      </c>
      <c r="L2549" t="s">
        <v>11</v>
      </c>
      <c r="M2549">
        <v>0</v>
      </c>
      <c r="N2549" t="str">
        <f t="shared" si="117"/>
        <v>40–59</v>
      </c>
      <c r="O2549" t="str">
        <f t="shared" si="118"/>
        <v>Obese</v>
      </c>
    </row>
    <row r="2550" spans="1:15" x14ac:dyDescent="0.3">
      <c r="A2550">
        <v>452</v>
      </c>
      <c r="B2550" t="s">
        <v>2</v>
      </c>
      <c r="C2550">
        <v>48</v>
      </c>
      <c r="D2550">
        <v>1</v>
      </c>
      <c r="E2550">
        <v>0</v>
      </c>
      <c r="F2550" t="str">
        <f t="shared" si="119"/>
        <v>Lower Risk</v>
      </c>
      <c r="G2550" t="s">
        <v>3</v>
      </c>
      <c r="H2550" t="s">
        <v>4</v>
      </c>
      <c r="I2550" t="s">
        <v>5</v>
      </c>
      <c r="J2550">
        <v>173.14</v>
      </c>
      <c r="K2550">
        <v>37</v>
      </c>
      <c r="L2550" t="s">
        <v>12</v>
      </c>
      <c r="M2550">
        <v>0</v>
      </c>
      <c r="N2550" t="str">
        <f t="shared" si="117"/>
        <v>40–59</v>
      </c>
      <c r="O2550" t="str">
        <f t="shared" si="118"/>
        <v>Obese</v>
      </c>
    </row>
    <row r="2551" spans="1:15" x14ac:dyDescent="0.3">
      <c r="A2551">
        <v>55790</v>
      </c>
      <c r="B2551" t="s">
        <v>7</v>
      </c>
      <c r="C2551">
        <v>45</v>
      </c>
      <c r="D2551">
        <v>0</v>
      </c>
      <c r="E2551">
        <v>0</v>
      </c>
      <c r="F2551" t="str">
        <f t="shared" si="119"/>
        <v>Lower Risk</v>
      </c>
      <c r="G2551" t="s">
        <v>3</v>
      </c>
      <c r="H2551" t="s">
        <v>4</v>
      </c>
      <c r="I2551" t="s">
        <v>5</v>
      </c>
      <c r="J2551">
        <v>106.83</v>
      </c>
      <c r="K2551">
        <v>32.1</v>
      </c>
      <c r="L2551" t="s">
        <v>6</v>
      </c>
      <c r="M2551">
        <v>0</v>
      </c>
      <c r="N2551" t="str">
        <f t="shared" si="117"/>
        <v>40–59</v>
      </c>
      <c r="O2551" t="str">
        <f t="shared" si="118"/>
        <v>Obese</v>
      </c>
    </row>
    <row r="2552" spans="1:15" x14ac:dyDescent="0.3">
      <c r="A2552">
        <v>38541</v>
      </c>
      <c r="B2552" t="s">
        <v>2</v>
      </c>
      <c r="C2552">
        <v>55</v>
      </c>
      <c r="D2552">
        <v>0</v>
      </c>
      <c r="E2552">
        <v>0</v>
      </c>
      <c r="F2552" t="str">
        <f t="shared" si="119"/>
        <v>Lower Risk</v>
      </c>
      <c r="G2552" t="s">
        <v>3</v>
      </c>
      <c r="H2552" t="s">
        <v>4</v>
      </c>
      <c r="I2552" t="s">
        <v>5</v>
      </c>
      <c r="J2552">
        <v>84.44</v>
      </c>
      <c r="K2552">
        <v>30.5</v>
      </c>
      <c r="L2552" t="s">
        <v>6</v>
      </c>
      <c r="M2552">
        <v>0</v>
      </c>
      <c r="N2552" t="str">
        <f t="shared" si="117"/>
        <v>40–59</v>
      </c>
      <c r="O2552" t="str">
        <f t="shared" si="118"/>
        <v>Obese</v>
      </c>
    </row>
    <row r="2553" spans="1:15" x14ac:dyDescent="0.3">
      <c r="A2553">
        <v>23748</v>
      </c>
      <c r="B2553" t="s">
        <v>7</v>
      </c>
      <c r="C2553">
        <v>31</v>
      </c>
      <c r="D2553">
        <v>0</v>
      </c>
      <c r="E2553">
        <v>0</v>
      </c>
      <c r="F2553" t="str">
        <f t="shared" si="119"/>
        <v>Lower Risk</v>
      </c>
      <c r="G2553" t="s">
        <v>3</v>
      </c>
      <c r="H2553" t="s">
        <v>4</v>
      </c>
      <c r="I2553" t="s">
        <v>5</v>
      </c>
      <c r="J2553">
        <v>92.16</v>
      </c>
      <c r="K2553">
        <v>22.8</v>
      </c>
      <c r="L2553" t="s">
        <v>11</v>
      </c>
      <c r="M2553">
        <v>0</v>
      </c>
      <c r="N2553" t="str">
        <f t="shared" si="117"/>
        <v>Under 40</v>
      </c>
      <c r="O2553" t="str">
        <f t="shared" si="118"/>
        <v>Normal</v>
      </c>
    </row>
    <row r="2554" spans="1:15" x14ac:dyDescent="0.3">
      <c r="A2554">
        <v>18790</v>
      </c>
      <c r="B2554" t="s">
        <v>2</v>
      </c>
      <c r="C2554">
        <v>25</v>
      </c>
      <c r="D2554">
        <v>0</v>
      </c>
      <c r="E2554">
        <v>0</v>
      </c>
      <c r="F2554" t="str">
        <f t="shared" si="119"/>
        <v>Lower Risk</v>
      </c>
      <c r="G2554" t="s">
        <v>13</v>
      </c>
      <c r="H2554" t="s">
        <v>4</v>
      </c>
      <c r="I2554" t="s">
        <v>5</v>
      </c>
      <c r="J2554">
        <v>85.96</v>
      </c>
      <c r="K2554">
        <v>34.5</v>
      </c>
      <c r="L2554" t="s">
        <v>6</v>
      </c>
      <c r="M2554">
        <v>0</v>
      </c>
      <c r="N2554" t="str">
        <f t="shared" si="117"/>
        <v>Under 40</v>
      </c>
      <c r="O2554" t="str">
        <f t="shared" si="118"/>
        <v>Obese</v>
      </c>
    </row>
    <row r="2555" spans="1:15" x14ac:dyDescent="0.3">
      <c r="A2555">
        <v>45751</v>
      </c>
      <c r="B2555" t="s">
        <v>2</v>
      </c>
      <c r="C2555">
        <v>73</v>
      </c>
      <c r="D2555">
        <v>1</v>
      </c>
      <c r="E2555">
        <v>0</v>
      </c>
      <c r="F2555" t="str">
        <f t="shared" si="119"/>
        <v>High Risk</v>
      </c>
      <c r="G2555" t="s">
        <v>3</v>
      </c>
      <c r="H2555" t="s">
        <v>8</v>
      </c>
      <c r="I2555" t="s">
        <v>9</v>
      </c>
      <c r="J2555">
        <v>202.57</v>
      </c>
      <c r="K2555">
        <v>37.4</v>
      </c>
      <c r="L2555" t="s">
        <v>11</v>
      </c>
      <c r="M2555">
        <v>0</v>
      </c>
      <c r="N2555" t="str">
        <f t="shared" si="117"/>
        <v>60+</v>
      </c>
      <c r="O2555" t="str">
        <f t="shared" si="118"/>
        <v>Obese</v>
      </c>
    </row>
    <row r="2556" spans="1:15" x14ac:dyDescent="0.3">
      <c r="A2556">
        <v>72369</v>
      </c>
      <c r="B2556" t="s">
        <v>7</v>
      </c>
      <c r="C2556">
        <v>14</v>
      </c>
      <c r="D2556">
        <v>0</v>
      </c>
      <c r="E2556">
        <v>0</v>
      </c>
      <c r="F2556" t="str">
        <f t="shared" si="119"/>
        <v>Lower Risk</v>
      </c>
      <c r="G2556" t="s">
        <v>13</v>
      </c>
      <c r="H2556" t="s">
        <v>16</v>
      </c>
      <c r="I2556" t="s">
        <v>9</v>
      </c>
      <c r="J2556">
        <v>65.41</v>
      </c>
      <c r="K2556">
        <v>19.5</v>
      </c>
      <c r="L2556" t="s">
        <v>14</v>
      </c>
      <c r="M2556">
        <v>0</v>
      </c>
      <c r="N2556" t="str">
        <f t="shared" si="117"/>
        <v>Under 40</v>
      </c>
      <c r="O2556" t="str">
        <f t="shared" si="118"/>
        <v>Normal</v>
      </c>
    </row>
    <row r="2557" spans="1:15" x14ac:dyDescent="0.3">
      <c r="A2557">
        <v>7171</v>
      </c>
      <c r="B2557" t="s">
        <v>7</v>
      </c>
      <c r="C2557">
        <v>56</v>
      </c>
      <c r="D2557">
        <v>0</v>
      </c>
      <c r="E2557">
        <v>0</v>
      </c>
      <c r="F2557" t="str">
        <f t="shared" si="119"/>
        <v>Lower Risk</v>
      </c>
      <c r="G2557" t="s">
        <v>3</v>
      </c>
      <c r="H2557" t="s">
        <v>15</v>
      </c>
      <c r="I2557" t="s">
        <v>5</v>
      </c>
      <c r="J2557">
        <v>102.51</v>
      </c>
      <c r="K2557">
        <v>55.7</v>
      </c>
      <c r="L2557" t="s">
        <v>14</v>
      </c>
      <c r="M2557">
        <v>0</v>
      </c>
      <c r="N2557" t="str">
        <f t="shared" si="117"/>
        <v>40–59</v>
      </c>
      <c r="O2557" t="str">
        <f t="shared" si="118"/>
        <v>Obese</v>
      </c>
    </row>
    <row r="2558" spans="1:15" x14ac:dyDescent="0.3">
      <c r="A2558">
        <v>52826</v>
      </c>
      <c r="B2558" t="s">
        <v>2</v>
      </c>
      <c r="C2558">
        <v>60</v>
      </c>
      <c r="D2558">
        <v>0</v>
      </c>
      <c r="E2558">
        <v>0</v>
      </c>
      <c r="F2558" t="str">
        <f t="shared" si="119"/>
        <v>Moderate Risk</v>
      </c>
      <c r="G2558" t="s">
        <v>3</v>
      </c>
      <c r="H2558" t="s">
        <v>4</v>
      </c>
      <c r="I2558" t="s">
        <v>9</v>
      </c>
      <c r="J2558">
        <v>62.6</v>
      </c>
      <c r="K2558">
        <v>30.4</v>
      </c>
      <c r="L2558" t="s">
        <v>14</v>
      </c>
      <c r="M2558">
        <v>0</v>
      </c>
      <c r="N2558" t="str">
        <f t="shared" si="117"/>
        <v>60+</v>
      </c>
      <c r="O2558" t="str">
        <f t="shared" si="118"/>
        <v>Obese</v>
      </c>
    </row>
    <row r="2559" spans="1:15" x14ac:dyDescent="0.3">
      <c r="A2559">
        <v>42556</v>
      </c>
      <c r="B2559" t="s">
        <v>2</v>
      </c>
      <c r="C2559">
        <v>27</v>
      </c>
      <c r="D2559">
        <v>0</v>
      </c>
      <c r="E2559">
        <v>0</v>
      </c>
      <c r="F2559" t="str">
        <f t="shared" si="119"/>
        <v>Lower Risk</v>
      </c>
      <c r="G2559" t="s">
        <v>3</v>
      </c>
      <c r="H2559" t="s">
        <v>4</v>
      </c>
      <c r="I2559" t="s">
        <v>5</v>
      </c>
      <c r="J2559">
        <v>150.1</v>
      </c>
      <c r="K2559">
        <v>25.3</v>
      </c>
      <c r="L2559" t="s">
        <v>11</v>
      </c>
      <c r="M2559">
        <v>0</v>
      </c>
      <c r="N2559" t="str">
        <f t="shared" si="117"/>
        <v>Under 40</v>
      </c>
      <c r="O2559" t="str">
        <f t="shared" si="118"/>
        <v>Overweight</v>
      </c>
    </row>
    <row r="2560" spans="1:15" x14ac:dyDescent="0.3">
      <c r="A2560">
        <v>507</v>
      </c>
      <c r="B2560" t="s">
        <v>7</v>
      </c>
      <c r="C2560">
        <v>28</v>
      </c>
      <c r="D2560">
        <v>0</v>
      </c>
      <c r="E2560">
        <v>0</v>
      </c>
      <c r="F2560" t="str">
        <f t="shared" si="119"/>
        <v>Lower Risk</v>
      </c>
      <c r="G2560" t="s">
        <v>3</v>
      </c>
      <c r="H2560" t="s">
        <v>4</v>
      </c>
      <c r="I2560" t="s">
        <v>9</v>
      </c>
      <c r="J2560">
        <v>94.15</v>
      </c>
      <c r="K2560">
        <v>23.1</v>
      </c>
      <c r="L2560" t="s">
        <v>12</v>
      </c>
      <c r="M2560">
        <v>0</v>
      </c>
      <c r="N2560" t="str">
        <f t="shared" si="117"/>
        <v>Under 40</v>
      </c>
      <c r="O2560" t="str">
        <f t="shared" si="118"/>
        <v>Normal</v>
      </c>
    </row>
    <row r="2561" spans="1:15" x14ac:dyDescent="0.3">
      <c r="A2561">
        <v>56746</v>
      </c>
      <c r="B2561" t="s">
        <v>2</v>
      </c>
      <c r="C2561">
        <v>46</v>
      </c>
      <c r="D2561">
        <v>1</v>
      </c>
      <c r="E2561">
        <v>0</v>
      </c>
      <c r="F2561" t="str">
        <f t="shared" si="119"/>
        <v>Lower Risk</v>
      </c>
      <c r="G2561" t="s">
        <v>3</v>
      </c>
      <c r="H2561" t="s">
        <v>4</v>
      </c>
      <c r="I2561" t="s">
        <v>5</v>
      </c>
      <c r="J2561">
        <v>65.5</v>
      </c>
      <c r="K2561">
        <v>30.7</v>
      </c>
      <c r="L2561" t="s">
        <v>11</v>
      </c>
      <c r="M2561">
        <v>0</v>
      </c>
      <c r="N2561" t="str">
        <f t="shared" si="117"/>
        <v>40–59</v>
      </c>
      <c r="O2561" t="str">
        <f t="shared" si="118"/>
        <v>Obese</v>
      </c>
    </row>
    <row r="2562" spans="1:15" x14ac:dyDescent="0.3">
      <c r="A2562">
        <v>54072</v>
      </c>
      <c r="B2562" t="s">
        <v>7</v>
      </c>
      <c r="C2562">
        <v>11</v>
      </c>
      <c r="D2562">
        <v>0</v>
      </c>
      <c r="E2562">
        <v>0</v>
      </c>
      <c r="F2562" t="str">
        <f t="shared" si="119"/>
        <v>Lower Risk</v>
      </c>
      <c r="G2562" t="s">
        <v>13</v>
      </c>
      <c r="H2562" t="s">
        <v>16</v>
      </c>
      <c r="I2562" t="s">
        <v>5</v>
      </c>
      <c r="J2562">
        <v>81.31</v>
      </c>
      <c r="K2562">
        <v>18.8</v>
      </c>
      <c r="L2562" t="s">
        <v>11</v>
      </c>
      <c r="M2562">
        <v>0</v>
      </c>
      <c r="N2562" t="str">
        <f t="shared" ref="N2562:N2625" si="120">IF(C2562&lt;40,"Under 40",IF(C2562&lt;60,"40–59","60+"))</f>
        <v>Under 40</v>
      </c>
      <c r="O2562" t="str">
        <f t="shared" ref="O2562:O2625" si="121">IF(K2562="N/A","Unknown",
IF(K2562="","Unknown",
IF(K2562&lt;18.5,"Underweight",
IF(K2562&lt;25,"Normal",
IF(K2562&lt;30,"Overweight","Obese")))))</f>
        <v>Normal</v>
      </c>
    </row>
    <row r="2563" spans="1:15" x14ac:dyDescent="0.3">
      <c r="A2563">
        <v>49760</v>
      </c>
      <c r="B2563" t="s">
        <v>7</v>
      </c>
      <c r="C2563">
        <v>63</v>
      </c>
      <c r="D2563">
        <v>0</v>
      </c>
      <c r="E2563">
        <v>0</v>
      </c>
      <c r="F2563" t="str">
        <f t="shared" ref="F2563:F2626" si="122">IF(C2563&gt;=60,
IF(OR(D2563=1,E2563=1),"High Risk","Moderate Risk"),
"Lower Risk")</f>
        <v>Moderate Risk</v>
      </c>
      <c r="G2563" t="s">
        <v>3</v>
      </c>
      <c r="H2563" t="s">
        <v>4</v>
      </c>
      <c r="I2563" t="s">
        <v>9</v>
      </c>
      <c r="J2563">
        <v>78.959999999999994</v>
      </c>
      <c r="K2563">
        <v>28.6</v>
      </c>
      <c r="L2563" t="s">
        <v>11</v>
      </c>
      <c r="M2563">
        <v>0</v>
      </c>
      <c r="N2563" t="str">
        <f t="shared" si="120"/>
        <v>60+</v>
      </c>
      <c r="O2563" t="str">
        <f t="shared" si="121"/>
        <v>Overweight</v>
      </c>
    </row>
    <row r="2564" spans="1:15" x14ac:dyDescent="0.3">
      <c r="A2564">
        <v>61821</v>
      </c>
      <c r="B2564" t="s">
        <v>7</v>
      </c>
      <c r="C2564">
        <v>59</v>
      </c>
      <c r="D2564">
        <v>0</v>
      </c>
      <c r="E2564">
        <v>0</v>
      </c>
      <c r="F2564" t="str">
        <f t="shared" si="122"/>
        <v>Lower Risk</v>
      </c>
      <c r="G2564" t="s">
        <v>3</v>
      </c>
      <c r="H2564" t="s">
        <v>4</v>
      </c>
      <c r="I2564" t="s">
        <v>9</v>
      </c>
      <c r="J2564">
        <v>123.47</v>
      </c>
      <c r="K2564">
        <v>27.5</v>
      </c>
      <c r="L2564" t="s">
        <v>14</v>
      </c>
      <c r="M2564">
        <v>0</v>
      </c>
      <c r="N2564" t="str">
        <f t="shared" si="120"/>
        <v>40–59</v>
      </c>
      <c r="O2564" t="str">
        <f t="shared" si="121"/>
        <v>Overweight</v>
      </c>
    </row>
    <row r="2565" spans="1:15" x14ac:dyDescent="0.3">
      <c r="A2565">
        <v>65481</v>
      </c>
      <c r="B2565" t="s">
        <v>2</v>
      </c>
      <c r="C2565">
        <v>57</v>
      </c>
      <c r="D2565">
        <v>0</v>
      </c>
      <c r="E2565">
        <v>0</v>
      </c>
      <c r="F2565" t="str">
        <f t="shared" si="122"/>
        <v>Lower Risk</v>
      </c>
      <c r="G2565" t="s">
        <v>3</v>
      </c>
      <c r="H2565" t="s">
        <v>4</v>
      </c>
      <c r="I2565" t="s">
        <v>5</v>
      </c>
      <c r="J2565">
        <v>90.4</v>
      </c>
      <c r="K2565">
        <v>26.5</v>
      </c>
      <c r="L2565" t="s">
        <v>11</v>
      </c>
      <c r="M2565">
        <v>0</v>
      </c>
      <c r="N2565" t="str">
        <f t="shared" si="120"/>
        <v>40–59</v>
      </c>
      <c r="O2565" t="str">
        <f t="shared" si="121"/>
        <v>Overweight</v>
      </c>
    </row>
    <row r="2566" spans="1:15" x14ac:dyDescent="0.3">
      <c r="A2566">
        <v>6174</v>
      </c>
      <c r="B2566" t="s">
        <v>7</v>
      </c>
      <c r="C2566">
        <v>35</v>
      </c>
      <c r="D2566">
        <v>0</v>
      </c>
      <c r="E2566">
        <v>0</v>
      </c>
      <c r="F2566" t="str">
        <f t="shared" si="122"/>
        <v>Lower Risk</v>
      </c>
      <c r="G2566" t="s">
        <v>13</v>
      </c>
      <c r="H2566" t="s">
        <v>4</v>
      </c>
      <c r="I2566" t="s">
        <v>5</v>
      </c>
      <c r="J2566">
        <v>71.59</v>
      </c>
      <c r="K2566">
        <v>40.299999999999997</v>
      </c>
      <c r="L2566" t="s">
        <v>11</v>
      </c>
      <c r="M2566">
        <v>0</v>
      </c>
      <c r="N2566" t="str">
        <f t="shared" si="120"/>
        <v>Under 40</v>
      </c>
      <c r="O2566" t="str">
        <f t="shared" si="121"/>
        <v>Obese</v>
      </c>
    </row>
    <row r="2567" spans="1:15" x14ac:dyDescent="0.3">
      <c r="A2567">
        <v>68224</v>
      </c>
      <c r="B2567" t="s">
        <v>2</v>
      </c>
      <c r="C2567">
        <v>54</v>
      </c>
      <c r="D2567">
        <v>0</v>
      </c>
      <c r="E2567">
        <v>0</v>
      </c>
      <c r="F2567" t="str">
        <f t="shared" si="122"/>
        <v>Lower Risk</v>
      </c>
      <c r="G2567" t="s">
        <v>3</v>
      </c>
      <c r="H2567" t="s">
        <v>4</v>
      </c>
      <c r="I2567" t="s">
        <v>9</v>
      </c>
      <c r="J2567">
        <v>209.5</v>
      </c>
      <c r="K2567">
        <v>37.9</v>
      </c>
      <c r="L2567" t="s">
        <v>6</v>
      </c>
      <c r="M2567">
        <v>0</v>
      </c>
      <c r="N2567" t="str">
        <f t="shared" si="120"/>
        <v>40–59</v>
      </c>
      <c r="O2567" t="str">
        <f t="shared" si="121"/>
        <v>Obese</v>
      </c>
    </row>
    <row r="2568" spans="1:15" x14ac:dyDescent="0.3">
      <c r="A2568">
        <v>61559</v>
      </c>
      <c r="B2568" t="s">
        <v>2</v>
      </c>
      <c r="C2568">
        <v>7</v>
      </c>
      <c r="D2568">
        <v>0</v>
      </c>
      <c r="E2568">
        <v>0</v>
      </c>
      <c r="F2568" t="str">
        <f t="shared" si="122"/>
        <v>Lower Risk</v>
      </c>
      <c r="G2568" t="s">
        <v>13</v>
      </c>
      <c r="H2568" t="s">
        <v>16</v>
      </c>
      <c r="I2568" t="s">
        <v>5</v>
      </c>
      <c r="J2568">
        <v>86.6</v>
      </c>
      <c r="K2568">
        <v>17.100000000000001</v>
      </c>
      <c r="L2568" t="s">
        <v>14</v>
      </c>
      <c r="M2568">
        <v>0</v>
      </c>
      <c r="N2568" t="str">
        <f t="shared" si="120"/>
        <v>Under 40</v>
      </c>
      <c r="O2568" t="str">
        <f t="shared" si="121"/>
        <v>Underweight</v>
      </c>
    </row>
    <row r="2569" spans="1:15" x14ac:dyDescent="0.3">
      <c r="A2569">
        <v>65564</v>
      </c>
      <c r="B2569" t="s">
        <v>7</v>
      </c>
      <c r="C2569">
        <v>48</v>
      </c>
      <c r="D2569">
        <v>0</v>
      </c>
      <c r="E2569">
        <v>0</v>
      </c>
      <c r="F2569" t="str">
        <f t="shared" si="122"/>
        <v>Lower Risk</v>
      </c>
      <c r="G2569" t="s">
        <v>3</v>
      </c>
      <c r="H2569" t="s">
        <v>4</v>
      </c>
      <c r="I2569" t="s">
        <v>5</v>
      </c>
      <c r="J2569">
        <v>57.43</v>
      </c>
      <c r="K2569">
        <v>53.5</v>
      </c>
      <c r="L2569" t="s">
        <v>6</v>
      </c>
      <c r="M2569">
        <v>0</v>
      </c>
      <c r="N2569" t="str">
        <f t="shared" si="120"/>
        <v>40–59</v>
      </c>
      <c r="O2569" t="str">
        <f t="shared" si="121"/>
        <v>Obese</v>
      </c>
    </row>
    <row r="2570" spans="1:15" x14ac:dyDescent="0.3">
      <c r="A2570">
        <v>18890</v>
      </c>
      <c r="B2570" t="s">
        <v>2</v>
      </c>
      <c r="C2570">
        <v>69</v>
      </c>
      <c r="D2570">
        <v>1</v>
      </c>
      <c r="E2570">
        <v>0</v>
      </c>
      <c r="F2570" t="str">
        <f t="shared" si="122"/>
        <v>High Risk</v>
      </c>
      <c r="G2570" t="s">
        <v>3</v>
      </c>
      <c r="H2570" t="s">
        <v>4</v>
      </c>
      <c r="I2570" t="s">
        <v>9</v>
      </c>
      <c r="J2570">
        <v>87.93</v>
      </c>
      <c r="K2570">
        <v>33.6</v>
      </c>
      <c r="L2570" t="s">
        <v>11</v>
      </c>
      <c r="M2570">
        <v>0</v>
      </c>
      <c r="N2570" t="str">
        <f t="shared" si="120"/>
        <v>60+</v>
      </c>
      <c r="O2570" t="str">
        <f t="shared" si="121"/>
        <v>Obese</v>
      </c>
    </row>
    <row r="2571" spans="1:15" x14ac:dyDescent="0.3">
      <c r="A2571">
        <v>58936</v>
      </c>
      <c r="B2571" t="s">
        <v>2</v>
      </c>
      <c r="C2571">
        <v>59</v>
      </c>
      <c r="D2571">
        <v>0</v>
      </c>
      <c r="E2571">
        <v>0</v>
      </c>
      <c r="F2571" t="str">
        <f t="shared" si="122"/>
        <v>Lower Risk</v>
      </c>
      <c r="G2571" t="s">
        <v>3</v>
      </c>
      <c r="H2571" t="s">
        <v>4</v>
      </c>
      <c r="I2571" t="s">
        <v>9</v>
      </c>
      <c r="J2571">
        <v>203.16</v>
      </c>
      <c r="K2571">
        <v>43.4</v>
      </c>
      <c r="L2571" t="s">
        <v>14</v>
      </c>
      <c r="M2571">
        <v>0</v>
      </c>
      <c r="N2571" t="str">
        <f t="shared" si="120"/>
        <v>40–59</v>
      </c>
      <c r="O2571" t="str">
        <f t="shared" si="121"/>
        <v>Obese</v>
      </c>
    </row>
    <row r="2572" spans="1:15" x14ac:dyDescent="0.3">
      <c r="A2572">
        <v>67667</v>
      </c>
      <c r="B2572" t="s">
        <v>7</v>
      </c>
      <c r="C2572">
        <v>72</v>
      </c>
      <c r="D2572">
        <v>1</v>
      </c>
      <c r="E2572">
        <v>0</v>
      </c>
      <c r="F2572" t="str">
        <f t="shared" si="122"/>
        <v>High Risk</v>
      </c>
      <c r="G2572" t="s">
        <v>3</v>
      </c>
      <c r="H2572" t="s">
        <v>8</v>
      </c>
      <c r="I2572" t="s">
        <v>9</v>
      </c>
      <c r="J2572">
        <v>112.12</v>
      </c>
      <c r="K2572">
        <v>30.5</v>
      </c>
      <c r="L2572" t="s">
        <v>11</v>
      </c>
      <c r="M2572">
        <v>0</v>
      </c>
      <c r="N2572" t="str">
        <f t="shared" si="120"/>
        <v>60+</v>
      </c>
      <c r="O2572" t="str">
        <f t="shared" si="121"/>
        <v>Obese</v>
      </c>
    </row>
    <row r="2573" spans="1:15" x14ac:dyDescent="0.3">
      <c r="A2573">
        <v>68138</v>
      </c>
      <c r="B2573" t="s">
        <v>2</v>
      </c>
      <c r="C2573">
        <v>49</v>
      </c>
      <c r="D2573">
        <v>0</v>
      </c>
      <c r="E2573">
        <v>0</v>
      </c>
      <c r="F2573" t="str">
        <f t="shared" si="122"/>
        <v>Lower Risk</v>
      </c>
      <c r="G2573" t="s">
        <v>3</v>
      </c>
      <c r="H2573" t="s">
        <v>4</v>
      </c>
      <c r="I2573" t="s">
        <v>5</v>
      </c>
      <c r="J2573">
        <v>92.02</v>
      </c>
      <c r="K2573">
        <v>38.1</v>
      </c>
      <c r="L2573" t="s">
        <v>11</v>
      </c>
      <c r="M2573">
        <v>0</v>
      </c>
      <c r="N2573" t="str">
        <f t="shared" si="120"/>
        <v>40–59</v>
      </c>
      <c r="O2573" t="str">
        <f t="shared" si="121"/>
        <v>Obese</v>
      </c>
    </row>
    <row r="2574" spans="1:15" x14ac:dyDescent="0.3">
      <c r="A2574">
        <v>50363</v>
      </c>
      <c r="B2574" t="s">
        <v>7</v>
      </c>
      <c r="C2574">
        <v>73</v>
      </c>
      <c r="D2574">
        <v>1</v>
      </c>
      <c r="E2574">
        <v>0</v>
      </c>
      <c r="F2574" t="str">
        <f t="shared" si="122"/>
        <v>High Risk</v>
      </c>
      <c r="G2574" t="s">
        <v>3</v>
      </c>
      <c r="H2574" t="s">
        <v>4</v>
      </c>
      <c r="I2574" t="s">
        <v>9</v>
      </c>
      <c r="J2574">
        <v>60.98</v>
      </c>
      <c r="K2574">
        <v>29.9</v>
      </c>
      <c r="L2574" t="s">
        <v>6</v>
      </c>
      <c r="M2574">
        <v>0</v>
      </c>
      <c r="N2574" t="str">
        <f t="shared" si="120"/>
        <v>60+</v>
      </c>
      <c r="O2574" t="str">
        <f t="shared" si="121"/>
        <v>Overweight</v>
      </c>
    </row>
    <row r="2575" spans="1:15" x14ac:dyDescent="0.3">
      <c r="A2575">
        <v>4740</v>
      </c>
      <c r="B2575" t="s">
        <v>7</v>
      </c>
      <c r="C2575">
        <v>24</v>
      </c>
      <c r="D2575">
        <v>0</v>
      </c>
      <c r="E2575">
        <v>0</v>
      </c>
      <c r="F2575" t="str">
        <f t="shared" si="122"/>
        <v>Lower Risk</v>
      </c>
      <c r="G2575" t="s">
        <v>13</v>
      </c>
      <c r="H2575" t="s">
        <v>4</v>
      </c>
      <c r="I2575" t="s">
        <v>5</v>
      </c>
      <c r="J2575">
        <v>86.35</v>
      </c>
      <c r="K2575">
        <v>32.700000000000003</v>
      </c>
      <c r="L2575" t="s">
        <v>11</v>
      </c>
      <c r="M2575">
        <v>0</v>
      </c>
      <c r="N2575" t="str">
        <f t="shared" si="120"/>
        <v>Under 40</v>
      </c>
      <c r="O2575" t="str">
        <f t="shared" si="121"/>
        <v>Obese</v>
      </c>
    </row>
    <row r="2576" spans="1:15" x14ac:dyDescent="0.3">
      <c r="A2576">
        <v>39683</v>
      </c>
      <c r="B2576" t="s">
        <v>2</v>
      </c>
      <c r="C2576">
        <v>26</v>
      </c>
      <c r="D2576">
        <v>0</v>
      </c>
      <c r="E2576">
        <v>0</v>
      </c>
      <c r="F2576" t="str">
        <f t="shared" si="122"/>
        <v>Lower Risk</v>
      </c>
      <c r="G2576" t="s">
        <v>13</v>
      </c>
      <c r="H2576" t="s">
        <v>4</v>
      </c>
      <c r="I2576" t="s">
        <v>9</v>
      </c>
      <c r="J2576">
        <v>71.260000000000005</v>
      </c>
      <c r="K2576">
        <v>28.6</v>
      </c>
      <c r="L2576" t="s">
        <v>14</v>
      </c>
      <c r="M2576">
        <v>0</v>
      </c>
      <c r="N2576" t="str">
        <f t="shared" si="120"/>
        <v>Under 40</v>
      </c>
      <c r="O2576" t="str">
        <f t="shared" si="121"/>
        <v>Overweight</v>
      </c>
    </row>
    <row r="2577" spans="1:15" x14ac:dyDescent="0.3">
      <c r="A2577">
        <v>49903</v>
      </c>
      <c r="B2577" t="s">
        <v>2</v>
      </c>
      <c r="C2577">
        <v>27</v>
      </c>
      <c r="D2577">
        <v>0</v>
      </c>
      <c r="E2577">
        <v>0</v>
      </c>
      <c r="F2577" t="str">
        <f t="shared" si="122"/>
        <v>Lower Risk</v>
      </c>
      <c r="G2577" t="s">
        <v>13</v>
      </c>
      <c r="H2577" t="s">
        <v>4</v>
      </c>
      <c r="I2577" t="s">
        <v>5</v>
      </c>
      <c r="J2577">
        <v>72.61</v>
      </c>
      <c r="K2577">
        <v>38.5</v>
      </c>
      <c r="L2577" t="s">
        <v>11</v>
      </c>
      <c r="M2577">
        <v>0</v>
      </c>
      <c r="N2577" t="str">
        <f t="shared" si="120"/>
        <v>Under 40</v>
      </c>
      <c r="O2577" t="str">
        <f t="shared" si="121"/>
        <v>Obese</v>
      </c>
    </row>
    <row r="2578" spans="1:15" x14ac:dyDescent="0.3">
      <c r="A2578">
        <v>63457</v>
      </c>
      <c r="B2578" t="s">
        <v>7</v>
      </c>
      <c r="C2578">
        <v>78</v>
      </c>
      <c r="D2578">
        <v>0</v>
      </c>
      <c r="E2578">
        <v>1</v>
      </c>
      <c r="F2578" t="str">
        <f t="shared" si="122"/>
        <v>High Risk</v>
      </c>
      <c r="G2578" t="s">
        <v>13</v>
      </c>
      <c r="H2578" t="s">
        <v>8</v>
      </c>
      <c r="I2578" t="s">
        <v>5</v>
      </c>
      <c r="J2578">
        <v>110.78</v>
      </c>
      <c r="K2578">
        <v>22.9</v>
      </c>
      <c r="L2578" t="s">
        <v>11</v>
      </c>
      <c r="M2578">
        <v>0</v>
      </c>
      <c r="N2578" t="str">
        <f t="shared" si="120"/>
        <v>60+</v>
      </c>
      <c r="O2578" t="str">
        <f t="shared" si="121"/>
        <v>Normal</v>
      </c>
    </row>
    <row r="2579" spans="1:15" x14ac:dyDescent="0.3">
      <c r="A2579">
        <v>18595</v>
      </c>
      <c r="B2579" t="s">
        <v>7</v>
      </c>
      <c r="C2579">
        <v>77</v>
      </c>
      <c r="D2579">
        <v>0</v>
      </c>
      <c r="E2579">
        <v>0</v>
      </c>
      <c r="F2579" t="str">
        <f t="shared" si="122"/>
        <v>Moderate Risk</v>
      </c>
      <c r="G2579" t="s">
        <v>3</v>
      </c>
      <c r="H2579" t="s">
        <v>4</v>
      </c>
      <c r="I2579" t="s">
        <v>5</v>
      </c>
      <c r="J2579">
        <v>99.78</v>
      </c>
      <c r="K2579">
        <v>38</v>
      </c>
      <c r="L2579" t="s">
        <v>11</v>
      </c>
      <c r="M2579">
        <v>0</v>
      </c>
      <c r="N2579" t="str">
        <f t="shared" si="120"/>
        <v>60+</v>
      </c>
      <c r="O2579" t="str">
        <f t="shared" si="121"/>
        <v>Obese</v>
      </c>
    </row>
    <row r="2580" spans="1:15" x14ac:dyDescent="0.3">
      <c r="A2580">
        <v>64912</v>
      </c>
      <c r="B2580" t="s">
        <v>7</v>
      </c>
      <c r="C2580">
        <v>59</v>
      </c>
      <c r="D2580">
        <v>0</v>
      </c>
      <c r="E2580">
        <v>0</v>
      </c>
      <c r="F2580" t="str">
        <f t="shared" si="122"/>
        <v>Lower Risk</v>
      </c>
      <c r="G2580" t="s">
        <v>3</v>
      </c>
      <c r="H2580" t="s">
        <v>8</v>
      </c>
      <c r="I2580" t="s">
        <v>9</v>
      </c>
      <c r="J2580">
        <v>201.45</v>
      </c>
      <c r="K2580">
        <v>43.8</v>
      </c>
      <c r="L2580" t="s">
        <v>12</v>
      </c>
      <c r="M2580">
        <v>0</v>
      </c>
      <c r="N2580" t="str">
        <f t="shared" si="120"/>
        <v>40–59</v>
      </c>
      <c r="O2580" t="str">
        <f t="shared" si="121"/>
        <v>Obese</v>
      </c>
    </row>
    <row r="2581" spans="1:15" x14ac:dyDescent="0.3">
      <c r="A2581">
        <v>68382</v>
      </c>
      <c r="B2581" t="s">
        <v>2</v>
      </c>
      <c r="C2581">
        <v>0.32</v>
      </c>
      <c r="D2581">
        <v>0</v>
      </c>
      <c r="E2581">
        <v>0</v>
      </c>
      <c r="F2581" t="str">
        <f t="shared" si="122"/>
        <v>Lower Risk</v>
      </c>
      <c r="G2581" t="s">
        <v>13</v>
      </c>
      <c r="H2581" t="s">
        <v>16</v>
      </c>
      <c r="I2581" t="s">
        <v>5</v>
      </c>
      <c r="J2581">
        <v>127.78</v>
      </c>
      <c r="K2581">
        <v>20.8</v>
      </c>
      <c r="L2581" t="s">
        <v>14</v>
      </c>
      <c r="M2581">
        <v>0</v>
      </c>
      <c r="N2581" t="str">
        <f t="shared" si="120"/>
        <v>Under 40</v>
      </c>
      <c r="O2581" t="str">
        <f t="shared" si="121"/>
        <v>Normal</v>
      </c>
    </row>
    <row r="2582" spans="1:15" x14ac:dyDescent="0.3">
      <c r="A2582">
        <v>69510</v>
      </c>
      <c r="B2582" t="s">
        <v>2</v>
      </c>
      <c r="C2582">
        <v>39</v>
      </c>
      <c r="D2582">
        <v>0</v>
      </c>
      <c r="E2582">
        <v>0</v>
      </c>
      <c r="F2582" t="str">
        <f t="shared" si="122"/>
        <v>Lower Risk</v>
      </c>
      <c r="G2582" t="s">
        <v>3</v>
      </c>
      <c r="H2582" t="s">
        <v>4</v>
      </c>
      <c r="I2582" t="s">
        <v>9</v>
      </c>
      <c r="J2582">
        <v>121.32</v>
      </c>
      <c r="K2582">
        <v>26.8</v>
      </c>
      <c r="L2582" t="s">
        <v>11</v>
      </c>
      <c r="M2582">
        <v>0</v>
      </c>
      <c r="N2582" t="str">
        <f t="shared" si="120"/>
        <v>Under 40</v>
      </c>
      <c r="O2582" t="str">
        <f t="shared" si="121"/>
        <v>Overweight</v>
      </c>
    </row>
    <row r="2583" spans="1:15" x14ac:dyDescent="0.3">
      <c r="A2583">
        <v>29872</v>
      </c>
      <c r="B2583" t="s">
        <v>7</v>
      </c>
      <c r="C2583">
        <v>35</v>
      </c>
      <c r="D2583">
        <v>0</v>
      </c>
      <c r="E2583">
        <v>0</v>
      </c>
      <c r="F2583" t="str">
        <f t="shared" si="122"/>
        <v>Lower Risk</v>
      </c>
      <c r="G2583" t="s">
        <v>3</v>
      </c>
      <c r="H2583" t="s">
        <v>4</v>
      </c>
      <c r="I2583" t="s">
        <v>5</v>
      </c>
      <c r="J2583">
        <v>83.89</v>
      </c>
      <c r="K2583">
        <v>25.5</v>
      </c>
      <c r="L2583" t="s">
        <v>11</v>
      </c>
      <c r="M2583">
        <v>0</v>
      </c>
      <c r="N2583" t="str">
        <f t="shared" si="120"/>
        <v>Under 40</v>
      </c>
      <c r="O2583" t="str">
        <f t="shared" si="121"/>
        <v>Overweight</v>
      </c>
    </row>
    <row r="2584" spans="1:15" x14ac:dyDescent="0.3">
      <c r="A2584">
        <v>1924</v>
      </c>
      <c r="B2584" t="s">
        <v>2</v>
      </c>
      <c r="C2584">
        <v>54</v>
      </c>
      <c r="D2584">
        <v>0</v>
      </c>
      <c r="E2584">
        <v>0</v>
      </c>
      <c r="F2584" t="str">
        <f t="shared" si="122"/>
        <v>Lower Risk</v>
      </c>
      <c r="G2584" t="s">
        <v>3</v>
      </c>
      <c r="H2584" t="s">
        <v>4</v>
      </c>
      <c r="I2584" t="s">
        <v>9</v>
      </c>
      <c r="J2584">
        <v>74.06</v>
      </c>
      <c r="K2584" t="s">
        <v>10</v>
      </c>
      <c r="L2584" t="s">
        <v>11</v>
      </c>
      <c r="M2584">
        <v>0</v>
      </c>
      <c r="N2584" t="str">
        <f t="shared" si="120"/>
        <v>40–59</v>
      </c>
      <c r="O2584" t="str">
        <f t="shared" si="121"/>
        <v>Unknown</v>
      </c>
    </row>
    <row r="2585" spans="1:15" x14ac:dyDescent="0.3">
      <c r="A2585">
        <v>67243</v>
      </c>
      <c r="B2585" t="s">
        <v>7</v>
      </c>
      <c r="C2585">
        <v>75</v>
      </c>
      <c r="D2585">
        <v>0</v>
      </c>
      <c r="E2585">
        <v>1</v>
      </c>
      <c r="F2585" t="str">
        <f t="shared" si="122"/>
        <v>High Risk</v>
      </c>
      <c r="G2585" t="s">
        <v>3</v>
      </c>
      <c r="H2585" t="s">
        <v>4</v>
      </c>
      <c r="I2585" t="s">
        <v>5</v>
      </c>
      <c r="J2585">
        <v>206.15</v>
      </c>
      <c r="K2585">
        <v>25.4</v>
      </c>
      <c r="L2585" t="s">
        <v>11</v>
      </c>
      <c r="M2585">
        <v>0</v>
      </c>
      <c r="N2585" t="str">
        <f t="shared" si="120"/>
        <v>60+</v>
      </c>
      <c r="O2585" t="str">
        <f t="shared" si="121"/>
        <v>Overweight</v>
      </c>
    </row>
    <row r="2586" spans="1:15" x14ac:dyDescent="0.3">
      <c r="A2586">
        <v>3494</v>
      </c>
      <c r="B2586" t="s">
        <v>7</v>
      </c>
      <c r="C2586">
        <v>80</v>
      </c>
      <c r="D2586">
        <v>0</v>
      </c>
      <c r="E2586">
        <v>0</v>
      </c>
      <c r="F2586" t="str">
        <f t="shared" si="122"/>
        <v>Moderate Risk</v>
      </c>
      <c r="G2586" t="s">
        <v>3</v>
      </c>
      <c r="H2586" t="s">
        <v>4</v>
      </c>
      <c r="I2586" t="s">
        <v>9</v>
      </c>
      <c r="J2586">
        <v>102.9</v>
      </c>
      <c r="K2586">
        <v>26.7</v>
      </c>
      <c r="L2586" t="s">
        <v>14</v>
      </c>
      <c r="M2586">
        <v>0</v>
      </c>
      <c r="N2586" t="str">
        <f t="shared" si="120"/>
        <v>60+</v>
      </c>
      <c r="O2586" t="str">
        <f t="shared" si="121"/>
        <v>Overweight</v>
      </c>
    </row>
    <row r="2587" spans="1:15" x14ac:dyDescent="0.3">
      <c r="A2587">
        <v>37307</v>
      </c>
      <c r="B2587" t="s">
        <v>7</v>
      </c>
      <c r="C2587">
        <v>35</v>
      </c>
      <c r="D2587">
        <v>0</v>
      </c>
      <c r="E2587">
        <v>0</v>
      </c>
      <c r="F2587" t="str">
        <f t="shared" si="122"/>
        <v>Lower Risk</v>
      </c>
      <c r="G2587" t="s">
        <v>3</v>
      </c>
      <c r="H2587" t="s">
        <v>4</v>
      </c>
      <c r="I2587" t="s">
        <v>5</v>
      </c>
      <c r="J2587">
        <v>65.48</v>
      </c>
      <c r="K2587">
        <v>50.5</v>
      </c>
      <c r="L2587" t="s">
        <v>11</v>
      </c>
      <c r="M2587">
        <v>0</v>
      </c>
      <c r="N2587" t="str">
        <f t="shared" si="120"/>
        <v>Under 40</v>
      </c>
      <c r="O2587" t="str">
        <f t="shared" si="121"/>
        <v>Obese</v>
      </c>
    </row>
    <row r="2588" spans="1:15" x14ac:dyDescent="0.3">
      <c r="A2588">
        <v>41175</v>
      </c>
      <c r="B2588" t="s">
        <v>7</v>
      </c>
      <c r="C2588">
        <v>22</v>
      </c>
      <c r="D2588">
        <v>0</v>
      </c>
      <c r="E2588">
        <v>0</v>
      </c>
      <c r="F2588" t="str">
        <f t="shared" si="122"/>
        <v>Lower Risk</v>
      </c>
      <c r="G2588" t="s">
        <v>13</v>
      </c>
      <c r="H2588" t="s">
        <v>15</v>
      </c>
      <c r="I2588" t="s">
        <v>5</v>
      </c>
      <c r="J2588">
        <v>123.23</v>
      </c>
      <c r="K2588">
        <v>21.3</v>
      </c>
      <c r="L2588" t="s">
        <v>14</v>
      </c>
      <c r="M2588">
        <v>0</v>
      </c>
      <c r="N2588" t="str">
        <f t="shared" si="120"/>
        <v>Under 40</v>
      </c>
      <c r="O2588" t="str">
        <f t="shared" si="121"/>
        <v>Normal</v>
      </c>
    </row>
    <row r="2589" spans="1:15" x14ac:dyDescent="0.3">
      <c r="A2589">
        <v>48303</v>
      </c>
      <c r="B2589" t="s">
        <v>2</v>
      </c>
      <c r="C2589">
        <v>39</v>
      </c>
      <c r="D2589">
        <v>0</v>
      </c>
      <c r="E2589">
        <v>0</v>
      </c>
      <c r="F2589" t="str">
        <f t="shared" si="122"/>
        <v>Lower Risk</v>
      </c>
      <c r="G2589" t="s">
        <v>3</v>
      </c>
      <c r="H2589" t="s">
        <v>4</v>
      </c>
      <c r="I2589" t="s">
        <v>9</v>
      </c>
      <c r="J2589">
        <v>71.3</v>
      </c>
      <c r="K2589">
        <v>34.700000000000003</v>
      </c>
      <c r="L2589" t="s">
        <v>11</v>
      </c>
      <c r="M2589">
        <v>0</v>
      </c>
      <c r="N2589" t="str">
        <f t="shared" si="120"/>
        <v>Under 40</v>
      </c>
      <c r="O2589" t="str">
        <f t="shared" si="121"/>
        <v>Obese</v>
      </c>
    </row>
    <row r="2590" spans="1:15" x14ac:dyDescent="0.3">
      <c r="A2590">
        <v>31473</v>
      </c>
      <c r="B2590" t="s">
        <v>2</v>
      </c>
      <c r="C2590">
        <v>6</v>
      </c>
      <c r="D2590">
        <v>0</v>
      </c>
      <c r="E2590">
        <v>0</v>
      </c>
      <c r="F2590" t="str">
        <f t="shared" si="122"/>
        <v>Lower Risk</v>
      </c>
      <c r="G2590" t="s">
        <v>13</v>
      </c>
      <c r="H2590" t="s">
        <v>16</v>
      </c>
      <c r="I2590" t="s">
        <v>9</v>
      </c>
      <c r="J2590">
        <v>79.05</v>
      </c>
      <c r="K2590">
        <v>17.899999999999999</v>
      </c>
      <c r="L2590" t="s">
        <v>14</v>
      </c>
      <c r="M2590">
        <v>0</v>
      </c>
      <c r="N2590" t="str">
        <f t="shared" si="120"/>
        <v>Under 40</v>
      </c>
      <c r="O2590" t="str">
        <f t="shared" si="121"/>
        <v>Underweight</v>
      </c>
    </row>
    <row r="2591" spans="1:15" x14ac:dyDescent="0.3">
      <c r="A2591">
        <v>31402</v>
      </c>
      <c r="B2591" t="s">
        <v>7</v>
      </c>
      <c r="C2591">
        <v>62</v>
      </c>
      <c r="D2591">
        <v>0</v>
      </c>
      <c r="E2591">
        <v>0</v>
      </c>
      <c r="F2591" t="str">
        <f t="shared" si="122"/>
        <v>Moderate Risk</v>
      </c>
      <c r="G2591" t="s">
        <v>3</v>
      </c>
      <c r="H2591" t="s">
        <v>8</v>
      </c>
      <c r="I2591" t="s">
        <v>9</v>
      </c>
      <c r="J2591">
        <v>102.21</v>
      </c>
      <c r="K2591">
        <v>36.299999999999997</v>
      </c>
      <c r="L2591" t="s">
        <v>11</v>
      </c>
      <c r="M2591">
        <v>0</v>
      </c>
      <c r="N2591" t="str">
        <f t="shared" si="120"/>
        <v>60+</v>
      </c>
      <c r="O2591" t="str">
        <f t="shared" si="121"/>
        <v>Obese</v>
      </c>
    </row>
    <row r="2592" spans="1:15" x14ac:dyDescent="0.3">
      <c r="A2592">
        <v>18996</v>
      </c>
      <c r="B2592" t="s">
        <v>7</v>
      </c>
      <c r="C2592">
        <v>13</v>
      </c>
      <c r="D2592">
        <v>0</v>
      </c>
      <c r="E2592">
        <v>0</v>
      </c>
      <c r="F2592" t="str">
        <f t="shared" si="122"/>
        <v>Lower Risk</v>
      </c>
      <c r="G2592" t="s">
        <v>13</v>
      </c>
      <c r="H2592" t="s">
        <v>16</v>
      </c>
      <c r="I2592" t="s">
        <v>5</v>
      </c>
      <c r="J2592">
        <v>105.22</v>
      </c>
      <c r="K2592">
        <v>18.399999999999999</v>
      </c>
      <c r="L2592" t="s">
        <v>14</v>
      </c>
      <c r="M2592">
        <v>0</v>
      </c>
      <c r="N2592" t="str">
        <f t="shared" si="120"/>
        <v>Under 40</v>
      </c>
      <c r="O2592" t="str">
        <f t="shared" si="121"/>
        <v>Underweight</v>
      </c>
    </row>
    <row r="2593" spans="1:15" x14ac:dyDescent="0.3">
      <c r="A2593">
        <v>2573</v>
      </c>
      <c r="B2593" t="s">
        <v>2</v>
      </c>
      <c r="C2593">
        <v>56</v>
      </c>
      <c r="D2593">
        <v>0</v>
      </c>
      <c r="E2593">
        <v>0</v>
      </c>
      <c r="F2593" t="str">
        <f t="shared" si="122"/>
        <v>Lower Risk</v>
      </c>
      <c r="G2593" t="s">
        <v>3</v>
      </c>
      <c r="H2593" t="s">
        <v>15</v>
      </c>
      <c r="I2593" t="s">
        <v>9</v>
      </c>
      <c r="J2593">
        <v>84.58</v>
      </c>
      <c r="K2593">
        <v>34.5</v>
      </c>
      <c r="L2593" t="s">
        <v>14</v>
      </c>
      <c r="M2593">
        <v>0</v>
      </c>
      <c r="N2593" t="str">
        <f t="shared" si="120"/>
        <v>40–59</v>
      </c>
      <c r="O2593" t="str">
        <f t="shared" si="121"/>
        <v>Obese</v>
      </c>
    </row>
    <row r="2594" spans="1:15" x14ac:dyDescent="0.3">
      <c r="A2594">
        <v>60683</v>
      </c>
      <c r="B2594" t="s">
        <v>2</v>
      </c>
      <c r="C2594">
        <v>53</v>
      </c>
      <c r="D2594">
        <v>0</v>
      </c>
      <c r="E2594">
        <v>1</v>
      </c>
      <c r="F2594" t="str">
        <f t="shared" si="122"/>
        <v>Lower Risk</v>
      </c>
      <c r="G2594" t="s">
        <v>3</v>
      </c>
      <c r="H2594" t="s">
        <v>15</v>
      </c>
      <c r="I2594" t="s">
        <v>5</v>
      </c>
      <c r="J2594">
        <v>77.3</v>
      </c>
      <c r="K2594">
        <v>33.4</v>
      </c>
      <c r="L2594" t="s">
        <v>11</v>
      </c>
      <c r="M2594">
        <v>0</v>
      </c>
      <c r="N2594" t="str">
        <f t="shared" si="120"/>
        <v>40–59</v>
      </c>
      <c r="O2594" t="str">
        <f t="shared" si="121"/>
        <v>Obese</v>
      </c>
    </row>
    <row r="2595" spans="1:15" x14ac:dyDescent="0.3">
      <c r="A2595">
        <v>70537</v>
      </c>
      <c r="B2595" t="s">
        <v>2</v>
      </c>
      <c r="C2595">
        <v>5</v>
      </c>
      <c r="D2595">
        <v>0</v>
      </c>
      <c r="E2595">
        <v>0</v>
      </c>
      <c r="F2595" t="str">
        <f t="shared" si="122"/>
        <v>Lower Risk</v>
      </c>
      <c r="G2595" t="s">
        <v>13</v>
      </c>
      <c r="H2595" t="s">
        <v>16</v>
      </c>
      <c r="I2595" t="s">
        <v>9</v>
      </c>
      <c r="J2595">
        <v>74.790000000000006</v>
      </c>
      <c r="K2595">
        <v>19.399999999999999</v>
      </c>
      <c r="L2595" t="s">
        <v>14</v>
      </c>
      <c r="M2595">
        <v>0</v>
      </c>
      <c r="N2595" t="str">
        <f t="shared" si="120"/>
        <v>Under 40</v>
      </c>
      <c r="O2595" t="str">
        <f t="shared" si="121"/>
        <v>Normal</v>
      </c>
    </row>
    <row r="2596" spans="1:15" x14ac:dyDescent="0.3">
      <c r="A2596">
        <v>63193</v>
      </c>
      <c r="B2596" t="s">
        <v>7</v>
      </c>
      <c r="C2596">
        <v>44</v>
      </c>
      <c r="D2596">
        <v>0</v>
      </c>
      <c r="E2596">
        <v>0</v>
      </c>
      <c r="F2596" t="str">
        <f t="shared" si="122"/>
        <v>Lower Risk</v>
      </c>
      <c r="G2596" t="s">
        <v>3</v>
      </c>
      <c r="H2596" t="s">
        <v>4</v>
      </c>
      <c r="I2596" t="s">
        <v>9</v>
      </c>
      <c r="J2596">
        <v>88.75</v>
      </c>
      <c r="K2596">
        <v>25.6</v>
      </c>
      <c r="L2596" t="s">
        <v>14</v>
      </c>
      <c r="M2596">
        <v>0</v>
      </c>
      <c r="N2596" t="str">
        <f t="shared" si="120"/>
        <v>40–59</v>
      </c>
      <c r="O2596" t="str">
        <f t="shared" si="121"/>
        <v>Overweight</v>
      </c>
    </row>
    <row r="2597" spans="1:15" x14ac:dyDescent="0.3">
      <c r="A2597">
        <v>12228</v>
      </c>
      <c r="B2597" t="s">
        <v>2</v>
      </c>
      <c r="C2597">
        <v>13</v>
      </c>
      <c r="D2597">
        <v>0</v>
      </c>
      <c r="E2597">
        <v>0</v>
      </c>
      <c r="F2597" t="str">
        <f t="shared" si="122"/>
        <v>Lower Risk</v>
      </c>
      <c r="G2597" t="s">
        <v>13</v>
      </c>
      <c r="H2597" t="s">
        <v>16</v>
      </c>
      <c r="I2597" t="s">
        <v>9</v>
      </c>
      <c r="J2597">
        <v>97.97</v>
      </c>
      <c r="K2597">
        <v>24.5</v>
      </c>
      <c r="L2597" t="s">
        <v>11</v>
      </c>
      <c r="M2597">
        <v>0</v>
      </c>
      <c r="N2597" t="str">
        <f t="shared" si="120"/>
        <v>Under 40</v>
      </c>
      <c r="O2597" t="str">
        <f t="shared" si="121"/>
        <v>Normal</v>
      </c>
    </row>
    <row r="2598" spans="1:15" x14ac:dyDescent="0.3">
      <c r="A2598">
        <v>58107</v>
      </c>
      <c r="B2598" t="s">
        <v>7</v>
      </c>
      <c r="C2598">
        <v>59</v>
      </c>
      <c r="D2598">
        <v>0</v>
      </c>
      <c r="E2598">
        <v>0</v>
      </c>
      <c r="F2598" t="str">
        <f t="shared" si="122"/>
        <v>Lower Risk</v>
      </c>
      <c r="G2598" t="s">
        <v>3</v>
      </c>
      <c r="H2598" t="s">
        <v>4</v>
      </c>
      <c r="I2598" t="s">
        <v>9</v>
      </c>
      <c r="J2598">
        <v>79.180000000000007</v>
      </c>
      <c r="K2598">
        <v>30</v>
      </c>
      <c r="L2598" t="s">
        <v>14</v>
      </c>
      <c r="M2598">
        <v>0</v>
      </c>
      <c r="N2598" t="str">
        <f t="shared" si="120"/>
        <v>40–59</v>
      </c>
      <c r="O2598" t="str">
        <f t="shared" si="121"/>
        <v>Obese</v>
      </c>
    </row>
    <row r="2599" spans="1:15" x14ac:dyDescent="0.3">
      <c r="A2599">
        <v>28647</v>
      </c>
      <c r="B2599" t="s">
        <v>7</v>
      </c>
      <c r="C2599">
        <v>35</v>
      </c>
      <c r="D2599">
        <v>0</v>
      </c>
      <c r="E2599">
        <v>0</v>
      </c>
      <c r="F2599" t="str">
        <f t="shared" si="122"/>
        <v>Lower Risk</v>
      </c>
      <c r="G2599" t="s">
        <v>3</v>
      </c>
      <c r="H2599" t="s">
        <v>4</v>
      </c>
      <c r="I2599" t="s">
        <v>5</v>
      </c>
      <c r="J2599">
        <v>81.33</v>
      </c>
      <c r="K2599">
        <v>28.9</v>
      </c>
      <c r="L2599" t="s">
        <v>11</v>
      </c>
      <c r="M2599">
        <v>0</v>
      </c>
      <c r="N2599" t="str">
        <f t="shared" si="120"/>
        <v>Under 40</v>
      </c>
      <c r="O2599" t="str">
        <f t="shared" si="121"/>
        <v>Overweight</v>
      </c>
    </row>
    <row r="2600" spans="1:15" x14ac:dyDescent="0.3">
      <c r="A2600">
        <v>57086</v>
      </c>
      <c r="B2600" t="s">
        <v>7</v>
      </c>
      <c r="C2600">
        <v>52</v>
      </c>
      <c r="D2600">
        <v>0</v>
      </c>
      <c r="E2600">
        <v>0</v>
      </c>
      <c r="F2600" t="str">
        <f t="shared" si="122"/>
        <v>Lower Risk</v>
      </c>
      <c r="G2600" t="s">
        <v>3</v>
      </c>
      <c r="H2600" t="s">
        <v>4</v>
      </c>
      <c r="I2600" t="s">
        <v>5</v>
      </c>
      <c r="J2600">
        <v>126.68</v>
      </c>
      <c r="K2600">
        <v>28.1</v>
      </c>
      <c r="L2600" t="s">
        <v>11</v>
      </c>
      <c r="M2600">
        <v>0</v>
      </c>
      <c r="N2600" t="str">
        <f t="shared" si="120"/>
        <v>40–59</v>
      </c>
      <c r="O2600" t="str">
        <f t="shared" si="121"/>
        <v>Overweight</v>
      </c>
    </row>
    <row r="2601" spans="1:15" x14ac:dyDescent="0.3">
      <c r="A2601">
        <v>5505</v>
      </c>
      <c r="B2601" t="s">
        <v>7</v>
      </c>
      <c r="C2601">
        <v>76</v>
      </c>
      <c r="D2601">
        <v>0</v>
      </c>
      <c r="E2601">
        <v>0</v>
      </c>
      <c r="F2601" t="str">
        <f t="shared" si="122"/>
        <v>Moderate Risk</v>
      </c>
      <c r="G2601" t="s">
        <v>3</v>
      </c>
      <c r="H2601" t="s">
        <v>4</v>
      </c>
      <c r="I2601" t="s">
        <v>5</v>
      </c>
      <c r="J2601">
        <v>196.61</v>
      </c>
      <c r="K2601">
        <v>23</v>
      </c>
      <c r="L2601" t="s">
        <v>11</v>
      </c>
      <c r="M2601">
        <v>0</v>
      </c>
      <c r="N2601" t="str">
        <f t="shared" si="120"/>
        <v>60+</v>
      </c>
      <c r="O2601" t="str">
        <f t="shared" si="121"/>
        <v>Normal</v>
      </c>
    </row>
    <row r="2602" spans="1:15" x14ac:dyDescent="0.3">
      <c r="A2602">
        <v>44112</v>
      </c>
      <c r="B2602" t="s">
        <v>7</v>
      </c>
      <c r="C2602">
        <v>51</v>
      </c>
      <c r="D2602">
        <v>0</v>
      </c>
      <c r="E2602">
        <v>0</v>
      </c>
      <c r="F2602" t="str">
        <f t="shared" si="122"/>
        <v>Lower Risk</v>
      </c>
      <c r="G2602" t="s">
        <v>3</v>
      </c>
      <c r="H2602" t="s">
        <v>8</v>
      </c>
      <c r="I2602" t="s">
        <v>5</v>
      </c>
      <c r="J2602">
        <v>219.92</v>
      </c>
      <c r="K2602">
        <v>33.5</v>
      </c>
      <c r="L2602" t="s">
        <v>6</v>
      </c>
      <c r="M2602">
        <v>0</v>
      </c>
      <c r="N2602" t="str">
        <f t="shared" si="120"/>
        <v>40–59</v>
      </c>
      <c r="O2602" t="str">
        <f t="shared" si="121"/>
        <v>Obese</v>
      </c>
    </row>
    <row r="2603" spans="1:15" x14ac:dyDescent="0.3">
      <c r="A2603">
        <v>56645</v>
      </c>
      <c r="B2603" t="s">
        <v>7</v>
      </c>
      <c r="C2603">
        <v>79</v>
      </c>
      <c r="D2603">
        <v>0</v>
      </c>
      <c r="E2603">
        <v>0</v>
      </c>
      <c r="F2603" t="str">
        <f t="shared" si="122"/>
        <v>Moderate Risk</v>
      </c>
      <c r="G2603" t="s">
        <v>3</v>
      </c>
      <c r="H2603" t="s">
        <v>15</v>
      </c>
      <c r="I2603" t="s">
        <v>9</v>
      </c>
      <c r="J2603">
        <v>79.16</v>
      </c>
      <c r="K2603">
        <v>34.799999999999997</v>
      </c>
      <c r="L2603" t="s">
        <v>6</v>
      </c>
      <c r="M2603">
        <v>0</v>
      </c>
      <c r="N2603" t="str">
        <f t="shared" si="120"/>
        <v>60+</v>
      </c>
      <c r="O2603" t="str">
        <f t="shared" si="121"/>
        <v>Obese</v>
      </c>
    </row>
    <row r="2604" spans="1:15" x14ac:dyDescent="0.3">
      <c r="A2604">
        <v>16652</v>
      </c>
      <c r="B2604" t="s">
        <v>7</v>
      </c>
      <c r="C2604">
        <v>69</v>
      </c>
      <c r="D2604">
        <v>0</v>
      </c>
      <c r="E2604">
        <v>0</v>
      </c>
      <c r="F2604" t="str">
        <f t="shared" si="122"/>
        <v>Moderate Risk</v>
      </c>
      <c r="G2604" t="s">
        <v>3</v>
      </c>
      <c r="H2604" t="s">
        <v>8</v>
      </c>
      <c r="I2604" t="s">
        <v>5</v>
      </c>
      <c r="J2604">
        <v>99.68</v>
      </c>
      <c r="K2604">
        <v>17.600000000000001</v>
      </c>
      <c r="L2604" t="s">
        <v>6</v>
      </c>
      <c r="M2604">
        <v>0</v>
      </c>
      <c r="N2604" t="str">
        <f t="shared" si="120"/>
        <v>60+</v>
      </c>
      <c r="O2604" t="str">
        <f t="shared" si="121"/>
        <v>Underweight</v>
      </c>
    </row>
    <row r="2605" spans="1:15" x14ac:dyDescent="0.3">
      <c r="A2605">
        <v>32445</v>
      </c>
      <c r="B2605" t="s">
        <v>7</v>
      </c>
      <c r="C2605">
        <v>78</v>
      </c>
      <c r="D2605">
        <v>0</v>
      </c>
      <c r="E2605">
        <v>0</v>
      </c>
      <c r="F2605" t="str">
        <f t="shared" si="122"/>
        <v>Moderate Risk</v>
      </c>
      <c r="G2605" t="s">
        <v>3</v>
      </c>
      <c r="H2605" t="s">
        <v>8</v>
      </c>
      <c r="I2605" t="s">
        <v>5</v>
      </c>
      <c r="J2605">
        <v>79.55</v>
      </c>
      <c r="K2605">
        <v>21.1</v>
      </c>
      <c r="L2605" t="s">
        <v>6</v>
      </c>
      <c r="M2605">
        <v>0</v>
      </c>
      <c r="N2605" t="str">
        <f t="shared" si="120"/>
        <v>60+</v>
      </c>
      <c r="O2605" t="str">
        <f t="shared" si="121"/>
        <v>Normal</v>
      </c>
    </row>
    <row r="2606" spans="1:15" x14ac:dyDescent="0.3">
      <c r="A2606">
        <v>18752</v>
      </c>
      <c r="B2606" t="s">
        <v>2</v>
      </c>
      <c r="C2606">
        <v>60</v>
      </c>
      <c r="D2606">
        <v>0</v>
      </c>
      <c r="E2606">
        <v>0</v>
      </c>
      <c r="F2606" t="str">
        <f t="shared" si="122"/>
        <v>Moderate Risk</v>
      </c>
      <c r="G2606" t="s">
        <v>3</v>
      </c>
      <c r="H2606" t="s">
        <v>4</v>
      </c>
      <c r="I2606" t="s">
        <v>9</v>
      </c>
      <c r="J2606">
        <v>87.86</v>
      </c>
      <c r="K2606">
        <v>29</v>
      </c>
      <c r="L2606" t="s">
        <v>6</v>
      </c>
      <c r="M2606">
        <v>0</v>
      </c>
      <c r="N2606" t="str">
        <f t="shared" si="120"/>
        <v>60+</v>
      </c>
      <c r="O2606" t="str">
        <f t="shared" si="121"/>
        <v>Overweight</v>
      </c>
    </row>
    <row r="2607" spans="1:15" x14ac:dyDescent="0.3">
      <c r="A2607">
        <v>35152</v>
      </c>
      <c r="B2607" t="s">
        <v>2</v>
      </c>
      <c r="C2607">
        <v>10</v>
      </c>
      <c r="D2607">
        <v>0</v>
      </c>
      <c r="E2607">
        <v>0</v>
      </c>
      <c r="F2607" t="str">
        <f t="shared" si="122"/>
        <v>Lower Risk</v>
      </c>
      <c r="G2607" t="s">
        <v>13</v>
      </c>
      <c r="H2607" t="s">
        <v>16</v>
      </c>
      <c r="I2607" t="s">
        <v>5</v>
      </c>
      <c r="J2607">
        <v>76.92</v>
      </c>
      <c r="K2607">
        <v>15.8</v>
      </c>
      <c r="L2607" t="s">
        <v>14</v>
      </c>
      <c r="M2607">
        <v>0</v>
      </c>
      <c r="N2607" t="str">
        <f t="shared" si="120"/>
        <v>Under 40</v>
      </c>
      <c r="O2607" t="str">
        <f t="shared" si="121"/>
        <v>Underweight</v>
      </c>
    </row>
    <row r="2608" spans="1:15" x14ac:dyDescent="0.3">
      <c r="A2608">
        <v>70081</v>
      </c>
      <c r="B2608" t="s">
        <v>2</v>
      </c>
      <c r="C2608">
        <v>42</v>
      </c>
      <c r="D2608">
        <v>1</v>
      </c>
      <c r="E2608">
        <v>0</v>
      </c>
      <c r="F2608" t="str">
        <f t="shared" si="122"/>
        <v>Lower Risk</v>
      </c>
      <c r="G2608" t="s">
        <v>3</v>
      </c>
      <c r="H2608" t="s">
        <v>8</v>
      </c>
      <c r="I2608" t="s">
        <v>9</v>
      </c>
      <c r="J2608">
        <v>77.239999999999995</v>
      </c>
      <c r="K2608">
        <v>41.2</v>
      </c>
      <c r="L2608" t="s">
        <v>14</v>
      </c>
      <c r="M2608">
        <v>0</v>
      </c>
      <c r="N2608" t="str">
        <f t="shared" si="120"/>
        <v>40–59</v>
      </c>
      <c r="O2608" t="str">
        <f t="shared" si="121"/>
        <v>Obese</v>
      </c>
    </row>
    <row r="2609" spans="1:15" x14ac:dyDescent="0.3">
      <c r="A2609">
        <v>72340</v>
      </c>
      <c r="B2609" t="s">
        <v>2</v>
      </c>
      <c r="C2609">
        <v>21</v>
      </c>
      <c r="D2609">
        <v>0</v>
      </c>
      <c r="E2609">
        <v>0</v>
      </c>
      <c r="F2609" t="str">
        <f t="shared" si="122"/>
        <v>Lower Risk</v>
      </c>
      <c r="G2609" t="s">
        <v>13</v>
      </c>
      <c r="H2609" t="s">
        <v>4</v>
      </c>
      <c r="I2609" t="s">
        <v>5</v>
      </c>
      <c r="J2609">
        <v>120.94</v>
      </c>
      <c r="K2609">
        <v>29.7</v>
      </c>
      <c r="L2609" t="s">
        <v>6</v>
      </c>
      <c r="M2609">
        <v>0</v>
      </c>
      <c r="N2609" t="str">
        <f t="shared" si="120"/>
        <v>Under 40</v>
      </c>
      <c r="O2609" t="str">
        <f t="shared" si="121"/>
        <v>Overweight</v>
      </c>
    </row>
    <row r="2610" spans="1:15" x14ac:dyDescent="0.3">
      <c r="A2610">
        <v>67112</v>
      </c>
      <c r="B2610" t="s">
        <v>7</v>
      </c>
      <c r="C2610">
        <v>56</v>
      </c>
      <c r="D2610">
        <v>0</v>
      </c>
      <c r="E2610">
        <v>0</v>
      </c>
      <c r="F2610" t="str">
        <f t="shared" si="122"/>
        <v>Lower Risk</v>
      </c>
      <c r="G2610" t="s">
        <v>3</v>
      </c>
      <c r="H2610" t="s">
        <v>4</v>
      </c>
      <c r="I2610" t="s">
        <v>9</v>
      </c>
      <c r="J2610">
        <v>77.66</v>
      </c>
      <c r="K2610">
        <v>40.799999999999997</v>
      </c>
      <c r="L2610" t="s">
        <v>11</v>
      </c>
      <c r="M2610">
        <v>0</v>
      </c>
      <c r="N2610" t="str">
        <f t="shared" si="120"/>
        <v>40–59</v>
      </c>
      <c r="O2610" t="str">
        <f t="shared" si="121"/>
        <v>Obese</v>
      </c>
    </row>
    <row r="2611" spans="1:15" x14ac:dyDescent="0.3">
      <c r="A2611">
        <v>42323</v>
      </c>
      <c r="B2611" t="s">
        <v>2</v>
      </c>
      <c r="C2611">
        <v>59</v>
      </c>
      <c r="D2611">
        <v>0</v>
      </c>
      <c r="E2611">
        <v>0</v>
      </c>
      <c r="F2611" t="str">
        <f t="shared" si="122"/>
        <v>Lower Risk</v>
      </c>
      <c r="G2611" t="s">
        <v>3</v>
      </c>
      <c r="H2611" t="s">
        <v>15</v>
      </c>
      <c r="I2611" t="s">
        <v>9</v>
      </c>
      <c r="J2611">
        <v>231.95</v>
      </c>
      <c r="K2611">
        <v>33.200000000000003</v>
      </c>
      <c r="L2611" t="s">
        <v>11</v>
      </c>
      <c r="M2611">
        <v>0</v>
      </c>
      <c r="N2611" t="str">
        <f t="shared" si="120"/>
        <v>40–59</v>
      </c>
      <c r="O2611" t="str">
        <f t="shared" si="121"/>
        <v>Obese</v>
      </c>
    </row>
    <row r="2612" spans="1:15" x14ac:dyDescent="0.3">
      <c r="A2612">
        <v>35022</v>
      </c>
      <c r="B2612" t="s">
        <v>7</v>
      </c>
      <c r="C2612">
        <v>69</v>
      </c>
      <c r="D2612">
        <v>0</v>
      </c>
      <c r="E2612">
        <v>0</v>
      </c>
      <c r="F2612" t="str">
        <f t="shared" si="122"/>
        <v>Moderate Risk</v>
      </c>
      <c r="G2612" t="s">
        <v>3</v>
      </c>
      <c r="H2612" t="s">
        <v>4</v>
      </c>
      <c r="I2612" t="s">
        <v>5</v>
      </c>
      <c r="J2612">
        <v>111.48</v>
      </c>
      <c r="K2612">
        <v>37</v>
      </c>
      <c r="L2612" t="s">
        <v>12</v>
      </c>
      <c r="M2612">
        <v>0</v>
      </c>
      <c r="N2612" t="str">
        <f t="shared" si="120"/>
        <v>60+</v>
      </c>
      <c r="O2612" t="str">
        <f t="shared" si="121"/>
        <v>Obese</v>
      </c>
    </row>
    <row r="2613" spans="1:15" x14ac:dyDescent="0.3">
      <c r="A2613">
        <v>21625</v>
      </c>
      <c r="B2613" t="s">
        <v>7</v>
      </c>
      <c r="C2613">
        <v>25</v>
      </c>
      <c r="D2613">
        <v>0</v>
      </c>
      <c r="E2613">
        <v>0</v>
      </c>
      <c r="F2613" t="str">
        <f t="shared" si="122"/>
        <v>Lower Risk</v>
      </c>
      <c r="G2613" t="s">
        <v>3</v>
      </c>
      <c r="H2613" t="s">
        <v>4</v>
      </c>
      <c r="I2613" t="s">
        <v>5</v>
      </c>
      <c r="J2613">
        <v>84.25</v>
      </c>
      <c r="K2613">
        <v>24.5</v>
      </c>
      <c r="L2613" t="s">
        <v>14</v>
      </c>
      <c r="M2613">
        <v>0</v>
      </c>
      <c r="N2613" t="str">
        <f t="shared" si="120"/>
        <v>Under 40</v>
      </c>
      <c r="O2613" t="str">
        <f t="shared" si="121"/>
        <v>Normal</v>
      </c>
    </row>
    <row r="2614" spans="1:15" x14ac:dyDescent="0.3">
      <c r="A2614">
        <v>49972</v>
      </c>
      <c r="B2614" t="s">
        <v>2</v>
      </c>
      <c r="C2614">
        <v>63</v>
      </c>
      <c r="D2614">
        <v>0</v>
      </c>
      <c r="E2614">
        <v>0</v>
      </c>
      <c r="F2614" t="str">
        <f t="shared" si="122"/>
        <v>Moderate Risk</v>
      </c>
      <c r="G2614" t="s">
        <v>3</v>
      </c>
      <c r="H2614" t="s">
        <v>8</v>
      </c>
      <c r="I2614" t="s">
        <v>9</v>
      </c>
      <c r="J2614">
        <v>216.38</v>
      </c>
      <c r="K2614">
        <v>34.5</v>
      </c>
      <c r="L2614" t="s">
        <v>11</v>
      </c>
      <c r="M2614">
        <v>0</v>
      </c>
      <c r="N2614" t="str">
        <f t="shared" si="120"/>
        <v>60+</v>
      </c>
      <c r="O2614" t="str">
        <f t="shared" si="121"/>
        <v>Obese</v>
      </c>
    </row>
    <row r="2615" spans="1:15" x14ac:dyDescent="0.3">
      <c r="A2615">
        <v>44142</v>
      </c>
      <c r="B2615" t="s">
        <v>2</v>
      </c>
      <c r="C2615">
        <v>25</v>
      </c>
      <c r="D2615">
        <v>0</v>
      </c>
      <c r="E2615">
        <v>0</v>
      </c>
      <c r="F2615" t="str">
        <f t="shared" si="122"/>
        <v>Lower Risk</v>
      </c>
      <c r="G2615" t="s">
        <v>13</v>
      </c>
      <c r="H2615" t="s">
        <v>4</v>
      </c>
      <c r="I2615" t="s">
        <v>9</v>
      </c>
      <c r="J2615">
        <v>95.01</v>
      </c>
      <c r="K2615">
        <v>28</v>
      </c>
      <c r="L2615" t="s">
        <v>11</v>
      </c>
      <c r="M2615">
        <v>0</v>
      </c>
      <c r="N2615" t="str">
        <f t="shared" si="120"/>
        <v>Under 40</v>
      </c>
      <c r="O2615" t="str">
        <f t="shared" si="121"/>
        <v>Overweight</v>
      </c>
    </row>
    <row r="2616" spans="1:15" x14ac:dyDescent="0.3">
      <c r="A2616">
        <v>364</v>
      </c>
      <c r="B2616" t="s">
        <v>7</v>
      </c>
      <c r="C2616">
        <v>58</v>
      </c>
      <c r="D2616">
        <v>0</v>
      </c>
      <c r="E2616">
        <v>0</v>
      </c>
      <c r="F2616" t="str">
        <f t="shared" si="122"/>
        <v>Lower Risk</v>
      </c>
      <c r="G2616" t="s">
        <v>3</v>
      </c>
      <c r="H2616" t="s">
        <v>4</v>
      </c>
      <c r="I2616" t="s">
        <v>5</v>
      </c>
      <c r="J2616">
        <v>105.74</v>
      </c>
      <c r="K2616">
        <v>26.8</v>
      </c>
      <c r="L2616" t="s">
        <v>6</v>
      </c>
      <c r="M2616">
        <v>0</v>
      </c>
      <c r="N2616" t="str">
        <f t="shared" si="120"/>
        <v>40–59</v>
      </c>
      <c r="O2616" t="str">
        <f t="shared" si="121"/>
        <v>Overweight</v>
      </c>
    </row>
    <row r="2617" spans="1:15" x14ac:dyDescent="0.3">
      <c r="A2617">
        <v>59669</v>
      </c>
      <c r="B2617" t="s">
        <v>7</v>
      </c>
      <c r="C2617">
        <v>28</v>
      </c>
      <c r="D2617">
        <v>0</v>
      </c>
      <c r="E2617">
        <v>0</v>
      </c>
      <c r="F2617" t="str">
        <f t="shared" si="122"/>
        <v>Lower Risk</v>
      </c>
      <c r="G2617" t="s">
        <v>3</v>
      </c>
      <c r="H2617" t="s">
        <v>4</v>
      </c>
      <c r="I2617" t="s">
        <v>9</v>
      </c>
      <c r="J2617">
        <v>58.41</v>
      </c>
      <c r="K2617">
        <v>21</v>
      </c>
      <c r="L2617" t="s">
        <v>14</v>
      </c>
      <c r="M2617">
        <v>0</v>
      </c>
      <c r="N2617" t="str">
        <f t="shared" si="120"/>
        <v>Under 40</v>
      </c>
      <c r="O2617" t="str">
        <f t="shared" si="121"/>
        <v>Normal</v>
      </c>
    </row>
    <row r="2618" spans="1:15" x14ac:dyDescent="0.3">
      <c r="A2618">
        <v>69900</v>
      </c>
      <c r="B2618" t="s">
        <v>7</v>
      </c>
      <c r="C2618">
        <v>46</v>
      </c>
      <c r="D2618">
        <v>0</v>
      </c>
      <c r="E2618">
        <v>0</v>
      </c>
      <c r="F2618" t="str">
        <f t="shared" si="122"/>
        <v>Lower Risk</v>
      </c>
      <c r="G2618" t="s">
        <v>3</v>
      </c>
      <c r="H2618" t="s">
        <v>15</v>
      </c>
      <c r="I2618" t="s">
        <v>5</v>
      </c>
      <c r="J2618">
        <v>56.89</v>
      </c>
      <c r="K2618">
        <v>23.8</v>
      </c>
      <c r="L2618" t="s">
        <v>12</v>
      </c>
      <c r="M2618">
        <v>0</v>
      </c>
      <c r="N2618" t="str">
        <f t="shared" si="120"/>
        <v>40–59</v>
      </c>
      <c r="O2618" t="str">
        <f t="shared" si="121"/>
        <v>Normal</v>
      </c>
    </row>
    <row r="2619" spans="1:15" x14ac:dyDescent="0.3">
      <c r="A2619">
        <v>12753</v>
      </c>
      <c r="B2619" t="s">
        <v>2</v>
      </c>
      <c r="C2619">
        <v>53</v>
      </c>
      <c r="D2619">
        <v>0</v>
      </c>
      <c r="E2619">
        <v>0</v>
      </c>
      <c r="F2619" t="str">
        <f t="shared" si="122"/>
        <v>Lower Risk</v>
      </c>
      <c r="G2619" t="s">
        <v>3</v>
      </c>
      <c r="H2619" t="s">
        <v>4</v>
      </c>
      <c r="I2619" t="s">
        <v>5</v>
      </c>
      <c r="J2619">
        <v>86.25</v>
      </c>
      <c r="K2619">
        <v>29.3</v>
      </c>
      <c r="L2619" t="s">
        <v>11</v>
      </c>
      <c r="M2619">
        <v>0</v>
      </c>
      <c r="N2619" t="str">
        <f t="shared" si="120"/>
        <v>40–59</v>
      </c>
      <c r="O2619" t="str">
        <f t="shared" si="121"/>
        <v>Overweight</v>
      </c>
    </row>
    <row r="2620" spans="1:15" x14ac:dyDescent="0.3">
      <c r="A2620">
        <v>10273</v>
      </c>
      <c r="B2620" t="s">
        <v>7</v>
      </c>
      <c r="C2620">
        <v>37</v>
      </c>
      <c r="D2620">
        <v>0</v>
      </c>
      <c r="E2620">
        <v>0</v>
      </c>
      <c r="F2620" t="str">
        <f t="shared" si="122"/>
        <v>Lower Risk</v>
      </c>
      <c r="G2620" t="s">
        <v>3</v>
      </c>
      <c r="H2620" t="s">
        <v>4</v>
      </c>
      <c r="I2620" t="s">
        <v>9</v>
      </c>
      <c r="J2620">
        <v>86.49</v>
      </c>
      <c r="K2620">
        <v>24.4</v>
      </c>
      <c r="L2620" t="s">
        <v>14</v>
      </c>
      <c r="M2620">
        <v>0</v>
      </c>
      <c r="N2620" t="str">
        <f t="shared" si="120"/>
        <v>Under 40</v>
      </c>
      <c r="O2620" t="str">
        <f t="shared" si="121"/>
        <v>Normal</v>
      </c>
    </row>
    <row r="2621" spans="1:15" x14ac:dyDescent="0.3">
      <c r="A2621">
        <v>30824</v>
      </c>
      <c r="B2621" t="s">
        <v>2</v>
      </c>
      <c r="C2621">
        <v>12</v>
      </c>
      <c r="D2621">
        <v>0</v>
      </c>
      <c r="E2621">
        <v>0</v>
      </c>
      <c r="F2621" t="str">
        <f t="shared" si="122"/>
        <v>Lower Risk</v>
      </c>
      <c r="G2621" t="s">
        <v>13</v>
      </c>
      <c r="H2621" t="s">
        <v>16</v>
      </c>
      <c r="I2621" t="s">
        <v>9</v>
      </c>
      <c r="J2621">
        <v>115.47</v>
      </c>
      <c r="K2621">
        <v>22.6</v>
      </c>
      <c r="L2621" t="s">
        <v>14</v>
      </c>
      <c r="M2621">
        <v>0</v>
      </c>
      <c r="N2621" t="str">
        <f t="shared" si="120"/>
        <v>Under 40</v>
      </c>
      <c r="O2621" t="str">
        <f t="shared" si="121"/>
        <v>Normal</v>
      </c>
    </row>
    <row r="2622" spans="1:15" x14ac:dyDescent="0.3">
      <c r="A2622">
        <v>587</v>
      </c>
      <c r="B2622" t="s">
        <v>7</v>
      </c>
      <c r="C2622">
        <v>14</v>
      </c>
      <c r="D2622">
        <v>0</v>
      </c>
      <c r="E2622">
        <v>0</v>
      </c>
      <c r="F2622" t="str">
        <f t="shared" si="122"/>
        <v>Lower Risk</v>
      </c>
      <c r="G2622" t="s">
        <v>13</v>
      </c>
      <c r="H2622" t="s">
        <v>16</v>
      </c>
      <c r="I2622" t="s">
        <v>9</v>
      </c>
      <c r="J2622">
        <v>92.22</v>
      </c>
      <c r="K2622">
        <v>22.8</v>
      </c>
      <c r="L2622" t="s">
        <v>14</v>
      </c>
      <c r="M2622">
        <v>0</v>
      </c>
      <c r="N2622" t="str">
        <f t="shared" si="120"/>
        <v>Under 40</v>
      </c>
      <c r="O2622" t="str">
        <f t="shared" si="121"/>
        <v>Normal</v>
      </c>
    </row>
    <row r="2623" spans="1:15" x14ac:dyDescent="0.3">
      <c r="A2623">
        <v>55856</v>
      </c>
      <c r="B2623" t="s">
        <v>7</v>
      </c>
      <c r="C2623">
        <v>60</v>
      </c>
      <c r="D2623">
        <v>0</v>
      </c>
      <c r="E2623">
        <v>0</v>
      </c>
      <c r="F2623" t="str">
        <f t="shared" si="122"/>
        <v>Moderate Risk</v>
      </c>
      <c r="G2623" t="s">
        <v>3</v>
      </c>
      <c r="H2623" t="s">
        <v>4</v>
      </c>
      <c r="I2623" t="s">
        <v>9</v>
      </c>
      <c r="J2623">
        <v>83.16</v>
      </c>
      <c r="K2623">
        <v>29.7</v>
      </c>
      <c r="L2623" t="s">
        <v>12</v>
      </c>
      <c r="M2623">
        <v>0</v>
      </c>
      <c r="N2623" t="str">
        <f t="shared" si="120"/>
        <v>60+</v>
      </c>
      <c r="O2623" t="str">
        <f t="shared" si="121"/>
        <v>Overweight</v>
      </c>
    </row>
    <row r="2624" spans="1:15" x14ac:dyDescent="0.3">
      <c r="A2624">
        <v>47196</v>
      </c>
      <c r="B2624" t="s">
        <v>2</v>
      </c>
      <c r="C2624">
        <v>42</v>
      </c>
      <c r="D2624">
        <v>0</v>
      </c>
      <c r="E2624">
        <v>0</v>
      </c>
      <c r="F2624" t="str">
        <f t="shared" si="122"/>
        <v>Lower Risk</v>
      </c>
      <c r="G2624" t="s">
        <v>3</v>
      </c>
      <c r="H2624" t="s">
        <v>4</v>
      </c>
      <c r="I2624" t="s">
        <v>9</v>
      </c>
      <c r="J2624">
        <v>110.68</v>
      </c>
      <c r="K2624">
        <v>32.4</v>
      </c>
      <c r="L2624" t="s">
        <v>6</v>
      </c>
      <c r="M2624">
        <v>0</v>
      </c>
      <c r="N2624" t="str">
        <f t="shared" si="120"/>
        <v>40–59</v>
      </c>
      <c r="O2624" t="str">
        <f t="shared" si="121"/>
        <v>Obese</v>
      </c>
    </row>
    <row r="2625" spans="1:15" x14ac:dyDescent="0.3">
      <c r="A2625">
        <v>67724</v>
      </c>
      <c r="B2625" t="s">
        <v>7</v>
      </c>
      <c r="C2625">
        <v>65</v>
      </c>
      <c r="D2625">
        <v>0</v>
      </c>
      <c r="E2625">
        <v>0</v>
      </c>
      <c r="F2625" t="str">
        <f t="shared" si="122"/>
        <v>Moderate Risk</v>
      </c>
      <c r="G2625" t="s">
        <v>3</v>
      </c>
      <c r="H2625" t="s">
        <v>4</v>
      </c>
      <c r="I2625" t="s">
        <v>9</v>
      </c>
      <c r="J2625">
        <v>70.06</v>
      </c>
      <c r="K2625">
        <v>35.799999999999997</v>
      </c>
      <c r="L2625" t="s">
        <v>14</v>
      </c>
      <c r="M2625">
        <v>0</v>
      </c>
      <c r="N2625" t="str">
        <f t="shared" si="120"/>
        <v>60+</v>
      </c>
      <c r="O2625" t="str">
        <f t="shared" si="121"/>
        <v>Obese</v>
      </c>
    </row>
    <row r="2626" spans="1:15" x14ac:dyDescent="0.3">
      <c r="A2626">
        <v>23488</v>
      </c>
      <c r="B2626" t="s">
        <v>2</v>
      </c>
      <c r="C2626">
        <v>80</v>
      </c>
      <c r="D2626">
        <v>1</v>
      </c>
      <c r="E2626">
        <v>0</v>
      </c>
      <c r="F2626" t="str">
        <f t="shared" si="122"/>
        <v>High Risk</v>
      </c>
      <c r="G2626" t="s">
        <v>3</v>
      </c>
      <c r="H2626" t="s">
        <v>8</v>
      </c>
      <c r="I2626" t="s">
        <v>5</v>
      </c>
      <c r="J2626">
        <v>213.33</v>
      </c>
      <c r="K2626">
        <v>31.1</v>
      </c>
      <c r="L2626" t="s">
        <v>6</v>
      </c>
      <c r="M2626">
        <v>0</v>
      </c>
      <c r="N2626" t="str">
        <f t="shared" ref="N2626:N2689" si="123">IF(C2626&lt;40,"Under 40",IF(C2626&lt;60,"40–59","60+"))</f>
        <v>60+</v>
      </c>
      <c r="O2626" t="str">
        <f t="shared" ref="O2626:O2689" si="124">IF(K2626="N/A","Unknown",
IF(K2626="","Unknown",
IF(K2626&lt;18.5,"Underweight",
IF(K2626&lt;25,"Normal",
IF(K2626&lt;30,"Overweight","Obese")))))</f>
        <v>Obese</v>
      </c>
    </row>
    <row r="2627" spans="1:15" x14ac:dyDescent="0.3">
      <c r="A2627">
        <v>2849</v>
      </c>
      <c r="B2627" t="s">
        <v>2</v>
      </c>
      <c r="C2627">
        <v>32</v>
      </c>
      <c r="D2627">
        <v>0</v>
      </c>
      <c r="E2627">
        <v>0</v>
      </c>
      <c r="F2627" t="str">
        <f t="shared" ref="F2627:F2690" si="125">IF(C2627&gt;=60,
IF(OR(D2627=1,E2627=1),"High Risk","Moderate Risk"),
"Lower Risk")</f>
        <v>Lower Risk</v>
      </c>
      <c r="G2627" t="s">
        <v>3</v>
      </c>
      <c r="H2627" t="s">
        <v>4</v>
      </c>
      <c r="I2627" t="s">
        <v>5</v>
      </c>
      <c r="J2627">
        <v>93.52</v>
      </c>
      <c r="K2627">
        <v>31.9</v>
      </c>
      <c r="L2627" t="s">
        <v>14</v>
      </c>
      <c r="M2627">
        <v>0</v>
      </c>
      <c r="N2627" t="str">
        <f t="shared" si="123"/>
        <v>Under 40</v>
      </c>
      <c r="O2627" t="str">
        <f t="shared" si="124"/>
        <v>Obese</v>
      </c>
    </row>
    <row r="2628" spans="1:15" x14ac:dyDescent="0.3">
      <c r="A2628">
        <v>12134</v>
      </c>
      <c r="B2628" t="s">
        <v>7</v>
      </c>
      <c r="C2628">
        <v>53</v>
      </c>
      <c r="D2628">
        <v>0</v>
      </c>
      <c r="E2628">
        <v>0</v>
      </c>
      <c r="F2628" t="str">
        <f t="shared" si="125"/>
        <v>Lower Risk</v>
      </c>
      <c r="G2628" t="s">
        <v>3</v>
      </c>
      <c r="H2628" t="s">
        <v>15</v>
      </c>
      <c r="I2628" t="s">
        <v>9</v>
      </c>
      <c r="J2628">
        <v>87.62</v>
      </c>
      <c r="K2628">
        <v>33.700000000000003</v>
      </c>
      <c r="L2628" t="s">
        <v>12</v>
      </c>
      <c r="M2628">
        <v>0</v>
      </c>
      <c r="N2628" t="str">
        <f t="shared" si="123"/>
        <v>40–59</v>
      </c>
      <c r="O2628" t="str">
        <f t="shared" si="124"/>
        <v>Obese</v>
      </c>
    </row>
    <row r="2629" spans="1:15" x14ac:dyDescent="0.3">
      <c r="A2629">
        <v>24058</v>
      </c>
      <c r="B2629" t="s">
        <v>7</v>
      </c>
      <c r="C2629">
        <v>50</v>
      </c>
      <c r="D2629">
        <v>0</v>
      </c>
      <c r="E2629">
        <v>0</v>
      </c>
      <c r="F2629" t="str">
        <f t="shared" si="125"/>
        <v>Lower Risk</v>
      </c>
      <c r="G2629" t="s">
        <v>3</v>
      </c>
      <c r="H2629" t="s">
        <v>15</v>
      </c>
      <c r="I2629" t="s">
        <v>9</v>
      </c>
      <c r="J2629">
        <v>77.67</v>
      </c>
      <c r="K2629">
        <v>25.6</v>
      </c>
      <c r="L2629" t="s">
        <v>11</v>
      </c>
      <c r="M2629">
        <v>0</v>
      </c>
      <c r="N2629" t="str">
        <f t="shared" si="123"/>
        <v>40–59</v>
      </c>
      <c r="O2629" t="str">
        <f t="shared" si="124"/>
        <v>Overweight</v>
      </c>
    </row>
    <row r="2630" spans="1:15" x14ac:dyDescent="0.3">
      <c r="A2630">
        <v>15117</v>
      </c>
      <c r="B2630" t="s">
        <v>7</v>
      </c>
      <c r="C2630">
        <v>23</v>
      </c>
      <c r="D2630">
        <v>0</v>
      </c>
      <c r="E2630">
        <v>0</v>
      </c>
      <c r="F2630" t="str">
        <f t="shared" si="125"/>
        <v>Lower Risk</v>
      </c>
      <c r="G2630" t="s">
        <v>13</v>
      </c>
      <c r="H2630" t="s">
        <v>4</v>
      </c>
      <c r="I2630" t="s">
        <v>9</v>
      </c>
      <c r="J2630">
        <v>95.66</v>
      </c>
      <c r="K2630">
        <v>19.899999999999999</v>
      </c>
      <c r="L2630" t="s">
        <v>12</v>
      </c>
      <c r="M2630">
        <v>0</v>
      </c>
      <c r="N2630" t="str">
        <f t="shared" si="123"/>
        <v>Under 40</v>
      </c>
      <c r="O2630" t="str">
        <f t="shared" si="124"/>
        <v>Normal</v>
      </c>
    </row>
    <row r="2631" spans="1:15" x14ac:dyDescent="0.3">
      <c r="A2631">
        <v>72915</v>
      </c>
      <c r="B2631" t="s">
        <v>7</v>
      </c>
      <c r="C2631">
        <v>45</v>
      </c>
      <c r="D2631">
        <v>0</v>
      </c>
      <c r="E2631">
        <v>0</v>
      </c>
      <c r="F2631" t="str">
        <f t="shared" si="125"/>
        <v>Lower Risk</v>
      </c>
      <c r="G2631" t="s">
        <v>3</v>
      </c>
      <c r="H2631" t="s">
        <v>4</v>
      </c>
      <c r="I2631" t="s">
        <v>5</v>
      </c>
      <c r="J2631">
        <v>172.33</v>
      </c>
      <c r="K2631">
        <v>45.3</v>
      </c>
      <c r="L2631" t="s">
        <v>6</v>
      </c>
      <c r="M2631">
        <v>0</v>
      </c>
      <c r="N2631" t="str">
        <f t="shared" si="123"/>
        <v>40–59</v>
      </c>
      <c r="O2631" t="str">
        <f t="shared" si="124"/>
        <v>Obese</v>
      </c>
    </row>
    <row r="2632" spans="1:15" x14ac:dyDescent="0.3">
      <c r="A2632">
        <v>61836</v>
      </c>
      <c r="B2632" t="s">
        <v>7</v>
      </c>
      <c r="C2632">
        <v>0.8</v>
      </c>
      <c r="D2632">
        <v>0</v>
      </c>
      <c r="E2632">
        <v>0</v>
      </c>
      <c r="F2632" t="str">
        <f t="shared" si="125"/>
        <v>Lower Risk</v>
      </c>
      <c r="G2632" t="s">
        <v>13</v>
      </c>
      <c r="H2632" t="s">
        <v>16</v>
      </c>
      <c r="I2632" t="s">
        <v>5</v>
      </c>
      <c r="J2632">
        <v>106.59</v>
      </c>
      <c r="K2632">
        <v>15.5</v>
      </c>
      <c r="L2632" t="s">
        <v>14</v>
      </c>
      <c r="M2632">
        <v>0</v>
      </c>
      <c r="N2632" t="str">
        <f t="shared" si="123"/>
        <v>Under 40</v>
      </c>
      <c r="O2632" t="str">
        <f t="shared" si="124"/>
        <v>Underweight</v>
      </c>
    </row>
    <row r="2633" spans="1:15" x14ac:dyDescent="0.3">
      <c r="A2633">
        <v>13116</v>
      </c>
      <c r="B2633" t="s">
        <v>2</v>
      </c>
      <c r="C2633">
        <v>49</v>
      </c>
      <c r="D2633">
        <v>0</v>
      </c>
      <c r="E2633">
        <v>0</v>
      </c>
      <c r="F2633" t="str">
        <f t="shared" si="125"/>
        <v>Lower Risk</v>
      </c>
      <c r="G2633" t="s">
        <v>3</v>
      </c>
      <c r="H2633" t="s">
        <v>4</v>
      </c>
      <c r="I2633" t="s">
        <v>5</v>
      </c>
      <c r="J2633">
        <v>87.06</v>
      </c>
      <c r="K2633">
        <v>28.3</v>
      </c>
      <c r="L2633" t="s">
        <v>11</v>
      </c>
      <c r="M2633">
        <v>0</v>
      </c>
      <c r="N2633" t="str">
        <f t="shared" si="123"/>
        <v>40–59</v>
      </c>
      <c r="O2633" t="str">
        <f t="shared" si="124"/>
        <v>Overweight</v>
      </c>
    </row>
    <row r="2634" spans="1:15" x14ac:dyDescent="0.3">
      <c r="A2634">
        <v>48146</v>
      </c>
      <c r="B2634" t="s">
        <v>2</v>
      </c>
      <c r="C2634">
        <v>70</v>
      </c>
      <c r="D2634">
        <v>0</v>
      </c>
      <c r="E2634">
        <v>1</v>
      </c>
      <c r="F2634" t="str">
        <f t="shared" si="125"/>
        <v>High Risk</v>
      </c>
      <c r="G2634" t="s">
        <v>3</v>
      </c>
      <c r="H2634" t="s">
        <v>4</v>
      </c>
      <c r="I2634" t="s">
        <v>9</v>
      </c>
      <c r="J2634">
        <v>93.02</v>
      </c>
      <c r="K2634">
        <v>40.200000000000003</v>
      </c>
      <c r="L2634" t="s">
        <v>6</v>
      </c>
      <c r="M2634">
        <v>0</v>
      </c>
      <c r="N2634" t="str">
        <f t="shared" si="123"/>
        <v>60+</v>
      </c>
      <c r="O2634" t="str">
        <f t="shared" si="124"/>
        <v>Obese</v>
      </c>
    </row>
    <row r="2635" spans="1:15" x14ac:dyDescent="0.3">
      <c r="A2635">
        <v>72819</v>
      </c>
      <c r="B2635" t="s">
        <v>7</v>
      </c>
      <c r="C2635">
        <v>82</v>
      </c>
      <c r="D2635">
        <v>0</v>
      </c>
      <c r="E2635">
        <v>0</v>
      </c>
      <c r="F2635" t="str">
        <f t="shared" si="125"/>
        <v>Moderate Risk</v>
      </c>
      <c r="G2635" t="s">
        <v>3</v>
      </c>
      <c r="H2635" t="s">
        <v>8</v>
      </c>
      <c r="I2635" t="s">
        <v>5</v>
      </c>
      <c r="J2635">
        <v>243.59</v>
      </c>
      <c r="K2635">
        <v>24.3</v>
      </c>
      <c r="L2635" t="s">
        <v>11</v>
      </c>
      <c r="M2635">
        <v>0</v>
      </c>
      <c r="N2635" t="str">
        <f t="shared" si="123"/>
        <v>60+</v>
      </c>
      <c r="O2635" t="str">
        <f t="shared" si="124"/>
        <v>Normal</v>
      </c>
    </row>
    <row r="2636" spans="1:15" x14ac:dyDescent="0.3">
      <c r="A2636">
        <v>20070</v>
      </c>
      <c r="B2636" t="s">
        <v>2</v>
      </c>
      <c r="C2636">
        <v>23</v>
      </c>
      <c r="D2636">
        <v>0</v>
      </c>
      <c r="E2636">
        <v>0</v>
      </c>
      <c r="F2636" t="str">
        <f t="shared" si="125"/>
        <v>Lower Risk</v>
      </c>
      <c r="G2636" t="s">
        <v>13</v>
      </c>
      <c r="H2636" t="s">
        <v>4</v>
      </c>
      <c r="I2636" t="s">
        <v>5</v>
      </c>
      <c r="J2636">
        <v>86.7</v>
      </c>
      <c r="K2636">
        <v>24.6</v>
      </c>
      <c r="L2636" t="s">
        <v>14</v>
      </c>
      <c r="M2636">
        <v>0</v>
      </c>
      <c r="N2636" t="str">
        <f t="shared" si="123"/>
        <v>Under 40</v>
      </c>
      <c r="O2636" t="str">
        <f t="shared" si="124"/>
        <v>Normal</v>
      </c>
    </row>
    <row r="2637" spans="1:15" x14ac:dyDescent="0.3">
      <c r="A2637">
        <v>8778</v>
      </c>
      <c r="B2637" t="s">
        <v>7</v>
      </c>
      <c r="C2637">
        <v>79</v>
      </c>
      <c r="D2637">
        <v>0</v>
      </c>
      <c r="E2637">
        <v>0</v>
      </c>
      <c r="F2637" t="str">
        <f t="shared" si="125"/>
        <v>Moderate Risk</v>
      </c>
      <c r="G2637" t="s">
        <v>3</v>
      </c>
      <c r="H2637" t="s">
        <v>8</v>
      </c>
      <c r="I2637" t="s">
        <v>9</v>
      </c>
      <c r="J2637">
        <v>97.81</v>
      </c>
      <c r="K2637">
        <v>26.6</v>
      </c>
      <c r="L2637" t="s">
        <v>6</v>
      </c>
      <c r="M2637">
        <v>0</v>
      </c>
      <c r="N2637" t="str">
        <f t="shared" si="123"/>
        <v>60+</v>
      </c>
      <c r="O2637" t="str">
        <f t="shared" si="124"/>
        <v>Overweight</v>
      </c>
    </row>
    <row r="2638" spans="1:15" x14ac:dyDescent="0.3">
      <c r="A2638">
        <v>13764</v>
      </c>
      <c r="B2638" t="s">
        <v>7</v>
      </c>
      <c r="C2638">
        <v>74</v>
      </c>
      <c r="D2638">
        <v>0</v>
      </c>
      <c r="E2638">
        <v>0</v>
      </c>
      <c r="F2638" t="str">
        <f t="shared" si="125"/>
        <v>Moderate Risk</v>
      </c>
      <c r="G2638" t="s">
        <v>3</v>
      </c>
      <c r="H2638" t="s">
        <v>4</v>
      </c>
      <c r="I2638" t="s">
        <v>5</v>
      </c>
      <c r="J2638">
        <v>116.04</v>
      </c>
      <c r="K2638">
        <v>30.9</v>
      </c>
      <c r="L2638" t="s">
        <v>11</v>
      </c>
      <c r="M2638">
        <v>0</v>
      </c>
      <c r="N2638" t="str">
        <f t="shared" si="123"/>
        <v>60+</v>
      </c>
      <c r="O2638" t="str">
        <f t="shared" si="124"/>
        <v>Obese</v>
      </c>
    </row>
    <row r="2639" spans="1:15" x14ac:dyDescent="0.3">
      <c r="A2639">
        <v>2005</v>
      </c>
      <c r="B2639" t="s">
        <v>2</v>
      </c>
      <c r="C2639">
        <v>78</v>
      </c>
      <c r="D2639">
        <v>0</v>
      </c>
      <c r="E2639">
        <v>1</v>
      </c>
      <c r="F2639" t="str">
        <f t="shared" si="125"/>
        <v>High Risk</v>
      </c>
      <c r="G2639" t="s">
        <v>3</v>
      </c>
      <c r="H2639" t="s">
        <v>8</v>
      </c>
      <c r="I2639" t="s">
        <v>5</v>
      </c>
      <c r="J2639">
        <v>169.43</v>
      </c>
      <c r="K2639">
        <v>23.5</v>
      </c>
      <c r="L2639" t="s">
        <v>6</v>
      </c>
      <c r="M2639">
        <v>0</v>
      </c>
      <c r="N2639" t="str">
        <f t="shared" si="123"/>
        <v>60+</v>
      </c>
      <c r="O2639" t="str">
        <f t="shared" si="124"/>
        <v>Normal</v>
      </c>
    </row>
    <row r="2640" spans="1:15" x14ac:dyDescent="0.3">
      <c r="A2640">
        <v>8616</v>
      </c>
      <c r="B2640" t="s">
        <v>7</v>
      </c>
      <c r="C2640">
        <v>50</v>
      </c>
      <c r="D2640">
        <v>0</v>
      </c>
      <c r="E2640">
        <v>0</v>
      </c>
      <c r="F2640" t="str">
        <f t="shared" si="125"/>
        <v>Lower Risk</v>
      </c>
      <c r="G2640" t="s">
        <v>3</v>
      </c>
      <c r="H2640" t="s">
        <v>4</v>
      </c>
      <c r="I2640" t="s">
        <v>9</v>
      </c>
      <c r="J2640">
        <v>68.41</v>
      </c>
      <c r="K2640">
        <v>23.9</v>
      </c>
      <c r="L2640" t="s">
        <v>12</v>
      </c>
      <c r="M2640">
        <v>0</v>
      </c>
      <c r="N2640" t="str">
        <f t="shared" si="123"/>
        <v>40–59</v>
      </c>
      <c r="O2640" t="str">
        <f t="shared" si="124"/>
        <v>Normal</v>
      </c>
    </row>
    <row r="2641" spans="1:15" x14ac:dyDescent="0.3">
      <c r="A2641">
        <v>51524</v>
      </c>
      <c r="B2641" t="s">
        <v>7</v>
      </c>
      <c r="C2641">
        <v>34</v>
      </c>
      <c r="D2641">
        <v>0</v>
      </c>
      <c r="E2641">
        <v>0</v>
      </c>
      <c r="F2641" t="str">
        <f t="shared" si="125"/>
        <v>Lower Risk</v>
      </c>
      <c r="G2641" t="s">
        <v>3</v>
      </c>
      <c r="H2641" t="s">
        <v>4</v>
      </c>
      <c r="I2641" t="s">
        <v>9</v>
      </c>
      <c r="J2641">
        <v>94.44</v>
      </c>
      <c r="K2641">
        <v>34.200000000000003</v>
      </c>
      <c r="L2641" t="s">
        <v>14</v>
      </c>
      <c r="M2641">
        <v>0</v>
      </c>
      <c r="N2641" t="str">
        <f t="shared" si="123"/>
        <v>Under 40</v>
      </c>
      <c r="O2641" t="str">
        <f t="shared" si="124"/>
        <v>Obese</v>
      </c>
    </row>
    <row r="2642" spans="1:15" x14ac:dyDescent="0.3">
      <c r="A2642">
        <v>50541</v>
      </c>
      <c r="B2642" t="s">
        <v>2</v>
      </c>
      <c r="C2642">
        <v>47</v>
      </c>
      <c r="D2642">
        <v>0</v>
      </c>
      <c r="E2642">
        <v>0</v>
      </c>
      <c r="F2642" t="str">
        <f t="shared" si="125"/>
        <v>Lower Risk</v>
      </c>
      <c r="G2642" t="s">
        <v>3</v>
      </c>
      <c r="H2642" t="s">
        <v>15</v>
      </c>
      <c r="I2642" t="s">
        <v>5</v>
      </c>
      <c r="J2642">
        <v>73.48</v>
      </c>
      <c r="K2642">
        <v>34.9</v>
      </c>
      <c r="L2642" t="s">
        <v>12</v>
      </c>
      <c r="M2642">
        <v>0</v>
      </c>
      <c r="N2642" t="str">
        <f t="shared" si="123"/>
        <v>40–59</v>
      </c>
      <c r="O2642" t="str">
        <f t="shared" si="124"/>
        <v>Obese</v>
      </c>
    </row>
    <row r="2643" spans="1:15" x14ac:dyDescent="0.3">
      <c r="A2643">
        <v>21971</v>
      </c>
      <c r="B2643" t="s">
        <v>7</v>
      </c>
      <c r="C2643">
        <v>52</v>
      </c>
      <c r="D2643">
        <v>0</v>
      </c>
      <c r="E2643">
        <v>0</v>
      </c>
      <c r="F2643" t="str">
        <f t="shared" si="125"/>
        <v>Lower Risk</v>
      </c>
      <c r="G2643" t="s">
        <v>3</v>
      </c>
      <c r="H2643" t="s">
        <v>15</v>
      </c>
      <c r="I2643" t="s">
        <v>9</v>
      </c>
      <c r="J2643">
        <v>183.87</v>
      </c>
      <c r="K2643">
        <v>26.2</v>
      </c>
      <c r="L2643" t="s">
        <v>11</v>
      </c>
      <c r="M2643">
        <v>0</v>
      </c>
      <c r="N2643" t="str">
        <f t="shared" si="123"/>
        <v>40–59</v>
      </c>
      <c r="O2643" t="str">
        <f t="shared" si="124"/>
        <v>Overweight</v>
      </c>
    </row>
    <row r="2644" spans="1:15" x14ac:dyDescent="0.3">
      <c r="A2644">
        <v>32183</v>
      </c>
      <c r="B2644" t="s">
        <v>7</v>
      </c>
      <c r="C2644">
        <v>67</v>
      </c>
      <c r="D2644">
        <v>0</v>
      </c>
      <c r="E2644">
        <v>0</v>
      </c>
      <c r="F2644" t="str">
        <f t="shared" si="125"/>
        <v>Moderate Risk</v>
      </c>
      <c r="G2644" t="s">
        <v>3</v>
      </c>
      <c r="H2644" t="s">
        <v>4</v>
      </c>
      <c r="I2644" t="s">
        <v>9</v>
      </c>
      <c r="J2644">
        <v>66.08</v>
      </c>
      <c r="K2644">
        <v>36.200000000000003</v>
      </c>
      <c r="L2644" t="s">
        <v>11</v>
      </c>
      <c r="M2644">
        <v>0</v>
      </c>
      <c r="N2644" t="str">
        <f t="shared" si="123"/>
        <v>60+</v>
      </c>
      <c r="O2644" t="str">
        <f t="shared" si="124"/>
        <v>Obese</v>
      </c>
    </row>
    <row r="2645" spans="1:15" x14ac:dyDescent="0.3">
      <c r="A2645">
        <v>30145</v>
      </c>
      <c r="B2645" t="s">
        <v>7</v>
      </c>
      <c r="C2645">
        <v>62</v>
      </c>
      <c r="D2645">
        <v>0</v>
      </c>
      <c r="E2645">
        <v>0</v>
      </c>
      <c r="F2645" t="str">
        <f t="shared" si="125"/>
        <v>Moderate Risk</v>
      </c>
      <c r="G2645" t="s">
        <v>3</v>
      </c>
      <c r="H2645" t="s">
        <v>4</v>
      </c>
      <c r="I2645" t="s">
        <v>9</v>
      </c>
      <c r="J2645">
        <v>72.19</v>
      </c>
      <c r="K2645">
        <v>22.4</v>
      </c>
      <c r="L2645" t="s">
        <v>14</v>
      </c>
      <c r="M2645">
        <v>0</v>
      </c>
      <c r="N2645" t="str">
        <f t="shared" si="123"/>
        <v>60+</v>
      </c>
      <c r="O2645" t="str">
        <f t="shared" si="124"/>
        <v>Normal</v>
      </c>
    </row>
    <row r="2646" spans="1:15" x14ac:dyDescent="0.3">
      <c r="A2646">
        <v>30482</v>
      </c>
      <c r="B2646" t="s">
        <v>7</v>
      </c>
      <c r="C2646">
        <v>18</v>
      </c>
      <c r="D2646">
        <v>0</v>
      </c>
      <c r="E2646">
        <v>0</v>
      </c>
      <c r="F2646" t="str">
        <f t="shared" si="125"/>
        <v>Lower Risk</v>
      </c>
      <c r="G2646" t="s">
        <v>13</v>
      </c>
      <c r="H2646" t="s">
        <v>4</v>
      </c>
      <c r="I2646" t="s">
        <v>9</v>
      </c>
      <c r="J2646">
        <v>101.09</v>
      </c>
      <c r="K2646">
        <v>19.3</v>
      </c>
      <c r="L2646" t="s">
        <v>12</v>
      </c>
      <c r="M2646">
        <v>0</v>
      </c>
      <c r="N2646" t="str">
        <f t="shared" si="123"/>
        <v>Under 40</v>
      </c>
      <c r="O2646" t="str">
        <f t="shared" si="124"/>
        <v>Normal</v>
      </c>
    </row>
    <row r="2647" spans="1:15" x14ac:dyDescent="0.3">
      <c r="A2647">
        <v>30790</v>
      </c>
      <c r="B2647" t="s">
        <v>7</v>
      </c>
      <c r="C2647">
        <v>75</v>
      </c>
      <c r="D2647">
        <v>1</v>
      </c>
      <c r="E2647">
        <v>0</v>
      </c>
      <c r="F2647" t="str">
        <f t="shared" si="125"/>
        <v>High Risk</v>
      </c>
      <c r="G2647" t="s">
        <v>3</v>
      </c>
      <c r="H2647" t="s">
        <v>15</v>
      </c>
      <c r="I2647" t="s">
        <v>5</v>
      </c>
      <c r="J2647">
        <v>88.83</v>
      </c>
      <c r="K2647">
        <v>41.7</v>
      </c>
      <c r="L2647" t="s">
        <v>11</v>
      </c>
      <c r="M2647">
        <v>0</v>
      </c>
      <c r="N2647" t="str">
        <f t="shared" si="123"/>
        <v>60+</v>
      </c>
      <c r="O2647" t="str">
        <f t="shared" si="124"/>
        <v>Obese</v>
      </c>
    </row>
    <row r="2648" spans="1:15" x14ac:dyDescent="0.3">
      <c r="A2648">
        <v>63337</v>
      </c>
      <c r="B2648" t="s">
        <v>7</v>
      </c>
      <c r="C2648">
        <v>42</v>
      </c>
      <c r="D2648">
        <v>0</v>
      </c>
      <c r="E2648">
        <v>0</v>
      </c>
      <c r="F2648" t="str">
        <f t="shared" si="125"/>
        <v>Lower Risk</v>
      </c>
      <c r="G2648" t="s">
        <v>3</v>
      </c>
      <c r="H2648" t="s">
        <v>4</v>
      </c>
      <c r="I2648" t="s">
        <v>9</v>
      </c>
      <c r="J2648">
        <v>69.989999999999995</v>
      </c>
      <c r="K2648">
        <v>46</v>
      </c>
      <c r="L2648" t="s">
        <v>12</v>
      </c>
      <c r="M2648">
        <v>0</v>
      </c>
      <c r="N2648" t="str">
        <f t="shared" si="123"/>
        <v>40–59</v>
      </c>
      <c r="O2648" t="str">
        <f t="shared" si="124"/>
        <v>Obese</v>
      </c>
    </row>
    <row r="2649" spans="1:15" x14ac:dyDescent="0.3">
      <c r="A2649">
        <v>66264</v>
      </c>
      <c r="B2649" t="s">
        <v>2</v>
      </c>
      <c r="C2649">
        <v>29</v>
      </c>
      <c r="D2649">
        <v>0</v>
      </c>
      <c r="E2649">
        <v>0</v>
      </c>
      <c r="F2649" t="str">
        <f t="shared" si="125"/>
        <v>Lower Risk</v>
      </c>
      <c r="G2649" t="s">
        <v>3</v>
      </c>
      <c r="H2649" t="s">
        <v>15</v>
      </c>
      <c r="I2649" t="s">
        <v>5</v>
      </c>
      <c r="J2649">
        <v>102.4</v>
      </c>
      <c r="K2649">
        <v>26.9</v>
      </c>
      <c r="L2649" t="s">
        <v>12</v>
      </c>
      <c r="M2649">
        <v>0</v>
      </c>
      <c r="N2649" t="str">
        <f t="shared" si="123"/>
        <v>Under 40</v>
      </c>
      <c r="O2649" t="str">
        <f t="shared" si="124"/>
        <v>Overweight</v>
      </c>
    </row>
    <row r="2650" spans="1:15" x14ac:dyDescent="0.3">
      <c r="A2650">
        <v>641</v>
      </c>
      <c r="B2650" t="s">
        <v>2</v>
      </c>
      <c r="C2650">
        <v>52</v>
      </c>
      <c r="D2650">
        <v>0</v>
      </c>
      <c r="E2650">
        <v>0</v>
      </c>
      <c r="F2650" t="str">
        <f t="shared" si="125"/>
        <v>Lower Risk</v>
      </c>
      <c r="G2650" t="s">
        <v>3</v>
      </c>
      <c r="H2650" t="s">
        <v>15</v>
      </c>
      <c r="I2650" t="s">
        <v>9</v>
      </c>
      <c r="J2650">
        <v>87.26</v>
      </c>
      <c r="K2650">
        <v>40.1</v>
      </c>
      <c r="L2650" t="s">
        <v>12</v>
      </c>
      <c r="M2650">
        <v>0</v>
      </c>
      <c r="N2650" t="str">
        <f t="shared" si="123"/>
        <v>40–59</v>
      </c>
      <c r="O2650" t="str">
        <f t="shared" si="124"/>
        <v>Obese</v>
      </c>
    </row>
    <row r="2651" spans="1:15" x14ac:dyDescent="0.3">
      <c r="A2651">
        <v>42412</v>
      </c>
      <c r="B2651" t="s">
        <v>7</v>
      </c>
      <c r="C2651">
        <v>18</v>
      </c>
      <c r="D2651">
        <v>0</v>
      </c>
      <c r="E2651">
        <v>0</v>
      </c>
      <c r="F2651" t="str">
        <f t="shared" si="125"/>
        <v>Lower Risk</v>
      </c>
      <c r="G2651" t="s">
        <v>13</v>
      </c>
      <c r="H2651" t="s">
        <v>4</v>
      </c>
      <c r="I2651" t="s">
        <v>5</v>
      </c>
      <c r="J2651">
        <v>146.59</v>
      </c>
      <c r="K2651">
        <v>27.7</v>
      </c>
      <c r="L2651" t="s">
        <v>14</v>
      </c>
      <c r="M2651">
        <v>0</v>
      </c>
      <c r="N2651" t="str">
        <f t="shared" si="123"/>
        <v>Under 40</v>
      </c>
      <c r="O2651" t="str">
        <f t="shared" si="124"/>
        <v>Overweight</v>
      </c>
    </row>
    <row r="2652" spans="1:15" x14ac:dyDescent="0.3">
      <c r="A2652">
        <v>65693</v>
      </c>
      <c r="B2652" t="s">
        <v>2</v>
      </c>
      <c r="C2652">
        <v>67</v>
      </c>
      <c r="D2652">
        <v>0</v>
      </c>
      <c r="E2652">
        <v>0</v>
      </c>
      <c r="F2652" t="str">
        <f t="shared" si="125"/>
        <v>Moderate Risk</v>
      </c>
      <c r="G2652" t="s">
        <v>3</v>
      </c>
      <c r="H2652" t="s">
        <v>15</v>
      </c>
      <c r="I2652" t="s">
        <v>9</v>
      </c>
      <c r="J2652">
        <v>59</v>
      </c>
      <c r="K2652">
        <v>29.5</v>
      </c>
      <c r="L2652" t="s">
        <v>14</v>
      </c>
      <c r="M2652">
        <v>0</v>
      </c>
      <c r="N2652" t="str">
        <f t="shared" si="123"/>
        <v>60+</v>
      </c>
      <c r="O2652" t="str">
        <f t="shared" si="124"/>
        <v>Overweight</v>
      </c>
    </row>
    <row r="2653" spans="1:15" x14ac:dyDescent="0.3">
      <c r="A2653">
        <v>3746</v>
      </c>
      <c r="B2653" t="s">
        <v>7</v>
      </c>
      <c r="C2653">
        <v>66</v>
      </c>
      <c r="D2653">
        <v>0</v>
      </c>
      <c r="E2653">
        <v>0</v>
      </c>
      <c r="F2653" t="str">
        <f t="shared" si="125"/>
        <v>Moderate Risk</v>
      </c>
      <c r="G2653" t="s">
        <v>3</v>
      </c>
      <c r="H2653" t="s">
        <v>4</v>
      </c>
      <c r="I2653" t="s">
        <v>5</v>
      </c>
      <c r="J2653">
        <v>76.83</v>
      </c>
      <c r="K2653">
        <v>26</v>
      </c>
      <c r="L2653" t="s">
        <v>11</v>
      </c>
      <c r="M2653">
        <v>0</v>
      </c>
      <c r="N2653" t="str">
        <f t="shared" si="123"/>
        <v>60+</v>
      </c>
      <c r="O2653" t="str">
        <f t="shared" si="124"/>
        <v>Overweight</v>
      </c>
    </row>
    <row r="2654" spans="1:15" x14ac:dyDescent="0.3">
      <c r="A2654">
        <v>71304</v>
      </c>
      <c r="B2654" t="s">
        <v>2</v>
      </c>
      <c r="C2654">
        <v>5</v>
      </c>
      <c r="D2654">
        <v>0</v>
      </c>
      <c r="E2654">
        <v>0</v>
      </c>
      <c r="F2654" t="str">
        <f t="shared" si="125"/>
        <v>Lower Risk</v>
      </c>
      <c r="G2654" t="s">
        <v>13</v>
      </c>
      <c r="H2654" t="s">
        <v>16</v>
      </c>
      <c r="I2654" t="s">
        <v>5</v>
      </c>
      <c r="J2654">
        <v>101.83</v>
      </c>
      <c r="K2654">
        <v>22.7</v>
      </c>
      <c r="L2654" t="s">
        <v>14</v>
      </c>
      <c r="M2654">
        <v>0</v>
      </c>
      <c r="N2654" t="str">
        <f t="shared" si="123"/>
        <v>Under 40</v>
      </c>
      <c r="O2654" t="str">
        <f t="shared" si="124"/>
        <v>Normal</v>
      </c>
    </row>
    <row r="2655" spans="1:15" x14ac:dyDescent="0.3">
      <c r="A2655">
        <v>34935</v>
      </c>
      <c r="B2655" t="s">
        <v>7</v>
      </c>
      <c r="C2655">
        <v>18</v>
      </c>
      <c r="D2655">
        <v>0</v>
      </c>
      <c r="E2655">
        <v>0</v>
      </c>
      <c r="F2655" t="str">
        <f t="shared" si="125"/>
        <v>Lower Risk</v>
      </c>
      <c r="G2655" t="s">
        <v>13</v>
      </c>
      <c r="H2655" t="s">
        <v>15</v>
      </c>
      <c r="I2655" t="s">
        <v>5</v>
      </c>
      <c r="J2655">
        <v>90.92</v>
      </c>
      <c r="K2655">
        <v>16</v>
      </c>
      <c r="L2655" t="s">
        <v>11</v>
      </c>
      <c r="M2655">
        <v>0</v>
      </c>
      <c r="N2655" t="str">
        <f t="shared" si="123"/>
        <v>Under 40</v>
      </c>
      <c r="O2655" t="str">
        <f t="shared" si="124"/>
        <v>Underweight</v>
      </c>
    </row>
    <row r="2656" spans="1:15" x14ac:dyDescent="0.3">
      <c r="A2656">
        <v>29173</v>
      </c>
      <c r="B2656" t="s">
        <v>2</v>
      </c>
      <c r="C2656">
        <v>52</v>
      </c>
      <c r="D2656">
        <v>0</v>
      </c>
      <c r="E2656">
        <v>0</v>
      </c>
      <c r="F2656" t="str">
        <f t="shared" si="125"/>
        <v>Lower Risk</v>
      </c>
      <c r="G2656" t="s">
        <v>3</v>
      </c>
      <c r="H2656" t="s">
        <v>15</v>
      </c>
      <c r="I2656" t="s">
        <v>5</v>
      </c>
      <c r="J2656">
        <v>67.5</v>
      </c>
      <c r="K2656">
        <v>27.7</v>
      </c>
      <c r="L2656" t="s">
        <v>12</v>
      </c>
      <c r="M2656">
        <v>0</v>
      </c>
      <c r="N2656" t="str">
        <f t="shared" si="123"/>
        <v>40–59</v>
      </c>
      <c r="O2656" t="str">
        <f t="shared" si="124"/>
        <v>Overweight</v>
      </c>
    </row>
    <row r="2657" spans="1:15" x14ac:dyDescent="0.3">
      <c r="A2657">
        <v>26474</v>
      </c>
      <c r="B2657" t="s">
        <v>7</v>
      </c>
      <c r="C2657">
        <v>44</v>
      </c>
      <c r="D2657">
        <v>0</v>
      </c>
      <c r="E2657">
        <v>0</v>
      </c>
      <c r="F2657" t="str">
        <f t="shared" si="125"/>
        <v>Lower Risk</v>
      </c>
      <c r="G2657" t="s">
        <v>3</v>
      </c>
      <c r="H2657" t="s">
        <v>15</v>
      </c>
      <c r="I2657" t="s">
        <v>5</v>
      </c>
      <c r="J2657">
        <v>97.16</v>
      </c>
      <c r="K2657">
        <v>33.1</v>
      </c>
      <c r="L2657" t="s">
        <v>14</v>
      </c>
      <c r="M2657">
        <v>0</v>
      </c>
      <c r="N2657" t="str">
        <f t="shared" si="123"/>
        <v>40–59</v>
      </c>
      <c r="O2657" t="str">
        <f t="shared" si="124"/>
        <v>Obese</v>
      </c>
    </row>
    <row r="2658" spans="1:15" x14ac:dyDescent="0.3">
      <c r="A2658">
        <v>56857</v>
      </c>
      <c r="B2658" t="s">
        <v>2</v>
      </c>
      <c r="C2658">
        <v>46</v>
      </c>
      <c r="D2658">
        <v>1</v>
      </c>
      <c r="E2658">
        <v>0</v>
      </c>
      <c r="F2658" t="str">
        <f t="shared" si="125"/>
        <v>Lower Risk</v>
      </c>
      <c r="G2658" t="s">
        <v>3</v>
      </c>
      <c r="H2658" t="s">
        <v>15</v>
      </c>
      <c r="I2658" t="s">
        <v>5</v>
      </c>
      <c r="J2658">
        <v>85.62</v>
      </c>
      <c r="K2658">
        <v>33.1</v>
      </c>
      <c r="L2658" t="s">
        <v>6</v>
      </c>
      <c r="M2658">
        <v>0</v>
      </c>
      <c r="N2658" t="str">
        <f t="shared" si="123"/>
        <v>40–59</v>
      </c>
      <c r="O2658" t="str">
        <f t="shared" si="124"/>
        <v>Obese</v>
      </c>
    </row>
    <row r="2659" spans="1:15" x14ac:dyDescent="0.3">
      <c r="A2659">
        <v>13529</v>
      </c>
      <c r="B2659" t="s">
        <v>7</v>
      </c>
      <c r="C2659">
        <v>36</v>
      </c>
      <c r="D2659">
        <v>0</v>
      </c>
      <c r="E2659">
        <v>0</v>
      </c>
      <c r="F2659" t="str">
        <f t="shared" si="125"/>
        <v>Lower Risk</v>
      </c>
      <c r="G2659" t="s">
        <v>3</v>
      </c>
      <c r="H2659" t="s">
        <v>15</v>
      </c>
      <c r="I2659" t="s">
        <v>9</v>
      </c>
      <c r="J2659">
        <v>129.43</v>
      </c>
      <c r="K2659">
        <v>29.7</v>
      </c>
      <c r="L2659" t="s">
        <v>11</v>
      </c>
      <c r="M2659">
        <v>0</v>
      </c>
      <c r="N2659" t="str">
        <f t="shared" si="123"/>
        <v>Under 40</v>
      </c>
      <c r="O2659" t="str">
        <f t="shared" si="124"/>
        <v>Overweight</v>
      </c>
    </row>
    <row r="2660" spans="1:15" x14ac:dyDescent="0.3">
      <c r="A2660">
        <v>61979</v>
      </c>
      <c r="B2660" t="s">
        <v>7</v>
      </c>
      <c r="C2660">
        <v>61</v>
      </c>
      <c r="D2660">
        <v>0</v>
      </c>
      <c r="E2660">
        <v>0</v>
      </c>
      <c r="F2660" t="str">
        <f t="shared" si="125"/>
        <v>Moderate Risk</v>
      </c>
      <c r="G2660" t="s">
        <v>3</v>
      </c>
      <c r="H2660" t="s">
        <v>15</v>
      </c>
      <c r="I2660" t="s">
        <v>5</v>
      </c>
      <c r="J2660">
        <v>106.01</v>
      </c>
      <c r="K2660">
        <v>34</v>
      </c>
      <c r="L2660" t="s">
        <v>12</v>
      </c>
      <c r="M2660">
        <v>0</v>
      </c>
      <c r="N2660" t="str">
        <f t="shared" si="123"/>
        <v>60+</v>
      </c>
      <c r="O2660" t="str">
        <f t="shared" si="124"/>
        <v>Obese</v>
      </c>
    </row>
    <row r="2661" spans="1:15" x14ac:dyDescent="0.3">
      <c r="A2661">
        <v>70886</v>
      </c>
      <c r="B2661" t="s">
        <v>7</v>
      </c>
      <c r="C2661">
        <v>7</v>
      </c>
      <c r="D2661">
        <v>0</v>
      </c>
      <c r="E2661">
        <v>0</v>
      </c>
      <c r="F2661" t="str">
        <f t="shared" si="125"/>
        <v>Lower Risk</v>
      </c>
      <c r="G2661" t="s">
        <v>13</v>
      </c>
      <c r="H2661" t="s">
        <v>16</v>
      </c>
      <c r="I2661" t="s">
        <v>9</v>
      </c>
      <c r="J2661">
        <v>114.82</v>
      </c>
      <c r="K2661">
        <v>33.299999999999997</v>
      </c>
      <c r="L2661" t="s">
        <v>14</v>
      </c>
      <c r="M2661">
        <v>0</v>
      </c>
      <c r="N2661" t="str">
        <f t="shared" si="123"/>
        <v>Under 40</v>
      </c>
      <c r="O2661" t="str">
        <f t="shared" si="124"/>
        <v>Obese</v>
      </c>
    </row>
    <row r="2662" spans="1:15" x14ac:dyDescent="0.3">
      <c r="A2662">
        <v>27693</v>
      </c>
      <c r="B2662" t="s">
        <v>7</v>
      </c>
      <c r="C2662">
        <v>15</v>
      </c>
      <c r="D2662">
        <v>0</v>
      </c>
      <c r="E2662">
        <v>0</v>
      </c>
      <c r="F2662" t="str">
        <f t="shared" si="125"/>
        <v>Lower Risk</v>
      </c>
      <c r="G2662" t="s">
        <v>13</v>
      </c>
      <c r="H2662" t="s">
        <v>16</v>
      </c>
      <c r="I2662" t="s">
        <v>5</v>
      </c>
      <c r="J2662">
        <v>121.39</v>
      </c>
      <c r="K2662">
        <v>27</v>
      </c>
      <c r="L2662" t="s">
        <v>14</v>
      </c>
      <c r="M2662">
        <v>0</v>
      </c>
      <c r="N2662" t="str">
        <f t="shared" si="123"/>
        <v>Under 40</v>
      </c>
      <c r="O2662" t="str">
        <f t="shared" si="124"/>
        <v>Overweight</v>
      </c>
    </row>
    <row r="2663" spans="1:15" x14ac:dyDescent="0.3">
      <c r="A2663">
        <v>59762</v>
      </c>
      <c r="B2663" t="s">
        <v>2</v>
      </c>
      <c r="C2663">
        <v>61</v>
      </c>
      <c r="D2663">
        <v>0</v>
      </c>
      <c r="E2663">
        <v>0</v>
      </c>
      <c r="F2663" t="str">
        <f t="shared" si="125"/>
        <v>Moderate Risk</v>
      </c>
      <c r="G2663" t="s">
        <v>3</v>
      </c>
      <c r="H2663" t="s">
        <v>4</v>
      </c>
      <c r="I2663" t="s">
        <v>5</v>
      </c>
      <c r="J2663">
        <v>227.98</v>
      </c>
      <c r="K2663">
        <v>14.2</v>
      </c>
      <c r="L2663" t="s">
        <v>14</v>
      </c>
      <c r="M2663">
        <v>0</v>
      </c>
      <c r="N2663" t="str">
        <f t="shared" si="123"/>
        <v>60+</v>
      </c>
      <c r="O2663" t="str">
        <f t="shared" si="124"/>
        <v>Underweight</v>
      </c>
    </row>
    <row r="2664" spans="1:15" x14ac:dyDescent="0.3">
      <c r="A2664">
        <v>57308</v>
      </c>
      <c r="B2664" t="s">
        <v>2</v>
      </c>
      <c r="C2664">
        <v>20</v>
      </c>
      <c r="D2664">
        <v>0</v>
      </c>
      <c r="E2664">
        <v>0</v>
      </c>
      <c r="F2664" t="str">
        <f t="shared" si="125"/>
        <v>Lower Risk</v>
      </c>
      <c r="G2664" t="s">
        <v>13</v>
      </c>
      <c r="H2664" t="s">
        <v>4</v>
      </c>
      <c r="I2664" t="s">
        <v>5</v>
      </c>
      <c r="J2664">
        <v>78.97</v>
      </c>
      <c r="K2664">
        <v>19.399999999999999</v>
      </c>
      <c r="L2664" t="s">
        <v>11</v>
      </c>
      <c r="M2664">
        <v>0</v>
      </c>
      <c r="N2664" t="str">
        <f t="shared" si="123"/>
        <v>Under 40</v>
      </c>
      <c r="O2664" t="str">
        <f t="shared" si="124"/>
        <v>Normal</v>
      </c>
    </row>
    <row r="2665" spans="1:15" x14ac:dyDescent="0.3">
      <c r="A2665">
        <v>3701</v>
      </c>
      <c r="B2665" t="s">
        <v>7</v>
      </c>
      <c r="C2665">
        <v>2</v>
      </c>
      <c r="D2665">
        <v>0</v>
      </c>
      <c r="E2665">
        <v>0</v>
      </c>
      <c r="F2665" t="str">
        <f t="shared" si="125"/>
        <v>Lower Risk</v>
      </c>
      <c r="G2665" t="s">
        <v>13</v>
      </c>
      <c r="H2665" t="s">
        <v>16</v>
      </c>
      <c r="I2665" t="s">
        <v>5</v>
      </c>
      <c r="J2665">
        <v>84.12</v>
      </c>
      <c r="K2665">
        <v>15.3</v>
      </c>
      <c r="L2665" t="s">
        <v>14</v>
      </c>
      <c r="M2665">
        <v>0</v>
      </c>
      <c r="N2665" t="str">
        <f t="shared" si="123"/>
        <v>Under 40</v>
      </c>
      <c r="O2665" t="str">
        <f t="shared" si="124"/>
        <v>Underweight</v>
      </c>
    </row>
    <row r="2666" spans="1:15" x14ac:dyDescent="0.3">
      <c r="A2666">
        <v>61339</v>
      </c>
      <c r="B2666" t="s">
        <v>2</v>
      </c>
      <c r="C2666">
        <v>47</v>
      </c>
      <c r="D2666">
        <v>0</v>
      </c>
      <c r="E2666">
        <v>0</v>
      </c>
      <c r="F2666" t="str">
        <f t="shared" si="125"/>
        <v>Lower Risk</v>
      </c>
      <c r="G2666" t="s">
        <v>3</v>
      </c>
      <c r="H2666" t="s">
        <v>8</v>
      </c>
      <c r="I2666" t="s">
        <v>5</v>
      </c>
      <c r="J2666">
        <v>95.04</v>
      </c>
      <c r="K2666">
        <v>28.7</v>
      </c>
      <c r="L2666" t="s">
        <v>11</v>
      </c>
      <c r="M2666">
        <v>0</v>
      </c>
      <c r="N2666" t="str">
        <f t="shared" si="123"/>
        <v>40–59</v>
      </c>
      <c r="O2666" t="str">
        <f t="shared" si="124"/>
        <v>Overweight</v>
      </c>
    </row>
    <row r="2667" spans="1:15" x14ac:dyDescent="0.3">
      <c r="A2667">
        <v>24965</v>
      </c>
      <c r="B2667" t="s">
        <v>7</v>
      </c>
      <c r="C2667">
        <v>25</v>
      </c>
      <c r="D2667">
        <v>0</v>
      </c>
      <c r="E2667">
        <v>0</v>
      </c>
      <c r="F2667" t="str">
        <f t="shared" si="125"/>
        <v>Lower Risk</v>
      </c>
      <c r="G2667" t="s">
        <v>13</v>
      </c>
      <c r="H2667" t="s">
        <v>15</v>
      </c>
      <c r="I2667" t="s">
        <v>9</v>
      </c>
      <c r="J2667">
        <v>103.15</v>
      </c>
      <c r="K2667">
        <v>21</v>
      </c>
      <c r="L2667" t="s">
        <v>12</v>
      </c>
      <c r="M2667">
        <v>0</v>
      </c>
      <c r="N2667" t="str">
        <f t="shared" si="123"/>
        <v>Under 40</v>
      </c>
      <c r="O2667" t="str">
        <f t="shared" si="124"/>
        <v>Normal</v>
      </c>
    </row>
    <row r="2668" spans="1:15" x14ac:dyDescent="0.3">
      <c r="A2668">
        <v>33952</v>
      </c>
      <c r="B2668" t="s">
        <v>2</v>
      </c>
      <c r="C2668">
        <v>66</v>
      </c>
      <c r="D2668">
        <v>1</v>
      </c>
      <c r="E2668">
        <v>0</v>
      </c>
      <c r="F2668" t="str">
        <f t="shared" si="125"/>
        <v>High Risk</v>
      </c>
      <c r="G2668" t="s">
        <v>3</v>
      </c>
      <c r="H2668" t="s">
        <v>4</v>
      </c>
      <c r="I2668" t="s">
        <v>5</v>
      </c>
      <c r="J2668">
        <v>82.91</v>
      </c>
      <c r="K2668">
        <v>28.9</v>
      </c>
      <c r="L2668" t="s">
        <v>6</v>
      </c>
      <c r="M2668">
        <v>0</v>
      </c>
      <c r="N2668" t="str">
        <f t="shared" si="123"/>
        <v>60+</v>
      </c>
      <c r="O2668" t="str">
        <f t="shared" si="124"/>
        <v>Overweight</v>
      </c>
    </row>
    <row r="2669" spans="1:15" x14ac:dyDescent="0.3">
      <c r="A2669">
        <v>39042</v>
      </c>
      <c r="B2669" t="s">
        <v>2</v>
      </c>
      <c r="C2669">
        <v>2</v>
      </c>
      <c r="D2669">
        <v>0</v>
      </c>
      <c r="E2669">
        <v>0</v>
      </c>
      <c r="F2669" t="str">
        <f t="shared" si="125"/>
        <v>Lower Risk</v>
      </c>
      <c r="G2669" t="s">
        <v>13</v>
      </c>
      <c r="H2669" t="s">
        <v>16</v>
      </c>
      <c r="I2669" t="s">
        <v>5</v>
      </c>
      <c r="J2669">
        <v>70.930000000000007</v>
      </c>
      <c r="K2669">
        <v>20.3</v>
      </c>
      <c r="L2669" t="s">
        <v>14</v>
      </c>
      <c r="M2669">
        <v>0</v>
      </c>
      <c r="N2669" t="str">
        <f t="shared" si="123"/>
        <v>Under 40</v>
      </c>
      <c r="O2669" t="str">
        <f t="shared" si="124"/>
        <v>Normal</v>
      </c>
    </row>
    <row r="2670" spans="1:15" x14ac:dyDescent="0.3">
      <c r="A2670">
        <v>43039</v>
      </c>
      <c r="B2670" t="s">
        <v>7</v>
      </c>
      <c r="C2670">
        <v>63</v>
      </c>
      <c r="D2670">
        <v>0</v>
      </c>
      <c r="E2670">
        <v>0</v>
      </c>
      <c r="F2670" t="str">
        <f t="shared" si="125"/>
        <v>Moderate Risk</v>
      </c>
      <c r="G2670" t="s">
        <v>3</v>
      </c>
      <c r="H2670" t="s">
        <v>4</v>
      </c>
      <c r="I2670" t="s">
        <v>9</v>
      </c>
      <c r="J2670">
        <v>153.6</v>
      </c>
      <c r="K2670">
        <v>28</v>
      </c>
      <c r="L2670" t="s">
        <v>6</v>
      </c>
      <c r="M2670">
        <v>0</v>
      </c>
      <c r="N2670" t="str">
        <f t="shared" si="123"/>
        <v>60+</v>
      </c>
      <c r="O2670" t="str">
        <f t="shared" si="124"/>
        <v>Overweight</v>
      </c>
    </row>
    <row r="2671" spans="1:15" x14ac:dyDescent="0.3">
      <c r="A2671">
        <v>59915</v>
      </c>
      <c r="B2671" t="s">
        <v>7</v>
      </c>
      <c r="C2671">
        <v>53</v>
      </c>
      <c r="D2671">
        <v>0</v>
      </c>
      <c r="E2671">
        <v>0</v>
      </c>
      <c r="F2671" t="str">
        <f t="shared" si="125"/>
        <v>Lower Risk</v>
      </c>
      <c r="G2671" t="s">
        <v>13</v>
      </c>
      <c r="H2671" t="s">
        <v>4</v>
      </c>
      <c r="I2671" t="s">
        <v>5</v>
      </c>
      <c r="J2671">
        <v>129.43</v>
      </c>
      <c r="K2671">
        <v>29.6</v>
      </c>
      <c r="L2671" t="s">
        <v>11</v>
      </c>
      <c r="M2671">
        <v>0</v>
      </c>
      <c r="N2671" t="str">
        <f t="shared" si="123"/>
        <v>40–59</v>
      </c>
      <c r="O2671" t="str">
        <f t="shared" si="124"/>
        <v>Overweight</v>
      </c>
    </row>
    <row r="2672" spans="1:15" x14ac:dyDescent="0.3">
      <c r="A2672">
        <v>4727</v>
      </c>
      <c r="B2672" t="s">
        <v>7</v>
      </c>
      <c r="C2672">
        <v>33</v>
      </c>
      <c r="D2672">
        <v>0</v>
      </c>
      <c r="E2672">
        <v>0</v>
      </c>
      <c r="F2672" t="str">
        <f t="shared" si="125"/>
        <v>Lower Risk</v>
      </c>
      <c r="G2672" t="s">
        <v>3</v>
      </c>
      <c r="H2672" t="s">
        <v>15</v>
      </c>
      <c r="I2672" t="s">
        <v>9</v>
      </c>
      <c r="J2672">
        <v>81</v>
      </c>
      <c r="K2672">
        <v>30.2</v>
      </c>
      <c r="L2672" t="s">
        <v>6</v>
      </c>
      <c r="M2672">
        <v>0</v>
      </c>
      <c r="N2672" t="str">
        <f t="shared" si="123"/>
        <v>Under 40</v>
      </c>
      <c r="O2672" t="str">
        <f t="shared" si="124"/>
        <v>Obese</v>
      </c>
    </row>
    <row r="2673" spans="1:15" x14ac:dyDescent="0.3">
      <c r="A2673">
        <v>16481</v>
      </c>
      <c r="B2673" t="s">
        <v>7</v>
      </c>
      <c r="C2673">
        <v>23</v>
      </c>
      <c r="D2673">
        <v>0</v>
      </c>
      <c r="E2673">
        <v>0</v>
      </c>
      <c r="F2673" t="str">
        <f t="shared" si="125"/>
        <v>Lower Risk</v>
      </c>
      <c r="G2673" t="s">
        <v>13</v>
      </c>
      <c r="H2673" t="s">
        <v>15</v>
      </c>
      <c r="I2673" t="s">
        <v>9</v>
      </c>
      <c r="J2673">
        <v>71.81</v>
      </c>
      <c r="K2673">
        <v>22.2</v>
      </c>
      <c r="L2673" t="s">
        <v>14</v>
      </c>
      <c r="M2673">
        <v>0</v>
      </c>
      <c r="N2673" t="str">
        <f t="shared" si="123"/>
        <v>Under 40</v>
      </c>
      <c r="O2673" t="str">
        <f t="shared" si="124"/>
        <v>Normal</v>
      </c>
    </row>
    <row r="2674" spans="1:15" x14ac:dyDescent="0.3">
      <c r="A2674">
        <v>15018</v>
      </c>
      <c r="B2674" t="s">
        <v>7</v>
      </c>
      <c r="C2674">
        <v>23</v>
      </c>
      <c r="D2674">
        <v>0</v>
      </c>
      <c r="E2674">
        <v>0</v>
      </c>
      <c r="F2674" t="str">
        <f t="shared" si="125"/>
        <v>Lower Risk</v>
      </c>
      <c r="G2674" t="s">
        <v>13</v>
      </c>
      <c r="H2674" t="s">
        <v>15</v>
      </c>
      <c r="I2674" t="s">
        <v>5</v>
      </c>
      <c r="J2674">
        <v>84.46</v>
      </c>
      <c r="K2674">
        <v>28.4</v>
      </c>
      <c r="L2674" t="s">
        <v>6</v>
      </c>
      <c r="M2674">
        <v>0</v>
      </c>
      <c r="N2674" t="str">
        <f t="shared" si="123"/>
        <v>Under 40</v>
      </c>
      <c r="O2674" t="str">
        <f t="shared" si="124"/>
        <v>Overweight</v>
      </c>
    </row>
    <row r="2675" spans="1:15" x14ac:dyDescent="0.3">
      <c r="A2675">
        <v>49702</v>
      </c>
      <c r="B2675" t="s">
        <v>7</v>
      </c>
      <c r="C2675">
        <v>81</v>
      </c>
      <c r="D2675">
        <v>0</v>
      </c>
      <c r="E2675">
        <v>0</v>
      </c>
      <c r="F2675" t="str">
        <f t="shared" si="125"/>
        <v>Moderate Risk</v>
      </c>
      <c r="G2675" t="s">
        <v>3</v>
      </c>
      <c r="H2675" t="s">
        <v>8</v>
      </c>
      <c r="I2675" t="s">
        <v>9</v>
      </c>
      <c r="J2675">
        <v>101.32</v>
      </c>
      <c r="K2675">
        <v>29.6</v>
      </c>
      <c r="L2675" t="s">
        <v>6</v>
      </c>
      <c r="M2675">
        <v>0</v>
      </c>
      <c r="N2675" t="str">
        <f t="shared" si="123"/>
        <v>60+</v>
      </c>
      <c r="O2675" t="str">
        <f t="shared" si="124"/>
        <v>Overweight</v>
      </c>
    </row>
    <row r="2676" spans="1:15" x14ac:dyDescent="0.3">
      <c r="A2676">
        <v>48017</v>
      </c>
      <c r="B2676" t="s">
        <v>2</v>
      </c>
      <c r="C2676">
        <v>55</v>
      </c>
      <c r="D2676">
        <v>0</v>
      </c>
      <c r="E2676">
        <v>0</v>
      </c>
      <c r="F2676" t="str">
        <f t="shared" si="125"/>
        <v>Lower Risk</v>
      </c>
      <c r="G2676" t="s">
        <v>3</v>
      </c>
      <c r="H2676" t="s">
        <v>4</v>
      </c>
      <c r="I2676" t="s">
        <v>5</v>
      </c>
      <c r="J2676">
        <v>62.56</v>
      </c>
      <c r="K2676">
        <v>28.6</v>
      </c>
      <c r="L2676" t="s">
        <v>11</v>
      </c>
      <c r="M2676">
        <v>0</v>
      </c>
      <c r="N2676" t="str">
        <f t="shared" si="123"/>
        <v>40–59</v>
      </c>
      <c r="O2676" t="str">
        <f t="shared" si="124"/>
        <v>Overweight</v>
      </c>
    </row>
    <row r="2677" spans="1:15" x14ac:dyDescent="0.3">
      <c r="A2677">
        <v>15313</v>
      </c>
      <c r="B2677" t="s">
        <v>7</v>
      </c>
      <c r="C2677">
        <v>69</v>
      </c>
      <c r="D2677">
        <v>1</v>
      </c>
      <c r="E2677">
        <v>0</v>
      </c>
      <c r="F2677" t="str">
        <f t="shared" si="125"/>
        <v>High Risk</v>
      </c>
      <c r="G2677" t="s">
        <v>3</v>
      </c>
      <c r="H2677" t="s">
        <v>15</v>
      </c>
      <c r="I2677" t="s">
        <v>5</v>
      </c>
      <c r="J2677">
        <v>208.2</v>
      </c>
      <c r="K2677">
        <v>32.6</v>
      </c>
      <c r="L2677" t="s">
        <v>6</v>
      </c>
      <c r="M2677">
        <v>0</v>
      </c>
      <c r="N2677" t="str">
        <f t="shared" si="123"/>
        <v>60+</v>
      </c>
      <c r="O2677" t="str">
        <f t="shared" si="124"/>
        <v>Obese</v>
      </c>
    </row>
    <row r="2678" spans="1:15" x14ac:dyDescent="0.3">
      <c r="A2678">
        <v>22231</v>
      </c>
      <c r="B2678" t="s">
        <v>2</v>
      </c>
      <c r="C2678">
        <v>58</v>
      </c>
      <c r="D2678">
        <v>0</v>
      </c>
      <c r="E2678">
        <v>0</v>
      </c>
      <c r="F2678" t="str">
        <f t="shared" si="125"/>
        <v>Lower Risk</v>
      </c>
      <c r="G2678" t="s">
        <v>3</v>
      </c>
      <c r="H2678" t="s">
        <v>4</v>
      </c>
      <c r="I2678" t="s">
        <v>5</v>
      </c>
      <c r="J2678">
        <v>199.42</v>
      </c>
      <c r="K2678">
        <v>29</v>
      </c>
      <c r="L2678" t="s">
        <v>11</v>
      </c>
      <c r="M2678">
        <v>0</v>
      </c>
      <c r="N2678" t="str">
        <f t="shared" si="123"/>
        <v>40–59</v>
      </c>
      <c r="O2678" t="str">
        <f t="shared" si="124"/>
        <v>Overweight</v>
      </c>
    </row>
    <row r="2679" spans="1:15" x14ac:dyDescent="0.3">
      <c r="A2679">
        <v>45461</v>
      </c>
      <c r="B2679" t="s">
        <v>7</v>
      </c>
      <c r="C2679">
        <v>70</v>
      </c>
      <c r="D2679">
        <v>0</v>
      </c>
      <c r="E2679">
        <v>0</v>
      </c>
      <c r="F2679" t="str">
        <f t="shared" si="125"/>
        <v>Moderate Risk</v>
      </c>
      <c r="G2679" t="s">
        <v>3</v>
      </c>
      <c r="H2679" t="s">
        <v>4</v>
      </c>
      <c r="I2679" t="s">
        <v>5</v>
      </c>
      <c r="J2679">
        <v>91.28</v>
      </c>
      <c r="K2679">
        <v>30.1</v>
      </c>
      <c r="L2679" t="s">
        <v>14</v>
      </c>
      <c r="M2679">
        <v>0</v>
      </c>
      <c r="N2679" t="str">
        <f t="shared" si="123"/>
        <v>60+</v>
      </c>
      <c r="O2679" t="str">
        <f t="shared" si="124"/>
        <v>Obese</v>
      </c>
    </row>
    <row r="2680" spans="1:15" x14ac:dyDescent="0.3">
      <c r="A2680">
        <v>30678</v>
      </c>
      <c r="B2680" t="s">
        <v>7</v>
      </c>
      <c r="C2680">
        <v>48</v>
      </c>
      <c r="D2680">
        <v>0</v>
      </c>
      <c r="E2680">
        <v>0</v>
      </c>
      <c r="F2680" t="str">
        <f t="shared" si="125"/>
        <v>Lower Risk</v>
      </c>
      <c r="G2680" t="s">
        <v>3</v>
      </c>
      <c r="H2680" t="s">
        <v>4</v>
      </c>
      <c r="I2680" t="s">
        <v>5</v>
      </c>
      <c r="J2680">
        <v>77.989999999999995</v>
      </c>
      <c r="K2680">
        <v>31.2</v>
      </c>
      <c r="L2680" t="s">
        <v>6</v>
      </c>
      <c r="M2680">
        <v>0</v>
      </c>
      <c r="N2680" t="str">
        <f t="shared" si="123"/>
        <v>40–59</v>
      </c>
      <c r="O2680" t="str">
        <f t="shared" si="124"/>
        <v>Obese</v>
      </c>
    </row>
    <row r="2681" spans="1:15" x14ac:dyDescent="0.3">
      <c r="A2681">
        <v>57904</v>
      </c>
      <c r="B2681" t="s">
        <v>2</v>
      </c>
      <c r="C2681">
        <v>15</v>
      </c>
      <c r="D2681">
        <v>0</v>
      </c>
      <c r="E2681">
        <v>0</v>
      </c>
      <c r="F2681" t="str">
        <f t="shared" si="125"/>
        <v>Lower Risk</v>
      </c>
      <c r="G2681" t="s">
        <v>13</v>
      </c>
      <c r="H2681" t="s">
        <v>4</v>
      </c>
      <c r="I2681" t="s">
        <v>5</v>
      </c>
      <c r="J2681">
        <v>190.13</v>
      </c>
      <c r="K2681">
        <v>20.7</v>
      </c>
      <c r="L2681" t="s">
        <v>11</v>
      </c>
      <c r="M2681">
        <v>0</v>
      </c>
      <c r="N2681" t="str">
        <f t="shared" si="123"/>
        <v>Under 40</v>
      </c>
      <c r="O2681" t="str">
        <f t="shared" si="124"/>
        <v>Normal</v>
      </c>
    </row>
    <row r="2682" spans="1:15" x14ac:dyDescent="0.3">
      <c r="A2682">
        <v>67483</v>
      </c>
      <c r="B2682" t="s">
        <v>2</v>
      </c>
      <c r="C2682">
        <v>31</v>
      </c>
      <c r="D2682">
        <v>1</v>
      </c>
      <c r="E2682">
        <v>0</v>
      </c>
      <c r="F2682" t="str">
        <f t="shared" si="125"/>
        <v>Lower Risk</v>
      </c>
      <c r="G2682" t="s">
        <v>3</v>
      </c>
      <c r="H2682" t="s">
        <v>4</v>
      </c>
      <c r="I2682" t="s">
        <v>5</v>
      </c>
      <c r="J2682">
        <v>149.68</v>
      </c>
      <c r="K2682">
        <v>45.1</v>
      </c>
      <c r="L2682" t="s">
        <v>11</v>
      </c>
      <c r="M2682">
        <v>0</v>
      </c>
      <c r="N2682" t="str">
        <f t="shared" si="123"/>
        <v>Under 40</v>
      </c>
      <c r="O2682" t="str">
        <f t="shared" si="124"/>
        <v>Obese</v>
      </c>
    </row>
    <row r="2683" spans="1:15" x14ac:dyDescent="0.3">
      <c r="A2683">
        <v>5646</v>
      </c>
      <c r="B2683" t="s">
        <v>7</v>
      </c>
      <c r="C2683">
        <v>2</v>
      </c>
      <c r="D2683">
        <v>0</v>
      </c>
      <c r="E2683">
        <v>0</v>
      </c>
      <c r="F2683" t="str">
        <f t="shared" si="125"/>
        <v>Lower Risk</v>
      </c>
      <c r="G2683" t="s">
        <v>13</v>
      </c>
      <c r="H2683" t="s">
        <v>16</v>
      </c>
      <c r="I2683" t="s">
        <v>9</v>
      </c>
      <c r="J2683">
        <v>92.3</v>
      </c>
      <c r="K2683">
        <v>14.8</v>
      </c>
      <c r="L2683" t="s">
        <v>14</v>
      </c>
      <c r="M2683">
        <v>0</v>
      </c>
      <c r="N2683" t="str">
        <f t="shared" si="123"/>
        <v>Under 40</v>
      </c>
      <c r="O2683" t="str">
        <f t="shared" si="124"/>
        <v>Underweight</v>
      </c>
    </row>
    <row r="2684" spans="1:15" x14ac:dyDescent="0.3">
      <c r="A2684">
        <v>67911</v>
      </c>
      <c r="B2684" t="s">
        <v>2</v>
      </c>
      <c r="C2684">
        <v>80</v>
      </c>
      <c r="D2684">
        <v>0</v>
      </c>
      <c r="E2684">
        <v>0</v>
      </c>
      <c r="F2684" t="str">
        <f t="shared" si="125"/>
        <v>Moderate Risk</v>
      </c>
      <c r="G2684" t="s">
        <v>13</v>
      </c>
      <c r="H2684" t="s">
        <v>8</v>
      </c>
      <c r="I2684" t="s">
        <v>9</v>
      </c>
      <c r="J2684">
        <v>235.54</v>
      </c>
      <c r="K2684">
        <v>37.4</v>
      </c>
      <c r="L2684" t="s">
        <v>6</v>
      </c>
      <c r="M2684">
        <v>0</v>
      </c>
      <c r="N2684" t="str">
        <f t="shared" si="123"/>
        <v>60+</v>
      </c>
      <c r="O2684" t="str">
        <f t="shared" si="124"/>
        <v>Obese</v>
      </c>
    </row>
    <row r="2685" spans="1:15" x14ac:dyDescent="0.3">
      <c r="A2685">
        <v>16856</v>
      </c>
      <c r="B2685" t="s">
        <v>7</v>
      </c>
      <c r="C2685">
        <v>69</v>
      </c>
      <c r="D2685">
        <v>0</v>
      </c>
      <c r="E2685">
        <v>0</v>
      </c>
      <c r="F2685" t="str">
        <f t="shared" si="125"/>
        <v>Moderate Risk</v>
      </c>
      <c r="G2685" t="s">
        <v>3</v>
      </c>
      <c r="H2685" t="s">
        <v>4</v>
      </c>
      <c r="I2685" t="s">
        <v>9</v>
      </c>
      <c r="J2685">
        <v>84.46</v>
      </c>
      <c r="K2685">
        <v>19.899999999999999</v>
      </c>
      <c r="L2685" t="s">
        <v>14</v>
      </c>
      <c r="M2685">
        <v>0</v>
      </c>
      <c r="N2685" t="str">
        <f t="shared" si="123"/>
        <v>60+</v>
      </c>
      <c r="O2685" t="str">
        <f t="shared" si="124"/>
        <v>Normal</v>
      </c>
    </row>
    <row r="2686" spans="1:15" x14ac:dyDescent="0.3">
      <c r="A2686">
        <v>37972</v>
      </c>
      <c r="B2686" t="s">
        <v>7</v>
      </c>
      <c r="C2686">
        <v>52</v>
      </c>
      <c r="D2686">
        <v>0</v>
      </c>
      <c r="E2686">
        <v>0</v>
      </c>
      <c r="F2686" t="str">
        <f t="shared" si="125"/>
        <v>Lower Risk</v>
      </c>
      <c r="G2686" t="s">
        <v>3</v>
      </c>
      <c r="H2686" t="s">
        <v>4</v>
      </c>
      <c r="I2686" t="s">
        <v>9</v>
      </c>
      <c r="J2686">
        <v>68.7</v>
      </c>
      <c r="K2686">
        <v>16</v>
      </c>
      <c r="L2686" t="s">
        <v>14</v>
      </c>
      <c r="M2686">
        <v>0</v>
      </c>
      <c r="N2686" t="str">
        <f t="shared" si="123"/>
        <v>40–59</v>
      </c>
      <c r="O2686" t="str">
        <f t="shared" si="124"/>
        <v>Underweight</v>
      </c>
    </row>
    <row r="2687" spans="1:15" x14ac:dyDescent="0.3">
      <c r="A2687">
        <v>62414</v>
      </c>
      <c r="B2687" t="s">
        <v>2</v>
      </c>
      <c r="C2687">
        <v>80</v>
      </c>
      <c r="D2687">
        <v>1</v>
      </c>
      <c r="E2687">
        <v>0</v>
      </c>
      <c r="F2687" t="str">
        <f t="shared" si="125"/>
        <v>High Risk</v>
      </c>
      <c r="G2687" t="s">
        <v>3</v>
      </c>
      <c r="H2687" t="s">
        <v>8</v>
      </c>
      <c r="I2687" t="s">
        <v>5</v>
      </c>
      <c r="J2687">
        <v>178.89</v>
      </c>
      <c r="K2687">
        <v>27.4</v>
      </c>
      <c r="L2687" t="s">
        <v>14</v>
      </c>
      <c r="M2687">
        <v>0</v>
      </c>
      <c r="N2687" t="str">
        <f t="shared" si="123"/>
        <v>60+</v>
      </c>
      <c r="O2687" t="str">
        <f t="shared" si="124"/>
        <v>Overweight</v>
      </c>
    </row>
    <row r="2688" spans="1:15" x14ac:dyDescent="0.3">
      <c r="A2688">
        <v>50485</v>
      </c>
      <c r="B2688" t="s">
        <v>2</v>
      </c>
      <c r="C2688">
        <v>54</v>
      </c>
      <c r="D2688">
        <v>0</v>
      </c>
      <c r="E2688">
        <v>0</v>
      </c>
      <c r="F2688" t="str">
        <f t="shared" si="125"/>
        <v>Lower Risk</v>
      </c>
      <c r="G2688" t="s">
        <v>3</v>
      </c>
      <c r="H2688" t="s">
        <v>4</v>
      </c>
      <c r="I2688" t="s">
        <v>9</v>
      </c>
      <c r="J2688">
        <v>227.74</v>
      </c>
      <c r="K2688">
        <v>33.4</v>
      </c>
      <c r="L2688" t="s">
        <v>12</v>
      </c>
      <c r="M2688">
        <v>0</v>
      </c>
      <c r="N2688" t="str">
        <f t="shared" si="123"/>
        <v>40–59</v>
      </c>
      <c r="O2688" t="str">
        <f t="shared" si="124"/>
        <v>Obese</v>
      </c>
    </row>
    <row r="2689" spans="1:15" x14ac:dyDescent="0.3">
      <c r="A2689">
        <v>47405</v>
      </c>
      <c r="B2689" t="s">
        <v>7</v>
      </c>
      <c r="C2689">
        <v>2</v>
      </c>
      <c r="D2689">
        <v>0</v>
      </c>
      <c r="E2689">
        <v>0</v>
      </c>
      <c r="F2689" t="str">
        <f t="shared" si="125"/>
        <v>Lower Risk</v>
      </c>
      <c r="G2689" t="s">
        <v>13</v>
      </c>
      <c r="H2689" t="s">
        <v>16</v>
      </c>
      <c r="I2689" t="s">
        <v>9</v>
      </c>
      <c r="J2689">
        <v>100.66</v>
      </c>
      <c r="K2689">
        <v>18.5</v>
      </c>
      <c r="L2689" t="s">
        <v>14</v>
      </c>
      <c r="M2689">
        <v>0</v>
      </c>
      <c r="N2689" t="str">
        <f t="shared" si="123"/>
        <v>Under 40</v>
      </c>
      <c r="O2689" t="str">
        <f t="shared" si="124"/>
        <v>Normal</v>
      </c>
    </row>
    <row r="2690" spans="1:15" x14ac:dyDescent="0.3">
      <c r="A2690">
        <v>70928</v>
      </c>
      <c r="B2690" t="s">
        <v>2</v>
      </c>
      <c r="C2690">
        <v>39</v>
      </c>
      <c r="D2690">
        <v>0</v>
      </c>
      <c r="E2690">
        <v>0</v>
      </c>
      <c r="F2690" t="str">
        <f t="shared" si="125"/>
        <v>Lower Risk</v>
      </c>
      <c r="G2690" t="s">
        <v>3</v>
      </c>
      <c r="H2690" t="s">
        <v>15</v>
      </c>
      <c r="I2690" t="s">
        <v>5</v>
      </c>
      <c r="J2690">
        <v>73.62</v>
      </c>
      <c r="K2690">
        <v>33.4</v>
      </c>
      <c r="L2690" t="s">
        <v>14</v>
      </c>
      <c r="M2690">
        <v>0</v>
      </c>
      <c r="N2690" t="str">
        <f t="shared" ref="N2690:N2753" si="126">IF(C2690&lt;40,"Under 40",IF(C2690&lt;60,"40–59","60+"))</f>
        <v>Under 40</v>
      </c>
      <c r="O2690" t="str">
        <f t="shared" ref="O2690:O2753" si="127">IF(K2690="N/A","Unknown",
IF(K2690="","Unknown",
IF(K2690&lt;18.5,"Underweight",
IF(K2690&lt;25,"Normal",
IF(K2690&lt;30,"Overweight","Obese")))))</f>
        <v>Obese</v>
      </c>
    </row>
    <row r="2691" spans="1:15" x14ac:dyDescent="0.3">
      <c r="A2691">
        <v>4679</v>
      </c>
      <c r="B2691" t="s">
        <v>7</v>
      </c>
      <c r="C2691">
        <v>38</v>
      </c>
      <c r="D2691">
        <v>0</v>
      </c>
      <c r="E2691">
        <v>0</v>
      </c>
      <c r="F2691" t="str">
        <f t="shared" ref="F2691:F2754" si="128">IF(C2691&gt;=60,
IF(OR(D2691=1,E2691=1),"High Risk","Moderate Risk"),
"Lower Risk")</f>
        <v>Lower Risk</v>
      </c>
      <c r="G2691" t="s">
        <v>3</v>
      </c>
      <c r="H2691" t="s">
        <v>4</v>
      </c>
      <c r="I2691" t="s">
        <v>9</v>
      </c>
      <c r="J2691">
        <v>100.05</v>
      </c>
      <c r="K2691">
        <v>20.8</v>
      </c>
      <c r="L2691" t="s">
        <v>12</v>
      </c>
      <c r="M2691">
        <v>0</v>
      </c>
      <c r="N2691" t="str">
        <f t="shared" si="126"/>
        <v>Under 40</v>
      </c>
      <c r="O2691" t="str">
        <f t="shared" si="127"/>
        <v>Normal</v>
      </c>
    </row>
    <row r="2692" spans="1:15" x14ac:dyDescent="0.3">
      <c r="A2692">
        <v>15070</v>
      </c>
      <c r="B2692" t="s">
        <v>2</v>
      </c>
      <c r="C2692">
        <v>76</v>
      </c>
      <c r="D2692">
        <v>0</v>
      </c>
      <c r="E2692">
        <v>1</v>
      </c>
      <c r="F2692" t="str">
        <f t="shared" si="128"/>
        <v>High Risk</v>
      </c>
      <c r="G2692" t="s">
        <v>3</v>
      </c>
      <c r="H2692" t="s">
        <v>4</v>
      </c>
      <c r="I2692" t="s">
        <v>9</v>
      </c>
      <c r="J2692">
        <v>213.8</v>
      </c>
      <c r="K2692">
        <v>22</v>
      </c>
      <c r="L2692" t="s">
        <v>11</v>
      </c>
      <c r="M2692">
        <v>0</v>
      </c>
      <c r="N2692" t="str">
        <f t="shared" si="126"/>
        <v>60+</v>
      </c>
      <c r="O2692" t="str">
        <f t="shared" si="127"/>
        <v>Normal</v>
      </c>
    </row>
    <row r="2693" spans="1:15" x14ac:dyDescent="0.3">
      <c r="A2693">
        <v>25625</v>
      </c>
      <c r="B2693" t="s">
        <v>7</v>
      </c>
      <c r="C2693">
        <v>45</v>
      </c>
      <c r="D2693">
        <v>0</v>
      </c>
      <c r="E2693">
        <v>0</v>
      </c>
      <c r="F2693" t="str">
        <f t="shared" si="128"/>
        <v>Lower Risk</v>
      </c>
      <c r="G2693" t="s">
        <v>13</v>
      </c>
      <c r="H2693" t="s">
        <v>4</v>
      </c>
      <c r="I2693" t="s">
        <v>9</v>
      </c>
      <c r="J2693">
        <v>103.94</v>
      </c>
      <c r="K2693">
        <v>32.5</v>
      </c>
      <c r="L2693" t="s">
        <v>12</v>
      </c>
      <c r="M2693">
        <v>0</v>
      </c>
      <c r="N2693" t="str">
        <f t="shared" si="126"/>
        <v>40–59</v>
      </c>
      <c r="O2693" t="str">
        <f t="shared" si="127"/>
        <v>Obese</v>
      </c>
    </row>
    <row r="2694" spans="1:15" x14ac:dyDescent="0.3">
      <c r="A2694">
        <v>35123</v>
      </c>
      <c r="B2694" t="s">
        <v>7</v>
      </c>
      <c r="C2694">
        <v>1.24</v>
      </c>
      <c r="D2694">
        <v>0</v>
      </c>
      <c r="E2694">
        <v>0</v>
      </c>
      <c r="F2694" t="str">
        <f t="shared" si="128"/>
        <v>Lower Risk</v>
      </c>
      <c r="G2694" t="s">
        <v>13</v>
      </c>
      <c r="H2694" t="s">
        <v>16</v>
      </c>
      <c r="I2694" t="s">
        <v>5</v>
      </c>
      <c r="J2694">
        <v>84.2</v>
      </c>
      <c r="K2694">
        <v>19.2</v>
      </c>
      <c r="L2694" t="s">
        <v>14</v>
      </c>
      <c r="M2694">
        <v>0</v>
      </c>
      <c r="N2694" t="str">
        <f t="shared" si="126"/>
        <v>Under 40</v>
      </c>
      <c r="O2694" t="str">
        <f t="shared" si="127"/>
        <v>Normal</v>
      </c>
    </row>
    <row r="2695" spans="1:15" x14ac:dyDescent="0.3">
      <c r="A2695">
        <v>20165</v>
      </c>
      <c r="B2695" t="s">
        <v>7</v>
      </c>
      <c r="C2695">
        <v>77</v>
      </c>
      <c r="D2695">
        <v>0</v>
      </c>
      <c r="E2695">
        <v>0</v>
      </c>
      <c r="F2695" t="str">
        <f t="shared" si="128"/>
        <v>Moderate Risk</v>
      </c>
      <c r="G2695" t="s">
        <v>3</v>
      </c>
      <c r="H2695" t="s">
        <v>4</v>
      </c>
      <c r="I2695" t="s">
        <v>5</v>
      </c>
      <c r="J2695">
        <v>250.8</v>
      </c>
      <c r="K2695">
        <v>32.9</v>
      </c>
      <c r="L2695" t="s">
        <v>11</v>
      </c>
      <c r="M2695">
        <v>0</v>
      </c>
      <c r="N2695" t="str">
        <f t="shared" si="126"/>
        <v>60+</v>
      </c>
      <c r="O2695" t="str">
        <f t="shared" si="127"/>
        <v>Obese</v>
      </c>
    </row>
    <row r="2696" spans="1:15" x14ac:dyDescent="0.3">
      <c r="A2696">
        <v>41730</v>
      </c>
      <c r="B2696" t="s">
        <v>7</v>
      </c>
      <c r="C2696">
        <v>46</v>
      </c>
      <c r="D2696">
        <v>0</v>
      </c>
      <c r="E2696">
        <v>0</v>
      </c>
      <c r="F2696" t="str">
        <f t="shared" si="128"/>
        <v>Lower Risk</v>
      </c>
      <c r="G2696" t="s">
        <v>13</v>
      </c>
      <c r="H2696" t="s">
        <v>15</v>
      </c>
      <c r="I2696" t="s">
        <v>9</v>
      </c>
      <c r="J2696">
        <v>112.29</v>
      </c>
      <c r="K2696">
        <v>23.5</v>
      </c>
      <c r="L2696" t="s">
        <v>14</v>
      </c>
      <c r="M2696">
        <v>0</v>
      </c>
      <c r="N2696" t="str">
        <f t="shared" si="126"/>
        <v>40–59</v>
      </c>
      <c r="O2696" t="str">
        <f t="shared" si="127"/>
        <v>Normal</v>
      </c>
    </row>
    <row r="2697" spans="1:15" x14ac:dyDescent="0.3">
      <c r="A2697">
        <v>38761</v>
      </c>
      <c r="B2697" t="s">
        <v>7</v>
      </c>
      <c r="C2697">
        <v>50</v>
      </c>
      <c r="D2697">
        <v>0</v>
      </c>
      <c r="E2697">
        <v>0</v>
      </c>
      <c r="F2697" t="str">
        <f t="shared" si="128"/>
        <v>Lower Risk</v>
      </c>
      <c r="G2697" t="s">
        <v>3</v>
      </c>
      <c r="H2697" t="s">
        <v>4</v>
      </c>
      <c r="I2697" t="s">
        <v>5</v>
      </c>
      <c r="J2697">
        <v>65.98</v>
      </c>
      <c r="K2697">
        <v>21.7</v>
      </c>
      <c r="L2697" t="s">
        <v>11</v>
      </c>
      <c r="M2697">
        <v>0</v>
      </c>
      <c r="N2697" t="str">
        <f t="shared" si="126"/>
        <v>40–59</v>
      </c>
      <c r="O2697" t="str">
        <f t="shared" si="127"/>
        <v>Normal</v>
      </c>
    </row>
    <row r="2698" spans="1:15" x14ac:dyDescent="0.3">
      <c r="A2698">
        <v>4797</v>
      </c>
      <c r="B2698" t="s">
        <v>7</v>
      </c>
      <c r="C2698">
        <v>52</v>
      </c>
      <c r="D2698">
        <v>0</v>
      </c>
      <c r="E2698">
        <v>0</v>
      </c>
      <c r="F2698" t="str">
        <f t="shared" si="128"/>
        <v>Lower Risk</v>
      </c>
      <c r="G2698" t="s">
        <v>3</v>
      </c>
      <c r="H2698" t="s">
        <v>4</v>
      </c>
      <c r="I2698" t="s">
        <v>5</v>
      </c>
      <c r="J2698">
        <v>99.1</v>
      </c>
      <c r="K2698">
        <v>29.1</v>
      </c>
      <c r="L2698" t="s">
        <v>14</v>
      </c>
      <c r="M2698">
        <v>0</v>
      </c>
      <c r="N2698" t="str">
        <f t="shared" si="126"/>
        <v>40–59</v>
      </c>
      <c r="O2698" t="str">
        <f t="shared" si="127"/>
        <v>Overweight</v>
      </c>
    </row>
    <row r="2699" spans="1:15" x14ac:dyDescent="0.3">
      <c r="A2699">
        <v>19199</v>
      </c>
      <c r="B2699" t="s">
        <v>7</v>
      </c>
      <c r="C2699">
        <v>73</v>
      </c>
      <c r="D2699">
        <v>1</v>
      </c>
      <c r="E2699">
        <v>0</v>
      </c>
      <c r="F2699" t="str">
        <f t="shared" si="128"/>
        <v>High Risk</v>
      </c>
      <c r="G2699" t="s">
        <v>3</v>
      </c>
      <c r="H2699" t="s">
        <v>4</v>
      </c>
      <c r="I2699" t="s">
        <v>9</v>
      </c>
      <c r="J2699">
        <v>217.84</v>
      </c>
      <c r="K2699" t="s">
        <v>10</v>
      </c>
      <c r="L2699" t="s">
        <v>11</v>
      </c>
      <c r="M2699">
        <v>0</v>
      </c>
      <c r="N2699" t="str">
        <f t="shared" si="126"/>
        <v>60+</v>
      </c>
      <c r="O2699" t="str">
        <f t="shared" si="127"/>
        <v>Unknown</v>
      </c>
    </row>
    <row r="2700" spans="1:15" x14ac:dyDescent="0.3">
      <c r="A2700">
        <v>30402</v>
      </c>
      <c r="B2700" t="s">
        <v>2</v>
      </c>
      <c r="C2700">
        <v>41</v>
      </c>
      <c r="D2700">
        <v>0</v>
      </c>
      <c r="E2700">
        <v>0</v>
      </c>
      <c r="F2700" t="str">
        <f t="shared" si="128"/>
        <v>Lower Risk</v>
      </c>
      <c r="G2700" t="s">
        <v>3</v>
      </c>
      <c r="H2700" t="s">
        <v>4</v>
      </c>
      <c r="I2700" t="s">
        <v>5</v>
      </c>
      <c r="J2700">
        <v>104.34</v>
      </c>
      <c r="K2700">
        <v>30.3</v>
      </c>
      <c r="L2700" t="s">
        <v>14</v>
      </c>
      <c r="M2700">
        <v>0</v>
      </c>
      <c r="N2700" t="str">
        <f t="shared" si="126"/>
        <v>40–59</v>
      </c>
      <c r="O2700" t="str">
        <f t="shared" si="127"/>
        <v>Obese</v>
      </c>
    </row>
    <row r="2701" spans="1:15" x14ac:dyDescent="0.3">
      <c r="A2701">
        <v>25088</v>
      </c>
      <c r="B2701" t="s">
        <v>7</v>
      </c>
      <c r="C2701">
        <v>40</v>
      </c>
      <c r="D2701">
        <v>0</v>
      </c>
      <c r="E2701">
        <v>0</v>
      </c>
      <c r="F2701" t="str">
        <f t="shared" si="128"/>
        <v>Lower Risk</v>
      </c>
      <c r="G2701" t="s">
        <v>13</v>
      </c>
      <c r="H2701" t="s">
        <v>4</v>
      </c>
      <c r="I2701" t="s">
        <v>9</v>
      </c>
      <c r="J2701">
        <v>217</v>
      </c>
      <c r="K2701">
        <v>29.4</v>
      </c>
      <c r="L2701" t="s">
        <v>6</v>
      </c>
      <c r="M2701">
        <v>0</v>
      </c>
      <c r="N2701" t="str">
        <f t="shared" si="126"/>
        <v>40–59</v>
      </c>
      <c r="O2701" t="str">
        <f t="shared" si="127"/>
        <v>Overweight</v>
      </c>
    </row>
    <row r="2702" spans="1:15" x14ac:dyDescent="0.3">
      <c r="A2702">
        <v>54756</v>
      </c>
      <c r="B2702" t="s">
        <v>7</v>
      </c>
      <c r="C2702">
        <v>59</v>
      </c>
      <c r="D2702">
        <v>0</v>
      </c>
      <c r="E2702">
        <v>0</v>
      </c>
      <c r="F2702" t="str">
        <f t="shared" si="128"/>
        <v>Lower Risk</v>
      </c>
      <c r="G2702" t="s">
        <v>3</v>
      </c>
      <c r="H2702" t="s">
        <v>4</v>
      </c>
      <c r="I2702" t="s">
        <v>9</v>
      </c>
      <c r="J2702">
        <v>57.47</v>
      </c>
      <c r="K2702">
        <v>30.1</v>
      </c>
      <c r="L2702" t="s">
        <v>6</v>
      </c>
      <c r="M2702">
        <v>0</v>
      </c>
      <c r="N2702" t="str">
        <f t="shared" si="126"/>
        <v>40–59</v>
      </c>
      <c r="O2702" t="str">
        <f t="shared" si="127"/>
        <v>Obese</v>
      </c>
    </row>
    <row r="2703" spans="1:15" x14ac:dyDescent="0.3">
      <c r="A2703">
        <v>19590</v>
      </c>
      <c r="B2703" t="s">
        <v>2</v>
      </c>
      <c r="C2703">
        <v>48</v>
      </c>
      <c r="D2703">
        <v>0</v>
      </c>
      <c r="E2703">
        <v>0</v>
      </c>
      <c r="F2703" t="str">
        <f t="shared" si="128"/>
        <v>Lower Risk</v>
      </c>
      <c r="G2703" t="s">
        <v>3</v>
      </c>
      <c r="H2703" t="s">
        <v>15</v>
      </c>
      <c r="I2703" t="s">
        <v>5</v>
      </c>
      <c r="J2703">
        <v>78.239999999999995</v>
      </c>
      <c r="K2703">
        <v>32.9</v>
      </c>
      <c r="L2703" t="s">
        <v>11</v>
      </c>
      <c r="M2703">
        <v>0</v>
      </c>
      <c r="N2703" t="str">
        <f t="shared" si="126"/>
        <v>40–59</v>
      </c>
      <c r="O2703" t="str">
        <f t="shared" si="127"/>
        <v>Obese</v>
      </c>
    </row>
    <row r="2704" spans="1:15" x14ac:dyDescent="0.3">
      <c r="A2704">
        <v>23332</v>
      </c>
      <c r="B2704" t="s">
        <v>7</v>
      </c>
      <c r="C2704">
        <v>42</v>
      </c>
      <c r="D2704">
        <v>0</v>
      </c>
      <c r="E2704">
        <v>0</v>
      </c>
      <c r="F2704" t="str">
        <f t="shared" si="128"/>
        <v>Lower Risk</v>
      </c>
      <c r="G2704" t="s">
        <v>3</v>
      </c>
      <c r="H2704" t="s">
        <v>4</v>
      </c>
      <c r="I2704" t="s">
        <v>9</v>
      </c>
      <c r="J2704">
        <v>94.38</v>
      </c>
      <c r="K2704">
        <v>34</v>
      </c>
      <c r="L2704" t="s">
        <v>11</v>
      </c>
      <c r="M2704">
        <v>0</v>
      </c>
      <c r="N2704" t="str">
        <f t="shared" si="126"/>
        <v>40–59</v>
      </c>
      <c r="O2704" t="str">
        <f t="shared" si="127"/>
        <v>Obese</v>
      </c>
    </row>
    <row r="2705" spans="1:15" x14ac:dyDescent="0.3">
      <c r="A2705">
        <v>16971</v>
      </c>
      <c r="B2705" t="s">
        <v>7</v>
      </c>
      <c r="C2705">
        <v>26</v>
      </c>
      <c r="D2705">
        <v>0</v>
      </c>
      <c r="E2705">
        <v>0</v>
      </c>
      <c r="F2705" t="str">
        <f t="shared" si="128"/>
        <v>Lower Risk</v>
      </c>
      <c r="G2705" t="s">
        <v>13</v>
      </c>
      <c r="H2705" t="s">
        <v>4</v>
      </c>
      <c r="I2705" t="s">
        <v>5</v>
      </c>
      <c r="J2705">
        <v>100.31</v>
      </c>
      <c r="K2705">
        <v>38.6</v>
      </c>
      <c r="L2705" t="s">
        <v>11</v>
      </c>
      <c r="M2705">
        <v>0</v>
      </c>
      <c r="N2705" t="str">
        <f t="shared" si="126"/>
        <v>Under 40</v>
      </c>
      <c r="O2705" t="str">
        <f t="shared" si="127"/>
        <v>Obese</v>
      </c>
    </row>
    <row r="2706" spans="1:15" x14ac:dyDescent="0.3">
      <c r="A2706">
        <v>11727</v>
      </c>
      <c r="B2706" t="s">
        <v>2</v>
      </c>
      <c r="C2706">
        <v>39</v>
      </c>
      <c r="D2706">
        <v>0</v>
      </c>
      <c r="E2706">
        <v>0</v>
      </c>
      <c r="F2706" t="str">
        <f t="shared" si="128"/>
        <v>Lower Risk</v>
      </c>
      <c r="G2706" t="s">
        <v>3</v>
      </c>
      <c r="H2706" t="s">
        <v>8</v>
      </c>
      <c r="I2706" t="s">
        <v>5</v>
      </c>
      <c r="J2706">
        <v>74.290000000000006</v>
      </c>
      <c r="K2706">
        <v>29.3</v>
      </c>
      <c r="L2706" t="s">
        <v>12</v>
      </c>
      <c r="M2706">
        <v>0</v>
      </c>
      <c r="N2706" t="str">
        <f t="shared" si="126"/>
        <v>Under 40</v>
      </c>
      <c r="O2706" t="str">
        <f t="shared" si="127"/>
        <v>Overweight</v>
      </c>
    </row>
    <row r="2707" spans="1:15" x14ac:dyDescent="0.3">
      <c r="A2707">
        <v>60255</v>
      </c>
      <c r="B2707" t="s">
        <v>7</v>
      </c>
      <c r="C2707">
        <v>34</v>
      </c>
      <c r="D2707">
        <v>0</v>
      </c>
      <c r="E2707">
        <v>0</v>
      </c>
      <c r="F2707" t="str">
        <f t="shared" si="128"/>
        <v>Lower Risk</v>
      </c>
      <c r="G2707" t="s">
        <v>13</v>
      </c>
      <c r="H2707" t="s">
        <v>4</v>
      </c>
      <c r="I2707" t="s">
        <v>9</v>
      </c>
      <c r="J2707">
        <v>103.43</v>
      </c>
      <c r="K2707">
        <v>43.6</v>
      </c>
      <c r="L2707" t="s">
        <v>12</v>
      </c>
      <c r="M2707">
        <v>0</v>
      </c>
      <c r="N2707" t="str">
        <f t="shared" si="126"/>
        <v>Under 40</v>
      </c>
      <c r="O2707" t="str">
        <f t="shared" si="127"/>
        <v>Obese</v>
      </c>
    </row>
    <row r="2708" spans="1:15" x14ac:dyDescent="0.3">
      <c r="A2708">
        <v>38796</v>
      </c>
      <c r="B2708" t="s">
        <v>7</v>
      </c>
      <c r="C2708">
        <v>54</v>
      </c>
      <c r="D2708">
        <v>0</v>
      </c>
      <c r="E2708">
        <v>0</v>
      </c>
      <c r="F2708" t="str">
        <f t="shared" si="128"/>
        <v>Lower Risk</v>
      </c>
      <c r="G2708" t="s">
        <v>3</v>
      </c>
      <c r="H2708" t="s">
        <v>4</v>
      </c>
      <c r="I2708" t="s">
        <v>5</v>
      </c>
      <c r="J2708">
        <v>99.83</v>
      </c>
      <c r="K2708">
        <v>22.7</v>
      </c>
      <c r="L2708" t="s">
        <v>6</v>
      </c>
      <c r="M2708">
        <v>0</v>
      </c>
      <c r="N2708" t="str">
        <f t="shared" si="126"/>
        <v>40–59</v>
      </c>
      <c r="O2708" t="str">
        <f t="shared" si="127"/>
        <v>Normal</v>
      </c>
    </row>
    <row r="2709" spans="1:15" x14ac:dyDescent="0.3">
      <c r="A2709">
        <v>46498</v>
      </c>
      <c r="B2709" t="s">
        <v>7</v>
      </c>
      <c r="C2709">
        <v>57</v>
      </c>
      <c r="D2709">
        <v>0</v>
      </c>
      <c r="E2709">
        <v>0</v>
      </c>
      <c r="F2709" t="str">
        <f t="shared" si="128"/>
        <v>Lower Risk</v>
      </c>
      <c r="G2709" t="s">
        <v>3</v>
      </c>
      <c r="H2709" t="s">
        <v>4</v>
      </c>
      <c r="I2709" t="s">
        <v>5</v>
      </c>
      <c r="J2709">
        <v>217.4</v>
      </c>
      <c r="K2709">
        <v>36.6</v>
      </c>
      <c r="L2709" t="s">
        <v>11</v>
      </c>
      <c r="M2709">
        <v>0</v>
      </c>
      <c r="N2709" t="str">
        <f t="shared" si="126"/>
        <v>40–59</v>
      </c>
      <c r="O2709" t="str">
        <f t="shared" si="127"/>
        <v>Obese</v>
      </c>
    </row>
    <row r="2710" spans="1:15" x14ac:dyDescent="0.3">
      <c r="A2710">
        <v>41042</v>
      </c>
      <c r="B2710" t="s">
        <v>7</v>
      </c>
      <c r="C2710">
        <v>1.56</v>
      </c>
      <c r="D2710">
        <v>0</v>
      </c>
      <c r="E2710">
        <v>0</v>
      </c>
      <c r="F2710" t="str">
        <f t="shared" si="128"/>
        <v>Lower Risk</v>
      </c>
      <c r="G2710" t="s">
        <v>13</v>
      </c>
      <c r="H2710" t="s">
        <v>16</v>
      </c>
      <c r="I2710" t="s">
        <v>5</v>
      </c>
      <c r="J2710">
        <v>71.81</v>
      </c>
      <c r="K2710">
        <v>22.6</v>
      </c>
      <c r="L2710" t="s">
        <v>14</v>
      </c>
      <c r="M2710">
        <v>0</v>
      </c>
      <c r="N2710" t="str">
        <f t="shared" si="126"/>
        <v>Under 40</v>
      </c>
      <c r="O2710" t="str">
        <f t="shared" si="127"/>
        <v>Normal</v>
      </c>
    </row>
    <row r="2711" spans="1:15" x14ac:dyDescent="0.3">
      <c r="A2711">
        <v>35069</v>
      </c>
      <c r="B2711" t="s">
        <v>7</v>
      </c>
      <c r="C2711">
        <v>50</v>
      </c>
      <c r="D2711">
        <v>1</v>
      </c>
      <c r="E2711">
        <v>1</v>
      </c>
      <c r="F2711" t="str">
        <f t="shared" si="128"/>
        <v>Lower Risk</v>
      </c>
      <c r="G2711" t="s">
        <v>13</v>
      </c>
      <c r="H2711" t="s">
        <v>15</v>
      </c>
      <c r="I2711" t="s">
        <v>5</v>
      </c>
      <c r="J2711">
        <v>79.790000000000006</v>
      </c>
      <c r="K2711">
        <v>25.6</v>
      </c>
      <c r="L2711" t="s">
        <v>12</v>
      </c>
      <c r="M2711">
        <v>0</v>
      </c>
      <c r="N2711" t="str">
        <f t="shared" si="126"/>
        <v>40–59</v>
      </c>
      <c r="O2711" t="str">
        <f t="shared" si="127"/>
        <v>Overweight</v>
      </c>
    </row>
    <row r="2712" spans="1:15" x14ac:dyDescent="0.3">
      <c r="A2712">
        <v>61103</v>
      </c>
      <c r="B2712" t="s">
        <v>7</v>
      </c>
      <c r="C2712">
        <v>64</v>
      </c>
      <c r="D2712">
        <v>1</v>
      </c>
      <c r="E2712">
        <v>0</v>
      </c>
      <c r="F2712" t="str">
        <f t="shared" si="128"/>
        <v>High Risk</v>
      </c>
      <c r="G2712" t="s">
        <v>3</v>
      </c>
      <c r="H2712" t="s">
        <v>8</v>
      </c>
      <c r="I2712" t="s">
        <v>5</v>
      </c>
      <c r="J2712">
        <v>190.92</v>
      </c>
      <c r="K2712">
        <v>31.4</v>
      </c>
      <c r="L2712" t="s">
        <v>11</v>
      </c>
      <c r="M2712">
        <v>0</v>
      </c>
      <c r="N2712" t="str">
        <f t="shared" si="126"/>
        <v>60+</v>
      </c>
      <c r="O2712" t="str">
        <f t="shared" si="127"/>
        <v>Obese</v>
      </c>
    </row>
    <row r="2713" spans="1:15" x14ac:dyDescent="0.3">
      <c r="A2713">
        <v>25095</v>
      </c>
      <c r="B2713" t="s">
        <v>2</v>
      </c>
      <c r="C2713">
        <v>44</v>
      </c>
      <c r="D2713">
        <v>0</v>
      </c>
      <c r="E2713">
        <v>0</v>
      </c>
      <c r="F2713" t="str">
        <f t="shared" si="128"/>
        <v>Lower Risk</v>
      </c>
      <c r="G2713" t="s">
        <v>3</v>
      </c>
      <c r="H2713" t="s">
        <v>15</v>
      </c>
      <c r="I2713" t="s">
        <v>5</v>
      </c>
      <c r="J2713">
        <v>94.76</v>
      </c>
      <c r="K2713">
        <v>26</v>
      </c>
      <c r="L2713" t="s">
        <v>6</v>
      </c>
      <c r="M2713">
        <v>0</v>
      </c>
      <c r="N2713" t="str">
        <f t="shared" si="126"/>
        <v>40–59</v>
      </c>
      <c r="O2713" t="str">
        <f t="shared" si="127"/>
        <v>Overweight</v>
      </c>
    </row>
    <row r="2714" spans="1:15" x14ac:dyDescent="0.3">
      <c r="A2714">
        <v>55607</v>
      </c>
      <c r="B2714" t="s">
        <v>2</v>
      </c>
      <c r="C2714">
        <v>38</v>
      </c>
      <c r="D2714">
        <v>0</v>
      </c>
      <c r="E2714">
        <v>0</v>
      </c>
      <c r="F2714" t="str">
        <f t="shared" si="128"/>
        <v>Lower Risk</v>
      </c>
      <c r="G2714" t="s">
        <v>3</v>
      </c>
      <c r="H2714" t="s">
        <v>4</v>
      </c>
      <c r="I2714" t="s">
        <v>5</v>
      </c>
      <c r="J2714">
        <v>101.43</v>
      </c>
      <c r="K2714">
        <v>27</v>
      </c>
      <c r="L2714" t="s">
        <v>6</v>
      </c>
      <c r="M2714">
        <v>0</v>
      </c>
      <c r="N2714" t="str">
        <f t="shared" si="126"/>
        <v>Under 40</v>
      </c>
      <c r="O2714" t="str">
        <f t="shared" si="127"/>
        <v>Overweight</v>
      </c>
    </row>
    <row r="2715" spans="1:15" x14ac:dyDescent="0.3">
      <c r="A2715">
        <v>63029</v>
      </c>
      <c r="B2715" t="s">
        <v>2</v>
      </c>
      <c r="C2715">
        <v>32</v>
      </c>
      <c r="D2715">
        <v>0</v>
      </c>
      <c r="E2715">
        <v>0</v>
      </c>
      <c r="F2715" t="str">
        <f t="shared" si="128"/>
        <v>Lower Risk</v>
      </c>
      <c r="G2715" t="s">
        <v>3</v>
      </c>
      <c r="H2715" t="s">
        <v>4</v>
      </c>
      <c r="I2715" t="s">
        <v>9</v>
      </c>
      <c r="J2715">
        <v>115.86</v>
      </c>
      <c r="K2715">
        <v>33.299999999999997</v>
      </c>
      <c r="L2715" t="s">
        <v>11</v>
      </c>
      <c r="M2715">
        <v>0</v>
      </c>
      <c r="N2715" t="str">
        <f t="shared" si="126"/>
        <v>Under 40</v>
      </c>
      <c r="O2715" t="str">
        <f t="shared" si="127"/>
        <v>Obese</v>
      </c>
    </row>
    <row r="2716" spans="1:15" x14ac:dyDescent="0.3">
      <c r="A2716">
        <v>2919</v>
      </c>
      <c r="B2716" t="s">
        <v>2</v>
      </c>
      <c r="C2716">
        <v>17</v>
      </c>
      <c r="D2716">
        <v>0</v>
      </c>
      <c r="E2716">
        <v>0</v>
      </c>
      <c r="F2716" t="str">
        <f t="shared" si="128"/>
        <v>Lower Risk</v>
      </c>
      <c r="G2716" t="s">
        <v>13</v>
      </c>
      <c r="H2716" t="s">
        <v>4</v>
      </c>
      <c r="I2716" t="s">
        <v>9</v>
      </c>
      <c r="J2716">
        <v>95.27</v>
      </c>
      <c r="K2716">
        <v>17.3</v>
      </c>
      <c r="L2716" t="s">
        <v>14</v>
      </c>
      <c r="M2716">
        <v>0</v>
      </c>
      <c r="N2716" t="str">
        <f t="shared" si="126"/>
        <v>Under 40</v>
      </c>
      <c r="O2716" t="str">
        <f t="shared" si="127"/>
        <v>Underweight</v>
      </c>
    </row>
    <row r="2717" spans="1:15" x14ac:dyDescent="0.3">
      <c r="A2717">
        <v>60003</v>
      </c>
      <c r="B2717" t="s">
        <v>2</v>
      </c>
      <c r="C2717">
        <v>81</v>
      </c>
      <c r="D2717">
        <v>0</v>
      </c>
      <c r="E2717">
        <v>0</v>
      </c>
      <c r="F2717" t="str">
        <f t="shared" si="128"/>
        <v>Moderate Risk</v>
      </c>
      <c r="G2717" t="s">
        <v>3</v>
      </c>
      <c r="H2717" t="s">
        <v>15</v>
      </c>
      <c r="I2717" t="s">
        <v>9</v>
      </c>
      <c r="J2717">
        <v>89.02</v>
      </c>
      <c r="K2717">
        <v>26.9</v>
      </c>
      <c r="L2717" t="s">
        <v>11</v>
      </c>
      <c r="M2717">
        <v>0</v>
      </c>
      <c r="N2717" t="str">
        <f t="shared" si="126"/>
        <v>60+</v>
      </c>
      <c r="O2717" t="str">
        <f t="shared" si="127"/>
        <v>Overweight</v>
      </c>
    </row>
    <row r="2718" spans="1:15" x14ac:dyDescent="0.3">
      <c r="A2718">
        <v>46256</v>
      </c>
      <c r="B2718" t="s">
        <v>2</v>
      </c>
      <c r="C2718">
        <v>15</v>
      </c>
      <c r="D2718">
        <v>0</v>
      </c>
      <c r="E2718">
        <v>0</v>
      </c>
      <c r="F2718" t="str">
        <f t="shared" si="128"/>
        <v>Lower Risk</v>
      </c>
      <c r="G2718" t="s">
        <v>13</v>
      </c>
      <c r="H2718" t="s">
        <v>4</v>
      </c>
      <c r="I2718" t="s">
        <v>5</v>
      </c>
      <c r="J2718">
        <v>77.55</v>
      </c>
      <c r="K2718">
        <v>24.8</v>
      </c>
      <c r="L2718" t="s">
        <v>14</v>
      </c>
      <c r="M2718">
        <v>0</v>
      </c>
      <c r="N2718" t="str">
        <f t="shared" si="126"/>
        <v>Under 40</v>
      </c>
      <c r="O2718" t="str">
        <f t="shared" si="127"/>
        <v>Normal</v>
      </c>
    </row>
    <row r="2719" spans="1:15" x14ac:dyDescent="0.3">
      <c r="A2719">
        <v>23659</v>
      </c>
      <c r="B2719" t="s">
        <v>7</v>
      </c>
      <c r="C2719">
        <v>5</v>
      </c>
      <c r="D2719">
        <v>0</v>
      </c>
      <c r="E2719">
        <v>0</v>
      </c>
      <c r="F2719" t="str">
        <f t="shared" si="128"/>
        <v>Lower Risk</v>
      </c>
      <c r="G2719" t="s">
        <v>13</v>
      </c>
      <c r="H2719" t="s">
        <v>16</v>
      </c>
      <c r="I2719" t="s">
        <v>5</v>
      </c>
      <c r="J2719">
        <v>75.86</v>
      </c>
      <c r="K2719">
        <v>20</v>
      </c>
      <c r="L2719" t="s">
        <v>14</v>
      </c>
      <c r="M2719">
        <v>0</v>
      </c>
      <c r="N2719" t="str">
        <f t="shared" si="126"/>
        <v>Under 40</v>
      </c>
      <c r="O2719" t="str">
        <f t="shared" si="127"/>
        <v>Normal</v>
      </c>
    </row>
    <row r="2720" spans="1:15" x14ac:dyDescent="0.3">
      <c r="A2720">
        <v>2952</v>
      </c>
      <c r="B2720" t="s">
        <v>2</v>
      </c>
      <c r="C2720">
        <v>70</v>
      </c>
      <c r="D2720">
        <v>1</v>
      </c>
      <c r="E2720">
        <v>1</v>
      </c>
      <c r="F2720" t="str">
        <f t="shared" si="128"/>
        <v>High Risk</v>
      </c>
      <c r="G2720" t="s">
        <v>3</v>
      </c>
      <c r="H2720" t="s">
        <v>4</v>
      </c>
      <c r="I2720" t="s">
        <v>9</v>
      </c>
      <c r="J2720">
        <v>93.62</v>
      </c>
      <c r="K2720">
        <v>35.799999999999997</v>
      </c>
      <c r="L2720" t="s">
        <v>11</v>
      </c>
      <c r="M2720">
        <v>0</v>
      </c>
      <c r="N2720" t="str">
        <f t="shared" si="126"/>
        <v>60+</v>
      </c>
      <c r="O2720" t="str">
        <f t="shared" si="127"/>
        <v>Obese</v>
      </c>
    </row>
    <row r="2721" spans="1:15" x14ac:dyDescent="0.3">
      <c r="A2721">
        <v>49229</v>
      </c>
      <c r="B2721" t="s">
        <v>2</v>
      </c>
      <c r="C2721">
        <v>52</v>
      </c>
      <c r="D2721">
        <v>0</v>
      </c>
      <c r="E2721">
        <v>0</v>
      </c>
      <c r="F2721" t="str">
        <f t="shared" si="128"/>
        <v>Lower Risk</v>
      </c>
      <c r="G2721" t="s">
        <v>13</v>
      </c>
      <c r="H2721" t="s">
        <v>15</v>
      </c>
      <c r="I2721" t="s">
        <v>9</v>
      </c>
      <c r="J2721">
        <v>72.709999999999994</v>
      </c>
      <c r="K2721">
        <v>36.9</v>
      </c>
      <c r="L2721" t="s">
        <v>6</v>
      </c>
      <c r="M2721">
        <v>0</v>
      </c>
      <c r="N2721" t="str">
        <f t="shared" si="126"/>
        <v>40–59</v>
      </c>
      <c r="O2721" t="str">
        <f t="shared" si="127"/>
        <v>Obese</v>
      </c>
    </row>
    <row r="2722" spans="1:15" x14ac:dyDescent="0.3">
      <c r="A2722">
        <v>2457</v>
      </c>
      <c r="B2722" t="s">
        <v>7</v>
      </c>
      <c r="C2722">
        <v>67</v>
      </c>
      <c r="D2722">
        <v>0</v>
      </c>
      <c r="E2722">
        <v>1</v>
      </c>
      <c r="F2722" t="str">
        <f t="shared" si="128"/>
        <v>High Risk</v>
      </c>
      <c r="G2722" t="s">
        <v>3</v>
      </c>
      <c r="H2722" t="s">
        <v>8</v>
      </c>
      <c r="I2722" t="s">
        <v>9</v>
      </c>
      <c r="J2722">
        <v>94.45</v>
      </c>
      <c r="K2722">
        <v>29.6</v>
      </c>
      <c r="L2722" t="s">
        <v>6</v>
      </c>
      <c r="M2722">
        <v>0</v>
      </c>
      <c r="N2722" t="str">
        <f t="shared" si="126"/>
        <v>60+</v>
      </c>
      <c r="O2722" t="str">
        <f t="shared" si="127"/>
        <v>Overweight</v>
      </c>
    </row>
    <row r="2723" spans="1:15" x14ac:dyDescent="0.3">
      <c r="A2723">
        <v>23508</v>
      </c>
      <c r="B2723" t="s">
        <v>7</v>
      </c>
      <c r="C2723">
        <v>17</v>
      </c>
      <c r="D2723">
        <v>0</v>
      </c>
      <c r="E2723">
        <v>0</v>
      </c>
      <c r="F2723" t="str">
        <f t="shared" si="128"/>
        <v>Lower Risk</v>
      </c>
      <c r="G2723" t="s">
        <v>13</v>
      </c>
      <c r="H2723" t="s">
        <v>17</v>
      </c>
      <c r="I2723" t="s">
        <v>9</v>
      </c>
      <c r="J2723">
        <v>88.57</v>
      </c>
      <c r="K2723">
        <v>31.1</v>
      </c>
      <c r="L2723" t="s">
        <v>11</v>
      </c>
      <c r="M2723">
        <v>0</v>
      </c>
      <c r="N2723" t="str">
        <f t="shared" si="126"/>
        <v>Under 40</v>
      </c>
      <c r="O2723" t="str">
        <f t="shared" si="127"/>
        <v>Obese</v>
      </c>
    </row>
    <row r="2724" spans="1:15" x14ac:dyDescent="0.3">
      <c r="A2724">
        <v>28364</v>
      </c>
      <c r="B2724" t="s">
        <v>2</v>
      </c>
      <c r="C2724">
        <v>61</v>
      </c>
      <c r="D2724">
        <v>0</v>
      </c>
      <c r="E2724">
        <v>0</v>
      </c>
      <c r="F2724" t="str">
        <f t="shared" si="128"/>
        <v>Moderate Risk</v>
      </c>
      <c r="G2724" t="s">
        <v>3</v>
      </c>
      <c r="H2724" t="s">
        <v>4</v>
      </c>
      <c r="I2724" t="s">
        <v>5</v>
      </c>
      <c r="J2724">
        <v>84.12</v>
      </c>
      <c r="K2724">
        <v>25.1</v>
      </c>
      <c r="L2724" t="s">
        <v>6</v>
      </c>
      <c r="M2724">
        <v>0</v>
      </c>
      <c r="N2724" t="str">
        <f t="shared" si="126"/>
        <v>60+</v>
      </c>
      <c r="O2724" t="str">
        <f t="shared" si="127"/>
        <v>Overweight</v>
      </c>
    </row>
    <row r="2725" spans="1:15" x14ac:dyDescent="0.3">
      <c r="A2725">
        <v>31360</v>
      </c>
      <c r="B2725" t="s">
        <v>7</v>
      </c>
      <c r="C2725">
        <v>31</v>
      </c>
      <c r="D2725">
        <v>0</v>
      </c>
      <c r="E2725">
        <v>0</v>
      </c>
      <c r="F2725" t="str">
        <f t="shared" si="128"/>
        <v>Lower Risk</v>
      </c>
      <c r="G2725" t="s">
        <v>13</v>
      </c>
      <c r="H2725" t="s">
        <v>4</v>
      </c>
      <c r="I2725" t="s">
        <v>5</v>
      </c>
      <c r="J2725">
        <v>89.11</v>
      </c>
      <c r="K2725">
        <v>51.9</v>
      </c>
      <c r="L2725" t="s">
        <v>12</v>
      </c>
      <c r="M2725">
        <v>0</v>
      </c>
      <c r="N2725" t="str">
        <f t="shared" si="126"/>
        <v>Under 40</v>
      </c>
      <c r="O2725" t="str">
        <f t="shared" si="127"/>
        <v>Obese</v>
      </c>
    </row>
    <row r="2726" spans="1:15" x14ac:dyDescent="0.3">
      <c r="A2726">
        <v>19335</v>
      </c>
      <c r="B2726" t="s">
        <v>2</v>
      </c>
      <c r="C2726">
        <v>58</v>
      </c>
      <c r="D2726">
        <v>0</v>
      </c>
      <c r="E2726">
        <v>0</v>
      </c>
      <c r="F2726" t="str">
        <f t="shared" si="128"/>
        <v>Lower Risk</v>
      </c>
      <c r="G2726" t="s">
        <v>3</v>
      </c>
      <c r="H2726" t="s">
        <v>8</v>
      </c>
      <c r="I2726" t="s">
        <v>9</v>
      </c>
      <c r="J2726">
        <v>99.83</v>
      </c>
      <c r="K2726">
        <v>36.299999999999997</v>
      </c>
      <c r="L2726" t="s">
        <v>12</v>
      </c>
      <c r="M2726">
        <v>0</v>
      </c>
      <c r="N2726" t="str">
        <f t="shared" si="126"/>
        <v>40–59</v>
      </c>
      <c r="O2726" t="str">
        <f t="shared" si="127"/>
        <v>Obese</v>
      </c>
    </row>
    <row r="2727" spans="1:15" x14ac:dyDescent="0.3">
      <c r="A2727">
        <v>40390</v>
      </c>
      <c r="B2727" t="s">
        <v>7</v>
      </c>
      <c r="C2727">
        <v>12</v>
      </c>
      <c r="D2727">
        <v>0</v>
      </c>
      <c r="E2727">
        <v>0</v>
      </c>
      <c r="F2727" t="str">
        <f t="shared" si="128"/>
        <v>Lower Risk</v>
      </c>
      <c r="G2727" t="s">
        <v>13</v>
      </c>
      <c r="H2727" t="s">
        <v>16</v>
      </c>
      <c r="I2727" t="s">
        <v>9</v>
      </c>
      <c r="J2727">
        <v>150.03</v>
      </c>
      <c r="K2727">
        <v>28.2</v>
      </c>
      <c r="L2727" t="s">
        <v>11</v>
      </c>
      <c r="M2727">
        <v>0</v>
      </c>
      <c r="N2727" t="str">
        <f t="shared" si="126"/>
        <v>Under 40</v>
      </c>
      <c r="O2727" t="str">
        <f t="shared" si="127"/>
        <v>Overweight</v>
      </c>
    </row>
    <row r="2728" spans="1:15" x14ac:dyDescent="0.3">
      <c r="A2728">
        <v>63936</v>
      </c>
      <c r="B2728" t="s">
        <v>7</v>
      </c>
      <c r="C2728">
        <v>30</v>
      </c>
      <c r="D2728">
        <v>0</v>
      </c>
      <c r="E2728">
        <v>0</v>
      </c>
      <c r="F2728" t="str">
        <f t="shared" si="128"/>
        <v>Lower Risk</v>
      </c>
      <c r="G2728" t="s">
        <v>13</v>
      </c>
      <c r="H2728" t="s">
        <v>4</v>
      </c>
      <c r="I2728" t="s">
        <v>5</v>
      </c>
      <c r="J2728">
        <v>69.67</v>
      </c>
      <c r="K2728">
        <v>35.799999999999997</v>
      </c>
      <c r="L2728" t="s">
        <v>6</v>
      </c>
      <c r="M2728">
        <v>0</v>
      </c>
      <c r="N2728" t="str">
        <f t="shared" si="126"/>
        <v>Under 40</v>
      </c>
      <c r="O2728" t="str">
        <f t="shared" si="127"/>
        <v>Obese</v>
      </c>
    </row>
    <row r="2729" spans="1:15" x14ac:dyDescent="0.3">
      <c r="A2729">
        <v>24832</v>
      </c>
      <c r="B2729" t="s">
        <v>7</v>
      </c>
      <c r="C2729">
        <v>65</v>
      </c>
      <c r="D2729">
        <v>0</v>
      </c>
      <c r="E2729">
        <v>0</v>
      </c>
      <c r="F2729" t="str">
        <f t="shared" si="128"/>
        <v>Moderate Risk</v>
      </c>
      <c r="G2729" t="s">
        <v>3</v>
      </c>
      <c r="H2729" t="s">
        <v>8</v>
      </c>
      <c r="I2729" t="s">
        <v>5</v>
      </c>
      <c r="J2729">
        <v>77.459999999999994</v>
      </c>
      <c r="K2729">
        <v>30.9</v>
      </c>
      <c r="L2729" t="s">
        <v>6</v>
      </c>
      <c r="M2729">
        <v>0</v>
      </c>
      <c r="N2729" t="str">
        <f t="shared" si="126"/>
        <v>60+</v>
      </c>
      <c r="O2729" t="str">
        <f t="shared" si="127"/>
        <v>Obese</v>
      </c>
    </row>
    <row r="2730" spans="1:15" x14ac:dyDescent="0.3">
      <c r="A2730">
        <v>25219</v>
      </c>
      <c r="B2730" t="s">
        <v>7</v>
      </c>
      <c r="C2730">
        <v>23</v>
      </c>
      <c r="D2730">
        <v>0</v>
      </c>
      <c r="E2730">
        <v>0</v>
      </c>
      <c r="F2730" t="str">
        <f t="shared" si="128"/>
        <v>Lower Risk</v>
      </c>
      <c r="G2730" t="s">
        <v>13</v>
      </c>
      <c r="H2730" t="s">
        <v>4</v>
      </c>
      <c r="I2730" t="s">
        <v>5</v>
      </c>
      <c r="J2730">
        <v>100.54</v>
      </c>
      <c r="K2730">
        <v>22.1</v>
      </c>
      <c r="L2730" t="s">
        <v>12</v>
      </c>
      <c r="M2730">
        <v>0</v>
      </c>
      <c r="N2730" t="str">
        <f t="shared" si="126"/>
        <v>Under 40</v>
      </c>
      <c r="O2730" t="str">
        <f t="shared" si="127"/>
        <v>Normal</v>
      </c>
    </row>
    <row r="2731" spans="1:15" x14ac:dyDescent="0.3">
      <c r="A2731">
        <v>42393</v>
      </c>
      <c r="B2731" t="s">
        <v>2</v>
      </c>
      <c r="C2731">
        <v>14</v>
      </c>
      <c r="D2731">
        <v>0</v>
      </c>
      <c r="E2731">
        <v>0</v>
      </c>
      <c r="F2731" t="str">
        <f t="shared" si="128"/>
        <v>Lower Risk</v>
      </c>
      <c r="G2731" t="s">
        <v>13</v>
      </c>
      <c r="H2731" t="s">
        <v>16</v>
      </c>
      <c r="I2731" t="s">
        <v>9</v>
      </c>
      <c r="J2731">
        <v>142.38</v>
      </c>
      <c r="K2731">
        <v>17.600000000000001</v>
      </c>
      <c r="L2731" t="s">
        <v>11</v>
      </c>
      <c r="M2731">
        <v>0</v>
      </c>
      <c r="N2731" t="str">
        <f t="shared" si="126"/>
        <v>Under 40</v>
      </c>
      <c r="O2731" t="str">
        <f t="shared" si="127"/>
        <v>Underweight</v>
      </c>
    </row>
    <row r="2732" spans="1:15" x14ac:dyDescent="0.3">
      <c r="A2732">
        <v>17951</v>
      </c>
      <c r="B2732" t="s">
        <v>2</v>
      </c>
      <c r="C2732">
        <v>27</v>
      </c>
      <c r="D2732">
        <v>0</v>
      </c>
      <c r="E2732">
        <v>0</v>
      </c>
      <c r="F2732" t="str">
        <f t="shared" si="128"/>
        <v>Lower Risk</v>
      </c>
      <c r="G2732" t="s">
        <v>13</v>
      </c>
      <c r="H2732" t="s">
        <v>8</v>
      </c>
      <c r="I2732" t="s">
        <v>9</v>
      </c>
      <c r="J2732">
        <v>110.87</v>
      </c>
      <c r="K2732">
        <v>29.5</v>
      </c>
      <c r="L2732" t="s">
        <v>12</v>
      </c>
      <c r="M2732">
        <v>0</v>
      </c>
      <c r="N2732" t="str">
        <f t="shared" si="126"/>
        <v>Under 40</v>
      </c>
      <c r="O2732" t="str">
        <f t="shared" si="127"/>
        <v>Overweight</v>
      </c>
    </row>
    <row r="2733" spans="1:15" x14ac:dyDescent="0.3">
      <c r="A2733">
        <v>17443</v>
      </c>
      <c r="B2733" t="s">
        <v>7</v>
      </c>
      <c r="C2733">
        <v>53</v>
      </c>
      <c r="D2733">
        <v>0</v>
      </c>
      <c r="E2733">
        <v>0</v>
      </c>
      <c r="F2733" t="str">
        <f t="shared" si="128"/>
        <v>Lower Risk</v>
      </c>
      <c r="G2733" t="s">
        <v>3</v>
      </c>
      <c r="H2733" t="s">
        <v>4</v>
      </c>
      <c r="I2733" t="s">
        <v>5</v>
      </c>
      <c r="J2733">
        <v>73.599999999999994</v>
      </c>
      <c r="K2733">
        <v>27</v>
      </c>
      <c r="L2733" t="s">
        <v>11</v>
      </c>
      <c r="M2733">
        <v>0</v>
      </c>
      <c r="N2733" t="str">
        <f t="shared" si="126"/>
        <v>40–59</v>
      </c>
      <c r="O2733" t="str">
        <f t="shared" si="127"/>
        <v>Overweight</v>
      </c>
    </row>
    <row r="2734" spans="1:15" x14ac:dyDescent="0.3">
      <c r="A2734">
        <v>52242</v>
      </c>
      <c r="B2734" t="s">
        <v>7</v>
      </c>
      <c r="C2734">
        <v>58</v>
      </c>
      <c r="D2734">
        <v>1</v>
      </c>
      <c r="E2734">
        <v>0</v>
      </c>
      <c r="F2734" t="str">
        <f t="shared" si="128"/>
        <v>Lower Risk</v>
      </c>
      <c r="G2734" t="s">
        <v>3</v>
      </c>
      <c r="H2734" t="s">
        <v>15</v>
      </c>
      <c r="I2734" t="s">
        <v>9</v>
      </c>
      <c r="J2734">
        <v>59.52</v>
      </c>
      <c r="K2734">
        <v>33.200000000000003</v>
      </c>
      <c r="L2734" t="s">
        <v>11</v>
      </c>
      <c r="M2734">
        <v>0</v>
      </c>
      <c r="N2734" t="str">
        <f t="shared" si="126"/>
        <v>40–59</v>
      </c>
      <c r="O2734" t="str">
        <f t="shared" si="127"/>
        <v>Obese</v>
      </c>
    </row>
    <row r="2735" spans="1:15" x14ac:dyDescent="0.3">
      <c r="A2735">
        <v>45931</v>
      </c>
      <c r="B2735" t="s">
        <v>2</v>
      </c>
      <c r="C2735">
        <v>9</v>
      </c>
      <c r="D2735">
        <v>0</v>
      </c>
      <c r="E2735">
        <v>0</v>
      </c>
      <c r="F2735" t="str">
        <f t="shared" si="128"/>
        <v>Lower Risk</v>
      </c>
      <c r="G2735" t="s">
        <v>13</v>
      </c>
      <c r="H2735" t="s">
        <v>16</v>
      </c>
      <c r="I2735" t="s">
        <v>5</v>
      </c>
      <c r="J2735">
        <v>142.68</v>
      </c>
      <c r="K2735">
        <v>24.4</v>
      </c>
      <c r="L2735" t="s">
        <v>14</v>
      </c>
      <c r="M2735">
        <v>0</v>
      </c>
      <c r="N2735" t="str">
        <f t="shared" si="126"/>
        <v>Under 40</v>
      </c>
      <c r="O2735" t="str">
        <f t="shared" si="127"/>
        <v>Normal</v>
      </c>
    </row>
    <row r="2736" spans="1:15" x14ac:dyDescent="0.3">
      <c r="A2736">
        <v>7828</v>
      </c>
      <c r="B2736" t="s">
        <v>2</v>
      </c>
      <c r="C2736">
        <v>59</v>
      </c>
      <c r="D2736">
        <v>1</v>
      </c>
      <c r="E2736">
        <v>0</v>
      </c>
      <c r="F2736" t="str">
        <f t="shared" si="128"/>
        <v>Lower Risk</v>
      </c>
      <c r="G2736" t="s">
        <v>3</v>
      </c>
      <c r="H2736" t="s">
        <v>8</v>
      </c>
      <c r="I2736" t="s">
        <v>5</v>
      </c>
      <c r="J2736">
        <v>182.9</v>
      </c>
      <c r="K2736">
        <v>34.4</v>
      </c>
      <c r="L2736" t="s">
        <v>12</v>
      </c>
      <c r="M2736">
        <v>0</v>
      </c>
      <c r="N2736" t="str">
        <f t="shared" si="126"/>
        <v>40–59</v>
      </c>
      <c r="O2736" t="str">
        <f t="shared" si="127"/>
        <v>Obese</v>
      </c>
    </row>
    <row r="2737" spans="1:15" x14ac:dyDescent="0.3">
      <c r="A2737">
        <v>21547</v>
      </c>
      <c r="B2737" t="s">
        <v>7</v>
      </c>
      <c r="C2737">
        <v>46</v>
      </c>
      <c r="D2737">
        <v>0</v>
      </c>
      <c r="E2737">
        <v>0</v>
      </c>
      <c r="F2737" t="str">
        <f t="shared" si="128"/>
        <v>Lower Risk</v>
      </c>
      <c r="G2737" t="s">
        <v>3</v>
      </c>
      <c r="H2737" t="s">
        <v>15</v>
      </c>
      <c r="I2737" t="s">
        <v>5</v>
      </c>
      <c r="J2737">
        <v>75.28</v>
      </c>
      <c r="K2737">
        <v>36.700000000000003</v>
      </c>
      <c r="L2737" t="s">
        <v>6</v>
      </c>
      <c r="M2737">
        <v>0</v>
      </c>
      <c r="N2737" t="str">
        <f t="shared" si="126"/>
        <v>40–59</v>
      </c>
      <c r="O2737" t="str">
        <f t="shared" si="127"/>
        <v>Obese</v>
      </c>
    </row>
    <row r="2738" spans="1:15" x14ac:dyDescent="0.3">
      <c r="A2738">
        <v>42305</v>
      </c>
      <c r="B2738" t="s">
        <v>7</v>
      </c>
      <c r="C2738">
        <v>41</v>
      </c>
      <c r="D2738">
        <v>0</v>
      </c>
      <c r="E2738">
        <v>0</v>
      </c>
      <c r="F2738" t="str">
        <f t="shared" si="128"/>
        <v>Lower Risk</v>
      </c>
      <c r="G2738" t="s">
        <v>13</v>
      </c>
      <c r="H2738" t="s">
        <v>4</v>
      </c>
      <c r="I2738" t="s">
        <v>9</v>
      </c>
      <c r="J2738">
        <v>100.75</v>
      </c>
      <c r="K2738">
        <v>27.2</v>
      </c>
      <c r="L2738" t="s">
        <v>11</v>
      </c>
      <c r="M2738">
        <v>0</v>
      </c>
      <c r="N2738" t="str">
        <f t="shared" si="126"/>
        <v>40–59</v>
      </c>
      <c r="O2738" t="str">
        <f t="shared" si="127"/>
        <v>Overweight</v>
      </c>
    </row>
    <row r="2739" spans="1:15" x14ac:dyDescent="0.3">
      <c r="A2739">
        <v>9442</v>
      </c>
      <c r="B2739" t="s">
        <v>2</v>
      </c>
      <c r="C2739">
        <v>55</v>
      </c>
      <c r="D2739">
        <v>0</v>
      </c>
      <c r="E2739">
        <v>0</v>
      </c>
      <c r="F2739" t="str">
        <f t="shared" si="128"/>
        <v>Lower Risk</v>
      </c>
      <c r="G2739" t="s">
        <v>3</v>
      </c>
      <c r="H2739" t="s">
        <v>8</v>
      </c>
      <c r="I2739" t="s">
        <v>9</v>
      </c>
      <c r="J2739">
        <v>163.82</v>
      </c>
      <c r="K2739">
        <v>27.5</v>
      </c>
      <c r="L2739" t="s">
        <v>11</v>
      </c>
      <c r="M2739">
        <v>0</v>
      </c>
      <c r="N2739" t="str">
        <f t="shared" si="126"/>
        <v>40–59</v>
      </c>
      <c r="O2739" t="str">
        <f t="shared" si="127"/>
        <v>Overweight</v>
      </c>
    </row>
    <row r="2740" spans="1:15" x14ac:dyDescent="0.3">
      <c r="A2740">
        <v>57047</v>
      </c>
      <c r="B2740" t="s">
        <v>7</v>
      </c>
      <c r="C2740">
        <v>43</v>
      </c>
      <c r="D2740">
        <v>0</v>
      </c>
      <c r="E2740">
        <v>0</v>
      </c>
      <c r="F2740" t="str">
        <f t="shared" si="128"/>
        <v>Lower Risk</v>
      </c>
      <c r="G2740" t="s">
        <v>3</v>
      </c>
      <c r="H2740" t="s">
        <v>4</v>
      </c>
      <c r="I2740" t="s">
        <v>5</v>
      </c>
      <c r="J2740">
        <v>110.42</v>
      </c>
      <c r="K2740">
        <v>32.6</v>
      </c>
      <c r="L2740" t="s">
        <v>12</v>
      </c>
      <c r="M2740">
        <v>0</v>
      </c>
      <c r="N2740" t="str">
        <f t="shared" si="126"/>
        <v>40–59</v>
      </c>
      <c r="O2740" t="str">
        <f t="shared" si="127"/>
        <v>Obese</v>
      </c>
    </row>
    <row r="2741" spans="1:15" x14ac:dyDescent="0.3">
      <c r="A2741">
        <v>2538</v>
      </c>
      <c r="B2741" t="s">
        <v>7</v>
      </c>
      <c r="C2741">
        <v>5</v>
      </c>
      <c r="D2741">
        <v>0</v>
      </c>
      <c r="E2741">
        <v>0</v>
      </c>
      <c r="F2741" t="str">
        <f t="shared" si="128"/>
        <v>Lower Risk</v>
      </c>
      <c r="G2741" t="s">
        <v>13</v>
      </c>
      <c r="H2741" t="s">
        <v>16</v>
      </c>
      <c r="I2741" t="s">
        <v>9</v>
      </c>
      <c r="J2741">
        <v>105.18</v>
      </c>
      <c r="K2741" t="s">
        <v>10</v>
      </c>
      <c r="L2741" t="s">
        <v>14</v>
      </c>
      <c r="M2741">
        <v>0</v>
      </c>
      <c r="N2741" t="str">
        <f t="shared" si="126"/>
        <v>Under 40</v>
      </c>
      <c r="O2741" t="str">
        <f t="shared" si="127"/>
        <v>Unknown</v>
      </c>
    </row>
    <row r="2742" spans="1:15" x14ac:dyDescent="0.3">
      <c r="A2742">
        <v>28461</v>
      </c>
      <c r="B2742" t="s">
        <v>2</v>
      </c>
      <c r="C2742">
        <v>15</v>
      </c>
      <c r="D2742">
        <v>0</v>
      </c>
      <c r="E2742">
        <v>0</v>
      </c>
      <c r="F2742" t="str">
        <f t="shared" si="128"/>
        <v>Lower Risk</v>
      </c>
      <c r="G2742" t="s">
        <v>13</v>
      </c>
      <c r="H2742" t="s">
        <v>17</v>
      </c>
      <c r="I2742" t="s">
        <v>9</v>
      </c>
      <c r="J2742">
        <v>79.59</v>
      </c>
      <c r="K2742">
        <v>28.4</v>
      </c>
      <c r="L2742" t="s">
        <v>14</v>
      </c>
      <c r="M2742">
        <v>0</v>
      </c>
      <c r="N2742" t="str">
        <f t="shared" si="126"/>
        <v>Under 40</v>
      </c>
      <c r="O2742" t="str">
        <f t="shared" si="127"/>
        <v>Overweight</v>
      </c>
    </row>
    <row r="2743" spans="1:15" x14ac:dyDescent="0.3">
      <c r="A2743">
        <v>16433</v>
      </c>
      <c r="B2743" t="s">
        <v>7</v>
      </c>
      <c r="C2743">
        <v>36</v>
      </c>
      <c r="D2743">
        <v>0</v>
      </c>
      <c r="E2743">
        <v>0</v>
      </c>
      <c r="F2743" t="str">
        <f t="shared" si="128"/>
        <v>Lower Risk</v>
      </c>
      <c r="G2743" t="s">
        <v>3</v>
      </c>
      <c r="H2743" t="s">
        <v>4</v>
      </c>
      <c r="I2743" t="s">
        <v>9</v>
      </c>
      <c r="J2743">
        <v>107.99</v>
      </c>
      <c r="K2743">
        <v>25.5</v>
      </c>
      <c r="L2743" t="s">
        <v>11</v>
      </c>
      <c r="M2743">
        <v>0</v>
      </c>
      <c r="N2743" t="str">
        <f t="shared" si="126"/>
        <v>Under 40</v>
      </c>
      <c r="O2743" t="str">
        <f t="shared" si="127"/>
        <v>Overweight</v>
      </c>
    </row>
    <row r="2744" spans="1:15" x14ac:dyDescent="0.3">
      <c r="A2744">
        <v>50681</v>
      </c>
      <c r="B2744" t="s">
        <v>7</v>
      </c>
      <c r="C2744">
        <v>36</v>
      </c>
      <c r="D2744">
        <v>0</v>
      </c>
      <c r="E2744">
        <v>0</v>
      </c>
      <c r="F2744" t="str">
        <f t="shared" si="128"/>
        <v>Lower Risk</v>
      </c>
      <c r="G2744" t="s">
        <v>3</v>
      </c>
      <c r="H2744" t="s">
        <v>4</v>
      </c>
      <c r="I2744" t="s">
        <v>9</v>
      </c>
      <c r="J2744">
        <v>90.22</v>
      </c>
      <c r="K2744">
        <v>28.7</v>
      </c>
      <c r="L2744" t="s">
        <v>6</v>
      </c>
      <c r="M2744">
        <v>0</v>
      </c>
      <c r="N2744" t="str">
        <f t="shared" si="126"/>
        <v>Under 40</v>
      </c>
      <c r="O2744" t="str">
        <f t="shared" si="127"/>
        <v>Overweight</v>
      </c>
    </row>
    <row r="2745" spans="1:15" x14ac:dyDescent="0.3">
      <c r="A2745">
        <v>71327</v>
      </c>
      <c r="B2745" t="s">
        <v>7</v>
      </c>
      <c r="C2745">
        <v>47</v>
      </c>
      <c r="D2745">
        <v>0</v>
      </c>
      <c r="E2745">
        <v>0</v>
      </c>
      <c r="F2745" t="str">
        <f t="shared" si="128"/>
        <v>Lower Risk</v>
      </c>
      <c r="G2745" t="s">
        <v>13</v>
      </c>
      <c r="H2745" t="s">
        <v>4</v>
      </c>
      <c r="I2745" t="s">
        <v>9</v>
      </c>
      <c r="J2745">
        <v>143.44999999999999</v>
      </c>
      <c r="K2745">
        <v>23.8</v>
      </c>
      <c r="L2745" t="s">
        <v>11</v>
      </c>
      <c r="M2745">
        <v>0</v>
      </c>
      <c r="N2745" t="str">
        <f t="shared" si="126"/>
        <v>40–59</v>
      </c>
      <c r="O2745" t="str">
        <f t="shared" si="127"/>
        <v>Normal</v>
      </c>
    </row>
    <row r="2746" spans="1:15" x14ac:dyDescent="0.3">
      <c r="A2746">
        <v>46699</v>
      </c>
      <c r="B2746" t="s">
        <v>7</v>
      </c>
      <c r="C2746">
        <v>18</v>
      </c>
      <c r="D2746">
        <v>0</v>
      </c>
      <c r="E2746">
        <v>0</v>
      </c>
      <c r="F2746" t="str">
        <f t="shared" si="128"/>
        <v>Lower Risk</v>
      </c>
      <c r="G2746" t="s">
        <v>13</v>
      </c>
      <c r="H2746" t="s">
        <v>4</v>
      </c>
      <c r="I2746" t="s">
        <v>9</v>
      </c>
      <c r="J2746">
        <v>78.569999999999993</v>
      </c>
      <c r="K2746">
        <v>34.4</v>
      </c>
      <c r="L2746" t="s">
        <v>14</v>
      </c>
      <c r="M2746">
        <v>0</v>
      </c>
      <c r="N2746" t="str">
        <f t="shared" si="126"/>
        <v>Under 40</v>
      </c>
      <c r="O2746" t="str">
        <f t="shared" si="127"/>
        <v>Obese</v>
      </c>
    </row>
    <row r="2747" spans="1:15" x14ac:dyDescent="0.3">
      <c r="A2747">
        <v>25248</v>
      </c>
      <c r="B2747" t="s">
        <v>2</v>
      </c>
      <c r="C2747">
        <v>19</v>
      </c>
      <c r="D2747">
        <v>0</v>
      </c>
      <c r="E2747">
        <v>0</v>
      </c>
      <c r="F2747" t="str">
        <f t="shared" si="128"/>
        <v>Lower Risk</v>
      </c>
      <c r="G2747" t="s">
        <v>13</v>
      </c>
      <c r="H2747" t="s">
        <v>4</v>
      </c>
      <c r="I2747" t="s">
        <v>9</v>
      </c>
      <c r="J2747">
        <v>79.819999999999993</v>
      </c>
      <c r="K2747">
        <v>26.1</v>
      </c>
      <c r="L2747" t="s">
        <v>14</v>
      </c>
      <c r="M2747">
        <v>0</v>
      </c>
      <c r="N2747" t="str">
        <f t="shared" si="126"/>
        <v>Under 40</v>
      </c>
      <c r="O2747" t="str">
        <f t="shared" si="127"/>
        <v>Overweight</v>
      </c>
    </row>
    <row r="2748" spans="1:15" x14ac:dyDescent="0.3">
      <c r="A2748">
        <v>35315</v>
      </c>
      <c r="B2748" t="s">
        <v>2</v>
      </c>
      <c r="C2748">
        <v>65</v>
      </c>
      <c r="D2748">
        <v>0</v>
      </c>
      <c r="E2748">
        <v>0</v>
      </c>
      <c r="F2748" t="str">
        <f t="shared" si="128"/>
        <v>Moderate Risk</v>
      </c>
      <c r="G2748" t="s">
        <v>3</v>
      </c>
      <c r="H2748" t="s">
        <v>8</v>
      </c>
      <c r="I2748" t="s">
        <v>5</v>
      </c>
      <c r="J2748">
        <v>95.88</v>
      </c>
      <c r="K2748">
        <v>28.5</v>
      </c>
      <c r="L2748" t="s">
        <v>11</v>
      </c>
      <c r="M2748">
        <v>0</v>
      </c>
      <c r="N2748" t="str">
        <f t="shared" si="126"/>
        <v>60+</v>
      </c>
      <c r="O2748" t="str">
        <f t="shared" si="127"/>
        <v>Overweight</v>
      </c>
    </row>
    <row r="2749" spans="1:15" x14ac:dyDescent="0.3">
      <c r="A2749">
        <v>63144</v>
      </c>
      <c r="B2749" t="s">
        <v>2</v>
      </c>
      <c r="C2749">
        <v>17</v>
      </c>
      <c r="D2749">
        <v>0</v>
      </c>
      <c r="E2749">
        <v>0</v>
      </c>
      <c r="F2749" t="str">
        <f t="shared" si="128"/>
        <v>Lower Risk</v>
      </c>
      <c r="G2749" t="s">
        <v>13</v>
      </c>
      <c r="H2749" t="s">
        <v>15</v>
      </c>
      <c r="I2749" t="s">
        <v>5</v>
      </c>
      <c r="J2749">
        <v>123.04</v>
      </c>
      <c r="K2749">
        <v>29.6</v>
      </c>
      <c r="L2749" t="s">
        <v>11</v>
      </c>
      <c r="M2749">
        <v>0</v>
      </c>
      <c r="N2749" t="str">
        <f t="shared" si="126"/>
        <v>Under 40</v>
      </c>
      <c r="O2749" t="str">
        <f t="shared" si="127"/>
        <v>Overweight</v>
      </c>
    </row>
    <row r="2750" spans="1:15" x14ac:dyDescent="0.3">
      <c r="A2750">
        <v>21517</v>
      </c>
      <c r="B2750" t="s">
        <v>2</v>
      </c>
      <c r="C2750">
        <v>54</v>
      </c>
      <c r="D2750">
        <v>0</v>
      </c>
      <c r="E2750">
        <v>0</v>
      </c>
      <c r="F2750" t="str">
        <f t="shared" si="128"/>
        <v>Lower Risk</v>
      </c>
      <c r="G2750" t="s">
        <v>3</v>
      </c>
      <c r="H2750" t="s">
        <v>4</v>
      </c>
      <c r="I2750" t="s">
        <v>5</v>
      </c>
      <c r="J2750">
        <v>92.34</v>
      </c>
      <c r="K2750">
        <v>29.4</v>
      </c>
      <c r="L2750" t="s">
        <v>12</v>
      </c>
      <c r="M2750">
        <v>0</v>
      </c>
      <c r="N2750" t="str">
        <f t="shared" si="126"/>
        <v>40–59</v>
      </c>
      <c r="O2750" t="str">
        <f t="shared" si="127"/>
        <v>Overweight</v>
      </c>
    </row>
    <row r="2751" spans="1:15" x14ac:dyDescent="0.3">
      <c r="A2751">
        <v>29789</v>
      </c>
      <c r="B2751" t="s">
        <v>7</v>
      </c>
      <c r="C2751">
        <v>46</v>
      </c>
      <c r="D2751">
        <v>0</v>
      </c>
      <c r="E2751">
        <v>0</v>
      </c>
      <c r="F2751" t="str">
        <f t="shared" si="128"/>
        <v>Lower Risk</v>
      </c>
      <c r="G2751" t="s">
        <v>3</v>
      </c>
      <c r="H2751" t="s">
        <v>4</v>
      </c>
      <c r="I2751" t="s">
        <v>9</v>
      </c>
      <c r="J2751">
        <v>116.84</v>
      </c>
      <c r="K2751">
        <v>28.2</v>
      </c>
      <c r="L2751" t="s">
        <v>11</v>
      </c>
      <c r="M2751">
        <v>0</v>
      </c>
      <c r="N2751" t="str">
        <f t="shared" si="126"/>
        <v>40–59</v>
      </c>
      <c r="O2751" t="str">
        <f t="shared" si="127"/>
        <v>Overweight</v>
      </c>
    </row>
    <row r="2752" spans="1:15" x14ac:dyDescent="0.3">
      <c r="A2752">
        <v>52207</v>
      </c>
      <c r="B2752" t="s">
        <v>7</v>
      </c>
      <c r="C2752">
        <v>59</v>
      </c>
      <c r="D2752">
        <v>0</v>
      </c>
      <c r="E2752">
        <v>0</v>
      </c>
      <c r="F2752" t="str">
        <f t="shared" si="128"/>
        <v>Lower Risk</v>
      </c>
      <c r="G2752" t="s">
        <v>3</v>
      </c>
      <c r="H2752" t="s">
        <v>8</v>
      </c>
      <c r="I2752" t="s">
        <v>5</v>
      </c>
      <c r="J2752">
        <v>90.04</v>
      </c>
      <c r="K2752">
        <v>28.7</v>
      </c>
      <c r="L2752" t="s">
        <v>6</v>
      </c>
      <c r="M2752">
        <v>0</v>
      </c>
      <c r="N2752" t="str">
        <f t="shared" si="126"/>
        <v>40–59</v>
      </c>
      <c r="O2752" t="str">
        <f t="shared" si="127"/>
        <v>Overweight</v>
      </c>
    </row>
    <row r="2753" spans="1:15" x14ac:dyDescent="0.3">
      <c r="A2753">
        <v>19209</v>
      </c>
      <c r="B2753" t="s">
        <v>7</v>
      </c>
      <c r="C2753">
        <v>48</v>
      </c>
      <c r="D2753">
        <v>0</v>
      </c>
      <c r="E2753">
        <v>0</v>
      </c>
      <c r="F2753" t="str">
        <f t="shared" si="128"/>
        <v>Lower Risk</v>
      </c>
      <c r="G2753" t="s">
        <v>3</v>
      </c>
      <c r="H2753" t="s">
        <v>15</v>
      </c>
      <c r="I2753" t="s">
        <v>9</v>
      </c>
      <c r="J2753">
        <v>255.17</v>
      </c>
      <c r="K2753">
        <v>38.1</v>
      </c>
      <c r="L2753" t="s">
        <v>6</v>
      </c>
      <c r="M2753">
        <v>0</v>
      </c>
      <c r="N2753" t="str">
        <f t="shared" si="126"/>
        <v>40–59</v>
      </c>
      <c r="O2753" t="str">
        <f t="shared" si="127"/>
        <v>Obese</v>
      </c>
    </row>
    <row r="2754" spans="1:15" x14ac:dyDescent="0.3">
      <c r="A2754">
        <v>42041</v>
      </c>
      <c r="B2754" t="s">
        <v>7</v>
      </c>
      <c r="C2754">
        <v>38</v>
      </c>
      <c r="D2754">
        <v>0</v>
      </c>
      <c r="E2754">
        <v>0</v>
      </c>
      <c r="F2754" t="str">
        <f t="shared" si="128"/>
        <v>Lower Risk</v>
      </c>
      <c r="G2754" t="s">
        <v>3</v>
      </c>
      <c r="H2754" t="s">
        <v>4</v>
      </c>
      <c r="I2754" t="s">
        <v>9</v>
      </c>
      <c r="J2754">
        <v>217.55</v>
      </c>
      <c r="K2754" t="s">
        <v>10</v>
      </c>
      <c r="L2754" t="s">
        <v>12</v>
      </c>
      <c r="M2754">
        <v>0</v>
      </c>
      <c r="N2754" t="str">
        <f t="shared" ref="N2754:N2817" si="129">IF(C2754&lt;40,"Under 40",IF(C2754&lt;60,"40–59","60+"))</f>
        <v>Under 40</v>
      </c>
      <c r="O2754" t="str">
        <f t="shared" ref="O2754:O2817" si="130">IF(K2754="N/A","Unknown",
IF(K2754="","Unknown",
IF(K2754&lt;18.5,"Underweight",
IF(K2754&lt;25,"Normal",
IF(K2754&lt;30,"Overweight","Obese")))))</f>
        <v>Unknown</v>
      </c>
    </row>
    <row r="2755" spans="1:15" x14ac:dyDescent="0.3">
      <c r="A2755">
        <v>58153</v>
      </c>
      <c r="B2755" t="s">
        <v>7</v>
      </c>
      <c r="C2755">
        <v>18</v>
      </c>
      <c r="D2755">
        <v>0</v>
      </c>
      <c r="E2755">
        <v>0</v>
      </c>
      <c r="F2755" t="str">
        <f t="shared" ref="F2755:F2818" si="131">IF(C2755&gt;=60,
IF(OR(D2755=1,E2755=1),"High Risk","Moderate Risk"),
"Lower Risk")</f>
        <v>Lower Risk</v>
      </c>
      <c r="G2755" t="s">
        <v>13</v>
      </c>
      <c r="H2755" t="s">
        <v>4</v>
      </c>
      <c r="I2755" t="s">
        <v>5</v>
      </c>
      <c r="J2755">
        <v>123.66</v>
      </c>
      <c r="K2755">
        <v>22.2</v>
      </c>
      <c r="L2755" t="s">
        <v>11</v>
      </c>
      <c r="M2755">
        <v>0</v>
      </c>
      <c r="N2755" t="str">
        <f t="shared" si="129"/>
        <v>Under 40</v>
      </c>
      <c r="O2755" t="str">
        <f t="shared" si="130"/>
        <v>Normal</v>
      </c>
    </row>
    <row r="2756" spans="1:15" x14ac:dyDescent="0.3">
      <c r="A2756">
        <v>27717</v>
      </c>
      <c r="B2756" t="s">
        <v>7</v>
      </c>
      <c r="C2756">
        <v>56</v>
      </c>
      <c r="D2756">
        <v>0</v>
      </c>
      <c r="E2756">
        <v>0</v>
      </c>
      <c r="F2756" t="str">
        <f t="shared" si="131"/>
        <v>Lower Risk</v>
      </c>
      <c r="G2756" t="s">
        <v>3</v>
      </c>
      <c r="H2756" t="s">
        <v>8</v>
      </c>
      <c r="I2756" t="s">
        <v>5</v>
      </c>
      <c r="J2756">
        <v>112.16</v>
      </c>
      <c r="K2756">
        <v>25.7</v>
      </c>
      <c r="L2756" t="s">
        <v>14</v>
      </c>
      <c r="M2756">
        <v>0</v>
      </c>
      <c r="N2756" t="str">
        <f t="shared" si="129"/>
        <v>40–59</v>
      </c>
      <c r="O2756" t="str">
        <f t="shared" si="130"/>
        <v>Overweight</v>
      </c>
    </row>
    <row r="2757" spans="1:15" x14ac:dyDescent="0.3">
      <c r="A2757">
        <v>35106</v>
      </c>
      <c r="B2757" t="s">
        <v>2</v>
      </c>
      <c r="C2757">
        <v>3</v>
      </c>
      <c r="D2757">
        <v>0</v>
      </c>
      <c r="E2757">
        <v>0</v>
      </c>
      <c r="F2757" t="str">
        <f t="shared" si="131"/>
        <v>Lower Risk</v>
      </c>
      <c r="G2757" t="s">
        <v>13</v>
      </c>
      <c r="H2757" t="s">
        <v>16</v>
      </c>
      <c r="I2757" t="s">
        <v>5</v>
      </c>
      <c r="J2757">
        <v>88.43</v>
      </c>
      <c r="K2757">
        <v>17.7</v>
      </c>
      <c r="L2757" t="s">
        <v>14</v>
      </c>
      <c r="M2757">
        <v>0</v>
      </c>
      <c r="N2757" t="str">
        <f t="shared" si="129"/>
        <v>Under 40</v>
      </c>
      <c r="O2757" t="str">
        <f t="shared" si="130"/>
        <v>Underweight</v>
      </c>
    </row>
    <row r="2758" spans="1:15" x14ac:dyDescent="0.3">
      <c r="A2758">
        <v>47730</v>
      </c>
      <c r="B2758" t="s">
        <v>7</v>
      </c>
      <c r="C2758">
        <v>41</v>
      </c>
      <c r="D2758">
        <v>0</v>
      </c>
      <c r="E2758">
        <v>0</v>
      </c>
      <c r="F2758" t="str">
        <f t="shared" si="131"/>
        <v>Lower Risk</v>
      </c>
      <c r="G2758" t="s">
        <v>13</v>
      </c>
      <c r="H2758" t="s">
        <v>4</v>
      </c>
      <c r="I2758" t="s">
        <v>5</v>
      </c>
      <c r="J2758">
        <v>86.03</v>
      </c>
      <c r="K2758">
        <v>26.4</v>
      </c>
      <c r="L2758" t="s">
        <v>11</v>
      </c>
      <c r="M2758">
        <v>0</v>
      </c>
      <c r="N2758" t="str">
        <f t="shared" si="129"/>
        <v>40–59</v>
      </c>
      <c r="O2758" t="str">
        <f t="shared" si="130"/>
        <v>Overweight</v>
      </c>
    </row>
    <row r="2759" spans="1:15" x14ac:dyDescent="0.3">
      <c r="A2759">
        <v>20657</v>
      </c>
      <c r="B2759" t="s">
        <v>7</v>
      </c>
      <c r="C2759">
        <v>67</v>
      </c>
      <c r="D2759">
        <v>0</v>
      </c>
      <c r="E2759">
        <v>0</v>
      </c>
      <c r="F2759" t="str">
        <f t="shared" si="131"/>
        <v>Moderate Risk</v>
      </c>
      <c r="G2759" t="s">
        <v>3</v>
      </c>
      <c r="H2759" t="s">
        <v>4</v>
      </c>
      <c r="I2759" t="s">
        <v>5</v>
      </c>
      <c r="J2759">
        <v>227.96</v>
      </c>
      <c r="K2759">
        <v>32.799999999999997</v>
      </c>
      <c r="L2759" t="s">
        <v>14</v>
      </c>
      <c r="M2759">
        <v>0</v>
      </c>
      <c r="N2759" t="str">
        <f t="shared" si="129"/>
        <v>60+</v>
      </c>
      <c r="O2759" t="str">
        <f t="shared" si="130"/>
        <v>Obese</v>
      </c>
    </row>
    <row r="2760" spans="1:15" x14ac:dyDescent="0.3">
      <c r="A2760">
        <v>63411</v>
      </c>
      <c r="B2760" t="s">
        <v>7</v>
      </c>
      <c r="C2760">
        <v>60</v>
      </c>
      <c r="D2760">
        <v>0</v>
      </c>
      <c r="E2760">
        <v>0</v>
      </c>
      <c r="F2760" t="str">
        <f t="shared" si="131"/>
        <v>Moderate Risk</v>
      </c>
      <c r="G2760" t="s">
        <v>3</v>
      </c>
      <c r="H2760" t="s">
        <v>4</v>
      </c>
      <c r="I2760" t="s">
        <v>9</v>
      </c>
      <c r="J2760">
        <v>85.6</v>
      </c>
      <c r="K2760">
        <v>34.5</v>
      </c>
      <c r="L2760" t="s">
        <v>14</v>
      </c>
      <c r="M2760">
        <v>0</v>
      </c>
      <c r="N2760" t="str">
        <f t="shared" si="129"/>
        <v>60+</v>
      </c>
      <c r="O2760" t="str">
        <f t="shared" si="130"/>
        <v>Obese</v>
      </c>
    </row>
    <row r="2761" spans="1:15" x14ac:dyDescent="0.3">
      <c r="A2761">
        <v>18671</v>
      </c>
      <c r="B2761" t="s">
        <v>7</v>
      </c>
      <c r="C2761">
        <v>47</v>
      </c>
      <c r="D2761">
        <v>0</v>
      </c>
      <c r="E2761">
        <v>0</v>
      </c>
      <c r="F2761" t="str">
        <f t="shared" si="131"/>
        <v>Lower Risk</v>
      </c>
      <c r="G2761" t="s">
        <v>3</v>
      </c>
      <c r="H2761" t="s">
        <v>15</v>
      </c>
      <c r="I2761" t="s">
        <v>9</v>
      </c>
      <c r="J2761">
        <v>111.68</v>
      </c>
      <c r="K2761">
        <v>39.5</v>
      </c>
      <c r="L2761" t="s">
        <v>11</v>
      </c>
      <c r="M2761">
        <v>0</v>
      </c>
      <c r="N2761" t="str">
        <f t="shared" si="129"/>
        <v>40–59</v>
      </c>
      <c r="O2761" t="str">
        <f t="shared" si="130"/>
        <v>Obese</v>
      </c>
    </row>
    <row r="2762" spans="1:15" x14ac:dyDescent="0.3">
      <c r="A2762">
        <v>3843</v>
      </c>
      <c r="B2762" t="s">
        <v>7</v>
      </c>
      <c r="C2762">
        <v>24</v>
      </c>
      <c r="D2762">
        <v>0</v>
      </c>
      <c r="E2762">
        <v>0</v>
      </c>
      <c r="F2762" t="str">
        <f t="shared" si="131"/>
        <v>Lower Risk</v>
      </c>
      <c r="G2762" t="s">
        <v>13</v>
      </c>
      <c r="H2762" t="s">
        <v>4</v>
      </c>
      <c r="I2762" t="s">
        <v>5</v>
      </c>
      <c r="J2762">
        <v>73.489999999999995</v>
      </c>
      <c r="K2762">
        <v>23.5</v>
      </c>
      <c r="L2762" t="s">
        <v>11</v>
      </c>
      <c r="M2762">
        <v>0</v>
      </c>
      <c r="N2762" t="str">
        <f t="shared" si="129"/>
        <v>Under 40</v>
      </c>
      <c r="O2762" t="str">
        <f t="shared" si="130"/>
        <v>Normal</v>
      </c>
    </row>
    <row r="2763" spans="1:15" x14ac:dyDescent="0.3">
      <c r="A2763">
        <v>1225</v>
      </c>
      <c r="B2763" t="s">
        <v>2</v>
      </c>
      <c r="C2763">
        <v>43</v>
      </c>
      <c r="D2763">
        <v>0</v>
      </c>
      <c r="E2763">
        <v>0</v>
      </c>
      <c r="F2763" t="str">
        <f t="shared" si="131"/>
        <v>Lower Risk</v>
      </c>
      <c r="G2763" t="s">
        <v>3</v>
      </c>
      <c r="H2763" t="s">
        <v>4</v>
      </c>
      <c r="I2763" t="s">
        <v>5</v>
      </c>
      <c r="J2763">
        <v>87.82</v>
      </c>
      <c r="K2763">
        <v>38.799999999999997</v>
      </c>
      <c r="L2763" t="s">
        <v>6</v>
      </c>
      <c r="M2763">
        <v>0</v>
      </c>
      <c r="N2763" t="str">
        <f t="shared" si="129"/>
        <v>40–59</v>
      </c>
      <c r="O2763" t="str">
        <f t="shared" si="130"/>
        <v>Obese</v>
      </c>
    </row>
    <row r="2764" spans="1:15" x14ac:dyDescent="0.3">
      <c r="A2764">
        <v>40264</v>
      </c>
      <c r="B2764" t="s">
        <v>7</v>
      </c>
      <c r="C2764">
        <v>17</v>
      </c>
      <c r="D2764">
        <v>0</v>
      </c>
      <c r="E2764">
        <v>0</v>
      </c>
      <c r="F2764" t="str">
        <f t="shared" si="131"/>
        <v>Lower Risk</v>
      </c>
      <c r="G2764" t="s">
        <v>13</v>
      </c>
      <c r="H2764" t="s">
        <v>4</v>
      </c>
      <c r="I2764" t="s">
        <v>9</v>
      </c>
      <c r="J2764">
        <v>99.29</v>
      </c>
      <c r="K2764">
        <v>21.2</v>
      </c>
      <c r="L2764" t="s">
        <v>14</v>
      </c>
      <c r="M2764">
        <v>0</v>
      </c>
      <c r="N2764" t="str">
        <f t="shared" si="129"/>
        <v>Under 40</v>
      </c>
      <c r="O2764" t="str">
        <f t="shared" si="130"/>
        <v>Normal</v>
      </c>
    </row>
    <row r="2765" spans="1:15" x14ac:dyDescent="0.3">
      <c r="A2765">
        <v>72451</v>
      </c>
      <c r="B2765" t="s">
        <v>7</v>
      </c>
      <c r="C2765">
        <v>45</v>
      </c>
      <c r="D2765">
        <v>0</v>
      </c>
      <c r="E2765">
        <v>0</v>
      </c>
      <c r="F2765" t="str">
        <f t="shared" si="131"/>
        <v>Lower Risk</v>
      </c>
      <c r="G2765" t="s">
        <v>3</v>
      </c>
      <c r="H2765" t="s">
        <v>4</v>
      </c>
      <c r="I2765" t="s">
        <v>9</v>
      </c>
      <c r="J2765">
        <v>63.73</v>
      </c>
      <c r="K2765">
        <v>32</v>
      </c>
      <c r="L2765" t="s">
        <v>14</v>
      </c>
      <c r="M2765">
        <v>0</v>
      </c>
      <c r="N2765" t="str">
        <f t="shared" si="129"/>
        <v>40–59</v>
      </c>
      <c r="O2765" t="str">
        <f t="shared" si="130"/>
        <v>Obese</v>
      </c>
    </row>
    <row r="2766" spans="1:15" x14ac:dyDescent="0.3">
      <c r="A2766">
        <v>20292</v>
      </c>
      <c r="B2766" t="s">
        <v>7</v>
      </c>
      <c r="C2766">
        <v>24</v>
      </c>
      <c r="D2766">
        <v>0</v>
      </c>
      <c r="E2766">
        <v>0</v>
      </c>
      <c r="F2766" t="str">
        <f t="shared" si="131"/>
        <v>Lower Risk</v>
      </c>
      <c r="G2766" t="s">
        <v>3</v>
      </c>
      <c r="H2766" t="s">
        <v>4</v>
      </c>
      <c r="I2766" t="s">
        <v>5</v>
      </c>
      <c r="J2766">
        <v>85.55</v>
      </c>
      <c r="K2766">
        <v>63.3</v>
      </c>
      <c r="L2766" t="s">
        <v>11</v>
      </c>
      <c r="M2766">
        <v>0</v>
      </c>
      <c r="N2766" t="str">
        <f t="shared" si="129"/>
        <v>Under 40</v>
      </c>
      <c r="O2766" t="str">
        <f t="shared" si="130"/>
        <v>Obese</v>
      </c>
    </row>
    <row r="2767" spans="1:15" x14ac:dyDescent="0.3">
      <c r="A2767">
        <v>31201</v>
      </c>
      <c r="B2767" t="s">
        <v>7</v>
      </c>
      <c r="C2767">
        <v>79</v>
      </c>
      <c r="D2767">
        <v>0</v>
      </c>
      <c r="E2767">
        <v>0</v>
      </c>
      <c r="F2767" t="str">
        <f t="shared" si="131"/>
        <v>Moderate Risk</v>
      </c>
      <c r="G2767" t="s">
        <v>13</v>
      </c>
      <c r="H2767" t="s">
        <v>8</v>
      </c>
      <c r="I2767" t="s">
        <v>5</v>
      </c>
      <c r="J2767">
        <v>79.2</v>
      </c>
      <c r="K2767">
        <v>32.6</v>
      </c>
      <c r="L2767" t="s">
        <v>11</v>
      </c>
      <c r="M2767">
        <v>0</v>
      </c>
      <c r="N2767" t="str">
        <f t="shared" si="129"/>
        <v>60+</v>
      </c>
      <c r="O2767" t="str">
        <f t="shared" si="130"/>
        <v>Obese</v>
      </c>
    </row>
    <row r="2768" spans="1:15" x14ac:dyDescent="0.3">
      <c r="A2768">
        <v>59359</v>
      </c>
      <c r="B2768" t="s">
        <v>2</v>
      </c>
      <c r="C2768">
        <v>79</v>
      </c>
      <c r="D2768">
        <v>0</v>
      </c>
      <c r="E2768">
        <v>0</v>
      </c>
      <c r="F2768" t="str">
        <f t="shared" si="131"/>
        <v>Moderate Risk</v>
      </c>
      <c r="G2768" t="s">
        <v>3</v>
      </c>
      <c r="H2768" t="s">
        <v>8</v>
      </c>
      <c r="I2768" t="s">
        <v>5</v>
      </c>
      <c r="J2768">
        <v>105.93</v>
      </c>
      <c r="K2768">
        <v>25.2</v>
      </c>
      <c r="L2768" t="s">
        <v>11</v>
      </c>
      <c r="M2768">
        <v>0</v>
      </c>
      <c r="N2768" t="str">
        <f t="shared" si="129"/>
        <v>60+</v>
      </c>
      <c r="O2768" t="str">
        <f t="shared" si="130"/>
        <v>Overweight</v>
      </c>
    </row>
    <row r="2769" spans="1:15" x14ac:dyDescent="0.3">
      <c r="A2769">
        <v>57985</v>
      </c>
      <c r="B2769" t="s">
        <v>7</v>
      </c>
      <c r="C2769">
        <v>27</v>
      </c>
      <c r="D2769">
        <v>0</v>
      </c>
      <c r="E2769">
        <v>0</v>
      </c>
      <c r="F2769" t="str">
        <f t="shared" si="131"/>
        <v>Lower Risk</v>
      </c>
      <c r="G2769" t="s">
        <v>3</v>
      </c>
      <c r="H2769" t="s">
        <v>4</v>
      </c>
      <c r="I2769" t="s">
        <v>5</v>
      </c>
      <c r="J2769">
        <v>94.19</v>
      </c>
      <c r="K2769">
        <v>27.4</v>
      </c>
      <c r="L2769" t="s">
        <v>6</v>
      </c>
      <c r="M2769">
        <v>0</v>
      </c>
      <c r="N2769" t="str">
        <f t="shared" si="129"/>
        <v>Under 40</v>
      </c>
      <c r="O2769" t="str">
        <f t="shared" si="130"/>
        <v>Overweight</v>
      </c>
    </row>
    <row r="2770" spans="1:15" x14ac:dyDescent="0.3">
      <c r="A2770">
        <v>2885</v>
      </c>
      <c r="B2770" t="s">
        <v>2</v>
      </c>
      <c r="C2770">
        <v>72</v>
      </c>
      <c r="D2770">
        <v>1</v>
      </c>
      <c r="E2770">
        <v>0</v>
      </c>
      <c r="F2770" t="str">
        <f t="shared" si="131"/>
        <v>High Risk</v>
      </c>
      <c r="G2770" t="s">
        <v>3</v>
      </c>
      <c r="H2770" t="s">
        <v>4</v>
      </c>
      <c r="I2770" t="s">
        <v>9</v>
      </c>
      <c r="J2770">
        <v>231.71</v>
      </c>
      <c r="K2770" t="s">
        <v>10</v>
      </c>
      <c r="L2770" t="s">
        <v>14</v>
      </c>
      <c r="M2770">
        <v>0</v>
      </c>
      <c r="N2770" t="str">
        <f t="shared" si="129"/>
        <v>60+</v>
      </c>
      <c r="O2770" t="str">
        <f t="shared" si="130"/>
        <v>Unknown</v>
      </c>
    </row>
    <row r="2771" spans="1:15" x14ac:dyDescent="0.3">
      <c r="A2771">
        <v>59743</v>
      </c>
      <c r="B2771" t="s">
        <v>2</v>
      </c>
      <c r="C2771">
        <v>64</v>
      </c>
      <c r="D2771">
        <v>0</v>
      </c>
      <c r="E2771">
        <v>1</v>
      </c>
      <c r="F2771" t="str">
        <f t="shared" si="131"/>
        <v>High Risk</v>
      </c>
      <c r="G2771" t="s">
        <v>3</v>
      </c>
      <c r="H2771" t="s">
        <v>8</v>
      </c>
      <c r="I2771" t="s">
        <v>9</v>
      </c>
      <c r="J2771">
        <v>69.28</v>
      </c>
      <c r="K2771">
        <v>38.6</v>
      </c>
      <c r="L2771" t="s">
        <v>6</v>
      </c>
      <c r="M2771">
        <v>0</v>
      </c>
      <c r="N2771" t="str">
        <f t="shared" si="129"/>
        <v>60+</v>
      </c>
      <c r="O2771" t="str">
        <f t="shared" si="130"/>
        <v>Obese</v>
      </c>
    </row>
    <row r="2772" spans="1:15" x14ac:dyDescent="0.3">
      <c r="A2772">
        <v>11544</v>
      </c>
      <c r="B2772" t="s">
        <v>7</v>
      </c>
      <c r="C2772">
        <v>34</v>
      </c>
      <c r="D2772">
        <v>0</v>
      </c>
      <c r="E2772">
        <v>0</v>
      </c>
      <c r="F2772" t="str">
        <f t="shared" si="131"/>
        <v>Lower Risk</v>
      </c>
      <c r="G2772" t="s">
        <v>3</v>
      </c>
      <c r="H2772" t="s">
        <v>4</v>
      </c>
      <c r="I2772" t="s">
        <v>5</v>
      </c>
      <c r="J2772">
        <v>71.37</v>
      </c>
      <c r="K2772">
        <v>32.9</v>
      </c>
      <c r="L2772" t="s">
        <v>11</v>
      </c>
      <c r="M2772">
        <v>0</v>
      </c>
      <c r="N2772" t="str">
        <f t="shared" si="129"/>
        <v>Under 40</v>
      </c>
      <c r="O2772" t="str">
        <f t="shared" si="130"/>
        <v>Obese</v>
      </c>
    </row>
    <row r="2773" spans="1:15" x14ac:dyDescent="0.3">
      <c r="A2773">
        <v>11969</v>
      </c>
      <c r="B2773" t="s">
        <v>7</v>
      </c>
      <c r="C2773">
        <v>50</v>
      </c>
      <c r="D2773">
        <v>0</v>
      </c>
      <c r="E2773">
        <v>0</v>
      </c>
      <c r="F2773" t="str">
        <f t="shared" si="131"/>
        <v>Lower Risk</v>
      </c>
      <c r="G2773" t="s">
        <v>3</v>
      </c>
      <c r="H2773" t="s">
        <v>8</v>
      </c>
      <c r="I2773" t="s">
        <v>5</v>
      </c>
      <c r="J2773">
        <v>110.18</v>
      </c>
      <c r="K2773">
        <v>26</v>
      </c>
      <c r="L2773" t="s">
        <v>6</v>
      </c>
      <c r="M2773">
        <v>0</v>
      </c>
      <c r="N2773" t="str">
        <f t="shared" si="129"/>
        <v>40–59</v>
      </c>
      <c r="O2773" t="str">
        <f t="shared" si="130"/>
        <v>Overweight</v>
      </c>
    </row>
    <row r="2774" spans="1:15" x14ac:dyDescent="0.3">
      <c r="A2774">
        <v>42929</v>
      </c>
      <c r="B2774" t="s">
        <v>7</v>
      </c>
      <c r="C2774">
        <v>58</v>
      </c>
      <c r="D2774">
        <v>0</v>
      </c>
      <c r="E2774">
        <v>0</v>
      </c>
      <c r="F2774" t="str">
        <f t="shared" si="131"/>
        <v>Lower Risk</v>
      </c>
      <c r="G2774" t="s">
        <v>3</v>
      </c>
      <c r="H2774" t="s">
        <v>8</v>
      </c>
      <c r="I2774" t="s">
        <v>9</v>
      </c>
      <c r="J2774">
        <v>59.68</v>
      </c>
      <c r="K2774">
        <v>29.2</v>
      </c>
      <c r="L2774" t="s">
        <v>6</v>
      </c>
      <c r="M2774">
        <v>0</v>
      </c>
      <c r="N2774" t="str">
        <f t="shared" si="129"/>
        <v>40–59</v>
      </c>
      <c r="O2774" t="str">
        <f t="shared" si="130"/>
        <v>Overweight</v>
      </c>
    </row>
    <row r="2775" spans="1:15" x14ac:dyDescent="0.3">
      <c r="A2775">
        <v>72776</v>
      </c>
      <c r="B2775" t="s">
        <v>2</v>
      </c>
      <c r="C2775">
        <v>26</v>
      </c>
      <c r="D2775">
        <v>0</v>
      </c>
      <c r="E2775">
        <v>0</v>
      </c>
      <c r="F2775" t="str">
        <f t="shared" si="131"/>
        <v>Lower Risk</v>
      </c>
      <c r="G2775" t="s">
        <v>3</v>
      </c>
      <c r="H2775" t="s">
        <v>15</v>
      </c>
      <c r="I2775" t="s">
        <v>5</v>
      </c>
      <c r="J2775">
        <v>94.24</v>
      </c>
      <c r="K2775">
        <v>29.2</v>
      </c>
      <c r="L2775" t="s">
        <v>6</v>
      </c>
      <c r="M2775">
        <v>0</v>
      </c>
      <c r="N2775" t="str">
        <f t="shared" si="129"/>
        <v>Under 40</v>
      </c>
      <c r="O2775" t="str">
        <f t="shared" si="130"/>
        <v>Overweight</v>
      </c>
    </row>
    <row r="2776" spans="1:15" x14ac:dyDescent="0.3">
      <c r="A2776">
        <v>21438</v>
      </c>
      <c r="B2776" t="s">
        <v>7</v>
      </c>
      <c r="C2776">
        <v>50</v>
      </c>
      <c r="D2776">
        <v>0</v>
      </c>
      <c r="E2776">
        <v>0</v>
      </c>
      <c r="F2776" t="str">
        <f t="shared" si="131"/>
        <v>Lower Risk</v>
      </c>
      <c r="G2776" t="s">
        <v>3</v>
      </c>
      <c r="H2776" t="s">
        <v>4</v>
      </c>
      <c r="I2776" t="s">
        <v>9</v>
      </c>
      <c r="J2776">
        <v>82.1</v>
      </c>
      <c r="K2776">
        <v>26.4</v>
      </c>
      <c r="L2776" t="s">
        <v>14</v>
      </c>
      <c r="M2776">
        <v>0</v>
      </c>
      <c r="N2776" t="str">
        <f t="shared" si="129"/>
        <v>40–59</v>
      </c>
      <c r="O2776" t="str">
        <f t="shared" si="130"/>
        <v>Overweight</v>
      </c>
    </row>
    <row r="2777" spans="1:15" x14ac:dyDescent="0.3">
      <c r="A2777">
        <v>51084</v>
      </c>
      <c r="B2777" t="s">
        <v>7</v>
      </c>
      <c r="C2777">
        <v>80</v>
      </c>
      <c r="D2777">
        <v>0</v>
      </c>
      <c r="E2777">
        <v>0</v>
      </c>
      <c r="F2777" t="str">
        <f t="shared" si="131"/>
        <v>Moderate Risk</v>
      </c>
      <c r="G2777" t="s">
        <v>3</v>
      </c>
      <c r="H2777" t="s">
        <v>4</v>
      </c>
      <c r="I2777" t="s">
        <v>5</v>
      </c>
      <c r="J2777">
        <v>62.62</v>
      </c>
      <c r="K2777">
        <v>23.1</v>
      </c>
      <c r="L2777" t="s">
        <v>6</v>
      </c>
      <c r="M2777">
        <v>0</v>
      </c>
      <c r="N2777" t="str">
        <f t="shared" si="129"/>
        <v>60+</v>
      </c>
      <c r="O2777" t="str">
        <f t="shared" si="130"/>
        <v>Normal</v>
      </c>
    </row>
    <row r="2778" spans="1:15" x14ac:dyDescent="0.3">
      <c r="A2778">
        <v>13440</v>
      </c>
      <c r="B2778" t="s">
        <v>2</v>
      </c>
      <c r="C2778">
        <v>2</v>
      </c>
      <c r="D2778">
        <v>0</v>
      </c>
      <c r="E2778">
        <v>0</v>
      </c>
      <c r="F2778" t="str">
        <f t="shared" si="131"/>
        <v>Lower Risk</v>
      </c>
      <c r="G2778" t="s">
        <v>13</v>
      </c>
      <c r="H2778" t="s">
        <v>16</v>
      </c>
      <c r="I2778" t="s">
        <v>5</v>
      </c>
      <c r="J2778">
        <v>107.83</v>
      </c>
      <c r="K2778">
        <v>21.2</v>
      </c>
      <c r="L2778" t="s">
        <v>14</v>
      </c>
      <c r="M2778">
        <v>0</v>
      </c>
      <c r="N2778" t="str">
        <f t="shared" si="129"/>
        <v>Under 40</v>
      </c>
      <c r="O2778" t="str">
        <f t="shared" si="130"/>
        <v>Normal</v>
      </c>
    </row>
    <row r="2779" spans="1:15" x14ac:dyDescent="0.3">
      <c r="A2779">
        <v>15533</v>
      </c>
      <c r="B2779" t="s">
        <v>2</v>
      </c>
      <c r="C2779">
        <v>46</v>
      </c>
      <c r="D2779">
        <v>0</v>
      </c>
      <c r="E2779">
        <v>0</v>
      </c>
      <c r="F2779" t="str">
        <f t="shared" si="131"/>
        <v>Lower Risk</v>
      </c>
      <c r="G2779" t="s">
        <v>13</v>
      </c>
      <c r="H2779" t="s">
        <v>4</v>
      </c>
      <c r="I2779" t="s">
        <v>5</v>
      </c>
      <c r="J2779">
        <v>107.59</v>
      </c>
      <c r="K2779">
        <v>26.2</v>
      </c>
      <c r="L2779" t="s">
        <v>6</v>
      </c>
      <c r="M2779">
        <v>0</v>
      </c>
      <c r="N2779" t="str">
        <f t="shared" si="129"/>
        <v>40–59</v>
      </c>
      <c r="O2779" t="str">
        <f t="shared" si="130"/>
        <v>Overweight</v>
      </c>
    </row>
    <row r="2780" spans="1:15" x14ac:dyDescent="0.3">
      <c r="A2780">
        <v>50903</v>
      </c>
      <c r="B2780" t="s">
        <v>7</v>
      </c>
      <c r="C2780">
        <v>29</v>
      </c>
      <c r="D2780">
        <v>0</v>
      </c>
      <c r="E2780">
        <v>0</v>
      </c>
      <c r="F2780" t="str">
        <f t="shared" si="131"/>
        <v>Lower Risk</v>
      </c>
      <c r="G2780" t="s">
        <v>3</v>
      </c>
      <c r="H2780" t="s">
        <v>4</v>
      </c>
      <c r="I2780" t="s">
        <v>5</v>
      </c>
      <c r="J2780">
        <v>116.98</v>
      </c>
      <c r="K2780">
        <v>23.4</v>
      </c>
      <c r="L2780" t="s">
        <v>11</v>
      </c>
      <c r="M2780">
        <v>0</v>
      </c>
      <c r="N2780" t="str">
        <f t="shared" si="129"/>
        <v>Under 40</v>
      </c>
      <c r="O2780" t="str">
        <f t="shared" si="130"/>
        <v>Normal</v>
      </c>
    </row>
    <row r="2781" spans="1:15" x14ac:dyDescent="0.3">
      <c r="A2781">
        <v>35276</v>
      </c>
      <c r="B2781" t="s">
        <v>7</v>
      </c>
      <c r="C2781">
        <v>6</v>
      </c>
      <c r="D2781">
        <v>0</v>
      </c>
      <c r="E2781">
        <v>0</v>
      </c>
      <c r="F2781" t="str">
        <f t="shared" si="131"/>
        <v>Lower Risk</v>
      </c>
      <c r="G2781" t="s">
        <v>13</v>
      </c>
      <c r="H2781" t="s">
        <v>16</v>
      </c>
      <c r="I2781" t="s">
        <v>9</v>
      </c>
      <c r="J2781">
        <v>84.1</v>
      </c>
      <c r="K2781">
        <v>19.8</v>
      </c>
      <c r="L2781" t="s">
        <v>14</v>
      </c>
      <c r="M2781">
        <v>0</v>
      </c>
      <c r="N2781" t="str">
        <f t="shared" si="129"/>
        <v>Under 40</v>
      </c>
      <c r="O2781" t="str">
        <f t="shared" si="130"/>
        <v>Normal</v>
      </c>
    </row>
    <row r="2782" spans="1:15" x14ac:dyDescent="0.3">
      <c r="A2782">
        <v>44472</v>
      </c>
      <c r="B2782" t="s">
        <v>2</v>
      </c>
      <c r="C2782">
        <v>32</v>
      </c>
      <c r="D2782">
        <v>0</v>
      </c>
      <c r="E2782">
        <v>0</v>
      </c>
      <c r="F2782" t="str">
        <f t="shared" si="131"/>
        <v>Lower Risk</v>
      </c>
      <c r="G2782" t="s">
        <v>3</v>
      </c>
      <c r="H2782" t="s">
        <v>8</v>
      </c>
      <c r="I2782" t="s">
        <v>5</v>
      </c>
      <c r="J2782">
        <v>160.63999999999999</v>
      </c>
      <c r="K2782">
        <v>20.399999999999999</v>
      </c>
      <c r="L2782" t="s">
        <v>12</v>
      </c>
      <c r="M2782">
        <v>0</v>
      </c>
      <c r="N2782" t="str">
        <f t="shared" si="129"/>
        <v>Under 40</v>
      </c>
      <c r="O2782" t="str">
        <f t="shared" si="130"/>
        <v>Normal</v>
      </c>
    </row>
    <row r="2783" spans="1:15" x14ac:dyDescent="0.3">
      <c r="A2783">
        <v>23587</v>
      </c>
      <c r="B2783" t="s">
        <v>7</v>
      </c>
      <c r="C2783">
        <v>16</v>
      </c>
      <c r="D2783">
        <v>0</v>
      </c>
      <c r="E2783">
        <v>0</v>
      </c>
      <c r="F2783" t="str">
        <f t="shared" si="131"/>
        <v>Lower Risk</v>
      </c>
      <c r="G2783" t="s">
        <v>13</v>
      </c>
      <c r="H2783" t="s">
        <v>17</v>
      </c>
      <c r="I2783" t="s">
        <v>5</v>
      </c>
      <c r="J2783">
        <v>84.4</v>
      </c>
      <c r="K2783">
        <v>25.9</v>
      </c>
      <c r="L2783" t="s">
        <v>11</v>
      </c>
      <c r="M2783">
        <v>0</v>
      </c>
      <c r="N2783" t="str">
        <f t="shared" si="129"/>
        <v>Under 40</v>
      </c>
      <c r="O2783" t="str">
        <f t="shared" si="130"/>
        <v>Overweight</v>
      </c>
    </row>
    <row r="2784" spans="1:15" x14ac:dyDescent="0.3">
      <c r="A2784">
        <v>66794</v>
      </c>
      <c r="B2784" t="s">
        <v>7</v>
      </c>
      <c r="C2784">
        <v>44</v>
      </c>
      <c r="D2784">
        <v>0</v>
      </c>
      <c r="E2784">
        <v>0</v>
      </c>
      <c r="F2784" t="str">
        <f t="shared" si="131"/>
        <v>Lower Risk</v>
      </c>
      <c r="G2784" t="s">
        <v>3</v>
      </c>
      <c r="H2784" t="s">
        <v>15</v>
      </c>
      <c r="I2784" t="s">
        <v>9</v>
      </c>
      <c r="J2784">
        <v>81.13</v>
      </c>
      <c r="K2784">
        <v>34.1</v>
      </c>
      <c r="L2784" t="s">
        <v>11</v>
      </c>
      <c r="M2784">
        <v>0</v>
      </c>
      <c r="N2784" t="str">
        <f t="shared" si="129"/>
        <v>40–59</v>
      </c>
      <c r="O2784" t="str">
        <f t="shared" si="130"/>
        <v>Obese</v>
      </c>
    </row>
    <row r="2785" spans="1:15" x14ac:dyDescent="0.3">
      <c r="A2785">
        <v>35854</v>
      </c>
      <c r="B2785" t="s">
        <v>7</v>
      </c>
      <c r="C2785">
        <v>23</v>
      </c>
      <c r="D2785">
        <v>0</v>
      </c>
      <c r="E2785">
        <v>0</v>
      </c>
      <c r="F2785" t="str">
        <f t="shared" si="131"/>
        <v>Lower Risk</v>
      </c>
      <c r="G2785" t="s">
        <v>13</v>
      </c>
      <c r="H2785" t="s">
        <v>4</v>
      </c>
      <c r="I2785" t="s">
        <v>5</v>
      </c>
      <c r="J2785">
        <v>88.19</v>
      </c>
      <c r="K2785">
        <v>18.3</v>
      </c>
      <c r="L2785" t="s">
        <v>11</v>
      </c>
      <c r="M2785">
        <v>0</v>
      </c>
      <c r="N2785" t="str">
        <f t="shared" si="129"/>
        <v>Under 40</v>
      </c>
      <c r="O2785" t="str">
        <f t="shared" si="130"/>
        <v>Underweight</v>
      </c>
    </row>
    <row r="2786" spans="1:15" x14ac:dyDescent="0.3">
      <c r="A2786">
        <v>60907</v>
      </c>
      <c r="B2786" t="s">
        <v>2</v>
      </c>
      <c r="C2786">
        <v>48</v>
      </c>
      <c r="D2786">
        <v>0</v>
      </c>
      <c r="E2786">
        <v>0</v>
      </c>
      <c r="F2786" t="str">
        <f t="shared" si="131"/>
        <v>Lower Risk</v>
      </c>
      <c r="G2786" t="s">
        <v>3</v>
      </c>
      <c r="H2786" t="s">
        <v>4</v>
      </c>
      <c r="I2786" t="s">
        <v>9</v>
      </c>
      <c r="J2786">
        <v>127.13</v>
      </c>
      <c r="K2786">
        <v>35</v>
      </c>
      <c r="L2786" t="s">
        <v>14</v>
      </c>
      <c r="M2786">
        <v>0</v>
      </c>
      <c r="N2786" t="str">
        <f t="shared" si="129"/>
        <v>40–59</v>
      </c>
      <c r="O2786" t="str">
        <f t="shared" si="130"/>
        <v>Obese</v>
      </c>
    </row>
    <row r="2787" spans="1:15" x14ac:dyDescent="0.3">
      <c r="A2787">
        <v>12449</v>
      </c>
      <c r="B2787" t="s">
        <v>7</v>
      </c>
      <c r="C2787">
        <v>34</v>
      </c>
      <c r="D2787">
        <v>0</v>
      </c>
      <c r="E2787">
        <v>0</v>
      </c>
      <c r="F2787" t="str">
        <f t="shared" si="131"/>
        <v>Lower Risk</v>
      </c>
      <c r="G2787" t="s">
        <v>3</v>
      </c>
      <c r="H2787" t="s">
        <v>4</v>
      </c>
      <c r="I2787" t="s">
        <v>9</v>
      </c>
      <c r="J2787">
        <v>119.61</v>
      </c>
      <c r="K2787">
        <v>26.4</v>
      </c>
      <c r="L2787" t="s">
        <v>14</v>
      </c>
      <c r="M2787">
        <v>0</v>
      </c>
      <c r="N2787" t="str">
        <f t="shared" si="129"/>
        <v>Under 40</v>
      </c>
      <c r="O2787" t="str">
        <f t="shared" si="130"/>
        <v>Overweight</v>
      </c>
    </row>
    <row r="2788" spans="1:15" x14ac:dyDescent="0.3">
      <c r="A2788">
        <v>54371</v>
      </c>
      <c r="B2788" t="s">
        <v>2</v>
      </c>
      <c r="C2788">
        <v>78</v>
      </c>
      <c r="D2788">
        <v>0</v>
      </c>
      <c r="E2788">
        <v>0</v>
      </c>
      <c r="F2788" t="str">
        <f t="shared" si="131"/>
        <v>Moderate Risk</v>
      </c>
      <c r="G2788" t="s">
        <v>3</v>
      </c>
      <c r="H2788" t="s">
        <v>15</v>
      </c>
      <c r="I2788" t="s">
        <v>5</v>
      </c>
      <c r="J2788">
        <v>143.47</v>
      </c>
      <c r="K2788">
        <v>27.6</v>
      </c>
      <c r="L2788" t="s">
        <v>6</v>
      </c>
      <c r="M2788">
        <v>0</v>
      </c>
      <c r="N2788" t="str">
        <f t="shared" si="129"/>
        <v>60+</v>
      </c>
      <c r="O2788" t="str">
        <f t="shared" si="130"/>
        <v>Overweight</v>
      </c>
    </row>
    <row r="2789" spans="1:15" x14ac:dyDescent="0.3">
      <c r="A2789">
        <v>8106</v>
      </c>
      <c r="B2789" t="s">
        <v>7</v>
      </c>
      <c r="C2789">
        <v>42</v>
      </c>
      <c r="D2789">
        <v>0</v>
      </c>
      <c r="E2789">
        <v>0</v>
      </c>
      <c r="F2789" t="str">
        <f t="shared" si="131"/>
        <v>Lower Risk</v>
      </c>
      <c r="G2789" t="s">
        <v>3</v>
      </c>
      <c r="H2789" t="s">
        <v>4</v>
      </c>
      <c r="I2789" t="s">
        <v>9</v>
      </c>
      <c r="J2789">
        <v>84.6</v>
      </c>
      <c r="K2789">
        <v>27</v>
      </c>
      <c r="L2789" t="s">
        <v>12</v>
      </c>
      <c r="M2789">
        <v>0</v>
      </c>
      <c r="N2789" t="str">
        <f t="shared" si="129"/>
        <v>40–59</v>
      </c>
      <c r="O2789" t="str">
        <f t="shared" si="130"/>
        <v>Overweight</v>
      </c>
    </row>
    <row r="2790" spans="1:15" x14ac:dyDescent="0.3">
      <c r="A2790">
        <v>2013</v>
      </c>
      <c r="B2790" t="s">
        <v>2</v>
      </c>
      <c r="C2790">
        <v>14</v>
      </c>
      <c r="D2790">
        <v>0</v>
      </c>
      <c r="E2790">
        <v>0</v>
      </c>
      <c r="F2790" t="str">
        <f t="shared" si="131"/>
        <v>Lower Risk</v>
      </c>
      <c r="G2790" t="s">
        <v>13</v>
      </c>
      <c r="H2790" t="s">
        <v>4</v>
      </c>
      <c r="I2790" t="s">
        <v>9</v>
      </c>
      <c r="J2790">
        <v>110.72</v>
      </c>
      <c r="K2790" t="s">
        <v>10</v>
      </c>
      <c r="L2790" t="s">
        <v>11</v>
      </c>
      <c r="M2790">
        <v>0</v>
      </c>
      <c r="N2790" t="str">
        <f t="shared" si="129"/>
        <v>Under 40</v>
      </c>
      <c r="O2790" t="str">
        <f t="shared" si="130"/>
        <v>Unknown</v>
      </c>
    </row>
    <row r="2791" spans="1:15" x14ac:dyDescent="0.3">
      <c r="A2791">
        <v>61785</v>
      </c>
      <c r="B2791" t="s">
        <v>7</v>
      </c>
      <c r="C2791">
        <v>40</v>
      </c>
      <c r="D2791">
        <v>0</v>
      </c>
      <c r="E2791">
        <v>0</v>
      </c>
      <c r="F2791" t="str">
        <f t="shared" si="131"/>
        <v>Lower Risk</v>
      </c>
      <c r="G2791" t="s">
        <v>13</v>
      </c>
      <c r="H2791" t="s">
        <v>4</v>
      </c>
      <c r="I2791" t="s">
        <v>9</v>
      </c>
      <c r="J2791">
        <v>158.93</v>
      </c>
      <c r="K2791">
        <v>31.3</v>
      </c>
      <c r="L2791" t="s">
        <v>12</v>
      </c>
      <c r="M2791">
        <v>0</v>
      </c>
      <c r="N2791" t="str">
        <f t="shared" si="129"/>
        <v>40–59</v>
      </c>
      <c r="O2791" t="str">
        <f t="shared" si="130"/>
        <v>Obese</v>
      </c>
    </row>
    <row r="2792" spans="1:15" x14ac:dyDescent="0.3">
      <c r="A2792">
        <v>2707</v>
      </c>
      <c r="B2792" t="s">
        <v>2</v>
      </c>
      <c r="C2792">
        <v>10</v>
      </c>
      <c r="D2792">
        <v>0</v>
      </c>
      <c r="E2792">
        <v>0</v>
      </c>
      <c r="F2792" t="str">
        <f t="shared" si="131"/>
        <v>Lower Risk</v>
      </c>
      <c r="G2792" t="s">
        <v>13</v>
      </c>
      <c r="H2792" t="s">
        <v>16</v>
      </c>
      <c r="I2792" t="s">
        <v>9</v>
      </c>
      <c r="J2792">
        <v>68.94</v>
      </c>
      <c r="K2792">
        <v>18</v>
      </c>
      <c r="L2792" t="s">
        <v>14</v>
      </c>
      <c r="M2792">
        <v>0</v>
      </c>
      <c r="N2792" t="str">
        <f t="shared" si="129"/>
        <v>Under 40</v>
      </c>
      <c r="O2792" t="str">
        <f t="shared" si="130"/>
        <v>Underweight</v>
      </c>
    </row>
    <row r="2793" spans="1:15" x14ac:dyDescent="0.3">
      <c r="A2793">
        <v>49120</v>
      </c>
      <c r="B2793" t="s">
        <v>7</v>
      </c>
      <c r="C2793">
        <v>39</v>
      </c>
      <c r="D2793">
        <v>0</v>
      </c>
      <c r="E2793">
        <v>0</v>
      </c>
      <c r="F2793" t="str">
        <f t="shared" si="131"/>
        <v>Lower Risk</v>
      </c>
      <c r="G2793" t="s">
        <v>3</v>
      </c>
      <c r="H2793" t="s">
        <v>15</v>
      </c>
      <c r="I2793" t="s">
        <v>9</v>
      </c>
      <c r="J2793">
        <v>69.38</v>
      </c>
      <c r="K2793">
        <v>22.1</v>
      </c>
      <c r="L2793" t="s">
        <v>14</v>
      </c>
      <c r="M2793">
        <v>0</v>
      </c>
      <c r="N2793" t="str">
        <f t="shared" si="129"/>
        <v>Under 40</v>
      </c>
      <c r="O2793" t="str">
        <f t="shared" si="130"/>
        <v>Normal</v>
      </c>
    </row>
    <row r="2794" spans="1:15" x14ac:dyDescent="0.3">
      <c r="A2794">
        <v>30752</v>
      </c>
      <c r="B2794" t="s">
        <v>7</v>
      </c>
      <c r="C2794">
        <v>42</v>
      </c>
      <c r="D2794">
        <v>0</v>
      </c>
      <c r="E2794">
        <v>0</v>
      </c>
      <c r="F2794" t="str">
        <f t="shared" si="131"/>
        <v>Lower Risk</v>
      </c>
      <c r="G2794" t="s">
        <v>13</v>
      </c>
      <c r="H2794" t="s">
        <v>8</v>
      </c>
      <c r="I2794" t="s">
        <v>5</v>
      </c>
      <c r="J2794">
        <v>72</v>
      </c>
      <c r="K2794">
        <v>34.4</v>
      </c>
      <c r="L2794" t="s">
        <v>11</v>
      </c>
      <c r="M2794">
        <v>0</v>
      </c>
      <c r="N2794" t="str">
        <f t="shared" si="129"/>
        <v>40–59</v>
      </c>
      <c r="O2794" t="str">
        <f t="shared" si="130"/>
        <v>Obese</v>
      </c>
    </row>
    <row r="2795" spans="1:15" x14ac:dyDescent="0.3">
      <c r="A2795">
        <v>64972</v>
      </c>
      <c r="B2795" t="s">
        <v>2</v>
      </c>
      <c r="C2795">
        <v>47</v>
      </c>
      <c r="D2795">
        <v>0</v>
      </c>
      <c r="E2795">
        <v>0</v>
      </c>
      <c r="F2795" t="str">
        <f t="shared" si="131"/>
        <v>Lower Risk</v>
      </c>
      <c r="G2795" t="s">
        <v>3</v>
      </c>
      <c r="H2795" t="s">
        <v>4</v>
      </c>
      <c r="I2795" t="s">
        <v>9</v>
      </c>
      <c r="J2795">
        <v>57.76</v>
      </c>
      <c r="K2795">
        <v>33.200000000000003</v>
      </c>
      <c r="L2795" t="s">
        <v>12</v>
      </c>
      <c r="M2795">
        <v>0</v>
      </c>
      <c r="N2795" t="str">
        <f t="shared" si="129"/>
        <v>40–59</v>
      </c>
      <c r="O2795" t="str">
        <f t="shared" si="130"/>
        <v>Obese</v>
      </c>
    </row>
    <row r="2796" spans="1:15" x14ac:dyDescent="0.3">
      <c r="A2796">
        <v>49537</v>
      </c>
      <c r="B2796" t="s">
        <v>2</v>
      </c>
      <c r="C2796">
        <v>14</v>
      </c>
      <c r="D2796">
        <v>0</v>
      </c>
      <c r="E2796">
        <v>0</v>
      </c>
      <c r="F2796" t="str">
        <f t="shared" si="131"/>
        <v>Lower Risk</v>
      </c>
      <c r="G2796" t="s">
        <v>13</v>
      </c>
      <c r="H2796" t="s">
        <v>4</v>
      </c>
      <c r="I2796" t="s">
        <v>9</v>
      </c>
      <c r="J2796">
        <v>108.65</v>
      </c>
      <c r="K2796">
        <v>23.1</v>
      </c>
      <c r="L2796" t="s">
        <v>11</v>
      </c>
      <c r="M2796">
        <v>0</v>
      </c>
      <c r="N2796" t="str">
        <f t="shared" si="129"/>
        <v>Under 40</v>
      </c>
      <c r="O2796" t="str">
        <f t="shared" si="130"/>
        <v>Normal</v>
      </c>
    </row>
    <row r="2797" spans="1:15" x14ac:dyDescent="0.3">
      <c r="A2797">
        <v>315</v>
      </c>
      <c r="B2797" t="s">
        <v>2</v>
      </c>
      <c r="C2797">
        <v>45</v>
      </c>
      <c r="D2797">
        <v>0</v>
      </c>
      <c r="E2797">
        <v>0</v>
      </c>
      <c r="F2797" t="str">
        <f t="shared" si="131"/>
        <v>Lower Risk</v>
      </c>
      <c r="G2797" t="s">
        <v>3</v>
      </c>
      <c r="H2797" t="s">
        <v>4</v>
      </c>
      <c r="I2797" t="s">
        <v>9</v>
      </c>
      <c r="J2797">
        <v>65.42</v>
      </c>
      <c r="K2797">
        <v>39.700000000000003</v>
      </c>
      <c r="L2797" t="s">
        <v>11</v>
      </c>
      <c r="M2797">
        <v>0</v>
      </c>
      <c r="N2797" t="str">
        <f t="shared" si="129"/>
        <v>40–59</v>
      </c>
      <c r="O2797" t="str">
        <f t="shared" si="130"/>
        <v>Obese</v>
      </c>
    </row>
    <row r="2798" spans="1:15" x14ac:dyDescent="0.3">
      <c r="A2798">
        <v>62814</v>
      </c>
      <c r="B2798" t="s">
        <v>2</v>
      </c>
      <c r="C2798">
        <v>58</v>
      </c>
      <c r="D2798">
        <v>0</v>
      </c>
      <c r="E2798">
        <v>0</v>
      </c>
      <c r="F2798" t="str">
        <f t="shared" si="131"/>
        <v>Lower Risk</v>
      </c>
      <c r="G2798" t="s">
        <v>13</v>
      </c>
      <c r="H2798" t="s">
        <v>4</v>
      </c>
      <c r="I2798" t="s">
        <v>9</v>
      </c>
      <c r="J2798">
        <v>78.930000000000007</v>
      </c>
      <c r="K2798">
        <v>40.700000000000003</v>
      </c>
      <c r="L2798" t="s">
        <v>6</v>
      </c>
      <c r="M2798">
        <v>0</v>
      </c>
      <c r="N2798" t="str">
        <f t="shared" si="129"/>
        <v>40–59</v>
      </c>
      <c r="O2798" t="str">
        <f t="shared" si="130"/>
        <v>Obese</v>
      </c>
    </row>
    <row r="2799" spans="1:15" x14ac:dyDescent="0.3">
      <c r="A2799">
        <v>7665</v>
      </c>
      <c r="B2799" t="s">
        <v>7</v>
      </c>
      <c r="C2799">
        <v>73</v>
      </c>
      <c r="D2799">
        <v>0</v>
      </c>
      <c r="E2799">
        <v>0</v>
      </c>
      <c r="F2799" t="str">
        <f t="shared" si="131"/>
        <v>Moderate Risk</v>
      </c>
      <c r="G2799" t="s">
        <v>3</v>
      </c>
      <c r="H2799" t="s">
        <v>4</v>
      </c>
      <c r="I2799" t="s">
        <v>9</v>
      </c>
      <c r="J2799">
        <v>98.34</v>
      </c>
      <c r="K2799">
        <v>30.9</v>
      </c>
      <c r="L2799" t="s">
        <v>14</v>
      </c>
      <c r="M2799">
        <v>0</v>
      </c>
      <c r="N2799" t="str">
        <f t="shared" si="129"/>
        <v>60+</v>
      </c>
      <c r="O2799" t="str">
        <f t="shared" si="130"/>
        <v>Obese</v>
      </c>
    </row>
    <row r="2800" spans="1:15" x14ac:dyDescent="0.3">
      <c r="A2800">
        <v>28108</v>
      </c>
      <c r="B2800" t="s">
        <v>7</v>
      </c>
      <c r="C2800">
        <v>62</v>
      </c>
      <c r="D2800">
        <v>0</v>
      </c>
      <c r="E2800">
        <v>0</v>
      </c>
      <c r="F2800" t="str">
        <f t="shared" si="131"/>
        <v>Moderate Risk</v>
      </c>
      <c r="G2800" t="s">
        <v>3</v>
      </c>
      <c r="H2800" t="s">
        <v>4</v>
      </c>
      <c r="I2800" t="s">
        <v>9</v>
      </c>
      <c r="J2800">
        <v>82.57</v>
      </c>
      <c r="K2800">
        <v>27.5</v>
      </c>
      <c r="L2800" t="s">
        <v>14</v>
      </c>
      <c r="M2800">
        <v>0</v>
      </c>
      <c r="N2800" t="str">
        <f t="shared" si="129"/>
        <v>60+</v>
      </c>
      <c r="O2800" t="str">
        <f t="shared" si="130"/>
        <v>Overweight</v>
      </c>
    </row>
    <row r="2801" spans="1:15" x14ac:dyDescent="0.3">
      <c r="A2801">
        <v>50536</v>
      </c>
      <c r="B2801" t="s">
        <v>7</v>
      </c>
      <c r="C2801">
        <v>62</v>
      </c>
      <c r="D2801">
        <v>0</v>
      </c>
      <c r="E2801">
        <v>1</v>
      </c>
      <c r="F2801" t="str">
        <f t="shared" si="131"/>
        <v>High Risk</v>
      </c>
      <c r="G2801" t="s">
        <v>3</v>
      </c>
      <c r="H2801" t="s">
        <v>15</v>
      </c>
      <c r="I2801" t="s">
        <v>5</v>
      </c>
      <c r="J2801">
        <v>124.37</v>
      </c>
      <c r="K2801">
        <v>28.3</v>
      </c>
      <c r="L2801" t="s">
        <v>11</v>
      </c>
      <c r="M2801">
        <v>0</v>
      </c>
      <c r="N2801" t="str">
        <f t="shared" si="129"/>
        <v>60+</v>
      </c>
      <c r="O2801" t="str">
        <f t="shared" si="130"/>
        <v>Overweight</v>
      </c>
    </row>
    <row r="2802" spans="1:15" x14ac:dyDescent="0.3">
      <c r="A2802">
        <v>8655</v>
      </c>
      <c r="B2802" t="s">
        <v>7</v>
      </c>
      <c r="C2802">
        <v>51</v>
      </c>
      <c r="D2802">
        <v>0</v>
      </c>
      <c r="E2802">
        <v>1</v>
      </c>
      <c r="F2802" t="str">
        <f t="shared" si="131"/>
        <v>Lower Risk</v>
      </c>
      <c r="G2802" t="s">
        <v>3</v>
      </c>
      <c r="H2802" t="s">
        <v>8</v>
      </c>
      <c r="I2802" t="s">
        <v>5</v>
      </c>
      <c r="J2802">
        <v>100.96</v>
      </c>
      <c r="K2802">
        <v>33.4</v>
      </c>
      <c r="L2802" t="s">
        <v>11</v>
      </c>
      <c r="M2802">
        <v>0</v>
      </c>
      <c r="N2802" t="str">
        <f t="shared" si="129"/>
        <v>40–59</v>
      </c>
      <c r="O2802" t="str">
        <f t="shared" si="130"/>
        <v>Obese</v>
      </c>
    </row>
    <row r="2803" spans="1:15" x14ac:dyDescent="0.3">
      <c r="A2803">
        <v>760</v>
      </c>
      <c r="B2803" t="s">
        <v>2</v>
      </c>
      <c r="C2803">
        <v>0.8</v>
      </c>
      <c r="D2803">
        <v>0</v>
      </c>
      <c r="E2803">
        <v>0</v>
      </c>
      <c r="F2803" t="str">
        <f t="shared" si="131"/>
        <v>Lower Risk</v>
      </c>
      <c r="G2803" t="s">
        <v>13</v>
      </c>
      <c r="H2803" t="s">
        <v>16</v>
      </c>
      <c r="I2803" t="s">
        <v>5</v>
      </c>
      <c r="J2803">
        <v>75.22</v>
      </c>
      <c r="K2803">
        <v>33.1</v>
      </c>
      <c r="L2803" t="s">
        <v>14</v>
      </c>
      <c r="M2803">
        <v>0</v>
      </c>
      <c r="N2803" t="str">
        <f t="shared" si="129"/>
        <v>Under 40</v>
      </c>
      <c r="O2803" t="str">
        <f t="shared" si="130"/>
        <v>Obese</v>
      </c>
    </row>
    <row r="2804" spans="1:15" x14ac:dyDescent="0.3">
      <c r="A2804">
        <v>47501</v>
      </c>
      <c r="B2804" t="s">
        <v>7</v>
      </c>
      <c r="C2804">
        <v>57</v>
      </c>
      <c r="D2804">
        <v>0</v>
      </c>
      <c r="E2804">
        <v>0</v>
      </c>
      <c r="F2804" t="str">
        <f t="shared" si="131"/>
        <v>Lower Risk</v>
      </c>
      <c r="G2804" t="s">
        <v>3</v>
      </c>
      <c r="H2804" t="s">
        <v>4</v>
      </c>
      <c r="I2804" t="s">
        <v>5</v>
      </c>
      <c r="J2804">
        <v>59.85</v>
      </c>
      <c r="K2804">
        <v>41.5</v>
      </c>
      <c r="L2804" t="s">
        <v>11</v>
      </c>
      <c r="M2804">
        <v>0</v>
      </c>
      <c r="N2804" t="str">
        <f t="shared" si="129"/>
        <v>40–59</v>
      </c>
      <c r="O2804" t="str">
        <f t="shared" si="130"/>
        <v>Obese</v>
      </c>
    </row>
    <row r="2805" spans="1:15" x14ac:dyDescent="0.3">
      <c r="A2805">
        <v>16863</v>
      </c>
      <c r="B2805" t="s">
        <v>7</v>
      </c>
      <c r="C2805">
        <v>8</v>
      </c>
      <c r="D2805">
        <v>0</v>
      </c>
      <c r="E2805">
        <v>0</v>
      </c>
      <c r="F2805" t="str">
        <f t="shared" si="131"/>
        <v>Lower Risk</v>
      </c>
      <c r="G2805" t="s">
        <v>13</v>
      </c>
      <c r="H2805" t="s">
        <v>16</v>
      </c>
      <c r="I2805" t="s">
        <v>9</v>
      </c>
      <c r="J2805">
        <v>104.75</v>
      </c>
      <c r="K2805">
        <v>17.100000000000001</v>
      </c>
      <c r="L2805" t="s">
        <v>14</v>
      </c>
      <c r="M2805">
        <v>0</v>
      </c>
      <c r="N2805" t="str">
        <f t="shared" si="129"/>
        <v>Under 40</v>
      </c>
      <c r="O2805" t="str">
        <f t="shared" si="130"/>
        <v>Underweight</v>
      </c>
    </row>
    <row r="2806" spans="1:15" x14ac:dyDescent="0.3">
      <c r="A2806">
        <v>51342</v>
      </c>
      <c r="B2806" t="s">
        <v>7</v>
      </c>
      <c r="C2806">
        <v>69</v>
      </c>
      <c r="D2806">
        <v>0</v>
      </c>
      <c r="E2806">
        <v>0</v>
      </c>
      <c r="F2806" t="str">
        <f t="shared" si="131"/>
        <v>Moderate Risk</v>
      </c>
      <c r="G2806" t="s">
        <v>3</v>
      </c>
      <c r="H2806" t="s">
        <v>15</v>
      </c>
      <c r="I2806" t="s">
        <v>9</v>
      </c>
      <c r="J2806">
        <v>70.98</v>
      </c>
      <c r="K2806">
        <v>30</v>
      </c>
      <c r="L2806" t="s">
        <v>14</v>
      </c>
      <c r="M2806">
        <v>0</v>
      </c>
      <c r="N2806" t="str">
        <f t="shared" si="129"/>
        <v>60+</v>
      </c>
      <c r="O2806" t="str">
        <f t="shared" si="130"/>
        <v>Obese</v>
      </c>
    </row>
    <row r="2807" spans="1:15" x14ac:dyDescent="0.3">
      <c r="A2807">
        <v>35759</v>
      </c>
      <c r="B2807" t="s">
        <v>7</v>
      </c>
      <c r="C2807">
        <v>16</v>
      </c>
      <c r="D2807">
        <v>0</v>
      </c>
      <c r="E2807">
        <v>0</v>
      </c>
      <c r="F2807" t="str">
        <f t="shared" si="131"/>
        <v>Lower Risk</v>
      </c>
      <c r="G2807" t="s">
        <v>13</v>
      </c>
      <c r="H2807" t="s">
        <v>4</v>
      </c>
      <c r="I2807" t="s">
        <v>9</v>
      </c>
      <c r="J2807">
        <v>92.77</v>
      </c>
      <c r="K2807">
        <v>24.9</v>
      </c>
      <c r="L2807" t="s">
        <v>14</v>
      </c>
      <c r="M2807">
        <v>0</v>
      </c>
      <c r="N2807" t="str">
        <f t="shared" si="129"/>
        <v>Under 40</v>
      </c>
      <c r="O2807" t="str">
        <f t="shared" si="130"/>
        <v>Normal</v>
      </c>
    </row>
    <row r="2808" spans="1:15" x14ac:dyDescent="0.3">
      <c r="A2808">
        <v>17270</v>
      </c>
      <c r="B2808" t="s">
        <v>7</v>
      </c>
      <c r="C2808">
        <v>56</v>
      </c>
      <c r="D2808">
        <v>0</v>
      </c>
      <c r="E2808">
        <v>0</v>
      </c>
      <c r="F2808" t="str">
        <f t="shared" si="131"/>
        <v>Lower Risk</v>
      </c>
      <c r="G2808" t="s">
        <v>3</v>
      </c>
      <c r="H2808" t="s">
        <v>4</v>
      </c>
      <c r="I2808" t="s">
        <v>5</v>
      </c>
      <c r="J2808">
        <v>82.12</v>
      </c>
      <c r="K2808">
        <v>32.5</v>
      </c>
      <c r="L2808" t="s">
        <v>12</v>
      </c>
      <c r="M2808">
        <v>0</v>
      </c>
      <c r="N2808" t="str">
        <f t="shared" si="129"/>
        <v>40–59</v>
      </c>
      <c r="O2808" t="str">
        <f t="shared" si="130"/>
        <v>Obese</v>
      </c>
    </row>
    <row r="2809" spans="1:15" x14ac:dyDescent="0.3">
      <c r="A2809">
        <v>53862</v>
      </c>
      <c r="B2809" t="s">
        <v>7</v>
      </c>
      <c r="C2809">
        <v>41</v>
      </c>
      <c r="D2809">
        <v>0</v>
      </c>
      <c r="E2809">
        <v>0</v>
      </c>
      <c r="F2809" t="str">
        <f t="shared" si="131"/>
        <v>Lower Risk</v>
      </c>
      <c r="G2809" t="s">
        <v>3</v>
      </c>
      <c r="H2809" t="s">
        <v>15</v>
      </c>
      <c r="I2809" t="s">
        <v>9</v>
      </c>
      <c r="J2809">
        <v>106.35</v>
      </c>
      <c r="K2809">
        <v>26.1</v>
      </c>
      <c r="L2809" t="s">
        <v>11</v>
      </c>
      <c r="M2809">
        <v>0</v>
      </c>
      <c r="N2809" t="str">
        <f t="shared" si="129"/>
        <v>40–59</v>
      </c>
      <c r="O2809" t="str">
        <f t="shared" si="130"/>
        <v>Overweight</v>
      </c>
    </row>
    <row r="2810" spans="1:15" x14ac:dyDescent="0.3">
      <c r="A2810">
        <v>40951</v>
      </c>
      <c r="B2810" t="s">
        <v>7</v>
      </c>
      <c r="C2810">
        <v>1.24</v>
      </c>
      <c r="D2810">
        <v>0</v>
      </c>
      <c r="E2810">
        <v>0</v>
      </c>
      <c r="F2810" t="str">
        <f t="shared" si="131"/>
        <v>Lower Risk</v>
      </c>
      <c r="G2810" t="s">
        <v>13</v>
      </c>
      <c r="H2810" t="s">
        <v>16</v>
      </c>
      <c r="I2810" t="s">
        <v>9</v>
      </c>
      <c r="J2810">
        <v>77.33</v>
      </c>
      <c r="K2810">
        <v>19.2</v>
      </c>
      <c r="L2810" t="s">
        <v>14</v>
      </c>
      <c r="M2810">
        <v>0</v>
      </c>
      <c r="N2810" t="str">
        <f t="shared" si="129"/>
        <v>Under 40</v>
      </c>
      <c r="O2810" t="str">
        <f t="shared" si="130"/>
        <v>Normal</v>
      </c>
    </row>
    <row r="2811" spans="1:15" x14ac:dyDescent="0.3">
      <c r="A2811">
        <v>56976</v>
      </c>
      <c r="B2811" t="s">
        <v>7</v>
      </c>
      <c r="C2811">
        <v>42</v>
      </c>
      <c r="D2811">
        <v>0</v>
      </c>
      <c r="E2811">
        <v>0</v>
      </c>
      <c r="F2811" t="str">
        <f t="shared" si="131"/>
        <v>Lower Risk</v>
      </c>
      <c r="G2811" t="s">
        <v>3</v>
      </c>
      <c r="H2811" t="s">
        <v>4</v>
      </c>
      <c r="I2811" t="s">
        <v>5</v>
      </c>
      <c r="J2811">
        <v>96.01</v>
      </c>
      <c r="K2811">
        <v>38.700000000000003</v>
      </c>
      <c r="L2811" t="s">
        <v>14</v>
      </c>
      <c r="M2811">
        <v>0</v>
      </c>
      <c r="N2811" t="str">
        <f t="shared" si="129"/>
        <v>40–59</v>
      </c>
      <c r="O2811" t="str">
        <f t="shared" si="130"/>
        <v>Obese</v>
      </c>
    </row>
    <row r="2812" spans="1:15" x14ac:dyDescent="0.3">
      <c r="A2812">
        <v>37299</v>
      </c>
      <c r="B2812" t="s">
        <v>2</v>
      </c>
      <c r="C2812">
        <v>57</v>
      </c>
      <c r="D2812">
        <v>0</v>
      </c>
      <c r="E2812">
        <v>0</v>
      </c>
      <c r="F2812" t="str">
        <f t="shared" si="131"/>
        <v>Lower Risk</v>
      </c>
      <c r="G2812" t="s">
        <v>3</v>
      </c>
      <c r="H2812" t="s">
        <v>4</v>
      </c>
      <c r="I2812" t="s">
        <v>5</v>
      </c>
      <c r="J2812">
        <v>107.49</v>
      </c>
      <c r="K2812">
        <v>29.5</v>
      </c>
      <c r="L2812" t="s">
        <v>11</v>
      </c>
      <c r="M2812">
        <v>0</v>
      </c>
      <c r="N2812" t="str">
        <f t="shared" si="129"/>
        <v>40–59</v>
      </c>
      <c r="O2812" t="str">
        <f t="shared" si="130"/>
        <v>Overweight</v>
      </c>
    </row>
    <row r="2813" spans="1:15" x14ac:dyDescent="0.3">
      <c r="A2813">
        <v>33247</v>
      </c>
      <c r="B2813" t="s">
        <v>2</v>
      </c>
      <c r="C2813">
        <v>20</v>
      </c>
      <c r="D2813">
        <v>0</v>
      </c>
      <c r="E2813">
        <v>0</v>
      </c>
      <c r="F2813" t="str">
        <f t="shared" si="131"/>
        <v>Lower Risk</v>
      </c>
      <c r="G2813" t="s">
        <v>13</v>
      </c>
      <c r="H2813" t="s">
        <v>4</v>
      </c>
      <c r="I2813" t="s">
        <v>9</v>
      </c>
      <c r="J2813">
        <v>88.47</v>
      </c>
      <c r="K2813">
        <v>28.1</v>
      </c>
      <c r="L2813" t="s">
        <v>12</v>
      </c>
      <c r="M2813">
        <v>0</v>
      </c>
      <c r="N2813" t="str">
        <f t="shared" si="129"/>
        <v>Under 40</v>
      </c>
      <c r="O2813" t="str">
        <f t="shared" si="130"/>
        <v>Overweight</v>
      </c>
    </row>
    <row r="2814" spans="1:15" x14ac:dyDescent="0.3">
      <c r="A2814">
        <v>32560</v>
      </c>
      <c r="B2814" t="s">
        <v>7</v>
      </c>
      <c r="C2814">
        <v>8</v>
      </c>
      <c r="D2814">
        <v>0</v>
      </c>
      <c r="E2814">
        <v>0</v>
      </c>
      <c r="F2814" t="str">
        <f t="shared" si="131"/>
        <v>Lower Risk</v>
      </c>
      <c r="G2814" t="s">
        <v>13</v>
      </c>
      <c r="H2814" t="s">
        <v>16</v>
      </c>
      <c r="I2814" t="s">
        <v>9</v>
      </c>
      <c r="J2814">
        <v>87.92</v>
      </c>
      <c r="K2814">
        <v>14.1</v>
      </c>
      <c r="L2814" t="s">
        <v>14</v>
      </c>
      <c r="M2814">
        <v>0</v>
      </c>
      <c r="N2814" t="str">
        <f t="shared" si="129"/>
        <v>Under 40</v>
      </c>
      <c r="O2814" t="str">
        <f t="shared" si="130"/>
        <v>Underweight</v>
      </c>
    </row>
    <row r="2815" spans="1:15" x14ac:dyDescent="0.3">
      <c r="A2815">
        <v>10973</v>
      </c>
      <c r="B2815" t="s">
        <v>2</v>
      </c>
      <c r="C2815">
        <v>43</v>
      </c>
      <c r="D2815">
        <v>0</v>
      </c>
      <c r="E2815">
        <v>0</v>
      </c>
      <c r="F2815" t="str">
        <f t="shared" si="131"/>
        <v>Lower Risk</v>
      </c>
      <c r="G2815" t="s">
        <v>3</v>
      </c>
      <c r="H2815" t="s">
        <v>4</v>
      </c>
      <c r="I2815" t="s">
        <v>5</v>
      </c>
      <c r="J2815">
        <v>91.13</v>
      </c>
      <c r="K2815">
        <v>33.9</v>
      </c>
      <c r="L2815" t="s">
        <v>11</v>
      </c>
      <c r="M2815">
        <v>0</v>
      </c>
      <c r="N2815" t="str">
        <f t="shared" si="129"/>
        <v>40–59</v>
      </c>
      <c r="O2815" t="str">
        <f t="shared" si="130"/>
        <v>Obese</v>
      </c>
    </row>
    <row r="2816" spans="1:15" x14ac:dyDescent="0.3">
      <c r="A2816">
        <v>3816</v>
      </c>
      <c r="B2816" t="s">
        <v>2</v>
      </c>
      <c r="C2816">
        <v>62</v>
      </c>
      <c r="D2816">
        <v>0</v>
      </c>
      <c r="E2816">
        <v>0</v>
      </c>
      <c r="F2816" t="str">
        <f t="shared" si="131"/>
        <v>Moderate Risk</v>
      </c>
      <c r="G2816" t="s">
        <v>3</v>
      </c>
      <c r="H2816" t="s">
        <v>4</v>
      </c>
      <c r="I2816" t="s">
        <v>9</v>
      </c>
      <c r="J2816">
        <v>80.72</v>
      </c>
      <c r="K2816">
        <v>26</v>
      </c>
      <c r="L2816" t="s">
        <v>6</v>
      </c>
      <c r="M2816">
        <v>0</v>
      </c>
      <c r="N2816" t="str">
        <f t="shared" si="129"/>
        <v>60+</v>
      </c>
      <c r="O2816" t="str">
        <f t="shared" si="130"/>
        <v>Overweight</v>
      </c>
    </row>
    <row r="2817" spans="1:15" x14ac:dyDescent="0.3">
      <c r="A2817">
        <v>50215</v>
      </c>
      <c r="B2817" t="s">
        <v>2</v>
      </c>
      <c r="C2817">
        <v>42</v>
      </c>
      <c r="D2817">
        <v>0</v>
      </c>
      <c r="E2817">
        <v>0</v>
      </c>
      <c r="F2817" t="str">
        <f t="shared" si="131"/>
        <v>Lower Risk</v>
      </c>
      <c r="G2817" t="s">
        <v>13</v>
      </c>
      <c r="H2817" t="s">
        <v>15</v>
      </c>
      <c r="I2817" t="s">
        <v>9</v>
      </c>
      <c r="J2817">
        <v>59.83</v>
      </c>
      <c r="K2817">
        <v>52.8</v>
      </c>
      <c r="L2817" t="s">
        <v>11</v>
      </c>
      <c r="M2817">
        <v>0</v>
      </c>
      <c r="N2817" t="str">
        <f t="shared" si="129"/>
        <v>40–59</v>
      </c>
      <c r="O2817" t="str">
        <f t="shared" si="130"/>
        <v>Obese</v>
      </c>
    </row>
    <row r="2818" spans="1:15" x14ac:dyDescent="0.3">
      <c r="A2818">
        <v>10351</v>
      </c>
      <c r="B2818" t="s">
        <v>2</v>
      </c>
      <c r="C2818">
        <v>50</v>
      </c>
      <c r="D2818">
        <v>0</v>
      </c>
      <c r="E2818">
        <v>0</v>
      </c>
      <c r="F2818" t="str">
        <f t="shared" si="131"/>
        <v>Lower Risk</v>
      </c>
      <c r="G2818" t="s">
        <v>3</v>
      </c>
      <c r="H2818" t="s">
        <v>4</v>
      </c>
      <c r="I2818" t="s">
        <v>5</v>
      </c>
      <c r="J2818">
        <v>67.02</v>
      </c>
      <c r="K2818" t="s">
        <v>10</v>
      </c>
      <c r="L2818" t="s">
        <v>6</v>
      </c>
      <c r="M2818">
        <v>0</v>
      </c>
      <c r="N2818" t="str">
        <f t="shared" ref="N2818:N2881" si="132">IF(C2818&lt;40,"Under 40",IF(C2818&lt;60,"40–59","60+"))</f>
        <v>40–59</v>
      </c>
      <c r="O2818" t="str">
        <f t="shared" ref="O2818:O2881" si="133">IF(K2818="N/A","Unknown",
IF(K2818="","Unknown",
IF(K2818&lt;18.5,"Underweight",
IF(K2818&lt;25,"Normal",
IF(K2818&lt;30,"Overweight","Obese")))))</f>
        <v>Unknown</v>
      </c>
    </row>
    <row r="2819" spans="1:15" x14ac:dyDescent="0.3">
      <c r="A2819">
        <v>69665</v>
      </c>
      <c r="B2819" t="s">
        <v>7</v>
      </c>
      <c r="C2819">
        <v>63</v>
      </c>
      <c r="D2819">
        <v>0</v>
      </c>
      <c r="E2819">
        <v>0</v>
      </c>
      <c r="F2819" t="str">
        <f t="shared" ref="F2819:F2882" si="134">IF(C2819&gt;=60,
IF(OR(D2819=1,E2819=1),"High Risk","Moderate Risk"),
"Lower Risk")</f>
        <v>Moderate Risk</v>
      </c>
      <c r="G2819" t="s">
        <v>3</v>
      </c>
      <c r="H2819" t="s">
        <v>4</v>
      </c>
      <c r="I2819" t="s">
        <v>9</v>
      </c>
      <c r="J2819">
        <v>60.22</v>
      </c>
      <c r="K2819">
        <v>29.2</v>
      </c>
      <c r="L2819" t="s">
        <v>11</v>
      </c>
      <c r="M2819">
        <v>0</v>
      </c>
      <c r="N2819" t="str">
        <f t="shared" si="132"/>
        <v>60+</v>
      </c>
      <c r="O2819" t="str">
        <f t="shared" si="133"/>
        <v>Overweight</v>
      </c>
    </row>
    <row r="2820" spans="1:15" x14ac:dyDescent="0.3">
      <c r="A2820">
        <v>14976</v>
      </c>
      <c r="B2820" t="s">
        <v>2</v>
      </c>
      <c r="C2820">
        <v>80</v>
      </c>
      <c r="D2820">
        <v>0</v>
      </c>
      <c r="E2820">
        <v>1</v>
      </c>
      <c r="F2820" t="str">
        <f t="shared" si="134"/>
        <v>High Risk</v>
      </c>
      <c r="G2820" t="s">
        <v>3</v>
      </c>
      <c r="H2820" t="s">
        <v>4</v>
      </c>
      <c r="I2820" t="s">
        <v>9</v>
      </c>
      <c r="J2820">
        <v>82.41</v>
      </c>
      <c r="K2820">
        <v>26.3</v>
      </c>
      <c r="L2820" t="s">
        <v>12</v>
      </c>
      <c r="M2820">
        <v>0</v>
      </c>
      <c r="N2820" t="str">
        <f t="shared" si="132"/>
        <v>60+</v>
      </c>
      <c r="O2820" t="str">
        <f t="shared" si="133"/>
        <v>Overweight</v>
      </c>
    </row>
    <row r="2821" spans="1:15" x14ac:dyDescent="0.3">
      <c r="A2821">
        <v>28183</v>
      </c>
      <c r="B2821" t="s">
        <v>7</v>
      </c>
      <c r="C2821">
        <v>13</v>
      </c>
      <c r="D2821">
        <v>0</v>
      </c>
      <c r="E2821">
        <v>0</v>
      </c>
      <c r="F2821" t="str">
        <f t="shared" si="134"/>
        <v>Lower Risk</v>
      </c>
      <c r="G2821" t="s">
        <v>13</v>
      </c>
      <c r="H2821" t="s">
        <v>16</v>
      </c>
      <c r="I2821" t="s">
        <v>5</v>
      </c>
      <c r="J2821">
        <v>75.78</v>
      </c>
      <c r="K2821">
        <v>23.6</v>
      </c>
      <c r="L2821" t="s">
        <v>14</v>
      </c>
      <c r="M2821">
        <v>0</v>
      </c>
      <c r="N2821" t="str">
        <f t="shared" si="132"/>
        <v>Under 40</v>
      </c>
      <c r="O2821" t="str">
        <f t="shared" si="133"/>
        <v>Normal</v>
      </c>
    </row>
    <row r="2822" spans="1:15" x14ac:dyDescent="0.3">
      <c r="A2822">
        <v>33085</v>
      </c>
      <c r="B2822" t="s">
        <v>7</v>
      </c>
      <c r="C2822">
        <v>20</v>
      </c>
      <c r="D2822">
        <v>0</v>
      </c>
      <c r="E2822">
        <v>0</v>
      </c>
      <c r="F2822" t="str">
        <f t="shared" si="134"/>
        <v>Lower Risk</v>
      </c>
      <c r="G2822" t="s">
        <v>13</v>
      </c>
      <c r="H2822" t="s">
        <v>4</v>
      </c>
      <c r="I2822" t="s">
        <v>9</v>
      </c>
      <c r="J2822">
        <v>102.42</v>
      </c>
      <c r="K2822">
        <v>18.600000000000001</v>
      </c>
      <c r="L2822" t="s">
        <v>11</v>
      </c>
      <c r="M2822">
        <v>0</v>
      </c>
      <c r="N2822" t="str">
        <f t="shared" si="132"/>
        <v>Under 40</v>
      </c>
      <c r="O2822" t="str">
        <f t="shared" si="133"/>
        <v>Normal</v>
      </c>
    </row>
    <row r="2823" spans="1:15" x14ac:dyDescent="0.3">
      <c r="A2823">
        <v>13386</v>
      </c>
      <c r="B2823" t="s">
        <v>7</v>
      </c>
      <c r="C2823">
        <v>71</v>
      </c>
      <c r="D2823">
        <v>0</v>
      </c>
      <c r="E2823">
        <v>1</v>
      </c>
      <c r="F2823" t="str">
        <f t="shared" si="134"/>
        <v>High Risk</v>
      </c>
      <c r="G2823" t="s">
        <v>3</v>
      </c>
      <c r="H2823" t="s">
        <v>8</v>
      </c>
      <c r="I2823" t="s">
        <v>9</v>
      </c>
      <c r="J2823">
        <v>98.45</v>
      </c>
      <c r="K2823">
        <v>29.7</v>
      </c>
      <c r="L2823" t="s">
        <v>14</v>
      </c>
      <c r="M2823">
        <v>0</v>
      </c>
      <c r="N2823" t="str">
        <f t="shared" si="132"/>
        <v>60+</v>
      </c>
      <c r="O2823" t="str">
        <f t="shared" si="133"/>
        <v>Overweight</v>
      </c>
    </row>
    <row r="2824" spans="1:15" x14ac:dyDescent="0.3">
      <c r="A2824">
        <v>15601</v>
      </c>
      <c r="B2824" t="s">
        <v>7</v>
      </c>
      <c r="C2824">
        <v>50</v>
      </c>
      <c r="D2824">
        <v>0</v>
      </c>
      <c r="E2824">
        <v>0</v>
      </c>
      <c r="F2824" t="str">
        <f t="shared" si="134"/>
        <v>Lower Risk</v>
      </c>
      <c r="G2824" t="s">
        <v>3</v>
      </c>
      <c r="H2824" t="s">
        <v>4</v>
      </c>
      <c r="I2824" t="s">
        <v>5</v>
      </c>
      <c r="J2824">
        <v>93.51</v>
      </c>
      <c r="K2824">
        <v>30.9</v>
      </c>
      <c r="L2824" t="s">
        <v>12</v>
      </c>
      <c r="M2824">
        <v>0</v>
      </c>
      <c r="N2824" t="str">
        <f t="shared" si="132"/>
        <v>40–59</v>
      </c>
      <c r="O2824" t="str">
        <f t="shared" si="133"/>
        <v>Obese</v>
      </c>
    </row>
    <row r="2825" spans="1:15" x14ac:dyDescent="0.3">
      <c r="A2825">
        <v>22254</v>
      </c>
      <c r="B2825" t="s">
        <v>7</v>
      </c>
      <c r="C2825">
        <v>76</v>
      </c>
      <c r="D2825">
        <v>0</v>
      </c>
      <c r="E2825">
        <v>0</v>
      </c>
      <c r="F2825" t="str">
        <f t="shared" si="134"/>
        <v>Moderate Risk</v>
      </c>
      <c r="G2825" t="s">
        <v>3</v>
      </c>
      <c r="H2825" t="s">
        <v>4</v>
      </c>
      <c r="I2825" t="s">
        <v>9</v>
      </c>
      <c r="J2825">
        <v>113.68</v>
      </c>
      <c r="K2825">
        <v>22.8</v>
      </c>
      <c r="L2825" t="s">
        <v>14</v>
      </c>
      <c r="M2825">
        <v>0</v>
      </c>
      <c r="N2825" t="str">
        <f t="shared" si="132"/>
        <v>60+</v>
      </c>
      <c r="O2825" t="str">
        <f t="shared" si="133"/>
        <v>Normal</v>
      </c>
    </row>
    <row r="2826" spans="1:15" x14ac:dyDescent="0.3">
      <c r="A2826">
        <v>15539</v>
      </c>
      <c r="B2826" t="s">
        <v>7</v>
      </c>
      <c r="C2826">
        <v>41</v>
      </c>
      <c r="D2826">
        <v>0</v>
      </c>
      <c r="E2826">
        <v>0</v>
      </c>
      <c r="F2826" t="str">
        <f t="shared" si="134"/>
        <v>Lower Risk</v>
      </c>
      <c r="G2826" t="s">
        <v>3</v>
      </c>
      <c r="H2826" t="s">
        <v>4</v>
      </c>
      <c r="I2826" t="s">
        <v>9</v>
      </c>
      <c r="J2826">
        <v>97.41</v>
      </c>
      <c r="K2826">
        <v>25.5</v>
      </c>
      <c r="L2826" t="s">
        <v>11</v>
      </c>
      <c r="M2826">
        <v>0</v>
      </c>
      <c r="N2826" t="str">
        <f t="shared" si="132"/>
        <v>40–59</v>
      </c>
      <c r="O2826" t="str">
        <f t="shared" si="133"/>
        <v>Overweight</v>
      </c>
    </row>
    <row r="2827" spans="1:15" x14ac:dyDescent="0.3">
      <c r="A2827">
        <v>58235</v>
      </c>
      <c r="B2827" t="s">
        <v>2</v>
      </c>
      <c r="C2827">
        <v>76</v>
      </c>
      <c r="D2827">
        <v>0</v>
      </c>
      <c r="E2827">
        <v>0</v>
      </c>
      <c r="F2827" t="str">
        <f t="shared" si="134"/>
        <v>Moderate Risk</v>
      </c>
      <c r="G2827" t="s">
        <v>3</v>
      </c>
      <c r="H2827" t="s">
        <v>4</v>
      </c>
      <c r="I2827" t="s">
        <v>5</v>
      </c>
      <c r="J2827">
        <v>58.65</v>
      </c>
      <c r="K2827">
        <v>25.6</v>
      </c>
      <c r="L2827" t="s">
        <v>12</v>
      </c>
      <c r="M2827">
        <v>0</v>
      </c>
      <c r="N2827" t="str">
        <f t="shared" si="132"/>
        <v>60+</v>
      </c>
      <c r="O2827" t="str">
        <f t="shared" si="133"/>
        <v>Overweight</v>
      </c>
    </row>
    <row r="2828" spans="1:15" x14ac:dyDescent="0.3">
      <c r="A2828">
        <v>21162</v>
      </c>
      <c r="B2828" t="s">
        <v>7</v>
      </c>
      <c r="C2828">
        <v>78</v>
      </c>
      <c r="D2828">
        <v>0</v>
      </c>
      <c r="E2828">
        <v>0</v>
      </c>
      <c r="F2828" t="str">
        <f t="shared" si="134"/>
        <v>Moderate Risk</v>
      </c>
      <c r="G2828" t="s">
        <v>3</v>
      </c>
      <c r="H2828" t="s">
        <v>8</v>
      </c>
      <c r="I2828" t="s">
        <v>9</v>
      </c>
      <c r="J2828">
        <v>81.680000000000007</v>
      </c>
      <c r="K2828">
        <v>23</v>
      </c>
      <c r="L2828" t="s">
        <v>14</v>
      </c>
      <c r="M2828">
        <v>0</v>
      </c>
      <c r="N2828" t="str">
        <f t="shared" si="132"/>
        <v>60+</v>
      </c>
      <c r="O2828" t="str">
        <f t="shared" si="133"/>
        <v>Normal</v>
      </c>
    </row>
    <row r="2829" spans="1:15" x14ac:dyDescent="0.3">
      <c r="A2829">
        <v>67880</v>
      </c>
      <c r="B2829" t="s">
        <v>2</v>
      </c>
      <c r="C2829">
        <v>5</v>
      </c>
      <c r="D2829">
        <v>0</v>
      </c>
      <c r="E2829">
        <v>0</v>
      </c>
      <c r="F2829" t="str">
        <f t="shared" si="134"/>
        <v>Lower Risk</v>
      </c>
      <c r="G2829" t="s">
        <v>13</v>
      </c>
      <c r="H2829" t="s">
        <v>16</v>
      </c>
      <c r="I2829" t="s">
        <v>5</v>
      </c>
      <c r="J2829">
        <v>148.52000000000001</v>
      </c>
      <c r="K2829">
        <v>20.6</v>
      </c>
      <c r="L2829" t="s">
        <v>14</v>
      </c>
      <c r="M2829">
        <v>0</v>
      </c>
      <c r="N2829" t="str">
        <f t="shared" si="132"/>
        <v>Under 40</v>
      </c>
      <c r="O2829" t="str">
        <f t="shared" si="133"/>
        <v>Normal</v>
      </c>
    </row>
    <row r="2830" spans="1:15" x14ac:dyDescent="0.3">
      <c r="A2830">
        <v>42545</v>
      </c>
      <c r="B2830" t="s">
        <v>2</v>
      </c>
      <c r="C2830">
        <v>29</v>
      </c>
      <c r="D2830">
        <v>1</v>
      </c>
      <c r="E2830">
        <v>0</v>
      </c>
      <c r="F2830" t="str">
        <f t="shared" si="134"/>
        <v>Lower Risk</v>
      </c>
      <c r="G2830" t="s">
        <v>3</v>
      </c>
      <c r="H2830" t="s">
        <v>4</v>
      </c>
      <c r="I2830" t="s">
        <v>5</v>
      </c>
      <c r="J2830">
        <v>77.55</v>
      </c>
      <c r="K2830" t="s">
        <v>10</v>
      </c>
      <c r="L2830" t="s">
        <v>6</v>
      </c>
      <c r="M2830">
        <v>0</v>
      </c>
      <c r="N2830" t="str">
        <f t="shared" si="132"/>
        <v>Under 40</v>
      </c>
      <c r="O2830" t="str">
        <f t="shared" si="133"/>
        <v>Unknown</v>
      </c>
    </row>
    <row r="2831" spans="1:15" x14ac:dyDescent="0.3">
      <c r="A2831">
        <v>48359</v>
      </c>
      <c r="B2831" t="s">
        <v>7</v>
      </c>
      <c r="C2831">
        <v>43</v>
      </c>
      <c r="D2831">
        <v>0</v>
      </c>
      <c r="E2831">
        <v>0</v>
      </c>
      <c r="F2831" t="str">
        <f t="shared" si="134"/>
        <v>Lower Risk</v>
      </c>
      <c r="G2831" t="s">
        <v>3</v>
      </c>
      <c r="H2831" t="s">
        <v>4</v>
      </c>
      <c r="I2831" t="s">
        <v>9</v>
      </c>
      <c r="J2831">
        <v>142.12</v>
      </c>
      <c r="K2831">
        <v>28.4</v>
      </c>
      <c r="L2831" t="s">
        <v>12</v>
      </c>
      <c r="M2831">
        <v>0</v>
      </c>
      <c r="N2831" t="str">
        <f t="shared" si="132"/>
        <v>40–59</v>
      </c>
      <c r="O2831" t="str">
        <f t="shared" si="133"/>
        <v>Overweight</v>
      </c>
    </row>
    <row r="2832" spans="1:15" x14ac:dyDescent="0.3">
      <c r="A2832">
        <v>54815</v>
      </c>
      <c r="B2832" t="s">
        <v>7</v>
      </c>
      <c r="C2832">
        <v>49</v>
      </c>
      <c r="D2832">
        <v>0</v>
      </c>
      <c r="E2832">
        <v>0</v>
      </c>
      <c r="F2832" t="str">
        <f t="shared" si="134"/>
        <v>Lower Risk</v>
      </c>
      <c r="G2832" t="s">
        <v>3</v>
      </c>
      <c r="H2832" t="s">
        <v>4</v>
      </c>
      <c r="I2832" t="s">
        <v>5</v>
      </c>
      <c r="J2832">
        <v>125.3</v>
      </c>
      <c r="K2832">
        <v>29.7</v>
      </c>
      <c r="L2832" t="s">
        <v>6</v>
      </c>
      <c r="M2832">
        <v>0</v>
      </c>
      <c r="N2832" t="str">
        <f t="shared" si="132"/>
        <v>40–59</v>
      </c>
      <c r="O2832" t="str">
        <f t="shared" si="133"/>
        <v>Overweight</v>
      </c>
    </row>
    <row r="2833" spans="1:15" x14ac:dyDescent="0.3">
      <c r="A2833">
        <v>6233</v>
      </c>
      <c r="B2833" t="s">
        <v>2</v>
      </c>
      <c r="C2833">
        <v>70</v>
      </c>
      <c r="D2833">
        <v>1</v>
      </c>
      <c r="E2833">
        <v>0</v>
      </c>
      <c r="F2833" t="str">
        <f t="shared" si="134"/>
        <v>High Risk</v>
      </c>
      <c r="G2833" t="s">
        <v>3</v>
      </c>
      <c r="H2833" t="s">
        <v>8</v>
      </c>
      <c r="I2833" t="s">
        <v>9</v>
      </c>
      <c r="J2833">
        <v>118.81</v>
      </c>
      <c r="K2833">
        <v>26</v>
      </c>
      <c r="L2833" t="s">
        <v>12</v>
      </c>
      <c r="M2833">
        <v>0</v>
      </c>
      <c r="N2833" t="str">
        <f t="shared" si="132"/>
        <v>60+</v>
      </c>
      <c r="O2833" t="str">
        <f t="shared" si="133"/>
        <v>Overweight</v>
      </c>
    </row>
    <row r="2834" spans="1:15" x14ac:dyDescent="0.3">
      <c r="A2834">
        <v>52225</v>
      </c>
      <c r="B2834" t="s">
        <v>2</v>
      </c>
      <c r="C2834">
        <v>24</v>
      </c>
      <c r="D2834">
        <v>0</v>
      </c>
      <c r="E2834">
        <v>0</v>
      </c>
      <c r="F2834" t="str">
        <f t="shared" si="134"/>
        <v>Lower Risk</v>
      </c>
      <c r="G2834" t="s">
        <v>13</v>
      </c>
      <c r="H2834" t="s">
        <v>4</v>
      </c>
      <c r="I2834" t="s">
        <v>5</v>
      </c>
      <c r="J2834">
        <v>84.16</v>
      </c>
      <c r="K2834">
        <v>37.5</v>
      </c>
      <c r="L2834" t="s">
        <v>12</v>
      </c>
      <c r="M2834">
        <v>0</v>
      </c>
      <c r="N2834" t="str">
        <f t="shared" si="132"/>
        <v>Under 40</v>
      </c>
      <c r="O2834" t="str">
        <f t="shared" si="133"/>
        <v>Obese</v>
      </c>
    </row>
    <row r="2835" spans="1:15" x14ac:dyDescent="0.3">
      <c r="A2835">
        <v>50463</v>
      </c>
      <c r="B2835" t="s">
        <v>7</v>
      </c>
      <c r="C2835">
        <v>41</v>
      </c>
      <c r="D2835">
        <v>0</v>
      </c>
      <c r="E2835">
        <v>0</v>
      </c>
      <c r="F2835" t="str">
        <f t="shared" si="134"/>
        <v>Lower Risk</v>
      </c>
      <c r="G2835" t="s">
        <v>3</v>
      </c>
      <c r="H2835" t="s">
        <v>4</v>
      </c>
      <c r="I2835" t="s">
        <v>5</v>
      </c>
      <c r="J2835">
        <v>78.739999999999995</v>
      </c>
      <c r="K2835">
        <v>42.3</v>
      </c>
      <c r="L2835" t="s">
        <v>12</v>
      </c>
      <c r="M2835">
        <v>0</v>
      </c>
      <c r="N2835" t="str">
        <f t="shared" si="132"/>
        <v>40–59</v>
      </c>
      <c r="O2835" t="str">
        <f t="shared" si="133"/>
        <v>Obese</v>
      </c>
    </row>
    <row r="2836" spans="1:15" x14ac:dyDescent="0.3">
      <c r="A2836">
        <v>49084</v>
      </c>
      <c r="B2836" t="s">
        <v>2</v>
      </c>
      <c r="C2836">
        <v>20</v>
      </c>
      <c r="D2836">
        <v>0</v>
      </c>
      <c r="E2836">
        <v>0</v>
      </c>
      <c r="F2836" t="str">
        <f t="shared" si="134"/>
        <v>Lower Risk</v>
      </c>
      <c r="G2836" t="s">
        <v>13</v>
      </c>
      <c r="H2836" t="s">
        <v>4</v>
      </c>
      <c r="I2836" t="s">
        <v>5</v>
      </c>
      <c r="J2836">
        <v>57.51</v>
      </c>
      <c r="K2836">
        <v>21.4</v>
      </c>
      <c r="L2836" t="s">
        <v>14</v>
      </c>
      <c r="M2836">
        <v>0</v>
      </c>
      <c r="N2836" t="str">
        <f t="shared" si="132"/>
        <v>Under 40</v>
      </c>
      <c r="O2836" t="str">
        <f t="shared" si="133"/>
        <v>Normal</v>
      </c>
    </row>
    <row r="2837" spans="1:15" x14ac:dyDescent="0.3">
      <c r="A2837">
        <v>61889</v>
      </c>
      <c r="B2837" t="s">
        <v>2</v>
      </c>
      <c r="C2837">
        <v>34</v>
      </c>
      <c r="D2837">
        <v>0</v>
      </c>
      <c r="E2837">
        <v>0</v>
      </c>
      <c r="F2837" t="str">
        <f t="shared" si="134"/>
        <v>Lower Risk</v>
      </c>
      <c r="G2837" t="s">
        <v>3</v>
      </c>
      <c r="H2837" t="s">
        <v>4</v>
      </c>
      <c r="I2837" t="s">
        <v>5</v>
      </c>
      <c r="J2837">
        <v>61.11</v>
      </c>
      <c r="K2837">
        <v>29.3</v>
      </c>
      <c r="L2837" t="s">
        <v>11</v>
      </c>
      <c r="M2837">
        <v>0</v>
      </c>
      <c r="N2837" t="str">
        <f t="shared" si="132"/>
        <v>Under 40</v>
      </c>
      <c r="O2837" t="str">
        <f t="shared" si="133"/>
        <v>Overweight</v>
      </c>
    </row>
    <row r="2838" spans="1:15" x14ac:dyDescent="0.3">
      <c r="A2838">
        <v>25525</v>
      </c>
      <c r="B2838" t="s">
        <v>2</v>
      </c>
      <c r="C2838">
        <v>32</v>
      </c>
      <c r="D2838">
        <v>0</v>
      </c>
      <c r="E2838">
        <v>0</v>
      </c>
      <c r="F2838" t="str">
        <f t="shared" si="134"/>
        <v>Lower Risk</v>
      </c>
      <c r="G2838" t="s">
        <v>3</v>
      </c>
      <c r="H2838" t="s">
        <v>4</v>
      </c>
      <c r="I2838" t="s">
        <v>5</v>
      </c>
      <c r="J2838">
        <v>78.3</v>
      </c>
      <c r="K2838">
        <v>31</v>
      </c>
      <c r="L2838" t="s">
        <v>14</v>
      </c>
      <c r="M2838">
        <v>0</v>
      </c>
      <c r="N2838" t="str">
        <f t="shared" si="132"/>
        <v>Under 40</v>
      </c>
      <c r="O2838" t="str">
        <f t="shared" si="133"/>
        <v>Obese</v>
      </c>
    </row>
    <row r="2839" spans="1:15" x14ac:dyDescent="0.3">
      <c r="A2839">
        <v>9730</v>
      </c>
      <c r="B2839" t="s">
        <v>2</v>
      </c>
      <c r="C2839">
        <v>27</v>
      </c>
      <c r="D2839">
        <v>0</v>
      </c>
      <c r="E2839">
        <v>0</v>
      </c>
      <c r="F2839" t="str">
        <f t="shared" si="134"/>
        <v>Lower Risk</v>
      </c>
      <c r="G2839" t="s">
        <v>3</v>
      </c>
      <c r="H2839" t="s">
        <v>4</v>
      </c>
      <c r="I2839" t="s">
        <v>5</v>
      </c>
      <c r="J2839">
        <v>76.19</v>
      </c>
      <c r="K2839">
        <v>22</v>
      </c>
      <c r="L2839" t="s">
        <v>11</v>
      </c>
      <c r="M2839">
        <v>0</v>
      </c>
      <c r="N2839" t="str">
        <f t="shared" si="132"/>
        <v>Under 40</v>
      </c>
      <c r="O2839" t="str">
        <f t="shared" si="133"/>
        <v>Normal</v>
      </c>
    </row>
    <row r="2840" spans="1:15" x14ac:dyDescent="0.3">
      <c r="A2840">
        <v>30622</v>
      </c>
      <c r="B2840" t="s">
        <v>7</v>
      </c>
      <c r="C2840">
        <v>44</v>
      </c>
      <c r="D2840">
        <v>0</v>
      </c>
      <c r="E2840">
        <v>0</v>
      </c>
      <c r="F2840" t="str">
        <f t="shared" si="134"/>
        <v>Lower Risk</v>
      </c>
      <c r="G2840" t="s">
        <v>3</v>
      </c>
      <c r="H2840" t="s">
        <v>15</v>
      </c>
      <c r="I2840" t="s">
        <v>9</v>
      </c>
      <c r="J2840">
        <v>115.99</v>
      </c>
      <c r="K2840">
        <v>20.9</v>
      </c>
      <c r="L2840" t="s">
        <v>11</v>
      </c>
      <c r="M2840">
        <v>0</v>
      </c>
      <c r="N2840" t="str">
        <f t="shared" si="132"/>
        <v>40–59</v>
      </c>
      <c r="O2840" t="str">
        <f t="shared" si="133"/>
        <v>Normal</v>
      </c>
    </row>
    <row r="2841" spans="1:15" x14ac:dyDescent="0.3">
      <c r="A2841">
        <v>26480</v>
      </c>
      <c r="B2841" t="s">
        <v>2</v>
      </c>
      <c r="C2841">
        <v>20</v>
      </c>
      <c r="D2841">
        <v>0</v>
      </c>
      <c r="E2841">
        <v>0</v>
      </c>
      <c r="F2841" t="str">
        <f t="shared" si="134"/>
        <v>Lower Risk</v>
      </c>
      <c r="G2841" t="s">
        <v>13</v>
      </c>
      <c r="H2841" t="s">
        <v>4</v>
      </c>
      <c r="I2841" t="s">
        <v>9</v>
      </c>
      <c r="J2841">
        <v>100.8</v>
      </c>
      <c r="K2841">
        <v>45.9</v>
      </c>
      <c r="L2841" t="s">
        <v>11</v>
      </c>
      <c r="M2841">
        <v>0</v>
      </c>
      <c r="N2841" t="str">
        <f t="shared" si="132"/>
        <v>Under 40</v>
      </c>
      <c r="O2841" t="str">
        <f t="shared" si="133"/>
        <v>Obese</v>
      </c>
    </row>
    <row r="2842" spans="1:15" x14ac:dyDescent="0.3">
      <c r="A2842">
        <v>65895</v>
      </c>
      <c r="B2842" t="s">
        <v>7</v>
      </c>
      <c r="C2842">
        <v>52</v>
      </c>
      <c r="D2842">
        <v>0</v>
      </c>
      <c r="E2842">
        <v>0</v>
      </c>
      <c r="F2842" t="str">
        <f t="shared" si="134"/>
        <v>Lower Risk</v>
      </c>
      <c r="G2842" t="s">
        <v>3</v>
      </c>
      <c r="H2842" t="s">
        <v>4</v>
      </c>
      <c r="I2842" t="s">
        <v>5</v>
      </c>
      <c r="J2842">
        <v>98.27</v>
      </c>
      <c r="K2842">
        <v>61.2</v>
      </c>
      <c r="L2842" t="s">
        <v>14</v>
      </c>
      <c r="M2842">
        <v>0</v>
      </c>
      <c r="N2842" t="str">
        <f t="shared" si="132"/>
        <v>40–59</v>
      </c>
      <c r="O2842" t="str">
        <f t="shared" si="133"/>
        <v>Obese</v>
      </c>
    </row>
    <row r="2843" spans="1:15" x14ac:dyDescent="0.3">
      <c r="A2843">
        <v>4913</v>
      </c>
      <c r="B2843" t="s">
        <v>7</v>
      </c>
      <c r="C2843">
        <v>57</v>
      </c>
      <c r="D2843">
        <v>0</v>
      </c>
      <c r="E2843">
        <v>0</v>
      </c>
      <c r="F2843" t="str">
        <f t="shared" si="134"/>
        <v>Lower Risk</v>
      </c>
      <c r="G2843" t="s">
        <v>3</v>
      </c>
      <c r="H2843" t="s">
        <v>4</v>
      </c>
      <c r="I2843" t="s">
        <v>9</v>
      </c>
      <c r="J2843">
        <v>93.85</v>
      </c>
      <c r="K2843">
        <v>29.1</v>
      </c>
      <c r="L2843" t="s">
        <v>11</v>
      </c>
      <c r="M2843">
        <v>0</v>
      </c>
      <c r="N2843" t="str">
        <f t="shared" si="132"/>
        <v>40–59</v>
      </c>
      <c r="O2843" t="str">
        <f t="shared" si="133"/>
        <v>Overweight</v>
      </c>
    </row>
    <row r="2844" spans="1:15" x14ac:dyDescent="0.3">
      <c r="A2844">
        <v>20676</v>
      </c>
      <c r="B2844" t="s">
        <v>2</v>
      </c>
      <c r="C2844">
        <v>29</v>
      </c>
      <c r="D2844">
        <v>0</v>
      </c>
      <c r="E2844">
        <v>0</v>
      </c>
      <c r="F2844" t="str">
        <f t="shared" si="134"/>
        <v>Lower Risk</v>
      </c>
      <c r="G2844" t="s">
        <v>13</v>
      </c>
      <c r="H2844" t="s">
        <v>4</v>
      </c>
      <c r="I2844" t="s">
        <v>9</v>
      </c>
      <c r="J2844">
        <v>94.69</v>
      </c>
      <c r="K2844">
        <v>28.4</v>
      </c>
      <c r="L2844" t="s">
        <v>12</v>
      </c>
      <c r="M2844">
        <v>0</v>
      </c>
      <c r="N2844" t="str">
        <f t="shared" si="132"/>
        <v>Under 40</v>
      </c>
      <c r="O2844" t="str">
        <f t="shared" si="133"/>
        <v>Overweight</v>
      </c>
    </row>
    <row r="2845" spans="1:15" x14ac:dyDescent="0.3">
      <c r="A2845">
        <v>52410</v>
      </c>
      <c r="B2845" t="s">
        <v>7</v>
      </c>
      <c r="C2845">
        <v>16</v>
      </c>
      <c r="D2845">
        <v>0</v>
      </c>
      <c r="E2845">
        <v>0</v>
      </c>
      <c r="F2845" t="str">
        <f t="shared" si="134"/>
        <v>Lower Risk</v>
      </c>
      <c r="G2845" t="s">
        <v>13</v>
      </c>
      <c r="H2845" t="s">
        <v>4</v>
      </c>
      <c r="I2845" t="s">
        <v>5</v>
      </c>
      <c r="J2845">
        <v>136.22999999999999</v>
      </c>
      <c r="K2845">
        <v>22.6</v>
      </c>
      <c r="L2845" t="s">
        <v>14</v>
      </c>
      <c r="M2845">
        <v>0</v>
      </c>
      <c r="N2845" t="str">
        <f t="shared" si="132"/>
        <v>Under 40</v>
      </c>
      <c r="O2845" t="str">
        <f t="shared" si="133"/>
        <v>Normal</v>
      </c>
    </row>
    <row r="2846" spans="1:15" x14ac:dyDescent="0.3">
      <c r="A2846">
        <v>57944</v>
      </c>
      <c r="B2846" t="s">
        <v>7</v>
      </c>
      <c r="C2846">
        <v>35</v>
      </c>
      <c r="D2846">
        <v>0</v>
      </c>
      <c r="E2846">
        <v>0</v>
      </c>
      <c r="F2846" t="str">
        <f t="shared" si="134"/>
        <v>Lower Risk</v>
      </c>
      <c r="G2846" t="s">
        <v>3</v>
      </c>
      <c r="H2846" t="s">
        <v>15</v>
      </c>
      <c r="I2846" t="s">
        <v>9</v>
      </c>
      <c r="J2846">
        <v>56.12</v>
      </c>
      <c r="K2846">
        <v>24.2</v>
      </c>
      <c r="L2846" t="s">
        <v>12</v>
      </c>
      <c r="M2846">
        <v>0</v>
      </c>
      <c r="N2846" t="str">
        <f t="shared" si="132"/>
        <v>Under 40</v>
      </c>
      <c r="O2846" t="str">
        <f t="shared" si="133"/>
        <v>Normal</v>
      </c>
    </row>
    <row r="2847" spans="1:15" x14ac:dyDescent="0.3">
      <c r="A2847">
        <v>20290</v>
      </c>
      <c r="B2847" t="s">
        <v>7</v>
      </c>
      <c r="C2847">
        <v>5</v>
      </c>
      <c r="D2847">
        <v>0</v>
      </c>
      <c r="E2847">
        <v>0</v>
      </c>
      <c r="F2847" t="str">
        <f t="shared" si="134"/>
        <v>Lower Risk</v>
      </c>
      <c r="G2847" t="s">
        <v>13</v>
      </c>
      <c r="H2847" t="s">
        <v>16</v>
      </c>
      <c r="I2847" t="s">
        <v>9</v>
      </c>
      <c r="J2847">
        <v>93.03</v>
      </c>
      <c r="K2847">
        <v>16.3</v>
      </c>
      <c r="L2847" t="s">
        <v>14</v>
      </c>
      <c r="M2847">
        <v>0</v>
      </c>
      <c r="N2847" t="str">
        <f t="shared" si="132"/>
        <v>Under 40</v>
      </c>
      <c r="O2847" t="str">
        <f t="shared" si="133"/>
        <v>Underweight</v>
      </c>
    </row>
    <row r="2848" spans="1:15" x14ac:dyDescent="0.3">
      <c r="A2848">
        <v>10875</v>
      </c>
      <c r="B2848" t="s">
        <v>2</v>
      </c>
      <c r="C2848">
        <v>63</v>
      </c>
      <c r="D2848">
        <v>0</v>
      </c>
      <c r="E2848">
        <v>0</v>
      </c>
      <c r="F2848" t="str">
        <f t="shared" si="134"/>
        <v>Moderate Risk</v>
      </c>
      <c r="G2848" t="s">
        <v>3</v>
      </c>
      <c r="H2848" t="s">
        <v>4</v>
      </c>
      <c r="I2848" t="s">
        <v>9</v>
      </c>
      <c r="J2848">
        <v>196.81</v>
      </c>
      <c r="K2848">
        <v>35.9</v>
      </c>
      <c r="L2848" t="s">
        <v>11</v>
      </c>
      <c r="M2848">
        <v>0</v>
      </c>
      <c r="N2848" t="str">
        <f t="shared" si="132"/>
        <v>60+</v>
      </c>
      <c r="O2848" t="str">
        <f t="shared" si="133"/>
        <v>Obese</v>
      </c>
    </row>
    <row r="2849" spans="1:15" x14ac:dyDescent="0.3">
      <c r="A2849">
        <v>2393</v>
      </c>
      <c r="B2849" t="s">
        <v>2</v>
      </c>
      <c r="C2849">
        <v>59</v>
      </c>
      <c r="D2849">
        <v>1</v>
      </c>
      <c r="E2849">
        <v>0</v>
      </c>
      <c r="F2849" t="str">
        <f t="shared" si="134"/>
        <v>Lower Risk</v>
      </c>
      <c r="G2849" t="s">
        <v>3</v>
      </c>
      <c r="H2849" t="s">
        <v>4</v>
      </c>
      <c r="I2849" t="s">
        <v>9</v>
      </c>
      <c r="J2849">
        <v>87.81</v>
      </c>
      <c r="K2849">
        <v>29.8</v>
      </c>
      <c r="L2849" t="s">
        <v>6</v>
      </c>
      <c r="M2849">
        <v>0</v>
      </c>
      <c r="N2849" t="str">
        <f t="shared" si="132"/>
        <v>40–59</v>
      </c>
      <c r="O2849" t="str">
        <f t="shared" si="133"/>
        <v>Overweight</v>
      </c>
    </row>
    <row r="2850" spans="1:15" x14ac:dyDescent="0.3">
      <c r="A2850">
        <v>66464</v>
      </c>
      <c r="B2850" t="s">
        <v>2</v>
      </c>
      <c r="C2850">
        <v>63</v>
      </c>
      <c r="D2850">
        <v>0</v>
      </c>
      <c r="E2850">
        <v>0</v>
      </c>
      <c r="F2850" t="str">
        <f t="shared" si="134"/>
        <v>Moderate Risk</v>
      </c>
      <c r="G2850" t="s">
        <v>3</v>
      </c>
      <c r="H2850" t="s">
        <v>4</v>
      </c>
      <c r="I2850" t="s">
        <v>5</v>
      </c>
      <c r="J2850">
        <v>222.66</v>
      </c>
      <c r="K2850">
        <v>37</v>
      </c>
      <c r="L2850" t="s">
        <v>6</v>
      </c>
      <c r="M2850">
        <v>0</v>
      </c>
      <c r="N2850" t="str">
        <f t="shared" si="132"/>
        <v>60+</v>
      </c>
      <c r="O2850" t="str">
        <f t="shared" si="133"/>
        <v>Obese</v>
      </c>
    </row>
    <row r="2851" spans="1:15" x14ac:dyDescent="0.3">
      <c r="A2851">
        <v>40548</v>
      </c>
      <c r="B2851" t="s">
        <v>2</v>
      </c>
      <c r="C2851">
        <v>52</v>
      </c>
      <c r="D2851">
        <v>0</v>
      </c>
      <c r="E2851">
        <v>0</v>
      </c>
      <c r="F2851" t="str">
        <f t="shared" si="134"/>
        <v>Lower Risk</v>
      </c>
      <c r="G2851" t="s">
        <v>3</v>
      </c>
      <c r="H2851" t="s">
        <v>4</v>
      </c>
      <c r="I2851" t="s">
        <v>9</v>
      </c>
      <c r="J2851">
        <v>223.58</v>
      </c>
      <c r="K2851">
        <v>35.799999999999997</v>
      </c>
      <c r="L2851" t="s">
        <v>11</v>
      </c>
      <c r="M2851">
        <v>0</v>
      </c>
      <c r="N2851" t="str">
        <f t="shared" si="132"/>
        <v>40–59</v>
      </c>
      <c r="O2851" t="str">
        <f t="shared" si="133"/>
        <v>Obese</v>
      </c>
    </row>
    <row r="2852" spans="1:15" x14ac:dyDescent="0.3">
      <c r="A2852">
        <v>19699</v>
      </c>
      <c r="B2852" t="s">
        <v>7</v>
      </c>
      <c r="C2852">
        <v>50</v>
      </c>
      <c r="D2852">
        <v>0</v>
      </c>
      <c r="E2852">
        <v>0</v>
      </c>
      <c r="F2852" t="str">
        <f t="shared" si="134"/>
        <v>Lower Risk</v>
      </c>
      <c r="G2852" t="s">
        <v>13</v>
      </c>
      <c r="H2852" t="s">
        <v>4</v>
      </c>
      <c r="I2852" t="s">
        <v>5</v>
      </c>
      <c r="J2852">
        <v>85.77</v>
      </c>
      <c r="K2852">
        <v>21.1</v>
      </c>
      <c r="L2852" t="s">
        <v>11</v>
      </c>
      <c r="M2852">
        <v>0</v>
      </c>
      <c r="N2852" t="str">
        <f t="shared" si="132"/>
        <v>40–59</v>
      </c>
      <c r="O2852" t="str">
        <f t="shared" si="133"/>
        <v>Normal</v>
      </c>
    </row>
    <row r="2853" spans="1:15" x14ac:dyDescent="0.3">
      <c r="A2853">
        <v>205</v>
      </c>
      <c r="B2853" t="s">
        <v>7</v>
      </c>
      <c r="C2853">
        <v>43</v>
      </c>
      <c r="D2853">
        <v>0</v>
      </c>
      <c r="E2853">
        <v>0</v>
      </c>
      <c r="F2853" t="str">
        <f t="shared" si="134"/>
        <v>Lower Risk</v>
      </c>
      <c r="G2853" t="s">
        <v>3</v>
      </c>
      <c r="H2853" t="s">
        <v>4</v>
      </c>
      <c r="I2853" t="s">
        <v>9</v>
      </c>
      <c r="J2853">
        <v>88.23</v>
      </c>
      <c r="K2853">
        <v>37.6</v>
      </c>
      <c r="L2853" t="s">
        <v>14</v>
      </c>
      <c r="M2853">
        <v>0</v>
      </c>
      <c r="N2853" t="str">
        <f t="shared" si="132"/>
        <v>40–59</v>
      </c>
      <c r="O2853" t="str">
        <f t="shared" si="133"/>
        <v>Obese</v>
      </c>
    </row>
    <row r="2854" spans="1:15" x14ac:dyDescent="0.3">
      <c r="A2854">
        <v>54805</v>
      </c>
      <c r="B2854" t="s">
        <v>7</v>
      </c>
      <c r="C2854">
        <v>27</v>
      </c>
      <c r="D2854">
        <v>0</v>
      </c>
      <c r="E2854">
        <v>0</v>
      </c>
      <c r="F2854" t="str">
        <f t="shared" si="134"/>
        <v>Lower Risk</v>
      </c>
      <c r="G2854" t="s">
        <v>13</v>
      </c>
      <c r="H2854" t="s">
        <v>8</v>
      </c>
      <c r="I2854" t="s">
        <v>5</v>
      </c>
      <c r="J2854">
        <v>73.650000000000006</v>
      </c>
      <c r="K2854">
        <v>24.8</v>
      </c>
      <c r="L2854" t="s">
        <v>14</v>
      </c>
      <c r="M2854">
        <v>0</v>
      </c>
      <c r="N2854" t="str">
        <f t="shared" si="132"/>
        <v>Under 40</v>
      </c>
      <c r="O2854" t="str">
        <f t="shared" si="133"/>
        <v>Normal</v>
      </c>
    </row>
    <row r="2855" spans="1:15" x14ac:dyDescent="0.3">
      <c r="A2855">
        <v>53195</v>
      </c>
      <c r="B2855" t="s">
        <v>2</v>
      </c>
      <c r="C2855">
        <v>30</v>
      </c>
      <c r="D2855">
        <v>0</v>
      </c>
      <c r="E2855">
        <v>0</v>
      </c>
      <c r="F2855" t="str">
        <f t="shared" si="134"/>
        <v>Lower Risk</v>
      </c>
      <c r="G2855" t="s">
        <v>13</v>
      </c>
      <c r="H2855" t="s">
        <v>4</v>
      </c>
      <c r="I2855" t="s">
        <v>5</v>
      </c>
      <c r="J2855">
        <v>141.80000000000001</v>
      </c>
      <c r="K2855">
        <v>31.9</v>
      </c>
      <c r="L2855" t="s">
        <v>11</v>
      </c>
      <c r="M2855">
        <v>0</v>
      </c>
      <c r="N2855" t="str">
        <f t="shared" si="132"/>
        <v>Under 40</v>
      </c>
      <c r="O2855" t="str">
        <f t="shared" si="133"/>
        <v>Obese</v>
      </c>
    </row>
    <row r="2856" spans="1:15" x14ac:dyDescent="0.3">
      <c r="A2856">
        <v>9107</v>
      </c>
      <c r="B2856" t="s">
        <v>7</v>
      </c>
      <c r="C2856">
        <v>8</v>
      </c>
      <c r="D2856">
        <v>0</v>
      </c>
      <c r="E2856">
        <v>0</v>
      </c>
      <c r="F2856" t="str">
        <f t="shared" si="134"/>
        <v>Lower Risk</v>
      </c>
      <c r="G2856" t="s">
        <v>13</v>
      </c>
      <c r="H2856" t="s">
        <v>16</v>
      </c>
      <c r="I2856" t="s">
        <v>9</v>
      </c>
      <c r="J2856">
        <v>92.65</v>
      </c>
      <c r="K2856">
        <v>17.5</v>
      </c>
      <c r="L2856" t="s">
        <v>14</v>
      </c>
      <c r="M2856">
        <v>0</v>
      </c>
      <c r="N2856" t="str">
        <f t="shared" si="132"/>
        <v>Under 40</v>
      </c>
      <c r="O2856" t="str">
        <f t="shared" si="133"/>
        <v>Underweight</v>
      </c>
    </row>
    <row r="2857" spans="1:15" x14ac:dyDescent="0.3">
      <c r="A2857">
        <v>65196</v>
      </c>
      <c r="B2857" t="s">
        <v>2</v>
      </c>
      <c r="C2857">
        <v>75</v>
      </c>
      <c r="D2857">
        <v>1</v>
      </c>
      <c r="E2857">
        <v>0</v>
      </c>
      <c r="F2857" t="str">
        <f t="shared" si="134"/>
        <v>High Risk</v>
      </c>
      <c r="G2857" t="s">
        <v>3</v>
      </c>
      <c r="H2857" t="s">
        <v>4</v>
      </c>
      <c r="I2857" t="s">
        <v>9</v>
      </c>
      <c r="J2857">
        <v>198.79</v>
      </c>
      <c r="K2857" t="s">
        <v>10</v>
      </c>
      <c r="L2857" t="s">
        <v>12</v>
      </c>
      <c r="M2857">
        <v>0</v>
      </c>
      <c r="N2857" t="str">
        <f t="shared" si="132"/>
        <v>60+</v>
      </c>
      <c r="O2857" t="str">
        <f t="shared" si="133"/>
        <v>Unknown</v>
      </c>
    </row>
    <row r="2858" spans="1:15" x14ac:dyDescent="0.3">
      <c r="A2858">
        <v>58833</v>
      </c>
      <c r="B2858" t="s">
        <v>2</v>
      </c>
      <c r="C2858">
        <v>14</v>
      </c>
      <c r="D2858">
        <v>0</v>
      </c>
      <c r="E2858">
        <v>0</v>
      </c>
      <c r="F2858" t="str">
        <f t="shared" si="134"/>
        <v>Lower Risk</v>
      </c>
      <c r="G2858" t="s">
        <v>13</v>
      </c>
      <c r="H2858" t="s">
        <v>4</v>
      </c>
      <c r="I2858" t="s">
        <v>9</v>
      </c>
      <c r="J2858">
        <v>61.04</v>
      </c>
      <c r="K2858">
        <v>17.600000000000001</v>
      </c>
      <c r="L2858" t="s">
        <v>14</v>
      </c>
      <c r="M2858">
        <v>0</v>
      </c>
      <c r="N2858" t="str">
        <f t="shared" si="132"/>
        <v>Under 40</v>
      </c>
      <c r="O2858" t="str">
        <f t="shared" si="133"/>
        <v>Underweight</v>
      </c>
    </row>
    <row r="2859" spans="1:15" x14ac:dyDescent="0.3">
      <c r="A2859">
        <v>4309</v>
      </c>
      <c r="B2859" t="s">
        <v>7</v>
      </c>
      <c r="C2859">
        <v>23</v>
      </c>
      <c r="D2859">
        <v>0</v>
      </c>
      <c r="E2859">
        <v>0</v>
      </c>
      <c r="F2859" t="str">
        <f t="shared" si="134"/>
        <v>Lower Risk</v>
      </c>
      <c r="G2859" t="s">
        <v>3</v>
      </c>
      <c r="H2859" t="s">
        <v>4</v>
      </c>
      <c r="I2859" t="s">
        <v>9</v>
      </c>
      <c r="J2859">
        <v>102.88</v>
      </c>
      <c r="K2859">
        <v>38.9</v>
      </c>
      <c r="L2859" t="s">
        <v>14</v>
      </c>
      <c r="M2859">
        <v>0</v>
      </c>
      <c r="N2859" t="str">
        <f t="shared" si="132"/>
        <v>Under 40</v>
      </c>
      <c r="O2859" t="str">
        <f t="shared" si="133"/>
        <v>Obese</v>
      </c>
    </row>
    <row r="2860" spans="1:15" x14ac:dyDescent="0.3">
      <c r="A2860">
        <v>55462</v>
      </c>
      <c r="B2860" t="s">
        <v>2</v>
      </c>
      <c r="C2860">
        <v>6</v>
      </c>
      <c r="D2860">
        <v>0</v>
      </c>
      <c r="E2860">
        <v>0</v>
      </c>
      <c r="F2860" t="str">
        <f t="shared" si="134"/>
        <v>Lower Risk</v>
      </c>
      <c r="G2860" t="s">
        <v>13</v>
      </c>
      <c r="H2860" t="s">
        <v>16</v>
      </c>
      <c r="I2860" t="s">
        <v>5</v>
      </c>
      <c r="J2860">
        <v>123.39</v>
      </c>
      <c r="K2860">
        <v>15.2</v>
      </c>
      <c r="L2860" t="s">
        <v>14</v>
      </c>
      <c r="M2860">
        <v>0</v>
      </c>
      <c r="N2860" t="str">
        <f t="shared" si="132"/>
        <v>Under 40</v>
      </c>
      <c r="O2860" t="str">
        <f t="shared" si="133"/>
        <v>Underweight</v>
      </c>
    </row>
    <row r="2861" spans="1:15" x14ac:dyDescent="0.3">
      <c r="A2861">
        <v>51746</v>
      </c>
      <c r="B2861" t="s">
        <v>7</v>
      </c>
      <c r="C2861">
        <v>37</v>
      </c>
      <c r="D2861">
        <v>0</v>
      </c>
      <c r="E2861">
        <v>0</v>
      </c>
      <c r="F2861" t="str">
        <f t="shared" si="134"/>
        <v>Lower Risk</v>
      </c>
      <c r="G2861" t="s">
        <v>3</v>
      </c>
      <c r="H2861" t="s">
        <v>15</v>
      </c>
      <c r="I2861" t="s">
        <v>9</v>
      </c>
      <c r="J2861">
        <v>67.069999999999993</v>
      </c>
      <c r="K2861">
        <v>27.4</v>
      </c>
      <c r="L2861" t="s">
        <v>11</v>
      </c>
      <c r="M2861">
        <v>0</v>
      </c>
      <c r="N2861" t="str">
        <f t="shared" si="132"/>
        <v>Under 40</v>
      </c>
      <c r="O2861" t="str">
        <f t="shared" si="133"/>
        <v>Overweight</v>
      </c>
    </row>
    <row r="2862" spans="1:15" x14ac:dyDescent="0.3">
      <c r="A2862">
        <v>59335</v>
      </c>
      <c r="B2862" t="s">
        <v>2</v>
      </c>
      <c r="C2862">
        <v>38</v>
      </c>
      <c r="D2862">
        <v>0</v>
      </c>
      <c r="E2862">
        <v>0</v>
      </c>
      <c r="F2862" t="str">
        <f t="shared" si="134"/>
        <v>Lower Risk</v>
      </c>
      <c r="G2862" t="s">
        <v>3</v>
      </c>
      <c r="H2862" t="s">
        <v>15</v>
      </c>
      <c r="I2862" t="s">
        <v>9</v>
      </c>
      <c r="J2862">
        <v>69.88</v>
      </c>
      <c r="K2862">
        <v>27.9</v>
      </c>
      <c r="L2862" t="s">
        <v>12</v>
      </c>
      <c r="M2862">
        <v>0</v>
      </c>
      <c r="N2862" t="str">
        <f t="shared" si="132"/>
        <v>Under 40</v>
      </c>
      <c r="O2862" t="str">
        <f t="shared" si="133"/>
        <v>Overweight</v>
      </c>
    </row>
    <row r="2863" spans="1:15" x14ac:dyDescent="0.3">
      <c r="A2863">
        <v>65644</v>
      </c>
      <c r="B2863" t="s">
        <v>2</v>
      </c>
      <c r="C2863">
        <v>3</v>
      </c>
      <c r="D2863">
        <v>0</v>
      </c>
      <c r="E2863">
        <v>0</v>
      </c>
      <c r="F2863" t="str">
        <f t="shared" si="134"/>
        <v>Lower Risk</v>
      </c>
      <c r="G2863" t="s">
        <v>13</v>
      </c>
      <c r="H2863" t="s">
        <v>16</v>
      </c>
      <c r="I2863" t="s">
        <v>5</v>
      </c>
      <c r="J2863">
        <v>57.02</v>
      </c>
      <c r="K2863">
        <v>16.100000000000001</v>
      </c>
      <c r="L2863" t="s">
        <v>14</v>
      </c>
      <c r="M2863">
        <v>0</v>
      </c>
      <c r="N2863" t="str">
        <f t="shared" si="132"/>
        <v>Under 40</v>
      </c>
      <c r="O2863" t="str">
        <f t="shared" si="133"/>
        <v>Underweight</v>
      </c>
    </row>
    <row r="2864" spans="1:15" x14ac:dyDescent="0.3">
      <c r="A2864">
        <v>52790</v>
      </c>
      <c r="B2864" t="s">
        <v>7</v>
      </c>
      <c r="C2864">
        <v>26</v>
      </c>
      <c r="D2864">
        <v>0</v>
      </c>
      <c r="E2864">
        <v>0</v>
      </c>
      <c r="F2864" t="str">
        <f t="shared" si="134"/>
        <v>Lower Risk</v>
      </c>
      <c r="G2864" t="s">
        <v>13</v>
      </c>
      <c r="H2864" t="s">
        <v>15</v>
      </c>
      <c r="I2864" t="s">
        <v>5</v>
      </c>
      <c r="J2864">
        <v>123.81</v>
      </c>
      <c r="K2864">
        <v>39</v>
      </c>
      <c r="L2864" t="s">
        <v>11</v>
      </c>
      <c r="M2864">
        <v>0</v>
      </c>
      <c r="N2864" t="str">
        <f t="shared" si="132"/>
        <v>Under 40</v>
      </c>
      <c r="O2864" t="str">
        <f t="shared" si="133"/>
        <v>Obese</v>
      </c>
    </row>
    <row r="2865" spans="1:15" x14ac:dyDescent="0.3">
      <c r="A2865">
        <v>42681</v>
      </c>
      <c r="B2865" t="s">
        <v>7</v>
      </c>
      <c r="C2865">
        <v>58</v>
      </c>
      <c r="D2865">
        <v>0</v>
      </c>
      <c r="E2865">
        <v>0</v>
      </c>
      <c r="F2865" t="str">
        <f t="shared" si="134"/>
        <v>Lower Risk</v>
      </c>
      <c r="G2865" t="s">
        <v>3</v>
      </c>
      <c r="H2865" t="s">
        <v>15</v>
      </c>
      <c r="I2865" t="s">
        <v>9</v>
      </c>
      <c r="J2865">
        <v>73.36</v>
      </c>
      <c r="K2865">
        <v>36.6</v>
      </c>
      <c r="L2865" t="s">
        <v>6</v>
      </c>
      <c r="M2865">
        <v>0</v>
      </c>
      <c r="N2865" t="str">
        <f t="shared" si="132"/>
        <v>40–59</v>
      </c>
      <c r="O2865" t="str">
        <f t="shared" si="133"/>
        <v>Obese</v>
      </c>
    </row>
    <row r="2866" spans="1:15" x14ac:dyDescent="0.3">
      <c r="A2866">
        <v>33697</v>
      </c>
      <c r="B2866" t="s">
        <v>2</v>
      </c>
      <c r="C2866">
        <v>57</v>
      </c>
      <c r="D2866">
        <v>0</v>
      </c>
      <c r="E2866">
        <v>0</v>
      </c>
      <c r="F2866" t="str">
        <f t="shared" si="134"/>
        <v>Lower Risk</v>
      </c>
      <c r="G2866" t="s">
        <v>3</v>
      </c>
      <c r="H2866" t="s">
        <v>4</v>
      </c>
      <c r="I2866" t="s">
        <v>9</v>
      </c>
      <c r="J2866">
        <v>90.54</v>
      </c>
      <c r="K2866">
        <v>33.700000000000003</v>
      </c>
      <c r="L2866" t="s">
        <v>11</v>
      </c>
      <c r="M2866">
        <v>0</v>
      </c>
      <c r="N2866" t="str">
        <f t="shared" si="132"/>
        <v>40–59</v>
      </c>
      <c r="O2866" t="str">
        <f t="shared" si="133"/>
        <v>Obese</v>
      </c>
    </row>
    <row r="2867" spans="1:15" x14ac:dyDescent="0.3">
      <c r="A2867">
        <v>51963</v>
      </c>
      <c r="B2867" t="s">
        <v>2</v>
      </c>
      <c r="C2867">
        <v>58</v>
      </c>
      <c r="D2867">
        <v>0</v>
      </c>
      <c r="E2867">
        <v>0</v>
      </c>
      <c r="F2867" t="str">
        <f t="shared" si="134"/>
        <v>Lower Risk</v>
      </c>
      <c r="G2867" t="s">
        <v>3</v>
      </c>
      <c r="H2867" t="s">
        <v>4</v>
      </c>
      <c r="I2867" t="s">
        <v>5</v>
      </c>
      <c r="J2867">
        <v>69.239999999999995</v>
      </c>
      <c r="K2867">
        <v>27.6</v>
      </c>
      <c r="L2867" t="s">
        <v>11</v>
      </c>
      <c r="M2867">
        <v>0</v>
      </c>
      <c r="N2867" t="str">
        <f t="shared" si="132"/>
        <v>40–59</v>
      </c>
      <c r="O2867" t="str">
        <f t="shared" si="133"/>
        <v>Overweight</v>
      </c>
    </row>
    <row r="2868" spans="1:15" x14ac:dyDescent="0.3">
      <c r="A2868">
        <v>13375</v>
      </c>
      <c r="B2868" t="s">
        <v>2</v>
      </c>
      <c r="C2868">
        <v>76</v>
      </c>
      <c r="D2868">
        <v>0</v>
      </c>
      <c r="E2868">
        <v>0</v>
      </c>
      <c r="F2868" t="str">
        <f t="shared" si="134"/>
        <v>Moderate Risk</v>
      </c>
      <c r="G2868" t="s">
        <v>3</v>
      </c>
      <c r="H2868" t="s">
        <v>4</v>
      </c>
      <c r="I2868" t="s">
        <v>5</v>
      </c>
      <c r="J2868">
        <v>192.39</v>
      </c>
      <c r="K2868">
        <v>31</v>
      </c>
      <c r="L2868" t="s">
        <v>11</v>
      </c>
      <c r="M2868">
        <v>0</v>
      </c>
      <c r="N2868" t="str">
        <f t="shared" si="132"/>
        <v>60+</v>
      </c>
      <c r="O2868" t="str">
        <f t="shared" si="133"/>
        <v>Obese</v>
      </c>
    </row>
    <row r="2869" spans="1:15" x14ac:dyDescent="0.3">
      <c r="A2869">
        <v>37526</v>
      </c>
      <c r="B2869" t="s">
        <v>7</v>
      </c>
      <c r="C2869">
        <v>68</v>
      </c>
      <c r="D2869">
        <v>1</v>
      </c>
      <c r="E2869">
        <v>1</v>
      </c>
      <c r="F2869" t="str">
        <f t="shared" si="134"/>
        <v>High Risk</v>
      </c>
      <c r="G2869" t="s">
        <v>3</v>
      </c>
      <c r="H2869" t="s">
        <v>4</v>
      </c>
      <c r="I2869" t="s">
        <v>9</v>
      </c>
      <c r="J2869">
        <v>233.3</v>
      </c>
      <c r="K2869" t="s">
        <v>10</v>
      </c>
      <c r="L2869" t="s">
        <v>14</v>
      </c>
      <c r="M2869">
        <v>0</v>
      </c>
      <c r="N2869" t="str">
        <f t="shared" si="132"/>
        <v>60+</v>
      </c>
      <c r="O2869" t="str">
        <f t="shared" si="133"/>
        <v>Unknown</v>
      </c>
    </row>
    <row r="2870" spans="1:15" x14ac:dyDescent="0.3">
      <c r="A2870">
        <v>59454</v>
      </c>
      <c r="B2870" t="s">
        <v>7</v>
      </c>
      <c r="C2870">
        <v>79</v>
      </c>
      <c r="D2870">
        <v>0</v>
      </c>
      <c r="E2870">
        <v>0</v>
      </c>
      <c r="F2870" t="str">
        <f t="shared" si="134"/>
        <v>Moderate Risk</v>
      </c>
      <c r="G2870" t="s">
        <v>3</v>
      </c>
      <c r="H2870" t="s">
        <v>8</v>
      </c>
      <c r="I2870" t="s">
        <v>5</v>
      </c>
      <c r="J2870">
        <v>74.349999999999994</v>
      </c>
      <c r="K2870">
        <v>28.5</v>
      </c>
      <c r="L2870" t="s">
        <v>6</v>
      </c>
      <c r="M2870">
        <v>0</v>
      </c>
      <c r="N2870" t="str">
        <f t="shared" si="132"/>
        <v>60+</v>
      </c>
      <c r="O2870" t="str">
        <f t="shared" si="133"/>
        <v>Overweight</v>
      </c>
    </row>
    <row r="2871" spans="1:15" x14ac:dyDescent="0.3">
      <c r="A2871">
        <v>23600</v>
      </c>
      <c r="B2871" t="s">
        <v>2</v>
      </c>
      <c r="C2871">
        <v>34</v>
      </c>
      <c r="D2871">
        <v>0</v>
      </c>
      <c r="E2871">
        <v>0</v>
      </c>
      <c r="F2871" t="str">
        <f t="shared" si="134"/>
        <v>Lower Risk</v>
      </c>
      <c r="G2871" t="s">
        <v>3</v>
      </c>
      <c r="H2871" t="s">
        <v>4</v>
      </c>
      <c r="I2871" t="s">
        <v>9</v>
      </c>
      <c r="J2871">
        <v>71.94</v>
      </c>
      <c r="K2871">
        <v>31.4</v>
      </c>
      <c r="L2871" t="s">
        <v>12</v>
      </c>
      <c r="M2871">
        <v>0</v>
      </c>
      <c r="N2871" t="str">
        <f t="shared" si="132"/>
        <v>Under 40</v>
      </c>
      <c r="O2871" t="str">
        <f t="shared" si="133"/>
        <v>Obese</v>
      </c>
    </row>
    <row r="2872" spans="1:15" x14ac:dyDescent="0.3">
      <c r="A2872">
        <v>61245</v>
      </c>
      <c r="B2872" t="s">
        <v>2</v>
      </c>
      <c r="C2872">
        <v>75</v>
      </c>
      <c r="D2872">
        <v>0</v>
      </c>
      <c r="E2872">
        <v>0</v>
      </c>
      <c r="F2872" t="str">
        <f t="shared" si="134"/>
        <v>Moderate Risk</v>
      </c>
      <c r="G2872" t="s">
        <v>3</v>
      </c>
      <c r="H2872" t="s">
        <v>8</v>
      </c>
      <c r="I2872" t="s">
        <v>9</v>
      </c>
      <c r="J2872">
        <v>82.35</v>
      </c>
      <c r="K2872">
        <v>25.3</v>
      </c>
      <c r="L2872" t="s">
        <v>11</v>
      </c>
      <c r="M2872">
        <v>0</v>
      </c>
      <c r="N2872" t="str">
        <f t="shared" si="132"/>
        <v>60+</v>
      </c>
      <c r="O2872" t="str">
        <f t="shared" si="133"/>
        <v>Overweight</v>
      </c>
    </row>
    <row r="2873" spans="1:15" x14ac:dyDescent="0.3">
      <c r="A2873">
        <v>53489</v>
      </c>
      <c r="B2873" t="s">
        <v>2</v>
      </c>
      <c r="C2873">
        <v>11</v>
      </c>
      <c r="D2873">
        <v>0</v>
      </c>
      <c r="E2873">
        <v>0</v>
      </c>
      <c r="F2873" t="str">
        <f t="shared" si="134"/>
        <v>Lower Risk</v>
      </c>
      <c r="G2873" t="s">
        <v>13</v>
      </c>
      <c r="H2873" t="s">
        <v>16</v>
      </c>
      <c r="I2873" t="s">
        <v>9</v>
      </c>
      <c r="J2873">
        <v>73.28</v>
      </c>
      <c r="K2873">
        <v>17.2</v>
      </c>
      <c r="L2873" t="s">
        <v>11</v>
      </c>
      <c r="M2873">
        <v>0</v>
      </c>
      <c r="N2873" t="str">
        <f t="shared" si="132"/>
        <v>Under 40</v>
      </c>
      <c r="O2873" t="str">
        <f t="shared" si="133"/>
        <v>Underweight</v>
      </c>
    </row>
    <row r="2874" spans="1:15" x14ac:dyDescent="0.3">
      <c r="A2874">
        <v>42284</v>
      </c>
      <c r="B2874" t="s">
        <v>2</v>
      </c>
      <c r="C2874">
        <v>71</v>
      </c>
      <c r="D2874">
        <v>1</v>
      </c>
      <c r="E2874">
        <v>0</v>
      </c>
      <c r="F2874" t="str">
        <f t="shared" si="134"/>
        <v>High Risk</v>
      </c>
      <c r="G2874" t="s">
        <v>3</v>
      </c>
      <c r="H2874" t="s">
        <v>8</v>
      </c>
      <c r="I2874" t="s">
        <v>9</v>
      </c>
      <c r="J2874">
        <v>97.57</v>
      </c>
      <c r="K2874">
        <v>26.9</v>
      </c>
      <c r="L2874" t="s">
        <v>14</v>
      </c>
      <c r="M2874">
        <v>0</v>
      </c>
      <c r="N2874" t="str">
        <f t="shared" si="132"/>
        <v>60+</v>
      </c>
      <c r="O2874" t="str">
        <f t="shared" si="133"/>
        <v>Overweight</v>
      </c>
    </row>
    <row r="2875" spans="1:15" x14ac:dyDescent="0.3">
      <c r="A2875">
        <v>69089</v>
      </c>
      <c r="B2875" t="s">
        <v>7</v>
      </c>
      <c r="C2875">
        <v>40</v>
      </c>
      <c r="D2875">
        <v>0</v>
      </c>
      <c r="E2875">
        <v>0</v>
      </c>
      <c r="F2875" t="str">
        <f t="shared" si="134"/>
        <v>Lower Risk</v>
      </c>
      <c r="G2875" t="s">
        <v>3</v>
      </c>
      <c r="H2875" t="s">
        <v>4</v>
      </c>
      <c r="I2875" t="s">
        <v>9</v>
      </c>
      <c r="J2875">
        <v>83.3</v>
      </c>
      <c r="K2875">
        <v>32</v>
      </c>
      <c r="L2875" t="s">
        <v>12</v>
      </c>
      <c r="M2875">
        <v>0</v>
      </c>
      <c r="N2875" t="str">
        <f t="shared" si="132"/>
        <v>40–59</v>
      </c>
      <c r="O2875" t="str">
        <f t="shared" si="133"/>
        <v>Obese</v>
      </c>
    </row>
    <row r="2876" spans="1:15" x14ac:dyDescent="0.3">
      <c r="A2876">
        <v>68970</v>
      </c>
      <c r="B2876" t="s">
        <v>7</v>
      </c>
      <c r="C2876">
        <v>24</v>
      </c>
      <c r="D2876">
        <v>0</v>
      </c>
      <c r="E2876">
        <v>0</v>
      </c>
      <c r="F2876" t="str">
        <f t="shared" si="134"/>
        <v>Lower Risk</v>
      </c>
      <c r="G2876" t="s">
        <v>13</v>
      </c>
      <c r="H2876" t="s">
        <v>4</v>
      </c>
      <c r="I2876" t="s">
        <v>5</v>
      </c>
      <c r="J2876">
        <v>85.07</v>
      </c>
      <c r="K2876">
        <v>22.5</v>
      </c>
      <c r="L2876" t="s">
        <v>14</v>
      </c>
      <c r="M2876">
        <v>0</v>
      </c>
      <c r="N2876" t="str">
        <f t="shared" si="132"/>
        <v>Under 40</v>
      </c>
      <c r="O2876" t="str">
        <f t="shared" si="133"/>
        <v>Normal</v>
      </c>
    </row>
    <row r="2877" spans="1:15" x14ac:dyDescent="0.3">
      <c r="A2877">
        <v>42938</v>
      </c>
      <c r="B2877" t="s">
        <v>2</v>
      </c>
      <c r="C2877">
        <v>0.64</v>
      </c>
      <c r="D2877">
        <v>0</v>
      </c>
      <c r="E2877">
        <v>0</v>
      </c>
      <c r="F2877" t="str">
        <f t="shared" si="134"/>
        <v>Lower Risk</v>
      </c>
      <c r="G2877" t="s">
        <v>13</v>
      </c>
      <c r="H2877" t="s">
        <v>16</v>
      </c>
      <c r="I2877" t="s">
        <v>5</v>
      </c>
      <c r="J2877">
        <v>60.4</v>
      </c>
      <c r="K2877">
        <v>17.3</v>
      </c>
      <c r="L2877" t="s">
        <v>14</v>
      </c>
      <c r="M2877">
        <v>0</v>
      </c>
      <c r="N2877" t="str">
        <f t="shared" si="132"/>
        <v>Under 40</v>
      </c>
      <c r="O2877" t="str">
        <f t="shared" si="133"/>
        <v>Underweight</v>
      </c>
    </row>
    <row r="2878" spans="1:15" x14ac:dyDescent="0.3">
      <c r="A2878">
        <v>11327</v>
      </c>
      <c r="B2878" t="s">
        <v>7</v>
      </c>
      <c r="C2878">
        <v>82</v>
      </c>
      <c r="D2878">
        <v>0</v>
      </c>
      <c r="E2878">
        <v>0</v>
      </c>
      <c r="F2878" t="str">
        <f t="shared" si="134"/>
        <v>Moderate Risk</v>
      </c>
      <c r="G2878" t="s">
        <v>3</v>
      </c>
      <c r="H2878" t="s">
        <v>8</v>
      </c>
      <c r="I2878" t="s">
        <v>5</v>
      </c>
      <c r="J2878">
        <v>79.959999999999994</v>
      </c>
      <c r="K2878">
        <v>27</v>
      </c>
      <c r="L2878" t="s">
        <v>6</v>
      </c>
      <c r="M2878">
        <v>0</v>
      </c>
      <c r="N2878" t="str">
        <f t="shared" si="132"/>
        <v>60+</v>
      </c>
      <c r="O2878" t="str">
        <f t="shared" si="133"/>
        <v>Overweight</v>
      </c>
    </row>
    <row r="2879" spans="1:15" x14ac:dyDescent="0.3">
      <c r="A2879">
        <v>5464</v>
      </c>
      <c r="B2879" t="s">
        <v>2</v>
      </c>
      <c r="C2879">
        <v>32</v>
      </c>
      <c r="D2879">
        <v>0</v>
      </c>
      <c r="E2879">
        <v>0</v>
      </c>
      <c r="F2879" t="str">
        <f t="shared" si="134"/>
        <v>Lower Risk</v>
      </c>
      <c r="G2879" t="s">
        <v>3</v>
      </c>
      <c r="H2879" t="s">
        <v>4</v>
      </c>
      <c r="I2879" t="s">
        <v>9</v>
      </c>
      <c r="J2879">
        <v>70.959999999999994</v>
      </c>
      <c r="K2879">
        <v>33.1</v>
      </c>
      <c r="L2879" t="s">
        <v>14</v>
      </c>
      <c r="M2879">
        <v>0</v>
      </c>
      <c r="N2879" t="str">
        <f t="shared" si="132"/>
        <v>Under 40</v>
      </c>
      <c r="O2879" t="str">
        <f t="shared" si="133"/>
        <v>Obese</v>
      </c>
    </row>
    <row r="2880" spans="1:15" x14ac:dyDescent="0.3">
      <c r="A2880">
        <v>56995</v>
      </c>
      <c r="B2880" t="s">
        <v>7</v>
      </c>
      <c r="C2880">
        <v>81</v>
      </c>
      <c r="D2880">
        <v>0</v>
      </c>
      <c r="E2880">
        <v>0</v>
      </c>
      <c r="F2880" t="str">
        <f t="shared" si="134"/>
        <v>Moderate Risk</v>
      </c>
      <c r="G2880" t="s">
        <v>3</v>
      </c>
      <c r="H2880" t="s">
        <v>4</v>
      </c>
      <c r="I2880" t="s">
        <v>5</v>
      </c>
      <c r="J2880">
        <v>82.86</v>
      </c>
      <c r="K2880">
        <v>25</v>
      </c>
      <c r="L2880" t="s">
        <v>11</v>
      </c>
      <c r="M2880">
        <v>0</v>
      </c>
      <c r="N2880" t="str">
        <f t="shared" si="132"/>
        <v>60+</v>
      </c>
      <c r="O2880" t="str">
        <f t="shared" si="133"/>
        <v>Overweight</v>
      </c>
    </row>
    <row r="2881" spans="1:15" x14ac:dyDescent="0.3">
      <c r="A2881">
        <v>53646</v>
      </c>
      <c r="B2881" t="s">
        <v>7</v>
      </c>
      <c r="C2881">
        <v>33</v>
      </c>
      <c r="D2881">
        <v>1</v>
      </c>
      <c r="E2881">
        <v>0</v>
      </c>
      <c r="F2881" t="str">
        <f t="shared" si="134"/>
        <v>Lower Risk</v>
      </c>
      <c r="G2881" t="s">
        <v>13</v>
      </c>
      <c r="H2881" t="s">
        <v>4</v>
      </c>
      <c r="I2881" t="s">
        <v>9</v>
      </c>
      <c r="J2881">
        <v>97.87</v>
      </c>
      <c r="K2881" t="s">
        <v>10</v>
      </c>
      <c r="L2881" t="s">
        <v>12</v>
      </c>
      <c r="M2881">
        <v>0</v>
      </c>
      <c r="N2881" t="str">
        <f t="shared" si="132"/>
        <v>Under 40</v>
      </c>
      <c r="O2881" t="str">
        <f t="shared" si="133"/>
        <v>Unknown</v>
      </c>
    </row>
    <row r="2882" spans="1:15" x14ac:dyDescent="0.3">
      <c r="A2882">
        <v>45139</v>
      </c>
      <c r="B2882" t="s">
        <v>7</v>
      </c>
      <c r="C2882">
        <v>79</v>
      </c>
      <c r="D2882">
        <v>0</v>
      </c>
      <c r="E2882">
        <v>1</v>
      </c>
      <c r="F2882" t="str">
        <f t="shared" si="134"/>
        <v>High Risk</v>
      </c>
      <c r="G2882" t="s">
        <v>3</v>
      </c>
      <c r="H2882" t="s">
        <v>4</v>
      </c>
      <c r="I2882" t="s">
        <v>9</v>
      </c>
      <c r="J2882">
        <v>201.38</v>
      </c>
      <c r="K2882">
        <v>31.1</v>
      </c>
      <c r="L2882" t="s">
        <v>11</v>
      </c>
      <c r="M2882">
        <v>0</v>
      </c>
      <c r="N2882" t="str">
        <f t="shared" ref="N2882:N2945" si="135">IF(C2882&lt;40,"Under 40",IF(C2882&lt;60,"40–59","60+"))</f>
        <v>60+</v>
      </c>
      <c r="O2882" t="str">
        <f t="shared" ref="O2882:O2945" si="136">IF(K2882="N/A","Unknown",
IF(K2882="","Unknown",
IF(K2882&lt;18.5,"Underweight",
IF(K2882&lt;25,"Normal",
IF(K2882&lt;30,"Overweight","Obese")))))</f>
        <v>Obese</v>
      </c>
    </row>
    <row r="2883" spans="1:15" x14ac:dyDescent="0.3">
      <c r="A2883">
        <v>38354</v>
      </c>
      <c r="B2883" t="s">
        <v>7</v>
      </c>
      <c r="C2883">
        <v>62</v>
      </c>
      <c r="D2883">
        <v>0</v>
      </c>
      <c r="E2883">
        <v>0</v>
      </c>
      <c r="F2883" t="str">
        <f t="shared" ref="F2883:F2946" si="137">IF(C2883&gt;=60,
IF(OR(D2883=1,E2883=1),"High Risk","Moderate Risk"),
"Lower Risk")</f>
        <v>Moderate Risk</v>
      </c>
      <c r="G2883" t="s">
        <v>3</v>
      </c>
      <c r="H2883" t="s">
        <v>8</v>
      </c>
      <c r="I2883" t="s">
        <v>5</v>
      </c>
      <c r="J2883">
        <v>91.82</v>
      </c>
      <c r="K2883">
        <v>19.600000000000001</v>
      </c>
      <c r="L2883" t="s">
        <v>14</v>
      </c>
      <c r="M2883">
        <v>0</v>
      </c>
      <c r="N2883" t="str">
        <f t="shared" si="135"/>
        <v>60+</v>
      </c>
      <c r="O2883" t="str">
        <f t="shared" si="136"/>
        <v>Normal</v>
      </c>
    </row>
    <row r="2884" spans="1:15" x14ac:dyDescent="0.3">
      <c r="A2884">
        <v>15566</v>
      </c>
      <c r="B2884" t="s">
        <v>2</v>
      </c>
      <c r="C2884">
        <v>39</v>
      </c>
      <c r="D2884">
        <v>0</v>
      </c>
      <c r="E2884">
        <v>0</v>
      </c>
      <c r="F2884" t="str">
        <f t="shared" si="137"/>
        <v>Lower Risk</v>
      </c>
      <c r="G2884" t="s">
        <v>3</v>
      </c>
      <c r="H2884" t="s">
        <v>4</v>
      </c>
      <c r="I2884" t="s">
        <v>9</v>
      </c>
      <c r="J2884">
        <v>91.85</v>
      </c>
      <c r="K2884">
        <v>24.7</v>
      </c>
      <c r="L2884" t="s">
        <v>12</v>
      </c>
      <c r="M2884">
        <v>0</v>
      </c>
      <c r="N2884" t="str">
        <f t="shared" si="135"/>
        <v>Under 40</v>
      </c>
      <c r="O2884" t="str">
        <f t="shared" si="136"/>
        <v>Normal</v>
      </c>
    </row>
    <row r="2885" spans="1:15" x14ac:dyDescent="0.3">
      <c r="A2885">
        <v>4793</v>
      </c>
      <c r="B2885" t="s">
        <v>7</v>
      </c>
      <c r="C2885">
        <v>60</v>
      </c>
      <c r="D2885">
        <v>1</v>
      </c>
      <c r="E2885">
        <v>0</v>
      </c>
      <c r="F2885" t="str">
        <f t="shared" si="137"/>
        <v>High Risk</v>
      </c>
      <c r="G2885" t="s">
        <v>3</v>
      </c>
      <c r="H2885" t="s">
        <v>8</v>
      </c>
      <c r="I2885" t="s">
        <v>5</v>
      </c>
      <c r="J2885">
        <v>99.23</v>
      </c>
      <c r="K2885">
        <v>48</v>
      </c>
      <c r="L2885" t="s">
        <v>6</v>
      </c>
      <c r="M2885">
        <v>0</v>
      </c>
      <c r="N2885" t="str">
        <f t="shared" si="135"/>
        <v>60+</v>
      </c>
      <c r="O2885" t="str">
        <f t="shared" si="136"/>
        <v>Obese</v>
      </c>
    </row>
    <row r="2886" spans="1:15" x14ac:dyDescent="0.3">
      <c r="A2886">
        <v>59223</v>
      </c>
      <c r="B2886" t="s">
        <v>2</v>
      </c>
      <c r="C2886">
        <v>48</v>
      </c>
      <c r="D2886">
        <v>0</v>
      </c>
      <c r="E2886">
        <v>0</v>
      </c>
      <c r="F2886" t="str">
        <f t="shared" si="137"/>
        <v>Lower Risk</v>
      </c>
      <c r="G2886" t="s">
        <v>3</v>
      </c>
      <c r="H2886" t="s">
        <v>4</v>
      </c>
      <c r="I2886" t="s">
        <v>5</v>
      </c>
      <c r="J2886">
        <v>68.13</v>
      </c>
      <c r="K2886">
        <v>38</v>
      </c>
      <c r="L2886" t="s">
        <v>6</v>
      </c>
      <c r="M2886">
        <v>0</v>
      </c>
      <c r="N2886" t="str">
        <f t="shared" si="135"/>
        <v>40–59</v>
      </c>
      <c r="O2886" t="str">
        <f t="shared" si="136"/>
        <v>Obese</v>
      </c>
    </row>
    <row r="2887" spans="1:15" x14ac:dyDescent="0.3">
      <c r="A2887">
        <v>30927</v>
      </c>
      <c r="B2887" t="s">
        <v>2</v>
      </c>
      <c r="C2887">
        <v>24</v>
      </c>
      <c r="D2887">
        <v>0</v>
      </c>
      <c r="E2887">
        <v>0</v>
      </c>
      <c r="F2887" t="str">
        <f t="shared" si="137"/>
        <v>Lower Risk</v>
      </c>
      <c r="G2887" t="s">
        <v>13</v>
      </c>
      <c r="H2887" t="s">
        <v>4</v>
      </c>
      <c r="I2887" t="s">
        <v>9</v>
      </c>
      <c r="J2887">
        <v>93.76</v>
      </c>
      <c r="K2887">
        <v>24</v>
      </c>
      <c r="L2887" t="s">
        <v>6</v>
      </c>
      <c r="M2887">
        <v>0</v>
      </c>
      <c r="N2887" t="str">
        <f t="shared" si="135"/>
        <v>Under 40</v>
      </c>
      <c r="O2887" t="str">
        <f t="shared" si="136"/>
        <v>Normal</v>
      </c>
    </row>
    <row r="2888" spans="1:15" x14ac:dyDescent="0.3">
      <c r="A2888">
        <v>966</v>
      </c>
      <c r="B2888" t="s">
        <v>7</v>
      </c>
      <c r="C2888">
        <v>70</v>
      </c>
      <c r="D2888">
        <v>1</v>
      </c>
      <c r="E2888">
        <v>0</v>
      </c>
      <c r="F2888" t="str">
        <f t="shared" si="137"/>
        <v>High Risk</v>
      </c>
      <c r="G2888" t="s">
        <v>3</v>
      </c>
      <c r="H2888" t="s">
        <v>8</v>
      </c>
      <c r="I2888" t="s">
        <v>9</v>
      </c>
      <c r="J2888">
        <v>103.89</v>
      </c>
      <c r="K2888">
        <v>30</v>
      </c>
      <c r="L2888" t="s">
        <v>11</v>
      </c>
      <c r="M2888">
        <v>0</v>
      </c>
      <c r="N2888" t="str">
        <f t="shared" si="135"/>
        <v>60+</v>
      </c>
      <c r="O2888" t="str">
        <f t="shared" si="136"/>
        <v>Obese</v>
      </c>
    </row>
    <row r="2889" spans="1:15" x14ac:dyDescent="0.3">
      <c r="A2889">
        <v>62923</v>
      </c>
      <c r="B2889" t="s">
        <v>7</v>
      </c>
      <c r="C2889">
        <v>17</v>
      </c>
      <c r="D2889">
        <v>0</v>
      </c>
      <c r="E2889">
        <v>0</v>
      </c>
      <c r="F2889" t="str">
        <f t="shared" si="137"/>
        <v>Lower Risk</v>
      </c>
      <c r="G2889" t="s">
        <v>13</v>
      </c>
      <c r="H2889" t="s">
        <v>4</v>
      </c>
      <c r="I2889" t="s">
        <v>5</v>
      </c>
      <c r="J2889">
        <v>87.39</v>
      </c>
      <c r="K2889">
        <v>24.6</v>
      </c>
      <c r="L2889" t="s">
        <v>14</v>
      </c>
      <c r="M2889">
        <v>0</v>
      </c>
      <c r="N2889" t="str">
        <f t="shared" si="135"/>
        <v>Under 40</v>
      </c>
      <c r="O2889" t="str">
        <f t="shared" si="136"/>
        <v>Normal</v>
      </c>
    </row>
    <row r="2890" spans="1:15" x14ac:dyDescent="0.3">
      <c r="A2890">
        <v>30627</v>
      </c>
      <c r="B2890" t="s">
        <v>7</v>
      </c>
      <c r="C2890">
        <v>56</v>
      </c>
      <c r="D2890">
        <v>0</v>
      </c>
      <c r="E2890">
        <v>0</v>
      </c>
      <c r="F2890" t="str">
        <f t="shared" si="137"/>
        <v>Lower Risk</v>
      </c>
      <c r="G2890" t="s">
        <v>3</v>
      </c>
      <c r="H2890" t="s">
        <v>15</v>
      </c>
      <c r="I2890" t="s">
        <v>5</v>
      </c>
      <c r="J2890">
        <v>89.53</v>
      </c>
      <c r="K2890">
        <v>23.1</v>
      </c>
      <c r="L2890" t="s">
        <v>14</v>
      </c>
      <c r="M2890">
        <v>0</v>
      </c>
      <c r="N2890" t="str">
        <f t="shared" si="135"/>
        <v>40–59</v>
      </c>
      <c r="O2890" t="str">
        <f t="shared" si="136"/>
        <v>Normal</v>
      </c>
    </row>
    <row r="2891" spans="1:15" x14ac:dyDescent="0.3">
      <c r="A2891">
        <v>17236</v>
      </c>
      <c r="B2891" t="s">
        <v>7</v>
      </c>
      <c r="C2891">
        <v>3</v>
      </c>
      <c r="D2891">
        <v>0</v>
      </c>
      <c r="E2891">
        <v>0</v>
      </c>
      <c r="F2891" t="str">
        <f t="shared" si="137"/>
        <v>Lower Risk</v>
      </c>
      <c r="G2891" t="s">
        <v>13</v>
      </c>
      <c r="H2891" t="s">
        <v>16</v>
      </c>
      <c r="I2891" t="s">
        <v>5</v>
      </c>
      <c r="J2891">
        <v>66.61</v>
      </c>
      <c r="K2891">
        <v>17.399999999999999</v>
      </c>
      <c r="L2891" t="s">
        <v>14</v>
      </c>
      <c r="M2891">
        <v>0</v>
      </c>
      <c r="N2891" t="str">
        <f t="shared" si="135"/>
        <v>Under 40</v>
      </c>
      <c r="O2891" t="str">
        <f t="shared" si="136"/>
        <v>Underweight</v>
      </c>
    </row>
    <row r="2892" spans="1:15" x14ac:dyDescent="0.3">
      <c r="A2892">
        <v>27566</v>
      </c>
      <c r="B2892" t="s">
        <v>2</v>
      </c>
      <c r="C2892">
        <v>65</v>
      </c>
      <c r="D2892">
        <v>0</v>
      </c>
      <c r="E2892">
        <v>0</v>
      </c>
      <c r="F2892" t="str">
        <f t="shared" si="137"/>
        <v>Moderate Risk</v>
      </c>
      <c r="G2892" t="s">
        <v>3</v>
      </c>
      <c r="H2892" t="s">
        <v>4</v>
      </c>
      <c r="I2892" t="s">
        <v>9</v>
      </c>
      <c r="J2892">
        <v>236.14</v>
      </c>
      <c r="K2892">
        <v>43.1</v>
      </c>
      <c r="L2892" t="s">
        <v>14</v>
      </c>
      <c r="M2892">
        <v>0</v>
      </c>
      <c r="N2892" t="str">
        <f t="shared" si="135"/>
        <v>60+</v>
      </c>
      <c r="O2892" t="str">
        <f t="shared" si="136"/>
        <v>Obese</v>
      </c>
    </row>
    <row r="2893" spans="1:15" x14ac:dyDescent="0.3">
      <c r="A2893">
        <v>6368</v>
      </c>
      <c r="B2893" t="s">
        <v>2</v>
      </c>
      <c r="C2893">
        <v>72</v>
      </c>
      <c r="D2893">
        <v>0</v>
      </c>
      <c r="E2893">
        <v>1</v>
      </c>
      <c r="F2893" t="str">
        <f t="shared" si="137"/>
        <v>High Risk</v>
      </c>
      <c r="G2893" t="s">
        <v>3</v>
      </c>
      <c r="H2893" t="s">
        <v>4</v>
      </c>
      <c r="I2893" t="s">
        <v>5</v>
      </c>
      <c r="J2893">
        <v>99.76</v>
      </c>
      <c r="K2893">
        <v>27.1</v>
      </c>
      <c r="L2893" t="s">
        <v>6</v>
      </c>
      <c r="M2893">
        <v>0</v>
      </c>
      <c r="N2893" t="str">
        <f t="shared" si="135"/>
        <v>60+</v>
      </c>
      <c r="O2893" t="str">
        <f t="shared" si="136"/>
        <v>Overweight</v>
      </c>
    </row>
    <row r="2894" spans="1:15" x14ac:dyDescent="0.3">
      <c r="A2894">
        <v>33876</v>
      </c>
      <c r="B2894" t="s">
        <v>2</v>
      </c>
      <c r="C2894">
        <v>10</v>
      </c>
      <c r="D2894">
        <v>0</v>
      </c>
      <c r="E2894">
        <v>0</v>
      </c>
      <c r="F2894" t="str">
        <f t="shared" si="137"/>
        <v>Lower Risk</v>
      </c>
      <c r="G2894" t="s">
        <v>13</v>
      </c>
      <c r="H2894" t="s">
        <v>16</v>
      </c>
      <c r="I2894" t="s">
        <v>5</v>
      </c>
      <c r="J2894">
        <v>87.09</v>
      </c>
      <c r="K2894">
        <v>14.3</v>
      </c>
      <c r="L2894" t="s">
        <v>14</v>
      </c>
      <c r="M2894">
        <v>0</v>
      </c>
      <c r="N2894" t="str">
        <f t="shared" si="135"/>
        <v>Under 40</v>
      </c>
      <c r="O2894" t="str">
        <f t="shared" si="136"/>
        <v>Underweight</v>
      </c>
    </row>
    <row r="2895" spans="1:15" x14ac:dyDescent="0.3">
      <c r="A2895">
        <v>52164</v>
      </c>
      <c r="B2895" t="s">
        <v>2</v>
      </c>
      <c r="C2895">
        <v>29</v>
      </c>
      <c r="D2895">
        <v>0</v>
      </c>
      <c r="E2895">
        <v>0</v>
      </c>
      <c r="F2895" t="str">
        <f t="shared" si="137"/>
        <v>Lower Risk</v>
      </c>
      <c r="G2895" t="s">
        <v>3</v>
      </c>
      <c r="H2895" t="s">
        <v>4</v>
      </c>
      <c r="I2895" t="s">
        <v>5</v>
      </c>
      <c r="J2895">
        <v>193.81</v>
      </c>
      <c r="K2895">
        <v>46.8</v>
      </c>
      <c r="L2895" t="s">
        <v>11</v>
      </c>
      <c r="M2895">
        <v>0</v>
      </c>
      <c r="N2895" t="str">
        <f t="shared" si="135"/>
        <v>Under 40</v>
      </c>
      <c r="O2895" t="str">
        <f t="shared" si="136"/>
        <v>Obese</v>
      </c>
    </row>
    <row r="2896" spans="1:15" x14ac:dyDescent="0.3">
      <c r="A2896">
        <v>32446</v>
      </c>
      <c r="B2896" t="s">
        <v>7</v>
      </c>
      <c r="C2896">
        <v>44</v>
      </c>
      <c r="D2896">
        <v>0</v>
      </c>
      <c r="E2896">
        <v>0</v>
      </c>
      <c r="F2896" t="str">
        <f t="shared" si="137"/>
        <v>Lower Risk</v>
      </c>
      <c r="G2896" t="s">
        <v>3</v>
      </c>
      <c r="H2896" t="s">
        <v>4</v>
      </c>
      <c r="I2896" t="s">
        <v>9</v>
      </c>
      <c r="J2896">
        <v>97.27</v>
      </c>
      <c r="K2896">
        <v>26</v>
      </c>
      <c r="L2896" t="s">
        <v>11</v>
      </c>
      <c r="M2896">
        <v>0</v>
      </c>
      <c r="N2896" t="str">
        <f t="shared" si="135"/>
        <v>40–59</v>
      </c>
      <c r="O2896" t="str">
        <f t="shared" si="136"/>
        <v>Overweight</v>
      </c>
    </row>
    <row r="2897" spans="1:15" x14ac:dyDescent="0.3">
      <c r="A2897">
        <v>56855</v>
      </c>
      <c r="B2897" t="s">
        <v>2</v>
      </c>
      <c r="C2897">
        <v>46</v>
      </c>
      <c r="D2897">
        <v>0</v>
      </c>
      <c r="E2897">
        <v>0</v>
      </c>
      <c r="F2897" t="str">
        <f t="shared" si="137"/>
        <v>Lower Risk</v>
      </c>
      <c r="G2897" t="s">
        <v>3</v>
      </c>
      <c r="H2897" t="s">
        <v>4</v>
      </c>
      <c r="I2897" t="s">
        <v>5</v>
      </c>
      <c r="J2897">
        <v>137.77000000000001</v>
      </c>
      <c r="K2897">
        <v>29.3</v>
      </c>
      <c r="L2897" t="s">
        <v>11</v>
      </c>
      <c r="M2897">
        <v>0</v>
      </c>
      <c r="N2897" t="str">
        <f t="shared" si="135"/>
        <v>40–59</v>
      </c>
      <c r="O2897" t="str">
        <f t="shared" si="136"/>
        <v>Overweight</v>
      </c>
    </row>
    <row r="2898" spans="1:15" x14ac:dyDescent="0.3">
      <c r="A2898">
        <v>43837</v>
      </c>
      <c r="B2898" t="s">
        <v>2</v>
      </c>
      <c r="C2898">
        <v>33</v>
      </c>
      <c r="D2898">
        <v>0</v>
      </c>
      <c r="E2898">
        <v>0</v>
      </c>
      <c r="F2898" t="str">
        <f t="shared" si="137"/>
        <v>Lower Risk</v>
      </c>
      <c r="G2898" t="s">
        <v>3</v>
      </c>
      <c r="H2898" t="s">
        <v>4</v>
      </c>
      <c r="I2898" t="s">
        <v>5</v>
      </c>
      <c r="J2898">
        <v>105.19</v>
      </c>
      <c r="K2898">
        <v>50.1</v>
      </c>
      <c r="L2898" t="s">
        <v>12</v>
      </c>
      <c r="M2898">
        <v>0</v>
      </c>
      <c r="N2898" t="str">
        <f t="shared" si="135"/>
        <v>Under 40</v>
      </c>
      <c r="O2898" t="str">
        <f t="shared" si="136"/>
        <v>Obese</v>
      </c>
    </row>
    <row r="2899" spans="1:15" x14ac:dyDescent="0.3">
      <c r="A2899">
        <v>5477</v>
      </c>
      <c r="B2899" t="s">
        <v>2</v>
      </c>
      <c r="C2899">
        <v>63</v>
      </c>
      <c r="D2899">
        <v>0</v>
      </c>
      <c r="E2899">
        <v>1</v>
      </c>
      <c r="F2899" t="str">
        <f t="shared" si="137"/>
        <v>High Risk</v>
      </c>
      <c r="G2899" t="s">
        <v>3</v>
      </c>
      <c r="H2899" t="s">
        <v>8</v>
      </c>
      <c r="I2899" t="s">
        <v>5</v>
      </c>
      <c r="J2899">
        <v>82.72</v>
      </c>
      <c r="K2899" t="s">
        <v>10</v>
      </c>
      <c r="L2899" t="s">
        <v>11</v>
      </c>
      <c r="M2899">
        <v>0</v>
      </c>
      <c r="N2899" t="str">
        <f t="shared" si="135"/>
        <v>60+</v>
      </c>
      <c r="O2899" t="str">
        <f t="shared" si="136"/>
        <v>Unknown</v>
      </c>
    </row>
    <row r="2900" spans="1:15" x14ac:dyDescent="0.3">
      <c r="A2900">
        <v>64974</v>
      </c>
      <c r="B2900" t="s">
        <v>2</v>
      </c>
      <c r="C2900">
        <v>0.24</v>
      </c>
      <c r="D2900">
        <v>0</v>
      </c>
      <c r="E2900">
        <v>0</v>
      </c>
      <c r="F2900" t="str">
        <f t="shared" si="137"/>
        <v>Lower Risk</v>
      </c>
      <c r="G2900" t="s">
        <v>13</v>
      </c>
      <c r="H2900" t="s">
        <v>16</v>
      </c>
      <c r="I2900" t="s">
        <v>5</v>
      </c>
      <c r="J2900">
        <v>58.35</v>
      </c>
      <c r="K2900">
        <v>18.600000000000001</v>
      </c>
      <c r="L2900" t="s">
        <v>14</v>
      </c>
      <c r="M2900">
        <v>0</v>
      </c>
      <c r="N2900" t="str">
        <f t="shared" si="135"/>
        <v>Under 40</v>
      </c>
      <c r="O2900" t="str">
        <f t="shared" si="136"/>
        <v>Normal</v>
      </c>
    </row>
    <row r="2901" spans="1:15" x14ac:dyDescent="0.3">
      <c r="A2901">
        <v>33976</v>
      </c>
      <c r="B2901" t="s">
        <v>2</v>
      </c>
      <c r="C2901">
        <v>55</v>
      </c>
      <c r="D2901">
        <v>0</v>
      </c>
      <c r="E2901">
        <v>0</v>
      </c>
      <c r="F2901" t="str">
        <f t="shared" si="137"/>
        <v>Lower Risk</v>
      </c>
      <c r="G2901" t="s">
        <v>3</v>
      </c>
      <c r="H2901" t="s">
        <v>4</v>
      </c>
      <c r="I2901" t="s">
        <v>5</v>
      </c>
      <c r="J2901">
        <v>68.790000000000006</v>
      </c>
      <c r="K2901">
        <v>27</v>
      </c>
      <c r="L2901" t="s">
        <v>11</v>
      </c>
      <c r="M2901">
        <v>0</v>
      </c>
      <c r="N2901" t="str">
        <f t="shared" si="135"/>
        <v>40–59</v>
      </c>
      <c r="O2901" t="str">
        <f t="shared" si="136"/>
        <v>Overweight</v>
      </c>
    </row>
    <row r="2902" spans="1:15" x14ac:dyDescent="0.3">
      <c r="A2902">
        <v>31019</v>
      </c>
      <c r="B2902" t="s">
        <v>7</v>
      </c>
      <c r="C2902">
        <v>56</v>
      </c>
      <c r="D2902">
        <v>0</v>
      </c>
      <c r="E2902">
        <v>0</v>
      </c>
      <c r="F2902" t="str">
        <f t="shared" si="137"/>
        <v>Lower Risk</v>
      </c>
      <c r="G2902" t="s">
        <v>3</v>
      </c>
      <c r="H2902" t="s">
        <v>4</v>
      </c>
      <c r="I2902" t="s">
        <v>5</v>
      </c>
      <c r="J2902">
        <v>94.19</v>
      </c>
      <c r="K2902">
        <v>25.7</v>
      </c>
      <c r="L2902" t="s">
        <v>11</v>
      </c>
      <c r="M2902">
        <v>0</v>
      </c>
      <c r="N2902" t="str">
        <f t="shared" si="135"/>
        <v>40–59</v>
      </c>
      <c r="O2902" t="str">
        <f t="shared" si="136"/>
        <v>Overweight</v>
      </c>
    </row>
    <row r="2903" spans="1:15" x14ac:dyDescent="0.3">
      <c r="A2903">
        <v>4699</v>
      </c>
      <c r="B2903" t="s">
        <v>2</v>
      </c>
      <c r="C2903">
        <v>50</v>
      </c>
      <c r="D2903">
        <v>0</v>
      </c>
      <c r="E2903">
        <v>0</v>
      </c>
      <c r="F2903" t="str">
        <f t="shared" si="137"/>
        <v>Lower Risk</v>
      </c>
      <c r="G2903" t="s">
        <v>13</v>
      </c>
      <c r="H2903" t="s">
        <v>15</v>
      </c>
      <c r="I2903" t="s">
        <v>9</v>
      </c>
      <c r="J2903">
        <v>121.17</v>
      </c>
      <c r="K2903">
        <v>25.5</v>
      </c>
      <c r="L2903" t="s">
        <v>6</v>
      </c>
      <c r="M2903">
        <v>0</v>
      </c>
      <c r="N2903" t="str">
        <f t="shared" si="135"/>
        <v>40–59</v>
      </c>
      <c r="O2903" t="str">
        <f t="shared" si="136"/>
        <v>Overweight</v>
      </c>
    </row>
    <row r="2904" spans="1:15" x14ac:dyDescent="0.3">
      <c r="A2904">
        <v>60276</v>
      </c>
      <c r="B2904" t="s">
        <v>2</v>
      </c>
      <c r="C2904">
        <v>78</v>
      </c>
      <c r="D2904">
        <v>1</v>
      </c>
      <c r="E2904">
        <v>1</v>
      </c>
      <c r="F2904" t="str">
        <f t="shared" si="137"/>
        <v>High Risk</v>
      </c>
      <c r="G2904" t="s">
        <v>3</v>
      </c>
      <c r="H2904" t="s">
        <v>8</v>
      </c>
      <c r="I2904" t="s">
        <v>9</v>
      </c>
      <c r="J2904">
        <v>106.41</v>
      </c>
      <c r="K2904">
        <v>27.3</v>
      </c>
      <c r="L2904" t="s">
        <v>11</v>
      </c>
      <c r="M2904">
        <v>0</v>
      </c>
      <c r="N2904" t="str">
        <f t="shared" si="135"/>
        <v>60+</v>
      </c>
      <c r="O2904" t="str">
        <f t="shared" si="136"/>
        <v>Overweight</v>
      </c>
    </row>
    <row r="2905" spans="1:15" x14ac:dyDescent="0.3">
      <c r="A2905">
        <v>24420</v>
      </c>
      <c r="B2905" t="s">
        <v>2</v>
      </c>
      <c r="C2905">
        <v>63</v>
      </c>
      <c r="D2905">
        <v>0</v>
      </c>
      <c r="E2905">
        <v>0</v>
      </c>
      <c r="F2905" t="str">
        <f t="shared" si="137"/>
        <v>Moderate Risk</v>
      </c>
      <c r="G2905" t="s">
        <v>3</v>
      </c>
      <c r="H2905" t="s">
        <v>4</v>
      </c>
      <c r="I2905" t="s">
        <v>9</v>
      </c>
      <c r="J2905">
        <v>104.79</v>
      </c>
      <c r="K2905">
        <v>24.1</v>
      </c>
      <c r="L2905" t="s">
        <v>14</v>
      </c>
      <c r="M2905">
        <v>0</v>
      </c>
      <c r="N2905" t="str">
        <f t="shared" si="135"/>
        <v>60+</v>
      </c>
      <c r="O2905" t="str">
        <f t="shared" si="136"/>
        <v>Normal</v>
      </c>
    </row>
    <row r="2906" spans="1:15" x14ac:dyDescent="0.3">
      <c r="A2906">
        <v>28478</v>
      </c>
      <c r="B2906" t="s">
        <v>7</v>
      </c>
      <c r="C2906">
        <v>31</v>
      </c>
      <c r="D2906">
        <v>0</v>
      </c>
      <c r="E2906">
        <v>0</v>
      </c>
      <c r="F2906" t="str">
        <f t="shared" si="137"/>
        <v>Lower Risk</v>
      </c>
      <c r="G2906" t="s">
        <v>3</v>
      </c>
      <c r="H2906" t="s">
        <v>4</v>
      </c>
      <c r="I2906" t="s">
        <v>5</v>
      </c>
      <c r="J2906">
        <v>82.18</v>
      </c>
      <c r="K2906">
        <v>42.7</v>
      </c>
      <c r="L2906" t="s">
        <v>11</v>
      </c>
      <c r="M2906">
        <v>0</v>
      </c>
      <c r="N2906" t="str">
        <f t="shared" si="135"/>
        <v>Under 40</v>
      </c>
      <c r="O2906" t="str">
        <f t="shared" si="136"/>
        <v>Obese</v>
      </c>
    </row>
    <row r="2907" spans="1:15" x14ac:dyDescent="0.3">
      <c r="A2907">
        <v>63236</v>
      </c>
      <c r="B2907" t="s">
        <v>2</v>
      </c>
      <c r="C2907">
        <v>65</v>
      </c>
      <c r="D2907">
        <v>0</v>
      </c>
      <c r="E2907">
        <v>0</v>
      </c>
      <c r="F2907" t="str">
        <f t="shared" si="137"/>
        <v>Moderate Risk</v>
      </c>
      <c r="G2907" t="s">
        <v>3</v>
      </c>
      <c r="H2907" t="s">
        <v>4</v>
      </c>
      <c r="I2907" t="s">
        <v>5</v>
      </c>
      <c r="J2907">
        <v>96.81</v>
      </c>
      <c r="K2907">
        <v>41.2</v>
      </c>
      <c r="L2907" t="s">
        <v>12</v>
      </c>
      <c r="M2907">
        <v>0</v>
      </c>
      <c r="N2907" t="str">
        <f t="shared" si="135"/>
        <v>60+</v>
      </c>
      <c r="O2907" t="str">
        <f t="shared" si="136"/>
        <v>Obese</v>
      </c>
    </row>
    <row r="2908" spans="1:15" x14ac:dyDescent="0.3">
      <c r="A2908">
        <v>6324</v>
      </c>
      <c r="B2908" t="s">
        <v>2</v>
      </c>
      <c r="C2908">
        <v>51</v>
      </c>
      <c r="D2908">
        <v>0</v>
      </c>
      <c r="E2908">
        <v>0</v>
      </c>
      <c r="F2908" t="str">
        <f t="shared" si="137"/>
        <v>Lower Risk</v>
      </c>
      <c r="G2908" t="s">
        <v>3</v>
      </c>
      <c r="H2908" t="s">
        <v>4</v>
      </c>
      <c r="I2908" t="s">
        <v>9</v>
      </c>
      <c r="J2908">
        <v>107.42</v>
      </c>
      <c r="K2908">
        <v>20.2</v>
      </c>
      <c r="L2908" t="s">
        <v>6</v>
      </c>
      <c r="M2908">
        <v>0</v>
      </c>
      <c r="N2908" t="str">
        <f t="shared" si="135"/>
        <v>40–59</v>
      </c>
      <c r="O2908" t="str">
        <f t="shared" si="136"/>
        <v>Normal</v>
      </c>
    </row>
    <row r="2909" spans="1:15" x14ac:dyDescent="0.3">
      <c r="A2909">
        <v>62059</v>
      </c>
      <c r="B2909" t="s">
        <v>2</v>
      </c>
      <c r="C2909">
        <v>60</v>
      </c>
      <c r="D2909">
        <v>0</v>
      </c>
      <c r="E2909">
        <v>0</v>
      </c>
      <c r="F2909" t="str">
        <f t="shared" si="137"/>
        <v>Moderate Risk</v>
      </c>
      <c r="G2909" t="s">
        <v>3</v>
      </c>
      <c r="H2909" t="s">
        <v>4</v>
      </c>
      <c r="I2909" t="s">
        <v>9</v>
      </c>
      <c r="J2909">
        <v>69.2</v>
      </c>
      <c r="K2909">
        <v>30.9</v>
      </c>
      <c r="L2909" t="s">
        <v>11</v>
      </c>
      <c r="M2909">
        <v>0</v>
      </c>
      <c r="N2909" t="str">
        <f t="shared" si="135"/>
        <v>60+</v>
      </c>
      <c r="O2909" t="str">
        <f t="shared" si="136"/>
        <v>Obese</v>
      </c>
    </row>
    <row r="2910" spans="1:15" x14ac:dyDescent="0.3">
      <c r="A2910">
        <v>28400</v>
      </c>
      <c r="B2910" t="s">
        <v>2</v>
      </c>
      <c r="C2910">
        <v>69</v>
      </c>
      <c r="D2910">
        <v>0</v>
      </c>
      <c r="E2910">
        <v>0</v>
      </c>
      <c r="F2910" t="str">
        <f t="shared" si="137"/>
        <v>Moderate Risk</v>
      </c>
      <c r="G2910" t="s">
        <v>3</v>
      </c>
      <c r="H2910" t="s">
        <v>8</v>
      </c>
      <c r="I2910" t="s">
        <v>5</v>
      </c>
      <c r="J2910">
        <v>92.73</v>
      </c>
      <c r="K2910">
        <v>27.7</v>
      </c>
      <c r="L2910" t="s">
        <v>11</v>
      </c>
      <c r="M2910">
        <v>0</v>
      </c>
      <c r="N2910" t="str">
        <f t="shared" si="135"/>
        <v>60+</v>
      </c>
      <c r="O2910" t="str">
        <f t="shared" si="136"/>
        <v>Overweight</v>
      </c>
    </row>
    <row r="2911" spans="1:15" x14ac:dyDescent="0.3">
      <c r="A2911">
        <v>5841</v>
      </c>
      <c r="B2911" t="s">
        <v>7</v>
      </c>
      <c r="C2911">
        <v>23</v>
      </c>
      <c r="D2911">
        <v>0</v>
      </c>
      <c r="E2911">
        <v>0</v>
      </c>
      <c r="F2911" t="str">
        <f t="shared" si="137"/>
        <v>Lower Risk</v>
      </c>
      <c r="G2911" t="s">
        <v>13</v>
      </c>
      <c r="H2911" t="s">
        <v>4</v>
      </c>
      <c r="I2911" t="s">
        <v>5</v>
      </c>
      <c r="J2911">
        <v>86.11</v>
      </c>
      <c r="K2911">
        <v>22.3</v>
      </c>
      <c r="L2911" t="s">
        <v>11</v>
      </c>
      <c r="M2911">
        <v>0</v>
      </c>
      <c r="N2911" t="str">
        <f t="shared" si="135"/>
        <v>Under 40</v>
      </c>
      <c r="O2911" t="str">
        <f t="shared" si="136"/>
        <v>Normal</v>
      </c>
    </row>
    <row r="2912" spans="1:15" x14ac:dyDescent="0.3">
      <c r="A2912">
        <v>5681</v>
      </c>
      <c r="B2912" t="s">
        <v>2</v>
      </c>
      <c r="C2912">
        <v>46</v>
      </c>
      <c r="D2912">
        <v>0</v>
      </c>
      <c r="E2912">
        <v>0</v>
      </c>
      <c r="F2912" t="str">
        <f t="shared" si="137"/>
        <v>Lower Risk</v>
      </c>
      <c r="G2912" t="s">
        <v>3</v>
      </c>
      <c r="H2912" t="s">
        <v>4</v>
      </c>
      <c r="I2912" t="s">
        <v>9</v>
      </c>
      <c r="J2912">
        <v>111.78</v>
      </c>
      <c r="K2912">
        <v>39.4</v>
      </c>
      <c r="L2912" t="s">
        <v>12</v>
      </c>
      <c r="M2912">
        <v>0</v>
      </c>
      <c r="N2912" t="str">
        <f t="shared" si="135"/>
        <v>40–59</v>
      </c>
      <c r="O2912" t="str">
        <f t="shared" si="136"/>
        <v>Obese</v>
      </c>
    </row>
    <row r="2913" spans="1:15" x14ac:dyDescent="0.3">
      <c r="A2913">
        <v>16587</v>
      </c>
      <c r="B2913" t="s">
        <v>7</v>
      </c>
      <c r="C2913">
        <v>16</v>
      </c>
      <c r="D2913">
        <v>0</v>
      </c>
      <c r="E2913">
        <v>0</v>
      </c>
      <c r="F2913" t="str">
        <f t="shared" si="137"/>
        <v>Lower Risk</v>
      </c>
      <c r="G2913" t="s">
        <v>13</v>
      </c>
      <c r="H2913" t="s">
        <v>4</v>
      </c>
      <c r="I2913" t="s">
        <v>5</v>
      </c>
      <c r="J2913">
        <v>122.26</v>
      </c>
      <c r="K2913">
        <v>34.200000000000003</v>
      </c>
      <c r="L2913" t="s">
        <v>11</v>
      </c>
      <c r="M2913">
        <v>0</v>
      </c>
      <c r="N2913" t="str">
        <f t="shared" si="135"/>
        <v>Under 40</v>
      </c>
      <c r="O2913" t="str">
        <f t="shared" si="136"/>
        <v>Obese</v>
      </c>
    </row>
    <row r="2914" spans="1:15" x14ac:dyDescent="0.3">
      <c r="A2914">
        <v>3477</v>
      </c>
      <c r="B2914" t="s">
        <v>7</v>
      </c>
      <c r="C2914">
        <v>26</v>
      </c>
      <c r="D2914">
        <v>0</v>
      </c>
      <c r="E2914">
        <v>0</v>
      </c>
      <c r="F2914" t="str">
        <f t="shared" si="137"/>
        <v>Lower Risk</v>
      </c>
      <c r="G2914" t="s">
        <v>13</v>
      </c>
      <c r="H2914" t="s">
        <v>4</v>
      </c>
      <c r="I2914" t="s">
        <v>9</v>
      </c>
      <c r="J2914">
        <v>78.16</v>
      </c>
      <c r="K2914">
        <v>20.100000000000001</v>
      </c>
      <c r="L2914" t="s">
        <v>11</v>
      </c>
      <c r="M2914">
        <v>0</v>
      </c>
      <c r="N2914" t="str">
        <f t="shared" si="135"/>
        <v>Under 40</v>
      </c>
      <c r="O2914" t="str">
        <f t="shared" si="136"/>
        <v>Normal</v>
      </c>
    </row>
    <row r="2915" spans="1:15" x14ac:dyDescent="0.3">
      <c r="A2915">
        <v>23890</v>
      </c>
      <c r="B2915" t="s">
        <v>7</v>
      </c>
      <c r="C2915">
        <v>44</v>
      </c>
      <c r="D2915">
        <v>1</v>
      </c>
      <c r="E2915">
        <v>0</v>
      </c>
      <c r="F2915" t="str">
        <f t="shared" si="137"/>
        <v>Lower Risk</v>
      </c>
      <c r="G2915" t="s">
        <v>3</v>
      </c>
      <c r="H2915" t="s">
        <v>15</v>
      </c>
      <c r="I2915" t="s">
        <v>9</v>
      </c>
      <c r="J2915">
        <v>105.77</v>
      </c>
      <c r="K2915">
        <v>36.799999999999997</v>
      </c>
      <c r="L2915" t="s">
        <v>11</v>
      </c>
      <c r="M2915">
        <v>0</v>
      </c>
      <c r="N2915" t="str">
        <f t="shared" si="135"/>
        <v>40–59</v>
      </c>
      <c r="O2915" t="str">
        <f t="shared" si="136"/>
        <v>Obese</v>
      </c>
    </row>
    <row r="2916" spans="1:15" x14ac:dyDescent="0.3">
      <c r="A2916">
        <v>3803</v>
      </c>
      <c r="B2916" t="s">
        <v>7</v>
      </c>
      <c r="C2916">
        <v>56</v>
      </c>
      <c r="D2916">
        <v>0</v>
      </c>
      <c r="E2916">
        <v>0</v>
      </c>
      <c r="F2916" t="str">
        <f t="shared" si="137"/>
        <v>Lower Risk</v>
      </c>
      <c r="G2916" t="s">
        <v>3</v>
      </c>
      <c r="H2916" t="s">
        <v>4</v>
      </c>
      <c r="I2916" t="s">
        <v>5</v>
      </c>
      <c r="J2916">
        <v>102.97</v>
      </c>
      <c r="K2916" t="s">
        <v>10</v>
      </c>
      <c r="L2916" t="s">
        <v>12</v>
      </c>
      <c r="M2916">
        <v>0</v>
      </c>
      <c r="N2916" t="str">
        <f t="shared" si="135"/>
        <v>40–59</v>
      </c>
      <c r="O2916" t="str">
        <f t="shared" si="136"/>
        <v>Unknown</v>
      </c>
    </row>
    <row r="2917" spans="1:15" x14ac:dyDescent="0.3">
      <c r="A2917">
        <v>34068</v>
      </c>
      <c r="B2917" t="s">
        <v>7</v>
      </c>
      <c r="C2917">
        <v>23</v>
      </c>
      <c r="D2917">
        <v>0</v>
      </c>
      <c r="E2917">
        <v>0</v>
      </c>
      <c r="F2917" t="str">
        <f t="shared" si="137"/>
        <v>Lower Risk</v>
      </c>
      <c r="G2917" t="s">
        <v>3</v>
      </c>
      <c r="H2917" t="s">
        <v>15</v>
      </c>
      <c r="I2917" t="s">
        <v>5</v>
      </c>
      <c r="J2917">
        <v>77.53</v>
      </c>
      <c r="K2917">
        <v>33.9</v>
      </c>
      <c r="L2917" t="s">
        <v>6</v>
      </c>
      <c r="M2917">
        <v>0</v>
      </c>
      <c r="N2917" t="str">
        <f t="shared" si="135"/>
        <v>Under 40</v>
      </c>
      <c r="O2917" t="str">
        <f t="shared" si="136"/>
        <v>Obese</v>
      </c>
    </row>
    <row r="2918" spans="1:15" x14ac:dyDescent="0.3">
      <c r="A2918">
        <v>60145</v>
      </c>
      <c r="B2918" t="s">
        <v>7</v>
      </c>
      <c r="C2918">
        <v>38</v>
      </c>
      <c r="D2918">
        <v>0</v>
      </c>
      <c r="E2918">
        <v>0</v>
      </c>
      <c r="F2918" t="str">
        <f t="shared" si="137"/>
        <v>Lower Risk</v>
      </c>
      <c r="G2918" t="s">
        <v>3</v>
      </c>
      <c r="H2918" t="s">
        <v>4</v>
      </c>
      <c r="I2918" t="s">
        <v>5</v>
      </c>
      <c r="J2918">
        <v>77.349999999999994</v>
      </c>
      <c r="K2918">
        <v>27.7</v>
      </c>
      <c r="L2918" t="s">
        <v>11</v>
      </c>
      <c r="M2918">
        <v>0</v>
      </c>
      <c r="N2918" t="str">
        <f t="shared" si="135"/>
        <v>Under 40</v>
      </c>
      <c r="O2918" t="str">
        <f t="shared" si="136"/>
        <v>Overweight</v>
      </c>
    </row>
    <row r="2919" spans="1:15" x14ac:dyDescent="0.3">
      <c r="A2919">
        <v>11702</v>
      </c>
      <c r="B2919" t="s">
        <v>7</v>
      </c>
      <c r="C2919">
        <v>18</v>
      </c>
      <c r="D2919">
        <v>0</v>
      </c>
      <c r="E2919">
        <v>0</v>
      </c>
      <c r="F2919" t="str">
        <f t="shared" si="137"/>
        <v>Lower Risk</v>
      </c>
      <c r="G2919" t="s">
        <v>13</v>
      </c>
      <c r="H2919" t="s">
        <v>17</v>
      </c>
      <c r="I2919" t="s">
        <v>5</v>
      </c>
      <c r="J2919">
        <v>82.36</v>
      </c>
      <c r="K2919">
        <v>22.7</v>
      </c>
      <c r="L2919" t="s">
        <v>14</v>
      </c>
      <c r="M2919">
        <v>0</v>
      </c>
      <c r="N2919" t="str">
        <f t="shared" si="135"/>
        <v>Under 40</v>
      </c>
      <c r="O2919" t="str">
        <f t="shared" si="136"/>
        <v>Normal</v>
      </c>
    </row>
    <row r="2920" spans="1:15" x14ac:dyDescent="0.3">
      <c r="A2920">
        <v>50508</v>
      </c>
      <c r="B2920" t="s">
        <v>7</v>
      </c>
      <c r="C2920">
        <v>63</v>
      </c>
      <c r="D2920">
        <v>0</v>
      </c>
      <c r="E2920">
        <v>1</v>
      </c>
      <c r="F2920" t="str">
        <f t="shared" si="137"/>
        <v>High Risk</v>
      </c>
      <c r="G2920" t="s">
        <v>3</v>
      </c>
      <c r="H2920" t="s">
        <v>8</v>
      </c>
      <c r="I2920" t="s">
        <v>9</v>
      </c>
      <c r="J2920">
        <v>239.95</v>
      </c>
      <c r="K2920">
        <v>32.200000000000003</v>
      </c>
      <c r="L2920" t="s">
        <v>12</v>
      </c>
      <c r="M2920">
        <v>0</v>
      </c>
      <c r="N2920" t="str">
        <f t="shared" si="135"/>
        <v>60+</v>
      </c>
      <c r="O2920" t="str">
        <f t="shared" si="136"/>
        <v>Obese</v>
      </c>
    </row>
    <row r="2921" spans="1:15" x14ac:dyDescent="0.3">
      <c r="A2921">
        <v>65473</v>
      </c>
      <c r="B2921" t="s">
        <v>2</v>
      </c>
      <c r="C2921">
        <v>23</v>
      </c>
      <c r="D2921">
        <v>0</v>
      </c>
      <c r="E2921">
        <v>0</v>
      </c>
      <c r="F2921" t="str">
        <f t="shared" si="137"/>
        <v>Lower Risk</v>
      </c>
      <c r="G2921" t="s">
        <v>13</v>
      </c>
      <c r="H2921" t="s">
        <v>4</v>
      </c>
      <c r="I2921" t="s">
        <v>5</v>
      </c>
      <c r="J2921">
        <v>61.96</v>
      </c>
      <c r="K2921">
        <v>22</v>
      </c>
      <c r="L2921" t="s">
        <v>12</v>
      </c>
      <c r="M2921">
        <v>0</v>
      </c>
      <c r="N2921" t="str">
        <f t="shared" si="135"/>
        <v>Under 40</v>
      </c>
      <c r="O2921" t="str">
        <f t="shared" si="136"/>
        <v>Normal</v>
      </c>
    </row>
    <row r="2922" spans="1:15" x14ac:dyDescent="0.3">
      <c r="A2922">
        <v>51257</v>
      </c>
      <c r="B2922" t="s">
        <v>2</v>
      </c>
      <c r="C2922">
        <v>32</v>
      </c>
      <c r="D2922">
        <v>0</v>
      </c>
      <c r="E2922">
        <v>0</v>
      </c>
      <c r="F2922" t="str">
        <f t="shared" si="137"/>
        <v>Lower Risk</v>
      </c>
      <c r="G2922" t="s">
        <v>13</v>
      </c>
      <c r="H2922" t="s">
        <v>4</v>
      </c>
      <c r="I2922" t="s">
        <v>9</v>
      </c>
      <c r="J2922">
        <v>72.099999999999994</v>
      </c>
      <c r="K2922">
        <v>23.2</v>
      </c>
      <c r="L2922" t="s">
        <v>11</v>
      </c>
      <c r="M2922">
        <v>0</v>
      </c>
      <c r="N2922" t="str">
        <f t="shared" si="135"/>
        <v>Under 40</v>
      </c>
      <c r="O2922" t="str">
        <f t="shared" si="136"/>
        <v>Normal</v>
      </c>
    </row>
    <row r="2923" spans="1:15" x14ac:dyDescent="0.3">
      <c r="A2923">
        <v>47810</v>
      </c>
      <c r="B2923" t="s">
        <v>2</v>
      </c>
      <c r="C2923">
        <v>8</v>
      </c>
      <c r="D2923">
        <v>0</v>
      </c>
      <c r="E2923">
        <v>0</v>
      </c>
      <c r="F2923" t="str">
        <f t="shared" si="137"/>
        <v>Lower Risk</v>
      </c>
      <c r="G2923" t="s">
        <v>13</v>
      </c>
      <c r="H2923" t="s">
        <v>16</v>
      </c>
      <c r="I2923" t="s">
        <v>9</v>
      </c>
      <c r="J2923">
        <v>107.97</v>
      </c>
      <c r="K2923">
        <v>26.7</v>
      </c>
      <c r="L2923" t="s">
        <v>14</v>
      </c>
      <c r="M2923">
        <v>0</v>
      </c>
      <c r="N2923" t="str">
        <f t="shared" si="135"/>
        <v>Under 40</v>
      </c>
      <c r="O2923" t="str">
        <f t="shared" si="136"/>
        <v>Overweight</v>
      </c>
    </row>
    <row r="2924" spans="1:15" x14ac:dyDescent="0.3">
      <c r="A2924">
        <v>38737</v>
      </c>
      <c r="B2924" t="s">
        <v>2</v>
      </c>
      <c r="C2924">
        <v>77</v>
      </c>
      <c r="D2924">
        <v>0</v>
      </c>
      <c r="E2924">
        <v>0</v>
      </c>
      <c r="F2924" t="str">
        <f t="shared" si="137"/>
        <v>Moderate Risk</v>
      </c>
      <c r="G2924" t="s">
        <v>3</v>
      </c>
      <c r="H2924" t="s">
        <v>8</v>
      </c>
      <c r="I2924" t="s">
        <v>5</v>
      </c>
      <c r="J2924">
        <v>60.77</v>
      </c>
      <c r="K2924">
        <v>23</v>
      </c>
      <c r="L2924" t="s">
        <v>12</v>
      </c>
      <c r="M2924">
        <v>0</v>
      </c>
      <c r="N2924" t="str">
        <f t="shared" si="135"/>
        <v>60+</v>
      </c>
      <c r="O2924" t="str">
        <f t="shared" si="136"/>
        <v>Normal</v>
      </c>
    </row>
    <row r="2925" spans="1:15" x14ac:dyDescent="0.3">
      <c r="A2925">
        <v>39060</v>
      </c>
      <c r="B2925" t="s">
        <v>7</v>
      </c>
      <c r="C2925">
        <v>41</v>
      </c>
      <c r="D2925">
        <v>0</v>
      </c>
      <c r="E2925">
        <v>0</v>
      </c>
      <c r="F2925" t="str">
        <f t="shared" si="137"/>
        <v>Lower Risk</v>
      </c>
      <c r="G2925" t="s">
        <v>3</v>
      </c>
      <c r="H2925" t="s">
        <v>4</v>
      </c>
      <c r="I2925" t="s">
        <v>5</v>
      </c>
      <c r="J2925">
        <v>71.06</v>
      </c>
      <c r="K2925">
        <v>23.4</v>
      </c>
      <c r="L2925" t="s">
        <v>11</v>
      </c>
      <c r="M2925">
        <v>0</v>
      </c>
      <c r="N2925" t="str">
        <f t="shared" si="135"/>
        <v>40–59</v>
      </c>
      <c r="O2925" t="str">
        <f t="shared" si="136"/>
        <v>Normal</v>
      </c>
    </row>
    <row r="2926" spans="1:15" x14ac:dyDescent="0.3">
      <c r="A2926">
        <v>56804</v>
      </c>
      <c r="B2926" t="s">
        <v>7</v>
      </c>
      <c r="C2926">
        <v>34</v>
      </c>
      <c r="D2926">
        <v>0</v>
      </c>
      <c r="E2926">
        <v>0</v>
      </c>
      <c r="F2926" t="str">
        <f t="shared" si="137"/>
        <v>Lower Risk</v>
      </c>
      <c r="G2926" t="s">
        <v>13</v>
      </c>
      <c r="H2926" t="s">
        <v>15</v>
      </c>
      <c r="I2926" t="s">
        <v>5</v>
      </c>
      <c r="J2926">
        <v>60.36</v>
      </c>
      <c r="K2926">
        <v>24.1</v>
      </c>
      <c r="L2926" t="s">
        <v>11</v>
      </c>
      <c r="M2926">
        <v>0</v>
      </c>
      <c r="N2926" t="str">
        <f t="shared" si="135"/>
        <v>Under 40</v>
      </c>
      <c r="O2926" t="str">
        <f t="shared" si="136"/>
        <v>Normal</v>
      </c>
    </row>
    <row r="2927" spans="1:15" x14ac:dyDescent="0.3">
      <c r="A2927">
        <v>45099</v>
      </c>
      <c r="B2927" t="s">
        <v>2</v>
      </c>
      <c r="C2927">
        <v>25</v>
      </c>
      <c r="D2927">
        <v>0</v>
      </c>
      <c r="E2927">
        <v>0</v>
      </c>
      <c r="F2927" t="str">
        <f t="shared" si="137"/>
        <v>Lower Risk</v>
      </c>
      <c r="G2927" t="s">
        <v>3</v>
      </c>
      <c r="H2927" t="s">
        <v>8</v>
      </c>
      <c r="I2927" t="s">
        <v>5</v>
      </c>
      <c r="J2927">
        <v>83.33</v>
      </c>
      <c r="K2927">
        <v>31.5</v>
      </c>
      <c r="L2927" t="s">
        <v>14</v>
      </c>
      <c r="M2927">
        <v>0</v>
      </c>
      <c r="N2927" t="str">
        <f t="shared" si="135"/>
        <v>Under 40</v>
      </c>
      <c r="O2927" t="str">
        <f t="shared" si="136"/>
        <v>Obese</v>
      </c>
    </row>
    <row r="2928" spans="1:15" x14ac:dyDescent="0.3">
      <c r="A2928">
        <v>22221</v>
      </c>
      <c r="B2928" t="s">
        <v>7</v>
      </c>
      <c r="C2928">
        <v>35</v>
      </c>
      <c r="D2928">
        <v>0</v>
      </c>
      <c r="E2928">
        <v>0</v>
      </c>
      <c r="F2928" t="str">
        <f t="shared" si="137"/>
        <v>Lower Risk</v>
      </c>
      <c r="G2928" t="s">
        <v>3</v>
      </c>
      <c r="H2928" t="s">
        <v>8</v>
      </c>
      <c r="I2928" t="s">
        <v>5</v>
      </c>
      <c r="J2928">
        <v>65.33</v>
      </c>
      <c r="K2928">
        <v>26.1</v>
      </c>
      <c r="L2928" t="s">
        <v>11</v>
      </c>
      <c r="M2928">
        <v>0</v>
      </c>
      <c r="N2928" t="str">
        <f t="shared" si="135"/>
        <v>Under 40</v>
      </c>
      <c r="O2928" t="str">
        <f t="shared" si="136"/>
        <v>Overweight</v>
      </c>
    </row>
    <row r="2929" spans="1:15" x14ac:dyDescent="0.3">
      <c r="A2929">
        <v>57134</v>
      </c>
      <c r="B2929" t="s">
        <v>2</v>
      </c>
      <c r="C2929">
        <v>15</v>
      </c>
      <c r="D2929">
        <v>0</v>
      </c>
      <c r="E2929">
        <v>0</v>
      </c>
      <c r="F2929" t="str">
        <f t="shared" si="137"/>
        <v>Lower Risk</v>
      </c>
      <c r="G2929" t="s">
        <v>13</v>
      </c>
      <c r="H2929" t="s">
        <v>16</v>
      </c>
      <c r="I2929" t="s">
        <v>5</v>
      </c>
      <c r="J2929">
        <v>113.28</v>
      </c>
      <c r="K2929">
        <v>23.7</v>
      </c>
      <c r="L2929" t="s">
        <v>11</v>
      </c>
      <c r="M2929">
        <v>0</v>
      </c>
      <c r="N2929" t="str">
        <f t="shared" si="135"/>
        <v>Under 40</v>
      </c>
      <c r="O2929" t="str">
        <f t="shared" si="136"/>
        <v>Normal</v>
      </c>
    </row>
    <row r="2930" spans="1:15" x14ac:dyDescent="0.3">
      <c r="A2930">
        <v>57609</v>
      </c>
      <c r="B2930" t="s">
        <v>2</v>
      </c>
      <c r="C2930">
        <v>1.64</v>
      </c>
      <c r="D2930">
        <v>0</v>
      </c>
      <c r="E2930">
        <v>0</v>
      </c>
      <c r="F2930" t="str">
        <f t="shared" si="137"/>
        <v>Lower Risk</v>
      </c>
      <c r="G2930" t="s">
        <v>13</v>
      </c>
      <c r="H2930" t="s">
        <v>16</v>
      </c>
      <c r="I2930" t="s">
        <v>5</v>
      </c>
      <c r="J2930">
        <v>170.88</v>
      </c>
      <c r="K2930">
        <v>20.8</v>
      </c>
      <c r="L2930" t="s">
        <v>14</v>
      </c>
      <c r="M2930">
        <v>0</v>
      </c>
      <c r="N2930" t="str">
        <f t="shared" si="135"/>
        <v>Under 40</v>
      </c>
      <c r="O2930" t="str">
        <f t="shared" si="136"/>
        <v>Normal</v>
      </c>
    </row>
    <row r="2931" spans="1:15" x14ac:dyDescent="0.3">
      <c r="A2931">
        <v>6132</v>
      </c>
      <c r="B2931" t="s">
        <v>2</v>
      </c>
      <c r="C2931">
        <v>4</v>
      </c>
      <c r="D2931">
        <v>0</v>
      </c>
      <c r="E2931">
        <v>0</v>
      </c>
      <c r="F2931" t="str">
        <f t="shared" si="137"/>
        <v>Lower Risk</v>
      </c>
      <c r="G2931" t="s">
        <v>13</v>
      </c>
      <c r="H2931" t="s">
        <v>16</v>
      </c>
      <c r="I2931" t="s">
        <v>5</v>
      </c>
      <c r="J2931">
        <v>103.34</v>
      </c>
      <c r="K2931">
        <v>18.8</v>
      </c>
      <c r="L2931" t="s">
        <v>14</v>
      </c>
      <c r="M2931">
        <v>0</v>
      </c>
      <c r="N2931" t="str">
        <f t="shared" si="135"/>
        <v>Under 40</v>
      </c>
      <c r="O2931" t="str">
        <f t="shared" si="136"/>
        <v>Normal</v>
      </c>
    </row>
    <row r="2932" spans="1:15" x14ac:dyDescent="0.3">
      <c r="A2932">
        <v>31600</v>
      </c>
      <c r="B2932" t="s">
        <v>7</v>
      </c>
      <c r="C2932">
        <v>33</v>
      </c>
      <c r="D2932">
        <v>0</v>
      </c>
      <c r="E2932">
        <v>0</v>
      </c>
      <c r="F2932" t="str">
        <f t="shared" si="137"/>
        <v>Lower Risk</v>
      </c>
      <c r="G2932" t="s">
        <v>13</v>
      </c>
      <c r="H2932" t="s">
        <v>4</v>
      </c>
      <c r="I2932" t="s">
        <v>9</v>
      </c>
      <c r="J2932">
        <v>106.08</v>
      </c>
      <c r="K2932">
        <v>32.5</v>
      </c>
      <c r="L2932" t="s">
        <v>6</v>
      </c>
      <c r="M2932">
        <v>0</v>
      </c>
      <c r="N2932" t="str">
        <f t="shared" si="135"/>
        <v>Under 40</v>
      </c>
      <c r="O2932" t="str">
        <f t="shared" si="136"/>
        <v>Obese</v>
      </c>
    </row>
    <row r="2933" spans="1:15" x14ac:dyDescent="0.3">
      <c r="A2933">
        <v>51497</v>
      </c>
      <c r="B2933" t="s">
        <v>2</v>
      </c>
      <c r="C2933">
        <v>28</v>
      </c>
      <c r="D2933">
        <v>0</v>
      </c>
      <c r="E2933">
        <v>0</v>
      </c>
      <c r="F2933" t="str">
        <f t="shared" si="137"/>
        <v>Lower Risk</v>
      </c>
      <c r="G2933" t="s">
        <v>3</v>
      </c>
      <c r="H2933" t="s">
        <v>8</v>
      </c>
      <c r="I2933" t="s">
        <v>5</v>
      </c>
      <c r="J2933">
        <v>156.44999999999999</v>
      </c>
      <c r="K2933">
        <v>24.3</v>
      </c>
      <c r="L2933" t="s">
        <v>11</v>
      </c>
      <c r="M2933">
        <v>0</v>
      </c>
      <c r="N2933" t="str">
        <f t="shared" si="135"/>
        <v>Under 40</v>
      </c>
      <c r="O2933" t="str">
        <f t="shared" si="136"/>
        <v>Normal</v>
      </c>
    </row>
    <row r="2934" spans="1:15" x14ac:dyDescent="0.3">
      <c r="A2934">
        <v>48455</v>
      </c>
      <c r="B2934" t="s">
        <v>7</v>
      </c>
      <c r="C2934">
        <v>37</v>
      </c>
      <c r="D2934">
        <v>0</v>
      </c>
      <c r="E2934">
        <v>0</v>
      </c>
      <c r="F2934" t="str">
        <f t="shared" si="137"/>
        <v>Lower Risk</v>
      </c>
      <c r="G2934" t="s">
        <v>3</v>
      </c>
      <c r="H2934" t="s">
        <v>4</v>
      </c>
      <c r="I2934" t="s">
        <v>5</v>
      </c>
      <c r="J2934">
        <v>60.05</v>
      </c>
      <c r="K2934">
        <v>24.1</v>
      </c>
      <c r="L2934" t="s">
        <v>14</v>
      </c>
      <c r="M2934">
        <v>0</v>
      </c>
      <c r="N2934" t="str">
        <f t="shared" si="135"/>
        <v>Under 40</v>
      </c>
      <c r="O2934" t="str">
        <f t="shared" si="136"/>
        <v>Normal</v>
      </c>
    </row>
    <row r="2935" spans="1:15" x14ac:dyDescent="0.3">
      <c r="A2935">
        <v>13049</v>
      </c>
      <c r="B2935" t="s">
        <v>7</v>
      </c>
      <c r="C2935">
        <v>50</v>
      </c>
      <c r="D2935">
        <v>0</v>
      </c>
      <c r="E2935">
        <v>0</v>
      </c>
      <c r="F2935" t="str">
        <f t="shared" si="137"/>
        <v>Lower Risk</v>
      </c>
      <c r="G2935" t="s">
        <v>3</v>
      </c>
      <c r="H2935" t="s">
        <v>4</v>
      </c>
      <c r="I2935" t="s">
        <v>9</v>
      </c>
      <c r="J2935">
        <v>114.05</v>
      </c>
      <c r="K2935">
        <v>32.5</v>
      </c>
      <c r="L2935" t="s">
        <v>11</v>
      </c>
      <c r="M2935">
        <v>0</v>
      </c>
      <c r="N2935" t="str">
        <f t="shared" si="135"/>
        <v>40–59</v>
      </c>
      <c r="O2935" t="str">
        <f t="shared" si="136"/>
        <v>Obese</v>
      </c>
    </row>
    <row r="2936" spans="1:15" x14ac:dyDescent="0.3">
      <c r="A2936">
        <v>9079</v>
      </c>
      <c r="B2936" t="s">
        <v>7</v>
      </c>
      <c r="C2936">
        <v>76</v>
      </c>
      <c r="D2936">
        <v>0</v>
      </c>
      <c r="E2936">
        <v>1</v>
      </c>
      <c r="F2936" t="str">
        <f t="shared" si="137"/>
        <v>High Risk</v>
      </c>
      <c r="G2936" t="s">
        <v>3</v>
      </c>
      <c r="H2936" t="s">
        <v>8</v>
      </c>
      <c r="I2936" t="s">
        <v>5</v>
      </c>
      <c r="J2936">
        <v>202.21</v>
      </c>
      <c r="K2936">
        <v>39.299999999999997</v>
      </c>
      <c r="L2936" t="s">
        <v>6</v>
      </c>
      <c r="M2936">
        <v>0</v>
      </c>
      <c r="N2936" t="str">
        <f t="shared" si="135"/>
        <v>60+</v>
      </c>
      <c r="O2936" t="str">
        <f t="shared" si="136"/>
        <v>Obese</v>
      </c>
    </row>
    <row r="2937" spans="1:15" x14ac:dyDescent="0.3">
      <c r="A2937">
        <v>68568</v>
      </c>
      <c r="B2937" t="s">
        <v>7</v>
      </c>
      <c r="C2937">
        <v>72</v>
      </c>
      <c r="D2937">
        <v>0</v>
      </c>
      <c r="E2937">
        <v>0</v>
      </c>
      <c r="F2937" t="str">
        <f t="shared" si="137"/>
        <v>Moderate Risk</v>
      </c>
      <c r="G2937" t="s">
        <v>3</v>
      </c>
      <c r="H2937" t="s">
        <v>8</v>
      </c>
      <c r="I2937" t="s">
        <v>9</v>
      </c>
      <c r="J2937">
        <v>57.28</v>
      </c>
      <c r="K2937">
        <v>23.9</v>
      </c>
      <c r="L2937" t="s">
        <v>11</v>
      </c>
      <c r="M2937">
        <v>0</v>
      </c>
      <c r="N2937" t="str">
        <f t="shared" si="135"/>
        <v>60+</v>
      </c>
      <c r="O2937" t="str">
        <f t="shared" si="136"/>
        <v>Normal</v>
      </c>
    </row>
    <row r="2938" spans="1:15" x14ac:dyDescent="0.3">
      <c r="A2938">
        <v>72867</v>
      </c>
      <c r="B2938" t="s">
        <v>2</v>
      </c>
      <c r="C2938">
        <v>16</v>
      </c>
      <c r="D2938">
        <v>0</v>
      </c>
      <c r="E2938">
        <v>0</v>
      </c>
      <c r="F2938" t="str">
        <f t="shared" si="137"/>
        <v>Lower Risk</v>
      </c>
      <c r="G2938" t="s">
        <v>13</v>
      </c>
      <c r="H2938" t="s">
        <v>4</v>
      </c>
      <c r="I2938" t="s">
        <v>9</v>
      </c>
      <c r="J2938">
        <v>99.49</v>
      </c>
      <c r="K2938">
        <v>22</v>
      </c>
      <c r="L2938" t="s">
        <v>14</v>
      </c>
      <c r="M2938">
        <v>0</v>
      </c>
      <c r="N2938" t="str">
        <f t="shared" si="135"/>
        <v>Under 40</v>
      </c>
      <c r="O2938" t="str">
        <f t="shared" si="136"/>
        <v>Normal</v>
      </c>
    </row>
    <row r="2939" spans="1:15" x14ac:dyDescent="0.3">
      <c r="A2939">
        <v>53121</v>
      </c>
      <c r="B2939" t="s">
        <v>2</v>
      </c>
      <c r="C2939">
        <v>44</v>
      </c>
      <c r="D2939">
        <v>0</v>
      </c>
      <c r="E2939">
        <v>0</v>
      </c>
      <c r="F2939" t="str">
        <f t="shared" si="137"/>
        <v>Lower Risk</v>
      </c>
      <c r="G2939" t="s">
        <v>3</v>
      </c>
      <c r="H2939" t="s">
        <v>4</v>
      </c>
      <c r="I2939" t="s">
        <v>5</v>
      </c>
      <c r="J2939">
        <v>63.6</v>
      </c>
      <c r="K2939">
        <v>37.299999999999997</v>
      </c>
      <c r="L2939" t="s">
        <v>11</v>
      </c>
      <c r="M2939">
        <v>0</v>
      </c>
      <c r="N2939" t="str">
        <f t="shared" si="135"/>
        <v>40–59</v>
      </c>
      <c r="O2939" t="str">
        <f t="shared" si="136"/>
        <v>Obese</v>
      </c>
    </row>
    <row r="2940" spans="1:15" x14ac:dyDescent="0.3">
      <c r="A2940">
        <v>33779</v>
      </c>
      <c r="B2940" t="s">
        <v>2</v>
      </c>
      <c r="C2940">
        <v>46</v>
      </c>
      <c r="D2940">
        <v>0</v>
      </c>
      <c r="E2940">
        <v>1</v>
      </c>
      <c r="F2940" t="str">
        <f t="shared" si="137"/>
        <v>Lower Risk</v>
      </c>
      <c r="G2940" t="s">
        <v>3</v>
      </c>
      <c r="H2940" t="s">
        <v>15</v>
      </c>
      <c r="I2940" t="s">
        <v>5</v>
      </c>
      <c r="J2940">
        <v>80.010000000000005</v>
      </c>
      <c r="K2940">
        <v>33</v>
      </c>
      <c r="L2940" t="s">
        <v>6</v>
      </c>
      <c r="M2940">
        <v>0</v>
      </c>
      <c r="N2940" t="str">
        <f t="shared" si="135"/>
        <v>40–59</v>
      </c>
      <c r="O2940" t="str">
        <f t="shared" si="136"/>
        <v>Obese</v>
      </c>
    </row>
    <row r="2941" spans="1:15" x14ac:dyDescent="0.3">
      <c r="A2941">
        <v>52367</v>
      </c>
      <c r="B2941" t="s">
        <v>2</v>
      </c>
      <c r="C2941">
        <v>46</v>
      </c>
      <c r="D2941">
        <v>0</v>
      </c>
      <c r="E2941">
        <v>0</v>
      </c>
      <c r="F2941" t="str">
        <f t="shared" si="137"/>
        <v>Lower Risk</v>
      </c>
      <c r="G2941" t="s">
        <v>3</v>
      </c>
      <c r="H2941" t="s">
        <v>4</v>
      </c>
      <c r="I2941" t="s">
        <v>5</v>
      </c>
      <c r="J2941">
        <v>58.42</v>
      </c>
      <c r="K2941">
        <v>24.7</v>
      </c>
      <c r="L2941" t="s">
        <v>6</v>
      </c>
      <c r="M2941">
        <v>0</v>
      </c>
      <c r="N2941" t="str">
        <f t="shared" si="135"/>
        <v>40–59</v>
      </c>
      <c r="O2941" t="str">
        <f t="shared" si="136"/>
        <v>Normal</v>
      </c>
    </row>
    <row r="2942" spans="1:15" x14ac:dyDescent="0.3">
      <c r="A2942">
        <v>29314</v>
      </c>
      <c r="B2942" t="s">
        <v>7</v>
      </c>
      <c r="C2942">
        <v>73</v>
      </c>
      <c r="D2942">
        <v>1</v>
      </c>
      <c r="E2942">
        <v>1</v>
      </c>
      <c r="F2942" t="str">
        <f t="shared" si="137"/>
        <v>High Risk</v>
      </c>
      <c r="G2942" t="s">
        <v>3</v>
      </c>
      <c r="H2942" t="s">
        <v>15</v>
      </c>
      <c r="I2942" t="s">
        <v>5</v>
      </c>
      <c r="J2942">
        <v>67.38</v>
      </c>
      <c r="K2942">
        <v>32.799999999999997</v>
      </c>
      <c r="L2942" t="s">
        <v>6</v>
      </c>
      <c r="M2942">
        <v>0</v>
      </c>
      <c r="N2942" t="str">
        <f t="shared" si="135"/>
        <v>60+</v>
      </c>
      <c r="O2942" t="str">
        <f t="shared" si="136"/>
        <v>Obese</v>
      </c>
    </row>
    <row r="2943" spans="1:15" x14ac:dyDescent="0.3">
      <c r="A2943">
        <v>18366</v>
      </c>
      <c r="B2943" t="s">
        <v>7</v>
      </c>
      <c r="C2943">
        <v>29</v>
      </c>
      <c r="D2943">
        <v>0</v>
      </c>
      <c r="E2943">
        <v>0</v>
      </c>
      <c r="F2943" t="str">
        <f t="shared" si="137"/>
        <v>Lower Risk</v>
      </c>
      <c r="G2943" t="s">
        <v>3</v>
      </c>
      <c r="H2943" t="s">
        <v>8</v>
      </c>
      <c r="I2943" t="s">
        <v>9</v>
      </c>
      <c r="J2943">
        <v>73.58</v>
      </c>
      <c r="K2943">
        <v>29.8</v>
      </c>
      <c r="L2943" t="s">
        <v>14</v>
      </c>
      <c r="M2943">
        <v>0</v>
      </c>
      <c r="N2943" t="str">
        <f t="shared" si="135"/>
        <v>Under 40</v>
      </c>
      <c r="O2943" t="str">
        <f t="shared" si="136"/>
        <v>Overweight</v>
      </c>
    </row>
    <row r="2944" spans="1:15" x14ac:dyDescent="0.3">
      <c r="A2944">
        <v>32522</v>
      </c>
      <c r="B2944" t="s">
        <v>2</v>
      </c>
      <c r="C2944">
        <v>19</v>
      </c>
      <c r="D2944">
        <v>0</v>
      </c>
      <c r="E2944">
        <v>0</v>
      </c>
      <c r="F2944" t="str">
        <f t="shared" si="137"/>
        <v>Lower Risk</v>
      </c>
      <c r="G2944" t="s">
        <v>13</v>
      </c>
      <c r="H2944" t="s">
        <v>4</v>
      </c>
      <c r="I2944" t="s">
        <v>5</v>
      </c>
      <c r="J2944">
        <v>103.92</v>
      </c>
      <c r="K2944">
        <v>24.1</v>
      </c>
      <c r="L2944" t="s">
        <v>14</v>
      </c>
      <c r="M2944">
        <v>0</v>
      </c>
      <c r="N2944" t="str">
        <f t="shared" si="135"/>
        <v>Under 40</v>
      </c>
      <c r="O2944" t="str">
        <f t="shared" si="136"/>
        <v>Normal</v>
      </c>
    </row>
    <row r="2945" spans="1:15" x14ac:dyDescent="0.3">
      <c r="A2945">
        <v>3980</v>
      </c>
      <c r="B2945" t="s">
        <v>7</v>
      </c>
      <c r="C2945">
        <v>27</v>
      </c>
      <c r="D2945">
        <v>0</v>
      </c>
      <c r="E2945">
        <v>0</v>
      </c>
      <c r="F2945" t="str">
        <f t="shared" si="137"/>
        <v>Lower Risk</v>
      </c>
      <c r="G2945" t="s">
        <v>13</v>
      </c>
      <c r="H2945" t="s">
        <v>4</v>
      </c>
      <c r="I2945" t="s">
        <v>9</v>
      </c>
      <c r="J2945">
        <v>80.22</v>
      </c>
      <c r="K2945">
        <v>21.6</v>
      </c>
      <c r="L2945" t="s">
        <v>11</v>
      </c>
      <c r="M2945">
        <v>0</v>
      </c>
      <c r="N2945" t="str">
        <f t="shared" si="135"/>
        <v>Under 40</v>
      </c>
      <c r="O2945" t="str">
        <f t="shared" si="136"/>
        <v>Normal</v>
      </c>
    </row>
    <row r="2946" spans="1:15" x14ac:dyDescent="0.3">
      <c r="A2946">
        <v>5350</v>
      </c>
      <c r="B2946" t="s">
        <v>7</v>
      </c>
      <c r="C2946">
        <v>36</v>
      </c>
      <c r="D2946">
        <v>0</v>
      </c>
      <c r="E2946">
        <v>0</v>
      </c>
      <c r="F2946" t="str">
        <f t="shared" si="137"/>
        <v>Lower Risk</v>
      </c>
      <c r="G2946" t="s">
        <v>3</v>
      </c>
      <c r="H2946" t="s">
        <v>4</v>
      </c>
      <c r="I2946" t="s">
        <v>9</v>
      </c>
      <c r="J2946">
        <v>103.76</v>
      </c>
      <c r="K2946">
        <v>27.1</v>
      </c>
      <c r="L2946" t="s">
        <v>11</v>
      </c>
      <c r="M2946">
        <v>0</v>
      </c>
      <c r="N2946" t="str">
        <f t="shared" ref="N2946:N3009" si="138">IF(C2946&lt;40,"Under 40",IF(C2946&lt;60,"40–59","60+"))</f>
        <v>Under 40</v>
      </c>
      <c r="O2946" t="str">
        <f t="shared" ref="O2946:O3009" si="139">IF(K2946="N/A","Unknown",
IF(K2946="","Unknown",
IF(K2946&lt;18.5,"Underweight",
IF(K2946&lt;25,"Normal",
IF(K2946&lt;30,"Overweight","Obese")))))</f>
        <v>Overweight</v>
      </c>
    </row>
    <row r="2947" spans="1:15" x14ac:dyDescent="0.3">
      <c r="A2947">
        <v>3428</v>
      </c>
      <c r="B2947" t="s">
        <v>7</v>
      </c>
      <c r="C2947">
        <v>61</v>
      </c>
      <c r="D2947">
        <v>0</v>
      </c>
      <c r="E2947">
        <v>0</v>
      </c>
      <c r="F2947" t="str">
        <f t="shared" ref="F2947:F3010" si="140">IF(C2947&gt;=60,
IF(OR(D2947=1,E2947=1),"High Risk","Moderate Risk"),
"Lower Risk")</f>
        <v>Moderate Risk</v>
      </c>
      <c r="G2947" t="s">
        <v>3</v>
      </c>
      <c r="H2947" t="s">
        <v>8</v>
      </c>
      <c r="I2947" t="s">
        <v>5</v>
      </c>
      <c r="J2947">
        <v>77.06</v>
      </c>
      <c r="K2947">
        <v>27</v>
      </c>
      <c r="L2947" t="s">
        <v>11</v>
      </c>
      <c r="M2947">
        <v>0</v>
      </c>
      <c r="N2947" t="str">
        <f t="shared" si="138"/>
        <v>60+</v>
      </c>
      <c r="O2947" t="str">
        <f t="shared" si="139"/>
        <v>Overweight</v>
      </c>
    </row>
    <row r="2948" spans="1:15" x14ac:dyDescent="0.3">
      <c r="A2948">
        <v>62552</v>
      </c>
      <c r="B2948" t="s">
        <v>7</v>
      </c>
      <c r="C2948">
        <v>9</v>
      </c>
      <c r="D2948">
        <v>0</v>
      </c>
      <c r="E2948">
        <v>0</v>
      </c>
      <c r="F2948" t="str">
        <f t="shared" si="140"/>
        <v>Lower Risk</v>
      </c>
      <c r="G2948" t="s">
        <v>13</v>
      </c>
      <c r="H2948" t="s">
        <v>16</v>
      </c>
      <c r="I2948" t="s">
        <v>9</v>
      </c>
      <c r="J2948">
        <v>90.22</v>
      </c>
      <c r="K2948">
        <v>18.7</v>
      </c>
      <c r="L2948" t="s">
        <v>14</v>
      </c>
      <c r="M2948">
        <v>0</v>
      </c>
      <c r="N2948" t="str">
        <f t="shared" si="138"/>
        <v>Under 40</v>
      </c>
      <c r="O2948" t="str">
        <f t="shared" si="139"/>
        <v>Normal</v>
      </c>
    </row>
    <row r="2949" spans="1:15" x14ac:dyDescent="0.3">
      <c r="A2949">
        <v>51085</v>
      </c>
      <c r="B2949" t="s">
        <v>7</v>
      </c>
      <c r="C2949">
        <v>25</v>
      </c>
      <c r="D2949">
        <v>0</v>
      </c>
      <c r="E2949">
        <v>0</v>
      </c>
      <c r="F2949" t="str">
        <f t="shared" si="140"/>
        <v>Lower Risk</v>
      </c>
      <c r="G2949" t="s">
        <v>13</v>
      </c>
      <c r="H2949" t="s">
        <v>4</v>
      </c>
      <c r="I2949" t="s">
        <v>5</v>
      </c>
      <c r="J2949">
        <v>181.3</v>
      </c>
      <c r="K2949">
        <v>35.799999999999997</v>
      </c>
      <c r="L2949" t="s">
        <v>11</v>
      </c>
      <c r="M2949">
        <v>0</v>
      </c>
      <c r="N2949" t="str">
        <f t="shared" si="138"/>
        <v>Under 40</v>
      </c>
      <c r="O2949" t="str">
        <f t="shared" si="139"/>
        <v>Obese</v>
      </c>
    </row>
    <row r="2950" spans="1:15" x14ac:dyDescent="0.3">
      <c r="A2950">
        <v>60586</v>
      </c>
      <c r="B2950" t="s">
        <v>7</v>
      </c>
      <c r="C2950">
        <v>68</v>
      </c>
      <c r="D2950">
        <v>0</v>
      </c>
      <c r="E2950">
        <v>0</v>
      </c>
      <c r="F2950" t="str">
        <f t="shared" si="140"/>
        <v>Moderate Risk</v>
      </c>
      <c r="G2950" t="s">
        <v>3</v>
      </c>
      <c r="H2950" t="s">
        <v>4</v>
      </c>
      <c r="I2950" t="s">
        <v>9</v>
      </c>
      <c r="J2950">
        <v>85.29</v>
      </c>
      <c r="K2950">
        <v>27.1</v>
      </c>
      <c r="L2950" t="s">
        <v>6</v>
      </c>
      <c r="M2950">
        <v>0</v>
      </c>
      <c r="N2950" t="str">
        <f t="shared" si="138"/>
        <v>60+</v>
      </c>
      <c r="O2950" t="str">
        <f t="shared" si="139"/>
        <v>Overweight</v>
      </c>
    </row>
    <row r="2951" spans="1:15" x14ac:dyDescent="0.3">
      <c r="A2951">
        <v>59988</v>
      </c>
      <c r="B2951" t="s">
        <v>7</v>
      </c>
      <c r="C2951">
        <v>26</v>
      </c>
      <c r="D2951">
        <v>1</v>
      </c>
      <c r="E2951">
        <v>0</v>
      </c>
      <c r="F2951" t="str">
        <f t="shared" si="140"/>
        <v>Lower Risk</v>
      </c>
      <c r="G2951" t="s">
        <v>3</v>
      </c>
      <c r="H2951" t="s">
        <v>4</v>
      </c>
      <c r="I2951" t="s">
        <v>5</v>
      </c>
      <c r="J2951">
        <v>107.59</v>
      </c>
      <c r="K2951">
        <v>33.1</v>
      </c>
      <c r="L2951" t="s">
        <v>12</v>
      </c>
      <c r="M2951">
        <v>0</v>
      </c>
      <c r="N2951" t="str">
        <f t="shared" si="138"/>
        <v>Under 40</v>
      </c>
      <c r="O2951" t="str">
        <f t="shared" si="139"/>
        <v>Obese</v>
      </c>
    </row>
    <row r="2952" spans="1:15" x14ac:dyDescent="0.3">
      <c r="A2952">
        <v>34122</v>
      </c>
      <c r="B2952" t="s">
        <v>7</v>
      </c>
      <c r="C2952">
        <v>17</v>
      </c>
      <c r="D2952">
        <v>0</v>
      </c>
      <c r="E2952">
        <v>0</v>
      </c>
      <c r="F2952" t="str">
        <f t="shared" si="140"/>
        <v>Lower Risk</v>
      </c>
      <c r="G2952" t="s">
        <v>13</v>
      </c>
      <c r="H2952" t="s">
        <v>4</v>
      </c>
      <c r="I2952" t="s">
        <v>5</v>
      </c>
      <c r="J2952">
        <v>87.72</v>
      </c>
      <c r="K2952">
        <v>25.9</v>
      </c>
      <c r="L2952" t="s">
        <v>12</v>
      </c>
      <c r="M2952">
        <v>0</v>
      </c>
      <c r="N2952" t="str">
        <f t="shared" si="138"/>
        <v>Under 40</v>
      </c>
      <c r="O2952" t="str">
        <f t="shared" si="139"/>
        <v>Overweight</v>
      </c>
    </row>
    <row r="2953" spans="1:15" x14ac:dyDescent="0.3">
      <c r="A2953">
        <v>11392</v>
      </c>
      <c r="B2953" t="s">
        <v>2</v>
      </c>
      <c r="C2953">
        <v>75</v>
      </c>
      <c r="D2953">
        <v>0</v>
      </c>
      <c r="E2953">
        <v>0</v>
      </c>
      <c r="F2953" t="str">
        <f t="shared" si="140"/>
        <v>Moderate Risk</v>
      </c>
      <c r="G2953" t="s">
        <v>3</v>
      </c>
      <c r="H2953" t="s">
        <v>4</v>
      </c>
      <c r="I2953" t="s">
        <v>9</v>
      </c>
      <c r="J2953">
        <v>70.73</v>
      </c>
      <c r="K2953">
        <v>26.7</v>
      </c>
      <c r="L2953" t="s">
        <v>12</v>
      </c>
      <c r="M2953">
        <v>0</v>
      </c>
      <c r="N2953" t="str">
        <f t="shared" si="138"/>
        <v>60+</v>
      </c>
      <c r="O2953" t="str">
        <f t="shared" si="139"/>
        <v>Overweight</v>
      </c>
    </row>
    <row r="2954" spans="1:15" x14ac:dyDescent="0.3">
      <c r="A2954">
        <v>53632</v>
      </c>
      <c r="B2954" t="s">
        <v>2</v>
      </c>
      <c r="C2954">
        <v>34</v>
      </c>
      <c r="D2954">
        <v>0</v>
      </c>
      <c r="E2954">
        <v>0</v>
      </c>
      <c r="F2954" t="str">
        <f t="shared" si="140"/>
        <v>Lower Risk</v>
      </c>
      <c r="G2954" t="s">
        <v>13</v>
      </c>
      <c r="H2954" t="s">
        <v>15</v>
      </c>
      <c r="I2954" t="s">
        <v>5</v>
      </c>
      <c r="J2954">
        <v>72.75</v>
      </c>
      <c r="K2954">
        <v>22.2</v>
      </c>
      <c r="L2954" t="s">
        <v>14</v>
      </c>
      <c r="M2954">
        <v>0</v>
      </c>
      <c r="N2954" t="str">
        <f t="shared" si="138"/>
        <v>Under 40</v>
      </c>
      <c r="O2954" t="str">
        <f t="shared" si="139"/>
        <v>Normal</v>
      </c>
    </row>
    <row r="2955" spans="1:15" x14ac:dyDescent="0.3">
      <c r="A2955">
        <v>32202</v>
      </c>
      <c r="B2955" t="s">
        <v>2</v>
      </c>
      <c r="C2955">
        <v>53</v>
      </c>
      <c r="D2955">
        <v>0</v>
      </c>
      <c r="E2955">
        <v>0</v>
      </c>
      <c r="F2955" t="str">
        <f t="shared" si="140"/>
        <v>Lower Risk</v>
      </c>
      <c r="G2955" t="s">
        <v>3</v>
      </c>
      <c r="H2955" t="s">
        <v>4</v>
      </c>
      <c r="I2955" t="s">
        <v>9</v>
      </c>
      <c r="J2955">
        <v>95.47</v>
      </c>
      <c r="K2955">
        <v>26</v>
      </c>
      <c r="L2955" t="s">
        <v>12</v>
      </c>
      <c r="M2955">
        <v>0</v>
      </c>
      <c r="N2955" t="str">
        <f t="shared" si="138"/>
        <v>40–59</v>
      </c>
      <c r="O2955" t="str">
        <f t="shared" si="139"/>
        <v>Overweight</v>
      </c>
    </row>
    <row r="2956" spans="1:15" x14ac:dyDescent="0.3">
      <c r="A2956">
        <v>52489</v>
      </c>
      <c r="B2956" t="s">
        <v>7</v>
      </c>
      <c r="C2956">
        <v>18</v>
      </c>
      <c r="D2956">
        <v>0</v>
      </c>
      <c r="E2956">
        <v>0</v>
      </c>
      <c r="F2956" t="str">
        <f t="shared" si="140"/>
        <v>Lower Risk</v>
      </c>
      <c r="G2956" t="s">
        <v>13</v>
      </c>
      <c r="H2956" t="s">
        <v>4</v>
      </c>
      <c r="I2956" t="s">
        <v>5</v>
      </c>
      <c r="J2956">
        <v>70.540000000000006</v>
      </c>
      <c r="K2956">
        <v>23.5</v>
      </c>
      <c r="L2956" t="s">
        <v>14</v>
      </c>
      <c r="M2956">
        <v>0</v>
      </c>
      <c r="N2956" t="str">
        <f t="shared" si="138"/>
        <v>Under 40</v>
      </c>
      <c r="O2956" t="str">
        <f t="shared" si="139"/>
        <v>Normal</v>
      </c>
    </row>
    <row r="2957" spans="1:15" x14ac:dyDescent="0.3">
      <c r="A2957">
        <v>13374</v>
      </c>
      <c r="B2957" t="s">
        <v>2</v>
      </c>
      <c r="C2957">
        <v>48</v>
      </c>
      <c r="D2957">
        <v>0</v>
      </c>
      <c r="E2957">
        <v>0</v>
      </c>
      <c r="F2957" t="str">
        <f t="shared" si="140"/>
        <v>Lower Risk</v>
      </c>
      <c r="G2957" t="s">
        <v>3</v>
      </c>
      <c r="H2957" t="s">
        <v>4</v>
      </c>
      <c r="I2957" t="s">
        <v>5</v>
      </c>
      <c r="J2957">
        <v>100.03</v>
      </c>
      <c r="K2957">
        <v>23.5</v>
      </c>
      <c r="L2957" t="s">
        <v>11</v>
      </c>
      <c r="M2957">
        <v>0</v>
      </c>
      <c r="N2957" t="str">
        <f t="shared" si="138"/>
        <v>40–59</v>
      </c>
      <c r="O2957" t="str">
        <f t="shared" si="139"/>
        <v>Normal</v>
      </c>
    </row>
    <row r="2958" spans="1:15" x14ac:dyDescent="0.3">
      <c r="A2958">
        <v>66370</v>
      </c>
      <c r="B2958" t="s">
        <v>7</v>
      </c>
      <c r="C2958">
        <v>5</v>
      </c>
      <c r="D2958">
        <v>0</v>
      </c>
      <c r="E2958">
        <v>0</v>
      </c>
      <c r="F2958" t="str">
        <f t="shared" si="140"/>
        <v>Lower Risk</v>
      </c>
      <c r="G2958" t="s">
        <v>13</v>
      </c>
      <c r="H2958" t="s">
        <v>16</v>
      </c>
      <c r="I2958" t="s">
        <v>9</v>
      </c>
      <c r="J2958">
        <v>59.78</v>
      </c>
      <c r="K2958">
        <v>15.9</v>
      </c>
      <c r="L2958" t="s">
        <v>14</v>
      </c>
      <c r="M2958">
        <v>0</v>
      </c>
      <c r="N2958" t="str">
        <f t="shared" si="138"/>
        <v>Under 40</v>
      </c>
      <c r="O2958" t="str">
        <f t="shared" si="139"/>
        <v>Underweight</v>
      </c>
    </row>
    <row r="2959" spans="1:15" x14ac:dyDescent="0.3">
      <c r="A2959">
        <v>259</v>
      </c>
      <c r="B2959" t="s">
        <v>2</v>
      </c>
      <c r="C2959">
        <v>79</v>
      </c>
      <c r="D2959">
        <v>0</v>
      </c>
      <c r="E2959">
        <v>0</v>
      </c>
      <c r="F2959" t="str">
        <f t="shared" si="140"/>
        <v>Moderate Risk</v>
      </c>
      <c r="G2959" t="s">
        <v>3</v>
      </c>
      <c r="H2959" t="s">
        <v>4</v>
      </c>
      <c r="I2959" t="s">
        <v>5</v>
      </c>
      <c r="J2959">
        <v>198.79</v>
      </c>
      <c r="K2959">
        <v>24.9</v>
      </c>
      <c r="L2959" t="s">
        <v>11</v>
      </c>
      <c r="M2959">
        <v>0</v>
      </c>
      <c r="N2959" t="str">
        <f t="shared" si="138"/>
        <v>60+</v>
      </c>
      <c r="O2959" t="str">
        <f t="shared" si="139"/>
        <v>Normal</v>
      </c>
    </row>
    <row r="2960" spans="1:15" x14ac:dyDescent="0.3">
      <c r="A2960">
        <v>12092</v>
      </c>
      <c r="B2960" t="s">
        <v>2</v>
      </c>
      <c r="C2960">
        <v>16</v>
      </c>
      <c r="D2960">
        <v>0</v>
      </c>
      <c r="E2960">
        <v>0</v>
      </c>
      <c r="F2960" t="str">
        <f t="shared" si="140"/>
        <v>Lower Risk</v>
      </c>
      <c r="G2960" t="s">
        <v>13</v>
      </c>
      <c r="H2960" t="s">
        <v>4</v>
      </c>
      <c r="I2960" t="s">
        <v>9</v>
      </c>
      <c r="J2960">
        <v>90.39</v>
      </c>
      <c r="K2960">
        <v>26.5</v>
      </c>
      <c r="L2960" t="s">
        <v>11</v>
      </c>
      <c r="M2960">
        <v>0</v>
      </c>
      <c r="N2960" t="str">
        <f t="shared" si="138"/>
        <v>Under 40</v>
      </c>
      <c r="O2960" t="str">
        <f t="shared" si="139"/>
        <v>Overweight</v>
      </c>
    </row>
    <row r="2961" spans="1:15" x14ac:dyDescent="0.3">
      <c r="A2961">
        <v>38263</v>
      </c>
      <c r="B2961" t="s">
        <v>7</v>
      </c>
      <c r="C2961">
        <v>32</v>
      </c>
      <c r="D2961">
        <v>0</v>
      </c>
      <c r="E2961">
        <v>0</v>
      </c>
      <c r="F2961" t="str">
        <f t="shared" si="140"/>
        <v>Lower Risk</v>
      </c>
      <c r="G2961" t="s">
        <v>3</v>
      </c>
      <c r="H2961" t="s">
        <v>4</v>
      </c>
      <c r="I2961" t="s">
        <v>9</v>
      </c>
      <c r="J2961">
        <v>147.04</v>
      </c>
      <c r="K2961">
        <v>35.700000000000003</v>
      </c>
      <c r="L2961" t="s">
        <v>14</v>
      </c>
      <c r="M2961">
        <v>0</v>
      </c>
      <c r="N2961" t="str">
        <f t="shared" si="138"/>
        <v>Under 40</v>
      </c>
      <c r="O2961" t="str">
        <f t="shared" si="139"/>
        <v>Obese</v>
      </c>
    </row>
    <row r="2962" spans="1:15" x14ac:dyDescent="0.3">
      <c r="A2962">
        <v>1666</v>
      </c>
      <c r="B2962" t="s">
        <v>2</v>
      </c>
      <c r="C2962">
        <v>70</v>
      </c>
      <c r="D2962">
        <v>0</v>
      </c>
      <c r="E2962">
        <v>0</v>
      </c>
      <c r="F2962" t="str">
        <f t="shared" si="140"/>
        <v>Moderate Risk</v>
      </c>
      <c r="G2962" t="s">
        <v>3</v>
      </c>
      <c r="H2962" t="s">
        <v>15</v>
      </c>
      <c r="I2962" t="s">
        <v>5</v>
      </c>
      <c r="J2962">
        <v>202.55</v>
      </c>
      <c r="K2962" t="s">
        <v>10</v>
      </c>
      <c r="L2962" t="s">
        <v>6</v>
      </c>
      <c r="M2962">
        <v>0</v>
      </c>
      <c r="N2962" t="str">
        <f t="shared" si="138"/>
        <v>60+</v>
      </c>
      <c r="O2962" t="str">
        <f t="shared" si="139"/>
        <v>Unknown</v>
      </c>
    </row>
    <row r="2963" spans="1:15" x14ac:dyDescent="0.3">
      <c r="A2963">
        <v>48922</v>
      </c>
      <c r="B2963" t="s">
        <v>2</v>
      </c>
      <c r="C2963">
        <v>55</v>
      </c>
      <c r="D2963">
        <v>1</v>
      </c>
      <c r="E2963">
        <v>1</v>
      </c>
      <c r="F2963" t="str">
        <f t="shared" si="140"/>
        <v>Lower Risk</v>
      </c>
      <c r="G2963" t="s">
        <v>3</v>
      </c>
      <c r="H2963" t="s">
        <v>4</v>
      </c>
      <c r="I2963" t="s">
        <v>9</v>
      </c>
      <c r="J2963">
        <v>64.92</v>
      </c>
      <c r="K2963">
        <v>32.1</v>
      </c>
      <c r="L2963" t="s">
        <v>12</v>
      </c>
      <c r="M2963">
        <v>0</v>
      </c>
      <c r="N2963" t="str">
        <f t="shared" si="138"/>
        <v>40–59</v>
      </c>
      <c r="O2963" t="str">
        <f t="shared" si="139"/>
        <v>Obese</v>
      </c>
    </row>
    <row r="2964" spans="1:15" x14ac:dyDescent="0.3">
      <c r="A2964">
        <v>58061</v>
      </c>
      <c r="B2964" t="s">
        <v>7</v>
      </c>
      <c r="C2964">
        <v>70</v>
      </c>
      <c r="D2964">
        <v>1</v>
      </c>
      <c r="E2964">
        <v>0</v>
      </c>
      <c r="F2964" t="str">
        <f t="shared" si="140"/>
        <v>High Risk</v>
      </c>
      <c r="G2964" t="s">
        <v>3</v>
      </c>
      <c r="H2964" t="s">
        <v>8</v>
      </c>
      <c r="I2964" t="s">
        <v>9</v>
      </c>
      <c r="J2964">
        <v>154.6</v>
      </c>
      <c r="K2964">
        <v>28.5</v>
      </c>
      <c r="L2964" t="s">
        <v>6</v>
      </c>
      <c r="M2964">
        <v>0</v>
      </c>
      <c r="N2964" t="str">
        <f t="shared" si="138"/>
        <v>60+</v>
      </c>
      <c r="O2964" t="str">
        <f t="shared" si="139"/>
        <v>Overweight</v>
      </c>
    </row>
    <row r="2965" spans="1:15" x14ac:dyDescent="0.3">
      <c r="A2965">
        <v>50283</v>
      </c>
      <c r="B2965" t="s">
        <v>7</v>
      </c>
      <c r="C2965">
        <v>51</v>
      </c>
      <c r="D2965">
        <v>0</v>
      </c>
      <c r="E2965">
        <v>0</v>
      </c>
      <c r="F2965" t="str">
        <f t="shared" si="140"/>
        <v>Lower Risk</v>
      </c>
      <c r="G2965" t="s">
        <v>3</v>
      </c>
      <c r="H2965" t="s">
        <v>4</v>
      </c>
      <c r="I2965" t="s">
        <v>5</v>
      </c>
      <c r="J2965">
        <v>95.98</v>
      </c>
      <c r="K2965">
        <v>40.1</v>
      </c>
      <c r="L2965" t="s">
        <v>12</v>
      </c>
      <c r="M2965">
        <v>0</v>
      </c>
      <c r="N2965" t="str">
        <f t="shared" si="138"/>
        <v>40–59</v>
      </c>
      <c r="O2965" t="str">
        <f t="shared" si="139"/>
        <v>Obese</v>
      </c>
    </row>
    <row r="2966" spans="1:15" x14ac:dyDescent="0.3">
      <c r="A2966">
        <v>26605</v>
      </c>
      <c r="B2966" t="s">
        <v>7</v>
      </c>
      <c r="C2966">
        <v>39</v>
      </c>
      <c r="D2966">
        <v>0</v>
      </c>
      <c r="E2966">
        <v>0</v>
      </c>
      <c r="F2966" t="str">
        <f t="shared" si="140"/>
        <v>Lower Risk</v>
      </c>
      <c r="G2966" t="s">
        <v>3</v>
      </c>
      <c r="H2966" t="s">
        <v>4</v>
      </c>
      <c r="I2966" t="s">
        <v>9</v>
      </c>
      <c r="J2966">
        <v>102.51</v>
      </c>
      <c r="K2966">
        <v>26.6</v>
      </c>
      <c r="L2966" t="s">
        <v>12</v>
      </c>
      <c r="M2966">
        <v>0</v>
      </c>
      <c r="N2966" t="str">
        <f t="shared" si="138"/>
        <v>Under 40</v>
      </c>
      <c r="O2966" t="str">
        <f t="shared" si="139"/>
        <v>Overweight</v>
      </c>
    </row>
    <row r="2967" spans="1:15" x14ac:dyDescent="0.3">
      <c r="A2967">
        <v>10396</v>
      </c>
      <c r="B2967" t="s">
        <v>2</v>
      </c>
      <c r="C2967">
        <v>79</v>
      </c>
      <c r="D2967">
        <v>1</v>
      </c>
      <c r="E2967">
        <v>0</v>
      </c>
      <c r="F2967" t="str">
        <f t="shared" si="140"/>
        <v>High Risk</v>
      </c>
      <c r="G2967" t="s">
        <v>13</v>
      </c>
      <c r="H2967" t="s">
        <v>4</v>
      </c>
      <c r="I2967" t="s">
        <v>5</v>
      </c>
      <c r="J2967">
        <v>96.52</v>
      </c>
      <c r="K2967">
        <v>21.7</v>
      </c>
      <c r="L2967" t="s">
        <v>14</v>
      </c>
      <c r="M2967">
        <v>0</v>
      </c>
      <c r="N2967" t="str">
        <f t="shared" si="138"/>
        <v>60+</v>
      </c>
      <c r="O2967" t="str">
        <f t="shared" si="139"/>
        <v>Normal</v>
      </c>
    </row>
    <row r="2968" spans="1:15" x14ac:dyDescent="0.3">
      <c r="A2968">
        <v>14695</v>
      </c>
      <c r="B2968" t="s">
        <v>2</v>
      </c>
      <c r="C2968">
        <v>80</v>
      </c>
      <c r="D2968">
        <v>1</v>
      </c>
      <c r="E2968">
        <v>0</v>
      </c>
      <c r="F2968" t="str">
        <f t="shared" si="140"/>
        <v>High Risk</v>
      </c>
      <c r="G2968" t="s">
        <v>3</v>
      </c>
      <c r="H2968" t="s">
        <v>8</v>
      </c>
      <c r="I2968" t="s">
        <v>9</v>
      </c>
      <c r="J2968">
        <v>232.12</v>
      </c>
      <c r="K2968">
        <v>28.8</v>
      </c>
      <c r="L2968" t="s">
        <v>11</v>
      </c>
      <c r="M2968">
        <v>0</v>
      </c>
      <c r="N2968" t="str">
        <f t="shared" si="138"/>
        <v>60+</v>
      </c>
      <c r="O2968" t="str">
        <f t="shared" si="139"/>
        <v>Overweight</v>
      </c>
    </row>
    <row r="2969" spans="1:15" x14ac:dyDescent="0.3">
      <c r="A2969">
        <v>2579</v>
      </c>
      <c r="B2969" t="s">
        <v>7</v>
      </c>
      <c r="C2969">
        <v>34</v>
      </c>
      <c r="D2969">
        <v>0</v>
      </c>
      <c r="E2969">
        <v>0</v>
      </c>
      <c r="F2969" t="str">
        <f t="shared" si="140"/>
        <v>Lower Risk</v>
      </c>
      <c r="G2969" t="s">
        <v>3</v>
      </c>
      <c r="H2969" t="s">
        <v>8</v>
      </c>
      <c r="I2969" t="s">
        <v>9</v>
      </c>
      <c r="J2969">
        <v>78.12</v>
      </c>
      <c r="K2969">
        <v>32</v>
      </c>
      <c r="L2969" t="s">
        <v>14</v>
      </c>
      <c r="M2969">
        <v>0</v>
      </c>
      <c r="N2969" t="str">
        <f t="shared" si="138"/>
        <v>Under 40</v>
      </c>
      <c r="O2969" t="str">
        <f t="shared" si="139"/>
        <v>Obese</v>
      </c>
    </row>
    <row r="2970" spans="1:15" x14ac:dyDescent="0.3">
      <c r="A2970">
        <v>71061</v>
      </c>
      <c r="B2970" t="s">
        <v>2</v>
      </c>
      <c r="C2970">
        <v>59</v>
      </c>
      <c r="D2970">
        <v>0</v>
      </c>
      <c r="E2970">
        <v>0</v>
      </c>
      <c r="F2970" t="str">
        <f t="shared" si="140"/>
        <v>Lower Risk</v>
      </c>
      <c r="G2970" t="s">
        <v>3</v>
      </c>
      <c r="H2970" t="s">
        <v>15</v>
      </c>
      <c r="I2970" t="s">
        <v>5</v>
      </c>
      <c r="J2970">
        <v>70.040000000000006</v>
      </c>
      <c r="K2970">
        <v>31.4</v>
      </c>
      <c r="L2970" t="s">
        <v>11</v>
      </c>
      <c r="M2970">
        <v>0</v>
      </c>
      <c r="N2970" t="str">
        <f t="shared" si="138"/>
        <v>40–59</v>
      </c>
      <c r="O2970" t="str">
        <f t="shared" si="139"/>
        <v>Obese</v>
      </c>
    </row>
    <row r="2971" spans="1:15" x14ac:dyDescent="0.3">
      <c r="A2971">
        <v>41250</v>
      </c>
      <c r="B2971" t="s">
        <v>7</v>
      </c>
      <c r="C2971">
        <v>54</v>
      </c>
      <c r="D2971">
        <v>0</v>
      </c>
      <c r="E2971">
        <v>0</v>
      </c>
      <c r="F2971" t="str">
        <f t="shared" si="140"/>
        <v>Lower Risk</v>
      </c>
      <c r="G2971" t="s">
        <v>3</v>
      </c>
      <c r="H2971" t="s">
        <v>4</v>
      </c>
      <c r="I2971" t="s">
        <v>9</v>
      </c>
      <c r="J2971">
        <v>97.61</v>
      </c>
      <c r="K2971">
        <v>32.1</v>
      </c>
      <c r="L2971" t="s">
        <v>12</v>
      </c>
      <c r="M2971">
        <v>0</v>
      </c>
      <c r="N2971" t="str">
        <f t="shared" si="138"/>
        <v>40–59</v>
      </c>
      <c r="O2971" t="str">
        <f t="shared" si="139"/>
        <v>Obese</v>
      </c>
    </row>
    <row r="2972" spans="1:15" x14ac:dyDescent="0.3">
      <c r="A2972">
        <v>53923</v>
      </c>
      <c r="B2972" t="s">
        <v>7</v>
      </c>
      <c r="C2972">
        <v>22</v>
      </c>
      <c r="D2972">
        <v>0</v>
      </c>
      <c r="E2972">
        <v>0</v>
      </c>
      <c r="F2972" t="str">
        <f t="shared" si="140"/>
        <v>Lower Risk</v>
      </c>
      <c r="G2972" t="s">
        <v>13</v>
      </c>
      <c r="H2972" t="s">
        <v>4</v>
      </c>
      <c r="I2972" t="s">
        <v>5</v>
      </c>
      <c r="J2972">
        <v>113.11</v>
      </c>
      <c r="K2972">
        <v>19.8</v>
      </c>
      <c r="L2972" t="s">
        <v>14</v>
      </c>
      <c r="M2972">
        <v>0</v>
      </c>
      <c r="N2972" t="str">
        <f t="shared" si="138"/>
        <v>Under 40</v>
      </c>
      <c r="O2972" t="str">
        <f t="shared" si="139"/>
        <v>Normal</v>
      </c>
    </row>
    <row r="2973" spans="1:15" x14ac:dyDescent="0.3">
      <c r="A2973">
        <v>54139</v>
      </c>
      <c r="B2973" t="s">
        <v>7</v>
      </c>
      <c r="C2973">
        <v>21</v>
      </c>
      <c r="D2973">
        <v>0</v>
      </c>
      <c r="E2973">
        <v>0</v>
      </c>
      <c r="F2973" t="str">
        <f t="shared" si="140"/>
        <v>Lower Risk</v>
      </c>
      <c r="G2973" t="s">
        <v>13</v>
      </c>
      <c r="H2973" t="s">
        <v>4</v>
      </c>
      <c r="I2973" t="s">
        <v>9</v>
      </c>
      <c r="J2973">
        <v>71.06</v>
      </c>
      <c r="K2973">
        <v>25.3</v>
      </c>
      <c r="L2973" t="s">
        <v>6</v>
      </c>
      <c r="M2973">
        <v>0</v>
      </c>
      <c r="N2973" t="str">
        <f t="shared" si="138"/>
        <v>Under 40</v>
      </c>
      <c r="O2973" t="str">
        <f t="shared" si="139"/>
        <v>Overweight</v>
      </c>
    </row>
    <row r="2974" spans="1:15" x14ac:dyDescent="0.3">
      <c r="A2974">
        <v>32430</v>
      </c>
      <c r="B2974" t="s">
        <v>7</v>
      </c>
      <c r="C2974">
        <v>4</v>
      </c>
      <c r="D2974">
        <v>0</v>
      </c>
      <c r="E2974">
        <v>0</v>
      </c>
      <c r="F2974" t="str">
        <f t="shared" si="140"/>
        <v>Lower Risk</v>
      </c>
      <c r="G2974" t="s">
        <v>13</v>
      </c>
      <c r="H2974" t="s">
        <v>16</v>
      </c>
      <c r="I2974" t="s">
        <v>9</v>
      </c>
      <c r="J2974">
        <v>104.95</v>
      </c>
      <c r="K2974">
        <v>28.8</v>
      </c>
      <c r="L2974" t="s">
        <v>14</v>
      </c>
      <c r="M2974">
        <v>0</v>
      </c>
      <c r="N2974" t="str">
        <f t="shared" si="138"/>
        <v>Under 40</v>
      </c>
      <c r="O2974" t="str">
        <f t="shared" si="139"/>
        <v>Overweight</v>
      </c>
    </row>
    <row r="2975" spans="1:15" x14ac:dyDescent="0.3">
      <c r="A2975">
        <v>14928</v>
      </c>
      <c r="B2975" t="s">
        <v>7</v>
      </c>
      <c r="C2975">
        <v>26</v>
      </c>
      <c r="D2975">
        <v>0</v>
      </c>
      <c r="E2975">
        <v>0</v>
      </c>
      <c r="F2975" t="str">
        <f t="shared" si="140"/>
        <v>Lower Risk</v>
      </c>
      <c r="G2975" t="s">
        <v>13</v>
      </c>
      <c r="H2975" t="s">
        <v>4</v>
      </c>
      <c r="I2975" t="s">
        <v>5</v>
      </c>
      <c r="J2975">
        <v>81.94</v>
      </c>
      <c r="K2975">
        <v>26</v>
      </c>
      <c r="L2975" t="s">
        <v>12</v>
      </c>
      <c r="M2975">
        <v>0</v>
      </c>
      <c r="N2975" t="str">
        <f t="shared" si="138"/>
        <v>Under 40</v>
      </c>
      <c r="O2975" t="str">
        <f t="shared" si="139"/>
        <v>Overweight</v>
      </c>
    </row>
    <row r="2976" spans="1:15" x14ac:dyDescent="0.3">
      <c r="A2976">
        <v>32457</v>
      </c>
      <c r="B2976" t="s">
        <v>2</v>
      </c>
      <c r="C2976">
        <v>62</v>
      </c>
      <c r="D2976">
        <v>0</v>
      </c>
      <c r="E2976">
        <v>0</v>
      </c>
      <c r="F2976" t="str">
        <f t="shared" si="140"/>
        <v>Moderate Risk</v>
      </c>
      <c r="G2976" t="s">
        <v>3</v>
      </c>
      <c r="H2976" t="s">
        <v>4</v>
      </c>
      <c r="I2976" t="s">
        <v>5</v>
      </c>
      <c r="J2976">
        <v>96.37</v>
      </c>
      <c r="K2976">
        <v>30.7</v>
      </c>
      <c r="L2976" t="s">
        <v>6</v>
      </c>
      <c r="M2976">
        <v>0</v>
      </c>
      <c r="N2976" t="str">
        <f t="shared" si="138"/>
        <v>60+</v>
      </c>
      <c r="O2976" t="str">
        <f t="shared" si="139"/>
        <v>Obese</v>
      </c>
    </row>
    <row r="2977" spans="1:15" x14ac:dyDescent="0.3">
      <c r="A2977">
        <v>59718</v>
      </c>
      <c r="B2977" t="s">
        <v>7</v>
      </c>
      <c r="C2977">
        <v>33</v>
      </c>
      <c r="D2977">
        <v>0</v>
      </c>
      <c r="E2977">
        <v>0</v>
      </c>
      <c r="F2977" t="str">
        <f t="shared" si="140"/>
        <v>Lower Risk</v>
      </c>
      <c r="G2977" t="s">
        <v>3</v>
      </c>
      <c r="H2977" t="s">
        <v>4</v>
      </c>
      <c r="I2977" t="s">
        <v>9</v>
      </c>
      <c r="J2977">
        <v>114.16</v>
      </c>
      <c r="K2977">
        <v>43.3</v>
      </c>
      <c r="L2977" t="s">
        <v>11</v>
      </c>
      <c r="M2977">
        <v>0</v>
      </c>
      <c r="N2977" t="str">
        <f t="shared" si="138"/>
        <v>Under 40</v>
      </c>
      <c r="O2977" t="str">
        <f t="shared" si="139"/>
        <v>Obese</v>
      </c>
    </row>
    <row r="2978" spans="1:15" x14ac:dyDescent="0.3">
      <c r="A2978">
        <v>4948</v>
      </c>
      <c r="B2978" t="s">
        <v>2</v>
      </c>
      <c r="C2978">
        <v>51</v>
      </c>
      <c r="D2978">
        <v>0</v>
      </c>
      <c r="E2978">
        <v>0</v>
      </c>
      <c r="F2978" t="str">
        <f t="shared" si="140"/>
        <v>Lower Risk</v>
      </c>
      <c r="G2978" t="s">
        <v>3</v>
      </c>
      <c r="H2978" t="s">
        <v>8</v>
      </c>
      <c r="I2978" t="s">
        <v>9</v>
      </c>
      <c r="J2978">
        <v>93.58</v>
      </c>
      <c r="K2978">
        <v>35.200000000000003</v>
      </c>
      <c r="L2978" t="s">
        <v>12</v>
      </c>
      <c r="M2978">
        <v>0</v>
      </c>
      <c r="N2978" t="str">
        <f t="shared" si="138"/>
        <v>40–59</v>
      </c>
      <c r="O2978" t="str">
        <f t="shared" si="139"/>
        <v>Obese</v>
      </c>
    </row>
    <row r="2979" spans="1:15" x14ac:dyDescent="0.3">
      <c r="A2979">
        <v>40870</v>
      </c>
      <c r="B2979" t="s">
        <v>7</v>
      </c>
      <c r="C2979">
        <v>75</v>
      </c>
      <c r="D2979">
        <v>0</v>
      </c>
      <c r="E2979">
        <v>0</v>
      </c>
      <c r="F2979" t="str">
        <f t="shared" si="140"/>
        <v>Moderate Risk</v>
      </c>
      <c r="G2979" t="s">
        <v>3</v>
      </c>
      <c r="H2979" t="s">
        <v>15</v>
      </c>
      <c r="I2979" t="s">
        <v>5</v>
      </c>
      <c r="J2979">
        <v>73.89</v>
      </c>
      <c r="K2979">
        <v>20.9</v>
      </c>
      <c r="L2979" t="s">
        <v>14</v>
      </c>
      <c r="M2979">
        <v>0</v>
      </c>
      <c r="N2979" t="str">
        <f t="shared" si="138"/>
        <v>60+</v>
      </c>
      <c r="O2979" t="str">
        <f t="shared" si="139"/>
        <v>Normal</v>
      </c>
    </row>
    <row r="2980" spans="1:15" x14ac:dyDescent="0.3">
      <c r="A2980">
        <v>2218</v>
      </c>
      <c r="B2980" t="s">
        <v>2</v>
      </c>
      <c r="C2980">
        <v>42</v>
      </c>
      <c r="D2980">
        <v>0</v>
      </c>
      <c r="E2980">
        <v>0</v>
      </c>
      <c r="F2980" t="str">
        <f t="shared" si="140"/>
        <v>Lower Risk</v>
      </c>
      <c r="G2980" t="s">
        <v>3</v>
      </c>
      <c r="H2980" t="s">
        <v>4</v>
      </c>
      <c r="I2980" t="s">
        <v>9</v>
      </c>
      <c r="J2980">
        <v>107.83</v>
      </c>
      <c r="K2980">
        <v>35.299999999999997</v>
      </c>
      <c r="L2980" t="s">
        <v>12</v>
      </c>
      <c r="M2980">
        <v>0</v>
      </c>
      <c r="N2980" t="str">
        <f t="shared" si="138"/>
        <v>40–59</v>
      </c>
      <c r="O2980" t="str">
        <f t="shared" si="139"/>
        <v>Obese</v>
      </c>
    </row>
    <row r="2981" spans="1:15" x14ac:dyDescent="0.3">
      <c r="A2981">
        <v>57494</v>
      </c>
      <c r="B2981" t="s">
        <v>7</v>
      </c>
      <c r="C2981">
        <v>82</v>
      </c>
      <c r="D2981">
        <v>1</v>
      </c>
      <c r="E2981">
        <v>0</v>
      </c>
      <c r="F2981" t="str">
        <f t="shared" si="140"/>
        <v>High Risk</v>
      </c>
      <c r="G2981" t="s">
        <v>3</v>
      </c>
      <c r="H2981" t="s">
        <v>8</v>
      </c>
      <c r="I2981" t="s">
        <v>5</v>
      </c>
      <c r="J2981">
        <v>107.21</v>
      </c>
      <c r="K2981">
        <v>27</v>
      </c>
      <c r="L2981" t="s">
        <v>6</v>
      </c>
      <c r="M2981">
        <v>0</v>
      </c>
      <c r="N2981" t="str">
        <f t="shared" si="138"/>
        <v>60+</v>
      </c>
      <c r="O2981" t="str">
        <f t="shared" si="139"/>
        <v>Overweight</v>
      </c>
    </row>
    <row r="2982" spans="1:15" x14ac:dyDescent="0.3">
      <c r="A2982">
        <v>1534</v>
      </c>
      <c r="B2982" t="s">
        <v>7</v>
      </c>
      <c r="C2982">
        <v>61</v>
      </c>
      <c r="D2982">
        <v>0</v>
      </c>
      <c r="E2982">
        <v>0</v>
      </c>
      <c r="F2982" t="str">
        <f t="shared" si="140"/>
        <v>Moderate Risk</v>
      </c>
      <c r="G2982" t="s">
        <v>3</v>
      </c>
      <c r="H2982" t="s">
        <v>4</v>
      </c>
      <c r="I2982" t="s">
        <v>9</v>
      </c>
      <c r="J2982">
        <v>99.35</v>
      </c>
      <c r="K2982">
        <v>26.1</v>
      </c>
      <c r="L2982" t="s">
        <v>12</v>
      </c>
      <c r="M2982">
        <v>0</v>
      </c>
      <c r="N2982" t="str">
        <f t="shared" si="138"/>
        <v>60+</v>
      </c>
      <c r="O2982" t="str">
        <f t="shared" si="139"/>
        <v>Overweight</v>
      </c>
    </row>
    <row r="2983" spans="1:15" x14ac:dyDescent="0.3">
      <c r="A2983">
        <v>69329</v>
      </c>
      <c r="B2983" t="s">
        <v>7</v>
      </c>
      <c r="C2983">
        <v>62</v>
      </c>
      <c r="D2983">
        <v>0</v>
      </c>
      <c r="E2983">
        <v>0</v>
      </c>
      <c r="F2983" t="str">
        <f t="shared" si="140"/>
        <v>Moderate Risk</v>
      </c>
      <c r="G2983" t="s">
        <v>3</v>
      </c>
      <c r="H2983" t="s">
        <v>4</v>
      </c>
      <c r="I2983" t="s">
        <v>9</v>
      </c>
      <c r="J2983">
        <v>203.57</v>
      </c>
      <c r="K2983">
        <v>29.1</v>
      </c>
      <c r="L2983" t="s">
        <v>14</v>
      </c>
      <c r="M2983">
        <v>0</v>
      </c>
      <c r="N2983" t="str">
        <f t="shared" si="138"/>
        <v>60+</v>
      </c>
      <c r="O2983" t="str">
        <f t="shared" si="139"/>
        <v>Overweight</v>
      </c>
    </row>
    <row r="2984" spans="1:15" x14ac:dyDescent="0.3">
      <c r="A2984">
        <v>39852</v>
      </c>
      <c r="B2984" t="s">
        <v>2</v>
      </c>
      <c r="C2984">
        <v>59</v>
      </c>
      <c r="D2984">
        <v>1</v>
      </c>
      <c r="E2984">
        <v>1</v>
      </c>
      <c r="F2984" t="str">
        <f t="shared" si="140"/>
        <v>Lower Risk</v>
      </c>
      <c r="G2984" t="s">
        <v>3</v>
      </c>
      <c r="H2984" t="s">
        <v>15</v>
      </c>
      <c r="I2984" t="s">
        <v>9</v>
      </c>
      <c r="J2984">
        <v>81.510000000000005</v>
      </c>
      <c r="K2984">
        <v>32.6</v>
      </c>
      <c r="L2984" t="s">
        <v>11</v>
      </c>
      <c r="M2984">
        <v>0</v>
      </c>
      <c r="N2984" t="str">
        <f t="shared" si="138"/>
        <v>40–59</v>
      </c>
      <c r="O2984" t="str">
        <f t="shared" si="139"/>
        <v>Obese</v>
      </c>
    </row>
    <row r="2985" spans="1:15" x14ac:dyDescent="0.3">
      <c r="A2985">
        <v>65358</v>
      </c>
      <c r="B2985" t="s">
        <v>7</v>
      </c>
      <c r="C2985">
        <v>31</v>
      </c>
      <c r="D2985">
        <v>0</v>
      </c>
      <c r="E2985">
        <v>0</v>
      </c>
      <c r="F2985" t="str">
        <f t="shared" si="140"/>
        <v>Lower Risk</v>
      </c>
      <c r="G2985" t="s">
        <v>3</v>
      </c>
      <c r="H2985" t="s">
        <v>4</v>
      </c>
      <c r="I2985" t="s">
        <v>9</v>
      </c>
      <c r="J2985">
        <v>69.260000000000005</v>
      </c>
      <c r="K2985">
        <v>21.8</v>
      </c>
      <c r="L2985" t="s">
        <v>6</v>
      </c>
      <c r="M2985">
        <v>0</v>
      </c>
      <c r="N2985" t="str">
        <f t="shared" si="138"/>
        <v>Under 40</v>
      </c>
      <c r="O2985" t="str">
        <f t="shared" si="139"/>
        <v>Normal</v>
      </c>
    </row>
    <row r="2986" spans="1:15" x14ac:dyDescent="0.3">
      <c r="A2986">
        <v>36488</v>
      </c>
      <c r="B2986" t="s">
        <v>2</v>
      </c>
      <c r="C2986">
        <v>12</v>
      </c>
      <c r="D2986">
        <v>0</v>
      </c>
      <c r="E2986">
        <v>0</v>
      </c>
      <c r="F2986" t="str">
        <f t="shared" si="140"/>
        <v>Lower Risk</v>
      </c>
      <c r="G2986" t="s">
        <v>13</v>
      </c>
      <c r="H2986" t="s">
        <v>16</v>
      </c>
      <c r="I2986" t="s">
        <v>5</v>
      </c>
      <c r="J2986">
        <v>111.47</v>
      </c>
      <c r="K2986">
        <v>32.299999999999997</v>
      </c>
      <c r="L2986" t="s">
        <v>11</v>
      </c>
      <c r="M2986">
        <v>0</v>
      </c>
      <c r="N2986" t="str">
        <f t="shared" si="138"/>
        <v>Under 40</v>
      </c>
      <c r="O2986" t="str">
        <f t="shared" si="139"/>
        <v>Obese</v>
      </c>
    </row>
    <row r="2987" spans="1:15" x14ac:dyDescent="0.3">
      <c r="A2987">
        <v>55567</v>
      </c>
      <c r="B2987" t="s">
        <v>7</v>
      </c>
      <c r="C2987">
        <v>76</v>
      </c>
      <c r="D2987">
        <v>0</v>
      </c>
      <c r="E2987">
        <v>1</v>
      </c>
      <c r="F2987" t="str">
        <f t="shared" si="140"/>
        <v>High Risk</v>
      </c>
      <c r="G2987" t="s">
        <v>3</v>
      </c>
      <c r="H2987" t="s">
        <v>4</v>
      </c>
      <c r="I2987" t="s">
        <v>9</v>
      </c>
      <c r="J2987">
        <v>86.09</v>
      </c>
      <c r="K2987">
        <v>28.1</v>
      </c>
      <c r="L2987" t="s">
        <v>11</v>
      </c>
      <c r="M2987">
        <v>0</v>
      </c>
      <c r="N2987" t="str">
        <f t="shared" si="138"/>
        <v>60+</v>
      </c>
      <c r="O2987" t="str">
        <f t="shared" si="139"/>
        <v>Overweight</v>
      </c>
    </row>
    <row r="2988" spans="1:15" x14ac:dyDescent="0.3">
      <c r="A2988">
        <v>33562</v>
      </c>
      <c r="B2988" t="s">
        <v>2</v>
      </c>
      <c r="C2988">
        <v>71</v>
      </c>
      <c r="D2988">
        <v>0</v>
      </c>
      <c r="E2988">
        <v>1</v>
      </c>
      <c r="F2988" t="str">
        <f t="shared" si="140"/>
        <v>High Risk</v>
      </c>
      <c r="G2988" t="s">
        <v>3</v>
      </c>
      <c r="H2988" t="s">
        <v>15</v>
      </c>
      <c r="I2988" t="s">
        <v>9</v>
      </c>
      <c r="J2988">
        <v>72.94</v>
      </c>
      <c r="K2988">
        <v>32.299999999999997</v>
      </c>
      <c r="L2988" t="s">
        <v>6</v>
      </c>
      <c r="M2988">
        <v>0</v>
      </c>
      <c r="N2988" t="str">
        <f t="shared" si="138"/>
        <v>60+</v>
      </c>
      <c r="O2988" t="str">
        <f t="shared" si="139"/>
        <v>Obese</v>
      </c>
    </row>
    <row r="2989" spans="1:15" x14ac:dyDescent="0.3">
      <c r="A2989">
        <v>20006</v>
      </c>
      <c r="B2989" t="s">
        <v>7</v>
      </c>
      <c r="C2989">
        <v>15</v>
      </c>
      <c r="D2989">
        <v>0</v>
      </c>
      <c r="E2989">
        <v>0</v>
      </c>
      <c r="F2989" t="str">
        <f t="shared" si="140"/>
        <v>Lower Risk</v>
      </c>
      <c r="G2989" t="s">
        <v>13</v>
      </c>
      <c r="H2989" t="s">
        <v>4</v>
      </c>
      <c r="I2989" t="s">
        <v>5</v>
      </c>
      <c r="J2989">
        <v>76.77</v>
      </c>
      <c r="K2989">
        <v>21.7</v>
      </c>
      <c r="L2989" t="s">
        <v>14</v>
      </c>
      <c r="M2989">
        <v>0</v>
      </c>
      <c r="N2989" t="str">
        <f t="shared" si="138"/>
        <v>Under 40</v>
      </c>
      <c r="O2989" t="str">
        <f t="shared" si="139"/>
        <v>Normal</v>
      </c>
    </row>
    <row r="2990" spans="1:15" x14ac:dyDescent="0.3">
      <c r="A2990">
        <v>47696</v>
      </c>
      <c r="B2990" t="s">
        <v>2</v>
      </c>
      <c r="C2990">
        <v>44</v>
      </c>
      <c r="D2990">
        <v>0</v>
      </c>
      <c r="E2990">
        <v>0</v>
      </c>
      <c r="F2990" t="str">
        <f t="shared" si="140"/>
        <v>Lower Risk</v>
      </c>
      <c r="G2990" t="s">
        <v>3</v>
      </c>
      <c r="H2990" t="s">
        <v>4</v>
      </c>
      <c r="I2990" t="s">
        <v>9</v>
      </c>
      <c r="J2990">
        <v>60.32</v>
      </c>
      <c r="K2990">
        <v>25</v>
      </c>
      <c r="L2990" t="s">
        <v>11</v>
      </c>
      <c r="M2990">
        <v>0</v>
      </c>
      <c r="N2990" t="str">
        <f t="shared" si="138"/>
        <v>40–59</v>
      </c>
      <c r="O2990" t="str">
        <f t="shared" si="139"/>
        <v>Overweight</v>
      </c>
    </row>
    <row r="2991" spans="1:15" x14ac:dyDescent="0.3">
      <c r="A2991">
        <v>60117</v>
      </c>
      <c r="B2991" t="s">
        <v>2</v>
      </c>
      <c r="C2991">
        <v>30</v>
      </c>
      <c r="D2991">
        <v>0</v>
      </c>
      <c r="E2991">
        <v>0</v>
      </c>
      <c r="F2991" t="str">
        <f t="shared" si="140"/>
        <v>Lower Risk</v>
      </c>
      <c r="G2991" t="s">
        <v>13</v>
      </c>
      <c r="H2991" t="s">
        <v>4</v>
      </c>
      <c r="I2991" t="s">
        <v>9</v>
      </c>
      <c r="J2991">
        <v>133.24</v>
      </c>
      <c r="K2991">
        <v>28.9</v>
      </c>
      <c r="L2991" t="s">
        <v>11</v>
      </c>
      <c r="M2991">
        <v>0</v>
      </c>
      <c r="N2991" t="str">
        <f t="shared" si="138"/>
        <v>Under 40</v>
      </c>
      <c r="O2991" t="str">
        <f t="shared" si="139"/>
        <v>Overweight</v>
      </c>
    </row>
    <row r="2992" spans="1:15" x14ac:dyDescent="0.3">
      <c r="A2992">
        <v>5032</v>
      </c>
      <c r="B2992" t="s">
        <v>7</v>
      </c>
      <c r="C2992">
        <v>47</v>
      </c>
      <c r="D2992">
        <v>0</v>
      </c>
      <c r="E2992">
        <v>0</v>
      </c>
      <c r="F2992" t="str">
        <f t="shared" si="140"/>
        <v>Lower Risk</v>
      </c>
      <c r="G2992" t="s">
        <v>3</v>
      </c>
      <c r="H2992" t="s">
        <v>4</v>
      </c>
      <c r="I2992" t="s">
        <v>9</v>
      </c>
      <c r="J2992">
        <v>65.010000000000005</v>
      </c>
      <c r="K2992">
        <v>21.7</v>
      </c>
      <c r="L2992" t="s">
        <v>6</v>
      </c>
      <c r="M2992">
        <v>0</v>
      </c>
      <c r="N2992" t="str">
        <f t="shared" si="138"/>
        <v>40–59</v>
      </c>
      <c r="O2992" t="str">
        <f t="shared" si="139"/>
        <v>Normal</v>
      </c>
    </row>
    <row r="2993" spans="1:15" x14ac:dyDescent="0.3">
      <c r="A2993">
        <v>5780</v>
      </c>
      <c r="B2993" t="s">
        <v>7</v>
      </c>
      <c r="C2993">
        <v>47</v>
      </c>
      <c r="D2993">
        <v>0</v>
      </c>
      <c r="E2993">
        <v>0</v>
      </c>
      <c r="F2993" t="str">
        <f t="shared" si="140"/>
        <v>Lower Risk</v>
      </c>
      <c r="G2993" t="s">
        <v>3</v>
      </c>
      <c r="H2993" t="s">
        <v>4</v>
      </c>
      <c r="I2993" t="s">
        <v>5</v>
      </c>
      <c r="J2993">
        <v>74.63</v>
      </c>
      <c r="K2993">
        <v>45.3</v>
      </c>
      <c r="L2993" t="s">
        <v>11</v>
      </c>
      <c r="M2993">
        <v>0</v>
      </c>
      <c r="N2993" t="str">
        <f t="shared" si="138"/>
        <v>40–59</v>
      </c>
      <c r="O2993" t="str">
        <f t="shared" si="139"/>
        <v>Obese</v>
      </c>
    </row>
    <row r="2994" spans="1:15" x14ac:dyDescent="0.3">
      <c r="A2994">
        <v>52236</v>
      </c>
      <c r="B2994" t="s">
        <v>7</v>
      </c>
      <c r="C2994">
        <v>60</v>
      </c>
      <c r="D2994">
        <v>0</v>
      </c>
      <c r="E2994">
        <v>0</v>
      </c>
      <c r="F2994" t="str">
        <f t="shared" si="140"/>
        <v>Moderate Risk</v>
      </c>
      <c r="G2994" t="s">
        <v>3</v>
      </c>
      <c r="H2994" t="s">
        <v>4</v>
      </c>
      <c r="I2994" t="s">
        <v>9</v>
      </c>
      <c r="J2994">
        <v>230.78</v>
      </c>
      <c r="K2994">
        <v>40.200000000000003</v>
      </c>
      <c r="L2994" t="s">
        <v>11</v>
      </c>
      <c r="M2994">
        <v>0</v>
      </c>
      <c r="N2994" t="str">
        <f t="shared" si="138"/>
        <v>60+</v>
      </c>
      <c r="O2994" t="str">
        <f t="shared" si="139"/>
        <v>Obese</v>
      </c>
    </row>
    <row r="2995" spans="1:15" x14ac:dyDescent="0.3">
      <c r="A2995">
        <v>59752</v>
      </c>
      <c r="B2995" t="s">
        <v>2</v>
      </c>
      <c r="C2995">
        <v>62</v>
      </c>
      <c r="D2995">
        <v>0</v>
      </c>
      <c r="E2995">
        <v>0</v>
      </c>
      <c r="F2995" t="str">
        <f t="shared" si="140"/>
        <v>Moderate Risk</v>
      </c>
      <c r="G2995" t="s">
        <v>3</v>
      </c>
      <c r="H2995" t="s">
        <v>4</v>
      </c>
      <c r="I2995" t="s">
        <v>5</v>
      </c>
      <c r="J2995">
        <v>72.5</v>
      </c>
      <c r="K2995">
        <v>22.5</v>
      </c>
      <c r="L2995" t="s">
        <v>6</v>
      </c>
      <c r="M2995">
        <v>0</v>
      </c>
      <c r="N2995" t="str">
        <f t="shared" si="138"/>
        <v>60+</v>
      </c>
      <c r="O2995" t="str">
        <f t="shared" si="139"/>
        <v>Normal</v>
      </c>
    </row>
    <row r="2996" spans="1:15" x14ac:dyDescent="0.3">
      <c r="A2996">
        <v>47005</v>
      </c>
      <c r="B2996" t="s">
        <v>7</v>
      </c>
      <c r="C2996">
        <v>47</v>
      </c>
      <c r="D2996">
        <v>0</v>
      </c>
      <c r="E2996">
        <v>0</v>
      </c>
      <c r="F2996" t="str">
        <f t="shared" si="140"/>
        <v>Lower Risk</v>
      </c>
      <c r="G2996" t="s">
        <v>3</v>
      </c>
      <c r="H2996" t="s">
        <v>4</v>
      </c>
      <c r="I2996" t="s">
        <v>5</v>
      </c>
      <c r="J2996">
        <v>68.48</v>
      </c>
      <c r="K2996">
        <v>21.3</v>
      </c>
      <c r="L2996" t="s">
        <v>11</v>
      </c>
      <c r="M2996">
        <v>0</v>
      </c>
      <c r="N2996" t="str">
        <f t="shared" si="138"/>
        <v>40–59</v>
      </c>
      <c r="O2996" t="str">
        <f t="shared" si="139"/>
        <v>Normal</v>
      </c>
    </row>
    <row r="2997" spans="1:15" x14ac:dyDescent="0.3">
      <c r="A2997">
        <v>4750</v>
      </c>
      <c r="B2997" t="s">
        <v>2</v>
      </c>
      <c r="C2997">
        <v>78</v>
      </c>
      <c r="D2997">
        <v>0</v>
      </c>
      <c r="E2997">
        <v>0</v>
      </c>
      <c r="F2997" t="str">
        <f t="shared" si="140"/>
        <v>Moderate Risk</v>
      </c>
      <c r="G2997" t="s">
        <v>3</v>
      </c>
      <c r="H2997" t="s">
        <v>4</v>
      </c>
      <c r="I2997" t="s">
        <v>5</v>
      </c>
      <c r="J2997">
        <v>85.03</v>
      </c>
      <c r="K2997">
        <v>26.1</v>
      </c>
      <c r="L2997" t="s">
        <v>6</v>
      </c>
      <c r="M2997">
        <v>0</v>
      </c>
      <c r="N2997" t="str">
        <f t="shared" si="138"/>
        <v>60+</v>
      </c>
      <c r="O2997" t="str">
        <f t="shared" si="139"/>
        <v>Overweight</v>
      </c>
    </row>
    <row r="2998" spans="1:15" x14ac:dyDescent="0.3">
      <c r="A2998">
        <v>65127</v>
      </c>
      <c r="B2998" t="s">
        <v>7</v>
      </c>
      <c r="C2998">
        <v>35</v>
      </c>
      <c r="D2998">
        <v>0</v>
      </c>
      <c r="E2998">
        <v>0</v>
      </c>
      <c r="F2998" t="str">
        <f t="shared" si="140"/>
        <v>Lower Risk</v>
      </c>
      <c r="G2998" t="s">
        <v>3</v>
      </c>
      <c r="H2998" t="s">
        <v>4</v>
      </c>
      <c r="I2998" t="s">
        <v>5</v>
      </c>
      <c r="J2998">
        <v>80.760000000000005</v>
      </c>
      <c r="K2998">
        <v>28.8</v>
      </c>
      <c r="L2998" t="s">
        <v>12</v>
      </c>
      <c r="M2998">
        <v>0</v>
      </c>
      <c r="N2998" t="str">
        <f t="shared" si="138"/>
        <v>Under 40</v>
      </c>
      <c r="O2998" t="str">
        <f t="shared" si="139"/>
        <v>Overweight</v>
      </c>
    </row>
    <row r="2999" spans="1:15" x14ac:dyDescent="0.3">
      <c r="A2999">
        <v>4498</v>
      </c>
      <c r="B2999" t="s">
        <v>2</v>
      </c>
      <c r="C2999">
        <v>71</v>
      </c>
      <c r="D2999">
        <v>0</v>
      </c>
      <c r="E2999">
        <v>1</v>
      </c>
      <c r="F2999" t="str">
        <f t="shared" si="140"/>
        <v>High Risk</v>
      </c>
      <c r="G2999" t="s">
        <v>3</v>
      </c>
      <c r="H2999" t="s">
        <v>4</v>
      </c>
      <c r="I2999" t="s">
        <v>5</v>
      </c>
      <c r="J2999">
        <v>204.98</v>
      </c>
      <c r="K2999" t="s">
        <v>10</v>
      </c>
      <c r="L2999" t="s">
        <v>6</v>
      </c>
      <c r="M2999">
        <v>0</v>
      </c>
      <c r="N2999" t="str">
        <f t="shared" si="138"/>
        <v>60+</v>
      </c>
      <c r="O2999" t="str">
        <f t="shared" si="139"/>
        <v>Unknown</v>
      </c>
    </row>
    <row r="3000" spans="1:15" x14ac:dyDescent="0.3">
      <c r="A3000">
        <v>32203</v>
      </c>
      <c r="B3000" t="s">
        <v>7</v>
      </c>
      <c r="C3000">
        <v>57</v>
      </c>
      <c r="D3000">
        <v>0</v>
      </c>
      <c r="E3000">
        <v>0</v>
      </c>
      <c r="F3000" t="str">
        <f t="shared" si="140"/>
        <v>Lower Risk</v>
      </c>
      <c r="G3000" t="s">
        <v>3</v>
      </c>
      <c r="H3000" t="s">
        <v>8</v>
      </c>
      <c r="I3000" t="s">
        <v>9</v>
      </c>
      <c r="J3000">
        <v>95.36</v>
      </c>
      <c r="K3000">
        <v>32.4</v>
      </c>
      <c r="L3000" t="s">
        <v>6</v>
      </c>
      <c r="M3000">
        <v>0</v>
      </c>
      <c r="N3000" t="str">
        <f t="shared" si="138"/>
        <v>40–59</v>
      </c>
      <c r="O3000" t="str">
        <f t="shared" si="139"/>
        <v>Obese</v>
      </c>
    </row>
    <row r="3001" spans="1:15" x14ac:dyDescent="0.3">
      <c r="A3001">
        <v>27436</v>
      </c>
      <c r="B3001" t="s">
        <v>2</v>
      </c>
      <c r="C3001">
        <v>12</v>
      </c>
      <c r="D3001">
        <v>0</v>
      </c>
      <c r="E3001">
        <v>0</v>
      </c>
      <c r="F3001" t="str">
        <f t="shared" si="140"/>
        <v>Lower Risk</v>
      </c>
      <c r="G3001" t="s">
        <v>13</v>
      </c>
      <c r="H3001" t="s">
        <v>16</v>
      </c>
      <c r="I3001" t="s">
        <v>5</v>
      </c>
      <c r="J3001">
        <v>110.33</v>
      </c>
      <c r="K3001">
        <v>20.399999999999999</v>
      </c>
      <c r="L3001" t="s">
        <v>14</v>
      </c>
      <c r="M3001">
        <v>0</v>
      </c>
      <c r="N3001" t="str">
        <f t="shared" si="138"/>
        <v>Under 40</v>
      </c>
      <c r="O3001" t="str">
        <f t="shared" si="139"/>
        <v>Normal</v>
      </c>
    </row>
    <row r="3002" spans="1:15" x14ac:dyDescent="0.3">
      <c r="A3002">
        <v>34999</v>
      </c>
      <c r="B3002" t="s">
        <v>2</v>
      </c>
      <c r="C3002">
        <v>26</v>
      </c>
      <c r="D3002">
        <v>0</v>
      </c>
      <c r="E3002">
        <v>0</v>
      </c>
      <c r="F3002" t="str">
        <f t="shared" si="140"/>
        <v>Lower Risk</v>
      </c>
      <c r="G3002" t="s">
        <v>3</v>
      </c>
      <c r="H3002" t="s">
        <v>4</v>
      </c>
      <c r="I3002" t="s">
        <v>5</v>
      </c>
      <c r="J3002">
        <v>89.18</v>
      </c>
      <c r="K3002">
        <v>25.9</v>
      </c>
      <c r="L3002" t="s">
        <v>6</v>
      </c>
      <c r="M3002">
        <v>0</v>
      </c>
      <c r="N3002" t="str">
        <f t="shared" si="138"/>
        <v>Under 40</v>
      </c>
      <c r="O3002" t="str">
        <f t="shared" si="139"/>
        <v>Overweight</v>
      </c>
    </row>
    <row r="3003" spans="1:15" x14ac:dyDescent="0.3">
      <c r="A3003">
        <v>4213</v>
      </c>
      <c r="B3003" t="s">
        <v>2</v>
      </c>
      <c r="C3003">
        <v>33</v>
      </c>
      <c r="D3003">
        <v>0</v>
      </c>
      <c r="E3003">
        <v>0</v>
      </c>
      <c r="F3003" t="str">
        <f t="shared" si="140"/>
        <v>Lower Risk</v>
      </c>
      <c r="G3003" t="s">
        <v>13</v>
      </c>
      <c r="H3003" t="s">
        <v>8</v>
      </c>
      <c r="I3003" t="s">
        <v>9</v>
      </c>
      <c r="J3003">
        <v>91.53</v>
      </c>
      <c r="K3003">
        <v>38.799999999999997</v>
      </c>
      <c r="L3003" t="s">
        <v>6</v>
      </c>
      <c r="M3003">
        <v>0</v>
      </c>
      <c r="N3003" t="str">
        <f t="shared" si="138"/>
        <v>Under 40</v>
      </c>
      <c r="O3003" t="str">
        <f t="shared" si="139"/>
        <v>Obese</v>
      </c>
    </row>
    <row r="3004" spans="1:15" x14ac:dyDescent="0.3">
      <c r="A3004">
        <v>71669</v>
      </c>
      <c r="B3004" t="s">
        <v>2</v>
      </c>
      <c r="C3004">
        <v>60</v>
      </c>
      <c r="D3004">
        <v>0</v>
      </c>
      <c r="E3004">
        <v>0</v>
      </c>
      <c r="F3004" t="str">
        <f t="shared" si="140"/>
        <v>Moderate Risk</v>
      </c>
      <c r="G3004" t="s">
        <v>3</v>
      </c>
      <c r="H3004" t="s">
        <v>4</v>
      </c>
      <c r="I3004" t="s">
        <v>9</v>
      </c>
      <c r="J3004">
        <v>65.16</v>
      </c>
      <c r="K3004">
        <v>30.8</v>
      </c>
      <c r="L3004" t="s">
        <v>11</v>
      </c>
      <c r="M3004">
        <v>0</v>
      </c>
      <c r="N3004" t="str">
        <f t="shared" si="138"/>
        <v>60+</v>
      </c>
      <c r="O3004" t="str">
        <f t="shared" si="139"/>
        <v>Obese</v>
      </c>
    </row>
    <row r="3005" spans="1:15" x14ac:dyDescent="0.3">
      <c r="A3005">
        <v>36803</v>
      </c>
      <c r="B3005" t="s">
        <v>7</v>
      </c>
      <c r="C3005">
        <v>35</v>
      </c>
      <c r="D3005">
        <v>0</v>
      </c>
      <c r="E3005">
        <v>0</v>
      </c>
      <c r="F3005" t="str">
        <f t="shared" si="140"/>
        <v>Lower Risk</v>
      </c>
      <c r="G3005" t="s">
        <v>13</v>
      </c>
      <c r="H3005" t="s">
        <v>4</v>
      </c>
      <c r="I3005" t="s">
        <v>9</v>
      </c>
      <c r="J3005">
        <v>74.53</v>
      </c>
      <c r="K3005">
        <v>24.6</v>
      </c>
      <c r="L3005" t="s">
        <v>11</v>
      </c>
      <c r="M3005">
        <v>0</v>
      </c>
      <c r="N3005" t="str">
        <f t="shared" si="138"/>
        <v>Under 40</v>
      </c>
      <c r="O3005" t="str">
        <f t="shared" si="139"/>
        <v>Normal</v>
      </c>
    </row>
    <row r="3006" spans="1:15" x14ac:dyDescent="0.3">
      <c r="A3006">
        <v>17725</v>
      </c>
      <c r="B3006" t="s">
        <v>7</v>
      </c>
      <c r="C3006">
        <v>10</v>
      </c>
      <c r="D3006">
        <v>0</v>
      </c>
      <c r="E3006">
        <v>0</v>
      </c>
      <c r="F3006" t="str">
        <f t="shared" si="140"/>
        <v>Lower Risk</v>
      </c>
      <c r="G3006" t="s">
        <v>13</v>
      </c>
      <c r="H3006" t="s">
        <v>16</v>
      </c>
      <c r="I3006" t="s">
        <v>9</v>
      </c>
      <c r="J3006">
        <v>93.29</v>
      </c>
      <c r="K3006">
        <v>20.6</v>
      </c>
      <c r="L3006" t="s">
        <v>14</v>
      </c>
      <c r="M3006">
        <v>0</v>
      </c>
      <c r="N3006" t="str">
        <f t="shared" si="138"/>
        <v>Under 40</v>
      </c>
      <c r="O3006" t="str">
        <f t="shared" si="139"/>
        <v>Normal</v>
      </c>
    </row>
    <row r="3007" spans="1:15" x14ac:dyDescent="0.3">
      <c r="A3007">
        <v>57983</v>
      </c>
      <c r="B3007" t="s">
        <v>2</v>
      </c>
      <c r="C3007">
        <v>50</v>
      </c>
      <c r="D3007">
        <v>0</v>
      </c>
      <c r="E3007">
        <v>0</v>
      </c>
      <c r="F3007" t="str">
        <f t="shared" si="140"/>
        <v>Lower Risk</v>
      </c>
      <c r="G3007" t="s">
        <v>3</v>
      </c>
      <c r="H3007" t="s">
        <v>15</v>
      </c>
      <c r="I3007" t="s">
        <v>5</v>
      </c>
      <c r="J3007">
        <v>227.89</v>
      </c>
      <c r="K3007">
        <v>38.799999999999997</v>
      </c>
      <c r="L3007" t="s">
        <v>6</v>
      </c>
      <c r="M3007">
        <v>0</v>
      </c>
      <c r="N3007" t="str">
        <f t="shared" si="138"/>
        <v>40–59</v>
      </c>
      <c r="O3007" t="str">
        <f t="shared" si="139"/>
        <v>Obese</v>
      </c>
    </row>
    <row r="3008" spans="1:15" x14ac:dyDescent="0.3">
      <c r="A3008">
        <v>68089</v>
      </c>
      <c r="B3008" t="s">
        <v>7</v>
      </c>
      <c r="C3008">
        <v>44</v>
      </c>
      <c r="D3008">
        <v>0</v>
      </c>
      <c r="E3008">
        <v>0</v>
      </c>
      <c r="F3008" t="str">
        <f t="shared" si="140"/>
        <v>Lower Risk</v>
      </c>
      <c r="G3008" t="s">
        <v>3</v>
      </c>
      <c r="H3008" t="s">
        <v>4</v>
      </c>
      <c r="I3008" t="s">
        <v>5</v>
      </c>
      <c r="J3008">
        <v>121.46</v>
      </c>
      <c r="K3008">
        <v>40.4</v>
      </c>
      <c r="L3008" t="s">
        <v>14</v>
      </c>
      <c r="M3008">
        <v>0</v>
      </c>
      <c r="N3008" t="str">
        <f t="shared" si="138"/>
        <v>40–59</v>
      </c>
      <c r="O3008" t="str">
        <f t="shared" si="139"/>
        <v>Obese</v>
      </c>
    </row>
    <row r="3009" spans="1:15" x14ac:dyDescent="0.3">
      <c r="A3009">
        <v>3135</v>
      </c>
      <c r="B3009" t="s">
        <v>7</v>
      </c>
      <c r="C3009">
        <v>73</v>
      </c>
      <c r="D3009">
        <v>0</v>
      </c>
      <c r="E3009">
        <v>0</v>
      </c>
      <c r="F3009" t="str">
        <f t="shared" si="140"/>
        <v>Moderate Risk</v>
      </c>
      <c r="G3009" t="s">
        <v>13</v>
      </c>
      <c r="H3009" t="s">
        <v>8</v>
      </c>
      <c r="I3009" t="s">
        <v>9</v>
      </c>
      <c r="J3009">
        <v>69.349999999999994</v>
      </c>
      <c r="K3009" t="s">
        <v>10</v>
      </c>
      <c r="L3009" t="s">
        <v>11</v>
      </c>
      <c r="M3009">
        <v>0</v>
      </c>
      <c r="N3009" t="str">
        <f t="shared" si="138"/>
        <v>60+</v>
      </c>
      <c r="O3009" t="str">
        <f t="shared" si="139"/>
        <v>Unknown</v>
      </c>
    </row>
    <row r="3010" spans="1:15" x14ac:dyDescent="0.3">
      <c r="A3010">
        <v>563</v>
      </c>
      <c r="B3010" t="s">
        <v>7</v>
      </c>
      <c r="C3010">
        <v>41</v>
      </c>
      <c r="D3010">
        <v>0</v>
      </c>
      <c r="E3010">
        <v>0</v>
      </c>
      <c r="F3010" t="str">
        <f t="shared" si="140"/>
        <v>Lower Risk</v>
      </c>
      <c r="G3010" t="s">
        <v>3</v>
      </c>
      <c r="H3010" t="s">
        <v>4</v>
      </c>
      <c r="I3010" t="s">
        <v>9</v>
      </c>
      <c r="J3010">
        <v>216.71</v>
      </c>
      <c r="K3010">
        <v>36.200000000000003</v>
      </c>
      <c r="L3010" t="s">
        <v>11</v>
      </c>
      <c r="M3010">
        <v>0</v>
      </c>
      <c r="N3010" t="str">
        <f t="shared" ref="N3010:N3073" si="141">IF(C3010&lt;40,"Under 40",IF(C3010&lt;60,"40–59","60+"))</f>
        <v>40–59</v>
      </c>
      <c r="O3010" t="str">
        <f t="shared" ref="O3010:O3073" si="142">IF(K3010="N/A","Unknown",
IF(K3010="","Unknown",
IF(K3010&lt;18.5,"Underweight",
IF(K3010&lt;25,"Normal",
IF(K3010&lt;30,"Overweight","Obese")))))</f>
        <v>Obese</v>
      </c>
    </row>
    <row r="3011" spans="1:15" x14ac:dyDescent="0.3">
      <c r="A3011">
        <v>19364</v>
      </c>
      <c r="B3011" t="s">
        <v>7</v>
      </c>
      <c r="C3011">
        <v>7</v>
      </c>
      <c r="D3011">
        <v>0</v>
      </c>
      <c r="E3011">
        <v>0</v>
      </c>
      <c r="F3011" t="str">
        <f t="shared" ref="F3011:F3074" si="143">IF(C3011&gt;=60,
IF(OR(D3011=1,E3011=1),"High Risk","Moderate Risk"),
"Lower Risk")</f>
        <v>Lower Risk</v>
      </c>
      <c r="G3011" t="s">
        <v>13</v>
      </c>
      <c r="H3011" t="s">
        <v>16</v>
      </c>
      <c r="I3011" t="s">
        <v>9</v>
      </c>
      <c r="J3011">
        <v>74.959999999999994</v>
      </c>
      <c r="K3011">
        <v>18.8</v>
      </c>
      <c r="L3011" t="s">
        <v>14</v>
      </c>
      <c r="M3011">
        <v>0</v>
      </c>
      <c r="N3011" t="str">
        <f t="shared" si="141"/>
        <v>Under 40</v>
      </c>
      <c r="O3011" t="str">
        <f t="shared" si="142"/>
        <v>Normal</v>
      </c>
    </row>
    <row r="3012" spans="1:15" x14ac:dyDescent="0.3">
      <c r="A3012">
        <v>34590</v>
      </c>
      <c r="B3012" t="s">
        <v>2</v>
      </c>
      <c r="C3012">
        <v>45</v>
      </c>
      <c r="D3012">
        <v>0</v>
      </c>
      <c r="E3012">
        <v>0</v>
      </c>
      <c r="F3012" t="str">
        <f t="shared" si="143"/>
        <v>Lower Risk</v>
      </c>
      <c r="G3012" t="s">
        <v>3</v>
      </c>
      <c r="H3012" t="s">
        <v>8</v>
      </c>
      <c r="I3012" t="s">
        <v>9</v>
      </c>
      <c r="J3012">
        <v>75.25</v>
      </c>
      <c r="K3012">
        <v>27.6</v>
      </c>
      <c r="L3012" t="s">
        <v>12</v>
      </c>
      <c r="M3012">
        <v>0</v>
      </c>
      <c r="N3012" t="str">
        <f t="shared" si="141"/>
        <v>40–59</v>
      </c>
      <c r="O3012" t="str">
        <f t="shared" si="142"/>
        <v>Overweight</v>
      </c>
    </row>
    <row r="3013" spans="1:15" x14ac:dyDescent="0.3">
      <c r="A3013">
        <v>55459</v>
      </c>
      <c r="B3013" t="s">
        <v>7</v>
      </c>
      <c r="C3013">
        <v>60</v>
      </c>
      <c r="D3013">
        <v>0</v>
      </c>
      <c r="E3013">
        <v>0</v>
      </c>
      <c r="F3013" t="str">
        <f t="shared" si="143"/>
        <v>Moderate Risk</v>
      </c>
      <c r="G3013" t="s">
        <v>13</v>
      </c>
      <c r="H3013" t="s">
        <v>4</v>
      </c>
      <c r="I3013" t="s">
        <v>9</v>
      </c>
      <c r="J3013">
        <v>91.82</v>
      </c>
      <c r="K3013">
        <v>28.3</v>
      </c>
      <c r="L3013" t="s">
        <v>6</v>
      </c>
      <c r="M3013">
        <v>0</v>
      </c>
      <c r="N3013" t="str">
        <f t="shared" si="141"/>
        <v>60+</v>
      </c>
      <c r="O3013" t="str">
        <f t="shared" si="142"/>
        <v>Overweight</v>
      </c>
    </row>
    <row r="3014" spans="1:15" x14ac:dyDescent="0.3">
      <c r="A3014">
        <v>38724</v>
      </c>
      <c r="B3014" t="s">
        <v>7</v>
      </c>
      <c r="C3014">
        <v>49</v>
      </c>
      <c r="D3014">
        <v>1</v>
      </c>
      <c r="E3014">
        <v>0</v>
      </c>
      <c r="F3014" t="str">
        <f t="shared" si="143"/>
        <v>Lower Risk</v>
      </c>
      <c r="G3014" t="s">
        <v>3</v>
      </c>
      <c r="H3014" t="s">
        <v>15</v>
      </c>
      <c r="I3014" t="s">
        <v>5</v>
      </c>
      <c r="J3014">
        <v>56.37</v>
      </c>
      <c r="K3014">
        <v>39.4</v>
      </c>
      <c r="L3014" t="s">
        <v>12</v>
      </c>
      <c r="M3014">
        <v>0</v>
      </c>
      <c r="N3014" t="str">
        <f t="shared" si="141"/>
        <v>40–59</v>
      </c>
      <c r="O3014" t="str">
        <f t="shared" si="142"/>
        <v>Obese</v>
      </c>
    </row>
    <row r="3015" spans="1:15" x14ac:dyDescent="0.3">
      <c r="A3015">
        <v>52968</v>
      </c>
      <c r="B3015" t="s">
        <v>7</v>
      </c>
      <c r="C3015">
        <v>45</v>
      </c>
      <c r="D3015">
        <v>0</v>
      </c>
      <c r="E3015">
        <v>0</v>
      </c>
      <c r="F3015" t="str">
        <f t="shared" si="143"/>
        <v>Lower Risk</v>
      </c>
      <c r="G3015" t="s">
        <v>3</v>
      </c>
      <c r="H3015" t="s">
        <v>8</v>
      </c>
      <c r="I3015" t="s">
        <v>9</v>
      </c>
      <c r="J3015">
        <v>149.15</v>
      </c>
      <c r="K3015">
        <v>33.5</v>
      </c>
      <c r="L3015" t="s">
        <v>14</v>
      </c>
      <c r="M3015">
        <v>0</v>
      </c>
      <c r="N3015" t="str">
        <f t="shared" si="141"/>
        <v>40–59</v>
      </c>
      <c r="O3015" t="str">
        <f t="shared" si="142"/>
        <v>Obese</v>
      </c>
    </row>
    <row r="3016" spans="1:15" x14ac:dyDescent="0.3">
      <c r="A3016">
        <v>35716</v>
      </c>
      <c r="B3016" t="s">
        <v>7</v>
      </c>
      <c r="C3016">
        <v>55</v>
      </c>
      <c r="D3016">
        <v>1</v>
      </c>
      <c r="E3016">
        <v>0</v>
      </c>
      <c r="F3016" t="str">
        <f t="shared" si="143"/>
        <v>Lower Risk</v>
      </c>
      <c r="G3016" t="s">
        <v>3</v>
      </c>
      <c r="H3016" t="s">
        <v>4</v>
      </c>
      <c r="I3016" t="s">
        <v>5</v>
      </c>
      <c r="J3016">
        <v>202.67</v>
      </c>
      <c r="K3016">
        <v>40.4</v>
      </c>
      <c r="L3016" t="s">
        <v>6</v>
      </c>
      <c r="M3016">
        <v>0</v>
      </c>
      <c r="N3016" t="str">
        <f t="shared" si="141"/>
        <v>40–59</v>
      </c>
      <c r="O3016" t="str">
        <f t="shared" si="142"/>
        <v>Obese</v>
      </c>
    </row>
    <row r="3017" spans="1:15" x14ac:dyDescent="0.3">
      <c r="A3017">
        <v>51421</v>
      </c>
      <c r="B3017" t="s">
        <v>7</v>
      </c>
      <c r="C3017">
        <v>54</v>
      </c>
      <c r="D3017">
        <v>0</v>
      </c>
      <c r="E3017">
        <v>0</v>
      </c>
      <c r="F3017" t="str">
        <f t="shared" si="143"/>
        <v>Lower Risk</v>
      </c>
      <c r="G3017" t="s">
        <v>3</v>
      </c>
      <c r="H3017" t="s">
        <v>4</v>
      </c>
      <c r="I3017" t="s">
        <v>9</v>
      </c>
      <c r="J3017">
        <v>65.38</v>
      </c>
      <c r="K3017">
        <v>25.9</v>
      </c>
      <c r="L3017" t="s">
        <v>14</v>
      </c>
      <c r="M3017">
        <v>0</v>
      </c>
      <c r="N3017" t="str">
        <f t="shared" si="141"/>
        <v>40–59</v>
      </c>
      <c r="O3017" t="str">
        <f t="shared" si="142"/>
        <v>Overweight</v>
      </c>
    </row>
    <row r="3018" spans="1:15" x14ac:dyDescent="0.3">
      <c r="A3018">
        <v>72525</v>
      </c>
      <c r="B3018" t="s">
        <v>7</v>
      </c>
      <c r="C3018">
        <v>39</v>
      </c>
      <c r="D3018">
        <v>0</v>
      </c>
      <c r="E3018">
        <v>0</v>
      </c>
      <c r="F3018" t="str">
        <f t="shared" si="143"/>
        <v>Lower Risk</v>
      </c>
      <c r="G3018" t="s">
        <v>3</v>
      </c>
      <c r="H3018" t="s">
        <v>4</v>
      </c>
      <c r="I3018" t="s">
        <v>5</v>
      </c>
      <c r="J3018">
        <v>90.31</v>
      </c>
      <c r="K3018">
        <v>27.6</v>
      </c>
      <c r="L3018" t="s">
        <v>12</v>
      </c>
      <c r="M3018">
        <v>0</v>
      </c>
      <c r="N3018" t="str">
        <f t="shared" si="141"/>
        <v>Under 40</v>
      </c>
      <c r="O3018" t="str">
        <f t="shared" si="142"/>
        <v>Overweight</v>
      </c>
    </row>
    <row r="3019" spans="1:15" x14ac:dyDescent="0.3">
      <c r="A3019">
        <v>33009</v>
      </c>
      <c r="B3019" t="s">
        <v>2</v>
      </c>
      <c r="C3019">
        <v>76</v>
      </c>
      <c r="D3019">
        <v>0</v>
      </c>
      <c r="E3019">
        <v>0</v>
      </c>
      <c r="F3019" t="str">
        <f t="shared" si="143"/>
        <v>Moderate Risk</v>
      </c>
      <c r="G3019" t="s">
        <v>3</v>
      </c>
      <c r="H3019" t="s">
        <v>8</v>
      </c>
      <c r="I3019" t="s">
        <v>9</v>
      </c>
      <c r="J3019">
        <v>221.8</v>
      </c>
      <c r="K3019">
        <v>44.7</v>
      </c>
      <c r="L3019" t="s">
        <v>6</v>
      </c>
      <c r="M3019">
        <v>0</v>
      </c>
      <c r="N3019" t="str">
        <f t="shared" si="141"/>
        <v>60+</v>
      </c>
      <c r="O3019" t="str">
        <f t="shared" si="142"/>
        <v>Obese</v>
      </c>
    </row>
    <row r="3020" spans="1:15" x14ac:dyDescent="0.3">
      <c r="A3020">
        <v>35437</v>
      </c>
      <c r="B3020" t="s">
        <v>7</v>
      </c>
      <c r="C3020">
        <v>28</v>
      </c>
      <c r="D3020">
        <v>0</v>
      </c>
      <c r="E3020">
        <v>0</v>
      </c>
      <c r="F3020" t="str">
        <f t="shared" si="143"/>
        <v>Lower Risk</v>
      </c>
      <c r="G3020" t="s">
        <v>3</v>
      </c>
      <c r="H3020" t="s">
        <v>4</v>
      </c>
      <c r="I3020" t="s">
        <v>9</v>
      </c>
      <c r="J3020">
        <v>73.39</v>
      </c>
      <c r="K3020">
        <v>30.8</v>
      </c>
      <c r="L3020" t="s">
        <v>14</v>
      </c>
      <c r="M3020">
        <v>0</v>
      </c>
      <c r="N3020" t="str">
        <f t="shared" si="141"/>
        <v>Under 40</v>
      </c>
      <c r="O3020" t="str">
        <f t="shared" si="142"/>
        <v>Obese</v>
      </c>
    </row>
    <row r="3021" spans="1:15" x14ac:dyDescent="0.3">
      <c r="A3021">
        <v>37253</v>
      </c>
      <c r="B3021" t="s">
        <v>7</v>
      </c>
      <c r="C3021">
        <v>70</v>
      </c>
      <c r="D3021">
        <v>1</v>
      </c>
      <c r="E3021">
        <v>0</v>
      </c>
      <c r="F3021" t="str">
        <f t="shared" si="143"/>
        <v>High Risk</v>
      </c>
      <c r="G3021" t="s">
        <v>3</v>
      </c>
      <c r="H3021" t="s">
        <v>4</v>
      </c>
      <c r="I3021" t="s">
        <v>5</v>
      </c>
      <c r="J3021">
        <v>147.12</v>
      </c>
      <c r="K3021">
        <v>22.3</v>
      </c>
      <c r="L3021" t="s">
        <v>6</v>
      </c>
      <c r="M3021">
        <v>0</v>
      </c>
      <c r="N3021" t="str">
        <f t="shared" si="141"/>
        <v>60+</v>
      </c>
      <c r="O3021" t="str">
        <f t="shared" si="142"/>
        <v>Normal</v>
      </c>
    </row>
    <row r="3022" spans="1:15" x14ac:dyDescent="0.3">
      <c r="A3022">
        <v>46171</v>
      </c>
      <c r="B3022" t="s">
        <v>2</v>
      </c>
      <c r="C3022">
        <v>28</v>
      </c>
      <c r="D3022">
        <v>0</v>
      </c>
      <c r="E3022">
        <v>0</v>
      </c>
      <c r="F3022" t="str">
        <f t="shared" si="143"/>
        <v>Lower Risk</v>
      </c>
      <c r="G3022" t="s">
        <v>3</v>
      </c>
      <c r="H3022" t="s">
        <v>4</v>
      </c>
      <c r="I3022" t="s">
        <v>5</v>
      </c>
      <c r="J3022">
        <v>109.85</v>
      </c>
      <c r="K3022">
        <v>27.9</v>
      </c>
      <c r="L3022" t="s">
        <v>14</v>
      </c>
      <c r="M3022">
        <v>0</v>
      </c>
      <c r="N3022" t="str">
        <f t="shared" si="141"/>
        <v>Under 40</v>
      </c>
      <c r="O3022" t="str">
        <f t="shared" si="142"/>
        <v>Overweight</v>
      </c>
    </row>
    <row r="3023" spans="1:15" x14ac:dyDescent="0.3">
      <c r="A3023">
        <v>18143</v>
      </c>
      <c r="B3023" t="s">
        <v>2</v>
      </c>
      <c r="C3023">
        <v>79</v>
      </c>
      <c r="D3023">
        <v>0</v>
      </c>
      <c r="E3023">
        <v>0</v>
      </c>
      <c r="F3023" t="str">
        <f t="shared" si="143"/>
        <v>Moderate Risk</v>
      </c>
      <c r="G3023" t="s">
        <v>3</v>
      </c>
      <c r="H3023" t="s">
        <v>8</v>
      </c>
      <c r="I3023" t="s">
        <v>9</v>
      </c>
      <c r="J3023">
        <v>103.21</v>
      </c>
      <c r="K3023">
        <v>22.9</v>
      </c>
      <c r="L3023" t="s">
        <v>6</v>
      </c>
      <c r="M3023">
        <v>0</v>
      </c>
      <c r="N3023" t="str">
        <f t="shared" si="141"/>
        <v>60+</v>
      </c>
      <c r="O3023" t="str">
        <f t="shared" si="142"/>
        <v>Normal</v>
      </c>
    </row>
    <row r="3024" spans="1:15" x14ac:dyDescent="0.3">
      <c r="A3024">
        <v>35330</v>
      </c>
      <c r="B3024" t="s">
        <v>2</v>
      </c>
      <c r="C3024">
        <v>30</v>
      </c>
      <c r="D3024">
        <v>0</v>
      </c>
      <c r="E3024">
        <v>0</v>
      </c>
      <c r="F3024" t="str">
        <f t="shared" si="143"/>
        <v>Lower Risk</v>
      </c>
      <c r="G3024" t="s">
        <v>3</v>
      </c>
      <c r="H3024" t="s">
        <v>4</v>
      </c>
      <c r="I3024" t="s">
        <v>5</v>
      </c>
      <c r="J3024">
        <v>81.25</v>
      </c>
      <c r="K3024">
        <v>27.3</v>
      </c>
      <c r="L3024" t="s">
        <v>12</v>
      </c>
      <c r="M3024">
        <v>0</v>
      </c>
      <c r="N3024" t="str">
        <f t="shared" si="141"/>
        <v>Under 40</v>
      </c>
      <c r="O3024" t="str">
        <f t="shared" si="142"/>
        <v>Overweight</v>
      </c>
    </row>
    <row r="3025" spans="1:15" x14ac:dyDescent="0.3">
      <c r="A3025">
        <v>32127</v>
      </c>
      <c r="B3025" t="s">
        <v>7</v>
      </c>
      <c r="C3025">
        <v>26</v>
      </c>
      <c r="D3025">
        <v>0</v>
      </c>
      <c r="E3025">
        <v>0</v>
      </c>
      <c r="F3025" t="str">
        <f t="shared" si="143"/>
        <v>Lower Risk</v>
      </c>
      <c r="G3025" t="s">
        <v>3</v>
      </c>
      <c r="H3025" t="s">
        <v>15</v>
      </c>
      <c r="I3025" t="s">
        <v>5</v>
      </c>
      <c r="J3025">
        <v>84.69</v>
      </c>
      <c r="K3025">
        <v>25</v>
      </c>
      <c r="L3025" t="s">
        <v>11</v>
      </c>
      <c r="M3025">
        <v>0</v>
      </c>
      <c r="N3025" t="str">
        <f t="shared" si="141"/>
        <v>Under 40</v>
      </c>
      <c r="O3025" t="str">
        <f t="shared" si="142"/>
        <v>Overweight</v>
      </c>
    </row>
    <row r="3026" spans="1:15" x14ac:dyDescent="0.3">
      <c r="A3026">
        <v>69834</v>
      </c>
      <c r="B3026" t="s">
        <v>7</v>
      </c>
      <c r="C3026">
        <v>57</v>
      </c>
      <c r="D3026">
        <v>0</v>
      </c>
      <c r="E3026">
        <v>0</v>
      </c>
      <c r="F3026" t="str">
        <f t="shared" si="143"/>
        <v>Lower Risk</v>
      </c>
      <c r="G3026" t="s">
        <v>3</v>
      </c>
      <c r="H3026" t="s">
        <v>15</v>
      </c>
      <c r="I3026" t="s">
        <v>9</v>
      </c>
      <c r="J3026">
        <v>87.1</v>
      </c>
      <c r="K3026">
        <v>48.3</v>
      </c>
      <c r="L3026" t="s">
        <v>12</v>
      </c>
      <c r="M3026">
        <v>0</v>
      </c>
      <c r="N3026" t="str">
        <f t="shared" si="141"/>
        <v>40–59</v>
      </c>
      <c r="O3026" t="str">
        <f t="shared" si="142"/>
        <v>Obese</v>
      </c>
    </row>
    <row r="3027" spans="1:15" x14ac:dyDescent="0.3">
      <c r="A3027">
        <v>56311</v>
      </c>
      <c r="B3027" t="s">
        <v>7</v>
      </c>
      <c r="C3027">
        <v>16</v>
      </c>
      <c r="D3027">
        <v>0</v>
      </c>
      <c r="E3027">
        <v>0</v>
      </c>
      <c r="F3027" t="str">
        <f t="shared" si="143"/>
        <v>Lower Risk</v>
      </c>
      <c r="G3027" t="s">
        <v>13</v>
      </c>
      <c r="H3027" t="s">
        <v>4</v>
      </c>
      <c r="I3027" t="s">
        <v>9</v>
      </c>
      <c r="J3027">
        <v>81.92</v>
      </c>
      <c r="K3027">
        <v>22.7</v>
      </c>
      <c r="L3027" t="s">
        <v>14</v>
      </c>
      <c r="M3027">
        <v>0</v>
      </c>
      <c r="N3027" t="str">
        <f t="shared" si="141"/>
        <v>Under 40</v>
      </c>
      <c r="O3027" t="str">
        <f t="shared" si="142"/>
        <v>Normal</v>
      </c>
    </row>
    <row r="3028" spans="1:15" x14ac:dyDescent="0.3">
      <c r="A3028">
        <v>13439</v>
      </c>
      <c r="B3028" t="s">
        <v>2</v>
      </c>
      <c r="C3028">
        <v>40</v>
      </c>
      <c r="D3028">
        <v>1</v>
      </c>
      <c r="E3028">
        <v>0</v>
      </c>
      <c r="F3028" t="str">
        <f t="shared" si="143"/>
        <v>Lower Risk</v>
      </c>
      <c r="G3028" t="s">
        <v>3</v>
      </c>
      <c r="H3028" t="s">
        <v>4</v>
      </c>
      <c r="I3028" t="s">
        <v>5</v>
      </c>
      <c r="J3028">
        <v>90.91</v>
      </c>
      <c r="K3028">
        <v>39.1</v>
      </c>
      <c r="L3028" t="s">
        <v>14</v>
      </c>
      <c r="M3028">
        <v>0</v>
      </c>
      <c r="N3028" t="str">
        <f t="shared" si="141"/>
        <v>40–59</v>
      </c>
      <c r="O3028" t="str">
        <f t="shared" si="142"/>
        <v>Obese</v>
      </c>
    </row>
    <row r="3029" spans="1:15" x14ac:dyDescent="0.3">
      <c r="A3029">
        <v>36366</v>
      </c>
      <c r="B3029" t="s">
        <v>2</v>
      </c>
      <c r="C3029">
        <v>77</v>
      </c>
      <c r="D3029">
        <v>0</v>
      </c>
      <c r="E3029">
        <v>0</v>
      </c>
      <c r="F3029" t="str">
        <f t="shared" si="143"/>
        <v>Moderate Risk</v>
      </c>
      <c r="G3029" t="s">
        <v>3</v>
      </c>
      <c r="H3029" t="s">
        <v>15</v>
      </c>
      <c r="I3029" t="s">
        <v>5</v>
      </c>
      <c r="J3029">
        <v>64.400000000000006</v>
      </c>
      <c r="K3029">
        <v>27.8</v>
      </c>
      <c r="L3029" t="s">
        <v>11</v>
      </c>
      <c r="M3029">
        <v>0</v>
      </c>
      <c r="N3029" t="str">
        <f t="shared" si="141"/>
        <v>60+</v>
      </c>
      <c r="O3029" t="str">
        <f t="shared" si="142"/>
        <v>Overweight</v>
      </c>
    </row>
    <row r="3030" spans="1:15" x14ac:dyDescent="0.3">
      <c r="A3030">
        <v>13111</v>
      </c>
      <c r="B3030" t="s">
        <v>7</v>
      </c>
      <c r="C3030">
        <v>67</v>
      </c>
      <c r="D3030">
        <v>1</v>
      </c>
      <c r="E3030">
        <v>0</v>
      </c>
      <c r="F3030" t="str">
        <f t="shared" si="143"/>
        <v>High Risk</v>
      </c>
      <c r="G3030" t="s">
        <v>3</v>
      </c>
      <c r="H3030" t="s">
        <v>4</v>
      </c>
      <c r="I3030" t="s">
        <v>9</v>
      </c>
      <c r="J3030">
        <v>85.48</v>
      </c>
      <c r="K3030" t="s">
        <v>10</v>
      </c>
      <c r="L3030" t="s">
        <v>12</v>
      </c>
      <c r="M3030">
        <v>0</v>
      </c>
      <c r="N3030" t="str">
        <f t="shared" si="141"/>
        <v>60+</v>
      </c>
      <c r="O3030" t="str">
        <f t="shared" si="142"/>
        <v>Unknown</v>
      </c>
    </row>
    <row r="3031" spans="1:15" x14ac:dyDescent="0.3">
      <c r="A3031">
        <v>28932</v>
      </c>
      <c r="B3031" t="s">
        <v>7</v>
      </c>
      <c r="C3031">
        <v>36</v>
      </c>
      <c r="D3031">
        <v>0</v>
      </c>
      <c r="E3031">
        <v>0</v>
      </c>
      <c r="F3031" t="str">
        <f t="shared" si="143"/>
        <v>Lower Risk</v>
      </c>
      <c r="G3031" t="s">
        <v>3</v>
      </c>
      <c r="H3031" t="s">
        <v>4</v>
      </c>
      <c r="I3031" t="s">
        <v>9</v>
      </c>
      <c r="J3031">
        <v>67.290000000000006</v>
      </c>
      <c r="K3031">
        <v>36.700000000000003</v>
      </c>
      <c r="L3031" t="s">
        <v>6</v>
      </c>
      <c r="M3031">
        <v>0</v>
      </c>
      <c r="N3031" t="str">
        <f t="shared" si="141"/>
        <v>Under 40</v>
      </c>
      <c r="O3031" t="str">
        <f t="shared" si="142"/>
        <v>Obese</v>
      </c>
    </row>
    <row r="3032" spans="1:15" x14ac:dyDescent="0.3">
      <c r="A3032">
        <v>67521</v>
      </c>
      <c r="B3032" t="s">
        <v>7</v>
      </c>
      <c r="C3032">
        <v>40</v>
      </c>
      <c r="D3032">
        <v>1</v>
      </c>
      <c r="E3032">
        <v>0</v>
      </c>
      <c r="F3032" t="str">
        <f t="shared" si="143"/>
        <v>Lower Risk</v>
      </c>
      <c r="G3032" t="s">
        <v>3</v>
      </c>
      <c r="H3032" t="s">
        <v>4</v>
      </c>
      <c r="I3032" t="s">
        <v>5</v>
      </c>
      <c r="J3032">
        <v>124.48</v>
      </c>
      <c r="K3032">
        <v>38.5</v>
      </c>
      <c r="L3032" t="s">
        <v>14</v>
      </c>
      <c r="M3032">
        <v>0</v>
      </c>
      <c r="N3032" t="str">
        <f t="shared" si="141"/>
        <v>40–59</v>
      </c>
      <c r="O3032" t="str">
        <f t="shared" si="142"/>
        <v>Obese</v>
      </c>
    </row>
    <row r="3033" spans="1:15" x14ac:dyDescent="0.3">
      <c r="A3033">
        <v>65688</v>
      </c>
      <c r="B3033" t="s">
        <v>2</v>
      </c>
      <c r="C3033">
        <v>2</v>
      </c>
      <c r="D3033">
        <v>0</v>
      </c>
      <c r="E3033">
        <v>1</v>
      </c>
      <c r="F3033" t="str">
        <f t="shared" si="143"/>
        <v>Lower Risk</v>
      </c>
      <c r="G3033" t="s">
        <v>13</v>
      </c>
      <c r="H3033" t="s">
        <v>16</v>
      </c>
      <c r="I3033" t="s">
        <v>5</v>
      </c>
      <c r="J3033">
        <v>62.89</v>
      </c>
      <c r="K3033">
        <v>29.4</v>
      </c>
      <c r="L3033" t="s">
        <v>14</v>
      </c>
      <c r="M3033">
        <v>0</v>
      </c>
      <c r="N3033" t="str">
        <f t="shared" si="141"/>
        <v>Under 40</v>
      </c>
      <c r="O3033" t="str">
        <f t="shared" si="142"/>
        <v>Overweight</v>
      </c>
    </row>
    <row r="3034" spans="1:15" x14ac:dyDescent="0.3">
      <c r="A3034">
        <v>58761</v>
      </c>
      <c r="B3034" t="s">
        <v>2</v>
      </c>
      <c r="C3034">
        <v>52</v>
      </c>
      <c r="D3034">
        <v>0</v>
      </c>
      <c r="E3034">
        <v>0</v>
      </c>
      <c r="F3034" t="str">
        <f t="shared" si="143"/>
        <v>Lower Risk</v>
      </c>
      <c r="G3034" t="s">
        <v>3</v>
      </c>
      <c r="H3034" t="s">
        <v>4</v>
      </c>
      <c r="I3034" t="s">
        <v>5</v>
      </c>
      <c r="J3034">
        <v>87.51</v>
      </c>
      <c r="K3034">
        <v>30.5</v>
      </c>
      <c r="L3034" t="s">
        <v>6</v>
      </c>
      <c r="M3034">
        <v>0</v>
      </c>
      <c r="N3034" t="str">
        <f t="shared" si="141"/>
        <v>40–59</v>
      </c>
      <c r="O3034" t="str">
        <f t="shared" si="142"/>
        <v>Obese</v>
      </c>
    </row>
    <row r="3035" spans="1:15" x14ac:dyDescent="0.3">
      <c r="A3035">
        <v>21192</v>
      </c>
      <c r="B3035" t="s">
        <v>7</v>
      </c>
      <c r="C3035">
        <v>78</v>
      </c>
      <c r="D3035">
        <v>0</v>
      </c>
      <c r="E3035">
        <v>0</v>
      </c>
      <c r="F3035" t="str">
        <f t="shared" si="143"/>
        <v>Moderate Risk</v>
      </c>
      <c r="G3035" t="s">
        <v>3</v>
      </c>
      <c r="H3035" t="s">
        <v>4</v>
      </c>
      <c r="I3035" t="s">
        <v>5</v>
      </c>
      <c r="J3035">
        <v>93.15</v>
      </c>
      <c r="K3035">
        <v>23.6</v>
      </c>
      <c r="L3035" t="s">
        <v>14</v>
      </c>
      <c r="M3035">
        <v>0</v>
      </c>
      <c r="N3035" t="str">
        <f t="shared" si="141"/>
        <v>60+</v>
      </c>
      <c r="O3035" t="str">
        <f t="shared" si="142"/>
        <v>Normal</v>
      </c>
    </row>
    <row r="3036" spans="1:15" x14ac:dyDescent="0.3">
      <c r="A3036">
        <v>72348</v>
      </c>
      <c r="B3036" t="s">
        <v>7</v>
      </c>
      <c r="C3036">
        <v>22</v>
      </c>
      <c r="D3036">
        <v>0</v>
      </c>
      <c r="E3036">
        <v>0</v>
      </c>
      <c r="F3036" t="str">
        <f t="shared" si="143"/>
        <v>Lower Risk</v>
      </c>
      <c r="G3036" t="s">
        <v>13</v>
      </c>
      <c r="H3036" t="s">
        <v>4</v>
      </c>
      <c r="I3036" t="s">
        <v>5</v>
      </c>
      <c r="J3036">
        <v>64.87</v>
      </c>
      <c r="K3036">
        <v>20.6</v>
      </c>
      <c r="L3036" t="s">
        <v>14</v>
      </c>
      <c r="M3036">
        <v>0</v>
      </c>
      <c r="N3036" t="str">
        <f t="shared" si="141"/>
        <v>Under 40</v>
      </c>
      <c r="O3036" t="str">
        <f t="shared" si="142"/>
        <v>Normal</v>
      </c>
    </row>
    <row r="3037" spans="1:15" x14ac:dyDescent="0.3">
      <c r="A3037">
        <v>1825</v>
      </c>
      <c r="B3037" t="s">
        <v>2</v>
      </c>
      <c r="C3037">
        <v>33</v>
      </c>
      <c r="D3037">
        <v>0</v>
      </c>
      <c r="E3037">
        <v>0</v>
      </c>
      <c r="F3037" t="str">
        <f t="shared" si="143"/>
        <v>Lower Risk</v>
      </c>
      <c r="G3037" t="s">
        <v>3</v>
      </c>
      <c r="H3037" t="s">
        <v>8</v>
      </c>
      <c r="I3037" t="s">
        <v>5</v>
      </c>
      <c r="J3037">
        <v>90.68</v>
      </c>
      <c r="K3037">
        <v>31.7</v>
      </c>
      <c r="L3037" t="s">
        <v>12</v>
      </c>
      <c r="M3037">
        <v>0</v>
      </c>
      <c r="N3037" t="str">
        <f t="shared" si="141"/>
        <v>Under 40</v>
      </c>
      <c r="O3037" t="str">
        <f t="shared" si="142"/>
        <v>Obese</v>
      </c>
    </row>
    <row r="3038" spans="1:15" x14ac:dyDescent="0.3">
      <c r="A3038">
        <v>25674</v>
      </c>
      <c r="B3038" t="s">
        <v>2</v>
      </c>
      <c r="C3038">
        <v>40</v>
      </c>
      <c r="D3038">
        <v>0</v>
      </c>
      <c r="E3038">
        <v>0</v>
      </c>
      <c r="F3038" t="str">
        <f t="shared" si="143"/>
        <v>Lower Risk</v>
      </c>
      <c r="G3038" t="s">
        <v>3</v>
      </c>
      <c r="H3038" t="s">
        <v>4</v>
      </c>
      <c r="I3038" t="s">
        <v>5</v>
      </c>
      <c r="J3038">
        <v>104.64</v>
      </c>
      <c r="K3038">
        <v>24.9</v>
      </c>
      <c r="L3038" t="s">
        <v>14</v>
      </c>
      <c r="M3038">
        <v>0</v>
      </c>
      <c r="N3038" t="str">
        <f t="shared" si="141"/>
        <v>40–59</v>
      </c>
      <c r="O3038" t="str">
        <f t="shared" si="142"/>
        <v>Normal</v>
      </c>
    </row>
    <row r="3039" spans="1:15" x14ac:dyDescent="0.3">
      <c r="A3039">
        <v>33035</v>
      </c>
      <c r="B3039" t="s">
        <v>7</v>
      </c>
      <c r="C3039">
        <v>20</v>
      </c>
      <c r="D3039">
        <v>0</v>
      </c>
      <c r="E3039">
        <v>0</v>
      </c>
      <c r="F3039" t="str">
        <f t="shared" si="143"/>
        <v>Lower Risk</v>
      </c>
      <c r="G3039" t="s">
        <v>13</v>
      </c>
      <c r="H3039" t="s">
        <v>4</v>
      </c>
      <c r="I3039" t="s">
        <v>5</v>
      </c>
      <c r="J3039">
        <v>92.44</v>
      </c>
      <c r="K3039">
        <v>33.4</v>
      </c>
      <c r="L3039" t="s">
        <v>11</v>
      </c>
      <c r="M3039">
        <v>0</v>
      </c>
      <c r="N3039" t="str">
        <f t="shared" si="141"/>
        <v>Under 40</v>
      </c>
      <c r="O3039" t="str">
        <f t="shared" si="142"/>
        <v>Obese</v>
      </c>
    </row>
    <row r="3040" spans="1:15" x14ac:dyDescent="0.3">
      <c r="A3040">
        <v>54297</v>
      </c>
      <c r="B3040" t="s">
        <v>2</v>
      </c>
      <c r="C3040">
        <v>19</v>
      </c>
      <c r="D3040">
        <v>0</v>
      </c>
      <c r="E3040">
        <v>0</v>
      </c>
      <c r="F3040" t="str">
        <f t="shared" si="143"/>
        <v>Lower Risk</v>
      </c>
      <c r="G3040" t="s">
        <v>13</v>
      </c>
      <c r="H3040" t="s">
        <v>4</v>
      </c>
      <c r="I3040" t="s">
        <v>9</v>
      </c>
      <c r="J3040">
        <v>120.46</v>
      </c>
      <c r="K3040">
        <v>22.2</v>
      </c>
      <c r="L3040" t="s">
        <v>14</v>
      </c>
      <c r="M3040">
        <v>0</v>
      </c>
      <c r="N3040" t="str">
        <f t="shared" si="141"/>
        <v>Under 40</v>
      </c>
      <c r="O3040" t="str">
        <f t="shared" si="142"/>
        <v>Normal</v>
      </c>
    </row>
    <row r="3041" spans="1:15" x14ac:dyDescent="0.3">
      <c r="A3041">
        <v>9122</v>
      </c>
      <c r="B3041" t="s">
        <v>2</v>
      </c>
      <c r="C3041">
        <v>25</v>
      </c>
      <c r="D3041">
        <v>0</v>
      </c>
      <c r="E3041">
        <v>0</v>
      </c>
      <c r="F3041" t="str">
        <f t="shared" si="143"/>
        <v>Lower Risk</v>
      </c>
      <c r="G3041" t="s">
        <v>3</v>
      </c>
      <c r="H3041" t="s">
        <v>4</v>
      </c>
      <c r="I3041" t="s">
        <v>5</v>
      </c>
      <c r="J3041">
        <v>89.87</v>
      </c>
      <c r="K3041">
        <v>26.5</v>
      </c>
      <c r="L3041" t="s">
        <v>11</v>
      </c>
      <c r="M3041">
        <v>0</v>
      </c>
      <c r="N3041" t="str">
        <f t="shared" si="141"/>
        <v>Under 40</v>
      </c>
      <c r="O3041" t="str">
        <f t="shared" si="142"/>
        <v>Overweight</v>
      </c>
    </row>
    <row r="3042" spans="1:15" x14ac:dyDescent="0.3">
      <c r="A3042">
        <v>1218</v>
      </c>
      <c r="B3042" t="s">
        <v>7</v>
      </c>
      <c r="C3042">
        <v>23</v>
      </c>
      <c r="D3042">
        <v>0</v>
      </c>
      <c r="E3042">
        <v>0</v>
      </c>
      <c r="F3042" t="str">
        <f t="shared" si="143"/>
        <v>Lower Risk</v>
      </c>
      <c r="G3042" t="s">
        <v>13</v>
      </c>
      <c r="H3042" t="s">
        <v>4</v>
      </c>
      <c r="I3042" t="s">
        <v>5</v>
      </c>
      <c r="J3042">
        <v>105.28</v>
      </c>
      <c r="K3042">
        <v>27.1</v>
      </c>
      <c r="L3042" t="s">
        <v>6</v>
      </c>
      <c r="M3042">
        <v>0</v>
      </c>
      <c r="N3042" t="str">
        <f t="shared" si="141"/>
        <v>Under 40</v>
      </c>
      <c r="O3042" t="str">
        <f t="shared" si="142"/>
        <v>Overweight</v>
      </c>
    </row>
    <row r="3043" spans="1:15" x14ac:dyDescent="0.3">
      <c r="A3043">
        <v>57210</v>
      </c>
      <c r="B3043" t="s">
        <v>7</v>
      </c>
      <c r="C3043">
        <v>28</v>
      </c>
      <c r="D3043">
        <v>0</v>
      </c>
      <c r="E3043">
        <v>0</v>
      </c>
      <c r="F3043" t="str">
        <f t="shared" si="143"/>
        <v>Lower Risk</v>
      </c>
      <c r="G3043" t="s">
        <v>3</v>
      </c>
      <c r="H3043" t="s">
        <v>4</v>
      </c>
      <c r="I3043" t="s">
        <v>9</v>
      </c>
      <c r="J3043">
        <v>131.80000000000001</v>
      </c>
      <c r="K3043">
        <v>30.3</v>
      </c>
      <c r="L3043" t="s">
        <v>11</v>
      </c>
      <c r="M3043">
        <v>0</v>
      </c>
      <c r="N3043" t="str">
        <f t="shared" si="141"/>
        <v>Under 40</v>
      </c>
      <c r="O3043" t="str">
        <f t="shared" si="142"/>
        <v>Obese</v>
      </c>
    </row>
    <row r="3044" spans="1:15" x14ac:dyDescent="0.3">
      <c r="A3044">
        <v>37096</v>
      </c>
      <c r="B3044" t="s">
        <v>7</v>
      </c>
      <c r="C3044">
        <v>6</v>
      </c>
      <c r="D3044">
        <v>0</v>
      </c>
      <c r="E3044">
        <v>0</v>
      </c>
      <c r="F3044" t="str">
        <f t="shared" si="143"/>
        <v>Lower Risk</v>
      </c>
      <c r="G3044" t="s">
        <v>13</v>
      </c>
      <c r="H3044" t="s">
        <v>16</v>
      </c>
      <c r="I3044" t="s">
        <v>9</v>
      </c>
      <c r="J3044">
        <v>66.33</v>
      </c>
      <c r="K3044">
        <v>18.600000000000001</v>
      </c>
      <c r="L3044" t="s">
        <v>14</v>
      </c>
      <c r="M3044">
        <v>0</v>
      </c>
      <c r="N3044" t="str">
        <f t="shared" si="141"/>
        <v>Under 40</v>
      </c>
      <c r="O3044" t="str">
        <f t="shared" si="142"/>
        <v>Normal</v>
      </c>
    </row>
    <row r="3045" spans="1:15" x14ac:dyDescent="0.3">
      <c r="A3045">
        <v>38243</v>
      </c>
      <c r="B3045" t="s">
        <v>7</v>
      </c>
      <c r="C3045">
        <v>37</v>
      </c>
      <c r="D3045">
        <v>0</v>
      </c>
      <c r="E3045">
        <v>0</v>
      </c>
      <c r="F3045" t="str">
        <f t="shared" si="143"/>
        <v>Lower Risk</v>
      </c>
      <c r="G3045" t="s">
        <v>3</v>
      </c>
      <c r="H3045" t="s">
        <v>4</v>
      </c>
      <c r="I3045" t="s">
        <v>9</v>
      </c>
      <c r="J3045">
        <v>101.07</v>
      </c>
      <c r="K3045">
        <v>26.4</v>
      </c>
      <c r="L3045" t="s">
        <v>14</v>
      </c>
      <c r="M3045">
        <v>0</v>
      </c>
      <c r="N3045" t="str">
        <f t="shared" si="141"/>
        <v>Under 40</v>
      </c>
      <c r="O3045" t="str">
        <f t="shared" si="142"/>
        <v>Overweight</v>
      </c>
    </row>
    <row r="3046" spans="1:15" x14ac:dyDescent="0.3">
      <c r="A3046">
        <v>17198</v>
      </c>
      <c r="B3046" t="s">
        <v>7</v>
      </c>
      <c r="C3046">
        <v>10</v>
      </c>
      <c r="D3046">
        <v>0</v>
      </c>
      <c r="E3046">
        <v>0</v>
      </c>
      <c r="F3046" t="str">
        <f t="shared" si="143"/>
        <v>Lower Risk</v>
      </c>
      <c r="G3046" t="s">
        <v>13</v>
      </c>
      <c r="H3046" t="s">
        <v>16</v>
      </c>
      <c r="I3046" t="s">
        <v>9</v>
      </c>
      <c r="J3046">
        <v>83.37</v>
      </c>
      <c r="K3046">
        <v>17.8</v>
      </c>
      <c r="L3046" t="s">
        <v>6</v>
      </c>
      <c r="M3046">
        <v>0</v>
      </c>
      <c r="N3046" t="str">
        <f t="shared" si="141"/>
        <v>Under 40</v>
      </c>
      <c r="O3046" t="str">
        <f t="shared" si="142"/>
        <v>Underweight</v>
      </c>
    </row>
    <row r="3047" spans="1:15" x14ac:dyDescent="0.3">
      <c r="A3047">
        <v>70884</v>
      </c>
      <c r="B3047" t="s">
        <v>7</v>
      </c>
      <c r="C3047">
        <v>34</v>
      </c>
      <c r="D3047">
        <v>0</v>
      </c>
      <c r="E3047">
        <v>0</v>
      </c>
      <c r="F3047" t="str">
        <f t="shared" si="143"/>
        <v>Lower Risk</v>
      </c>
      <c r="G3047" t="s">
        <v>3</v>
      </c>
      <c r="H3047" t="s">
        <v>4</v>
      </c>
      <c r="I3047" t="s">
        <v>5</v>
      </c>
      <c r="J3047">
        <v>79.8</v>
      </c>
      <c r="K3047">
        <v>37.4</v>
      </c>
      <c r="L3047" t="s">
        <v>12</v>
      </c>
      <c r="M3047">
        <v>0</v>
      </c>
      <c r="N3047" t="str">
        <f t="shared" si="141"/>
        <v>Under 40</v>
      </c>
      <c r="O3047" t="str">
        <f t="shared" si="142"/>
        <v>Obese</v>
      </c>
    </row>
    <row r="3048" spans="1:15" x14ac:dyDescent="0.3">
      <c r="A3048">
        <v>51809</v>
      </c>
      <c r="B3048" t="s">
        <v>7</v>
      </c>
      <c r="C3048">
        <v>60</v>
      </c>
      <c r="D3048">
        <v>0</v>
      </c>
      <c r="E3048">
        <v>0</v>
      </c>
      <c r="F3048" t="str">
        <f t="shared" si="143"/>
        <v>Moderate Risk</v>
      </c>
      <c r="G3048" t="s">
        <v>3</v>
      </c>
      <c r="H3048" t="s">
        <v>8</v>
      </c>
      <c r="I3048" t="s">
        <v>9</v>
      </c>
      <c r="J3048">
        <v>103.17</v>
      </c>
      <c r="K3048">
        <v>32.1</v>
      </c>
      <c r="L3048" t="s">
        <v>6</v>
      </c>
      <c r="M3048">
        <v>0</v>
      </c>
      <c r="N3048" t="str">
        <f t="shared" si="141"/>
        <v>60+</v>
      </c>
      <c r="O3048" t="str">
        <f t="shared" si="142"/>
        <v>Obese</v>
      </c>
    </row>
    <row r="3049" spans="1:15" x14ac:dyDescent="0.3">
      <c r="A3049">
        <v>40602</v>
      </c>
      <c r="B3049" t="s">
        <v>7</v>
      </c>
      <c r="C3049">
        <v>22</v>
      </c>
      <c r="D3049">
        <v>0</v>
      </c>
      <c r="E3049">
        <v>0</v>
      </c>
      <c r="F3049" t="str">
        <f t="shared" si="143"/>
        <v>Lower Risk</v>
      </c>
      <c r="G3049" t="s">
        <v>13</v>
      </c>
      <c r="H3049" t="s">
        <v>4</v>
      </c>
      <c r="I3049" t="s">
        <v>5</v>
      </c>
      <c r="J3049">
        <v>62.52</v>
      </c>
      <c r="K3049">
        <v>38.200000000000003</v>
      </c>
      <c r="L3049" t="s">
        <v>11</v>
      </c>
      <c r="M3049">
        <v>0</v>
      </c>
      <c r="N3049" t="str">
        <f t="shared" si="141"/>
        <v>Under 40</v>
      </c>
      <c r="O3049" t="str">
        <f t="shared" si="142"/>
        <v>Obese</v>
      </c>
    </row>
    <row r="3050" spans="1:15" x14ac:dyDescent="0.3">
      <c r="A3050">
        <v>65116</v>
      </c>
      <c r="B3050" t="s">
        <v>7</v>
      </c>
      <c r="C3050">
        <v>62</v>
      </c>
      <c r="D3050">
        <v>1</v>
      </c>
      <c r="E3050">
        <v>0</v>
      </c>
      <c r="F3050" t="str">
        <f t="shared" si="143"/>
        <v>High Risk</v>
      </c>
      <c r="G3050" t="s">
        <v>3</v>
      </c>
      <c r="H3050" t="s">
        <v>8</v>
      </c>
      <c r="I3050" t="s">
        <v>5</v>
      </c>
      <c r="J3050">
        <v>75.78</v>
      </c>
      <c r="K3050" t="s">
        <v>10</v>
      </c>
      <c r="L3050" t="s">
        <v>12</v>
      </c>
      <c r="M3050">
        <v>0</v>
      </c>
      <c r="N3050" t="str">
        <f t="shared" si="141"/>
        <v>60+</v>
      </c>
      <c r="O3050" t="str">
        <f t="shared" si="142"/>
        <v>Unknown</v>
      </c>
    </row>
    <row r="3051" spans="1:15" x14ac:dyDescent="0.3">
      <c r="A3051">
        <v>70455</v>
      </c>
      <c r="B3051" t="s">
        <v>7</v>
      </c>
      <c r="C3051">
        <v>52</v>
      </c>
      <c r="D3051">
        <v>0</v>
      </c>
      <c r="E3051">
        <v>0</v>
      </c>
      <c r="F3051" t="str">
        <f t="shared" si="143"/>
        <v>Lower Risk</v>
      </c>
      <c r="G3051" t="s">
        <v>3</v>
      </c>
      <c r="H3051" t="s">
        <v>15</v>
      </c>
      <c r="I3051" t="s">
        <v>5</v>
      </c>
      <c r="J3051">
        <v>110.36</v>
      </c>
      <c r="K3051">
        <v>39.1</v>
      </c>
      <c r="L3051" t="s">
        <v>6</v>
      </c>
      <c r="M3051">
        <v>0</v>
      </c>
      <c r="N3051" t="str">
        <f t="shared" si="141"/>
        <v>40–59</v>
      </c>
      <c r="O3051" t="str">
        <f t="shared" si="142"/>
        <v>Obese</v>
      </c>
    </row>
    <row r="3052" spans="1:15" x14ac:dyDescent="0.3">
      <c r="A3052">
        <v>41618</v>
      </c>
      <c r="B3052" t="s">
        <v>2</v>
      </c>
      <c r="C3052">
        <v>61</v>
      </c>
      <c r="D3052">
        <v>0</v>
      </c>
      <c r="E3052">
        <v>0</v>
      </c>
      <c r="F3052" t="str">
        <f t="shared" si="143"/>
        <v>Moderate Risk</v>
      </c>
      <c r="G3052" t="s">
        <v>13</v>
      </c>
      <c r="H3052" t="s">
        <v>4</v>
      </c>
      <c r="I3052" t="s">
        <v>9</v>
      </c>
      <c r="J3052">
        <v>140.07</v>
      </c>
      <c r="K3052">
        <v>29.5</v>
      </c>
      <c r="L3052" t="s">
        <v>11</v>
      </c>
      <c r="M3052">
        <v>0</v>
      </c>
      <c r="N3052" t="str">
        <f t="shared" si="141"/>
        <v>60+</v>
      </c>
      <c r="O3052" t="str">
        <f t="shared" si="142"/>
        <v>Overweight</v>
      </c>
    </row>
    <row r="3053" spans="1:15" x14ac:dyDescent="0.3">
      <c r="A3053">
        <v>21209</v>
      </c>
      <c r="B3053" t="s">
        <v>7</v>
      </c>
      <c r="C3053">
        <v>10</v>
      </c>
      <c r="D3053">
        <v>0</v>
      </c>
      <c r="E3053">
        <v>0</v>
      </c>
      <c r="F3053" t="str">
        <f t="shared" si="143"/>
        <v>Lower Risk</v>
      </c>
      <c r="G3053" t="s">
        <v>13</v>
      </c>
      <c r="H3053" t="s">
        <v>16</v>
      </c>
      <c r="I3053" t="s">
        <v>9</v>
      </c>
      <c r="J3053">
        <v>84.86</v>
      </c>
      <c r="K3053">
        <v>28.6</v>
      </c>
      <c r="L3053" t="s">
        <v>11</v>
      </c>
      <c r="M3053">
        <v>0</v>
      </c>
      <c r="N3053" t="str">
        <f t="shared" si="141"/>
        <v>Under 40</v>
      </c>
      <c r="O3053" t="str">
        <f t="shared" si="142"/>
        <v>Overweight</v>
      </c>
    </row>
    <row r="3054" spans="1:15" x14ac:dyDescent="0.3">
      <c r="A3054">
        <v>26103</v>
      </c>
      <c r="B3054" t="s">
        <v>2</v>
      </c>
      <c r="C3054">
        <v>36</v>
      </c>
      <c r="D3054">
        <v>0</v>
      </c>
      <c r="E3054">
        <v>0</v>
      </c>
      <c r="F3054" t="str">
        <f t="shared" si="143"/>
        <v>Lower Risk</v>
      </c>
      <c r="G3054" t="s">
        <v>3</v>
      </c>
      <c r="H3054" t="s">
        <v>4</v>
      </c>
      <c r="I3054" t="s">
        <v>9</v>
      </c>
      <c r="J3054">
        <v>106.85</v>
      </c>
      <c r="K3054">
        <v>40.1</v>
      </c>
      <c r="L3054" t="s">
        <v>11</v>
      </c>
      <c r="M3054">
        <v>0</v>
      </c>
      <c r="N3054" t="str">
        <f t="shared" si="141"/>
        <v>Under 40</v>
      </c>
      <c r="O3054" t="str">
        <f t="shared" si="142"/>
        <v>Obese</v>
      </c>
    </row>
    <row r="3055" spans="1:15" x14ac:dyDescent="0.3">
      <c r="A3055">
        <v>10436</v>
      </c>
      <c r="B3055" t="s">
        <v>7</v>
      </c>
      <c r="C3055">
        <v>29</v>
      </c>
      <c r="D3055">
        <v>0</v>
      </c>
      <c r="E3055">
        <v>0</v>
      </c>
      <c r="F3055" t="str">
        <f t="shared" si="143"/>
        <v>Lower Risk</v>
      </c>
      <c r="G3055" t="s">
        <v>3</v>
      </c>
      <c r="H3055" t="s">
        <v>4</v>
      </c>
      <c r="I3055" t="s">
        <v>9</v>
      </c>
      <c r="J3055">
        <v>102.07</v>
      </c>
      <c r="K3055">
        <v>31.8</v>
      </c>
      <c r="L3055" t="s">
        <v>11</v>
      </c>
      <c r="M3055">
        <v>0</v>
      </c>
      <c r="N3055" t="str">
        <f t="shared" si="141"/>
        <v>Under 40</v>
      </c>
      <c r="O3055" t="str">
        <f t="shared" si="142"/>
        <v>Obese</v>
      </c>
    </row>
    <row r="3056" spans="1:15" x14ac:dyDescent="0.3">
      <c r="A3056">
        <v>16550</v>
      </c>
      <c r="B3056" t="s">
        <v>7</v>
      </c>
      <c r="C3056">
        <v>69</v>
      </c>
      <c r="D3056">
        <v>0</v>
      </c>
      <c r="E3056">
        <v>1</v>
      </c>
      <c r="F3056" t="str">
        <f t="shared" si="143"/>
        <v>High Risk</v>
      </c>
      <c r="G3056" t="s">
        <v>13</v>
      </c>
      <c r="H3056" t="s">
        <v>15</v>
      </c>
      <c r="I3056" t="s">
        <v>5</v>
      </c>
      <c r="J3056">
        <v>202.38</v>
      </c>
      <c r="K3056">
        <v>34.6</v>
      </c>
      <c r="L3056" t="s">
        <v>14</v>
      </c>
      <c r="M3056">
        <v>0</v>
      </c>
      <c r="N3056" t="str">
        <f t="shared" si="141"/>
        <v>60+</v>
      </c>
      <c r="O3056" t="str">
        <f t="shared" si="142"/>
        <v>Obese</v>
      </c>
    </row>
    <row r="3057" spans="1:15" x14ac:dyDescent="0.3">
      <c r="A3057">
        <v>17697</v>
      </c>
      <c r="B3057" t="s">
        <v>7</v>
      </c>
      <c r="C3057">
        <v>62</v>
      </c>
      <c r="D3057">
        <v>0</v>
      </c>
      <c r="E3057">
        <v>0</v>
      </c>
      <c r="F3057" t="str">
        <f t="shared" si="143"/>
        <v>Moderate Risk</v>
      </c>
      <c r="G3057" t="s">
        <v>3</v>
      </c>
      <c r="H3057" t="s">
        <v>15</v>
      </c>
      <c r="I3057" t="s">
        <v>5</v>
      </c>
      <c r="J3057">
        <v>67.069999999999993</v>
      </c>
      <c r="K3057">
        <v>24.5</v>
      </c>
      <c r="L3057" t="s">
        <v>11</v>
      </c>
      <c r="M3057">
        <v>0</v>
      </c>
      <c r="N3057" t="str">
        <f t="shared" si="141"/>
        <v>60+</v>
      </c>
      <c r="O3057" t="str">
        <f t="shared" si="142"/>
        <v>Normal</v>
      </c>
    </row>
    <row r="3058" spans="1:15" x14ac:dyDescent="0.3">
      <c r="A3058">
        <v>10744</v>
      </c>
      <c r="B3058" t="s">
        <v>2</v>
      </c>
      <c r="C3058">
        <v>62</v>
      </c>
      <c r="D3058">
        <v>0</v>
      </c>
      <c r="E3058">
        <v>1</v>
      </c>
      <c r="F3058" t="str">
        <f t="shared" si="143"/>
        <v>High Risk</v>
      </c>
      <c r="G3058" t="s">
        <v>3</v>
      </c>
      <c r="H3058" t="s">
        <v>15</v>
      </c>
      <c r="I3058" t="s">
        <v>9</v>
      </c>
      <c r="J3058">
        <v>73.7</v>
      </c>
      <c r="K3058">
        <v>26.2</v>
      </c>
      <c r="L3058" t="s">
        <v>11</v>
      </c>
      <c r="M3058">
        <v>0</v>
      </c>
      <c r="N3058" t="str">
        <f t="shared" si="141"/>
        <v>60+</v>
      </c>
      <c r="O3058" t="str">
        <f t="shared" si="142"/>
        <v>Overweight</v>
      </c>
    </row>
    <row r="3059" spans="1:15" x14ac:dyDescent="0.3">
      <c r="A3059">
        <v>7799</v>
      </c>
      <c r="B3059" t="s">
        <v>7</v>
      </c>
      <c r="C3059">
        <v>79</v>
      </c>
      <c r="D3059">
        <v>0</v>
      </c>
      <c r="E3059">
        <v>0</v>
      </c>
      <c r="F3059" t="str">
        <f t="shared" si="143"/>
        <v>Moderate Risk</v>
      </c>
      <c r="G3059" t="s">
        <v>13</v>
      </c>
      <c r="H3059" t="s">
        <v>8</v>
      </c>
      <c r="I3059" t="s">
        <v>5</v>
      </c>
      <c r="J3059">
        <v>77.59</v>
      </c>
      <c r="K3059">
        <v>33</v>
      </c>
      <c r="L3059" t="s">
        <v>11</v>
      </c>
      <c r="M3059">
        <v>0</v>
      </c>
      <c r="N3059" t="str">
        <f t="shared" si="141"/>
        <v>60+</v>
      </c>
      <c r="O3059" t="str">
        <f t="shared" si="142"/>
        <v>Obese</v>
      </c>
    </row>
    <row r="3060" spans="1:15" x14ac:dyDescent="0.3">
      <c r="A3060">
        <v>57183</v>
      </c>
      <c r="B3060" t="s">
        <v>2</v>
      </c>
      <c r="C3060">
        <v>13</v>
      </c>
      <c r="D3060">
        <v>0</v>
      </c>
      <c r="E3060">
        <v>0</v>
      </c>
      <c r="F3060" t="str">
        <f t="shared" si="143"/>
        <v>Lower Risk</v>
      </c>
      <c r="G3060" t="s">
        <v>13</v>
      </c>
      <c r="H3060" t="s">
        <v>16</v>
      </c>
      <c r="I3060" t="s">
        <v>9</v>
      </c>
      <c r="J3060">
        <v>69.16</v>
      </c>
      <c r="K3060">
        <v>22.3</v>
      </c>
      <c r="L3060" t="s">
        <v>14</v>
      </c>
      <c r="M3060">
        <v>0</v>
      </c>
      <c r="N3060" t="str">
        <f t="shared" si="141"/>
        <v>Under 40</v>
      </c>
      <c r="O3060" t="str">
        <f t="shared" si="142"/>
        <v>Normal</v>
      </c>
    </row>
    <row r="3061" spans="1:15" x14ac:dyDescent="0.3">
      <c r="A3061">
        <v>121</v>
      </c>
      <c r="B3061" t="s">
        <v>7</v>
      </c>
      <c r="C3061">
        <v>38</v>
      </c>
      <c r="D3061">
        <v>0</v>
      </c>
      <c r="E3061">
        <v>0</v>
      </c>
      <c r="F3061" t="str">
        <f t="shared" si="143"/>
        <v>Lower Risk</v>
      </c>
      <c r="G3061" t="s">
        <v>3</v>
      </c>
      <c r="H3061" t="s">
        <v>4</v>
      </c>
      <c r="I3061" t="s">
        <v>5</v>
      </c>
      <c r="J3061">
        <v>91.44</v>
      </c>
      <c r="K3061" t="s">
        <v>10</v>
      </c>
      <c r="L3061" t="s">
        <v>14</v>
      </c>
      <c r="M3061">
        <v>0</v>
      </c>
      <c r="N3061" t="str">
        <f t="shared" si="141"/>
        <v>Under 40</v>
      </c>
      <c r="O3061" t="str">
        <f t="shared" si="142"/>
        <v>Unknown</v>
      </c>
    </row>
    <row r="3062" spans="1:15" x14ac:dyDescent="0.3">
      <c r="A3062">
        <v>32604</v>
      </c>
      <c r="B3062" t="s">
        <v>2</v>
      </c>
      <c r="C3062">
        <v>49</v>
      </c>
      <c r="D3062">
        <v>0</v>
      </c>
      <c r="E3062">
        <v>0</v>
      </c>
      <c r="F3062" t="str">
        <f t="shared" si="143"/>
        <v>Lower Risk</v>
      </c>
      <c r="G3062" t="s">
        <v>3</v>
      </c>
      <c r="H3062" t="s">
        <v>8</v>
      </c>
      <c r="I3062" t="s">
        <v>9</v>
      </c>
      <c r="J3062">
        <v>215.81</v>
      </c>
      <c r="K3062">
        <v>58.1</v>
      </c>
      <c r="L3062" t="s">
        <v>11</v>
      </c>
      <c r="M3062">
        <v>0</v>
      </c>
      <c r="N3062" t="str">
        <f t="shared" si="141"/>
        <v>40–59</v>
      </c>
      <c r="O3062" t="str">
        <f t="shared" si="142"/>
        <v>Obese</v>
      </c>
    </row>
    <row r="3063" spans="1:15" x14ac:dyDescent="0.3">
      <c r="A3063">
        <v>49883</v>
      </c>
      <c r="B3063" t="s">
        <v>7</v>
      </c>
      <c r="C3063">
        <v>41</v>
      </c>
      <c r="D3063">
        <v>0</v>
      </c>
      <c r="E3063">
        <v>0</v>
      </c>
      <c r="F3063" t="str">
        <f t="shared" si="143"/>
        <v>Lower Risk</v>
      </c>
      <c r="G3063" t="s">
        <v>3</v>
      </c>
      <c r="H3063" t="s">
        <v>4</v>
      </c>
      <c r="I3063" t="s">
        <v>9</v>
      </c>
      <c r="J3063">
        <v>65.400000000000006</v>
      </c>
      <c r="K3063">
        <v>36.9</v>
      </c>
      <c r="L3063" t="s">
        <v>6</v>
      </c>
      <c r="M3063">
        <v>0</v>
      </c>
      <c r="N3063" t="str">
        <f t="shared" si="141"/>
        <v>40–59</v>
      </c>
      <c r="O3063" t="str">
        <f t="shared" si="142"/>
        <v>Obese</v>
      </c>
    </row>
    <row r="3064" spans="1:15" x14ac:dyDescent="0.3">
      <c r="A3064">
        <v>68242</v>
      </c>
      <c r="B3064" t="s">
        <v>2</v>
      </c>
      <c r="C3064">
        <v>56</v>
      </c>
      <c r="D3064">
        <v>0</v>
      </c>
      <c r="E3064">
        <v>0</v>
      </c>
      <c r="F3064" t="str">
        <f t="shared" si="143"/>
        <v>Lower Risk</v>
      </c>
      <c r="G3064" t="s">
        <v>3</v>
      </c>
      <c r="H3064" t="s">
        <v>4</v>
      </c>
      <c r="I3064" t="s">
        <v>5</v>
      </c>
      <c r="J3064">
        <v>139.72</v>
      </c>
      <c r="K3064">
        <v>43.9</v>
      </c>
      <c r="L3064" t="s">
        <v>11</v>
      </c>
      <c r="M3064">
        <v>0</v>
      </c>
      <c r="N3064" t="str">
        <f t="shared" si="141"/>
        <v>40–59</v>
      </c>
      <c r="O3064" t="str">
        <f t="shared" si="142"/>
        <v>Obese</v>
      </c>
    </row>
    <row r="3065" spans="1:15" x14ac:dyDescent="0.3">
      <c r="A3065">
        <v>33726</v>
      </c>
      <c r="B3065" t="s">
        <v>7</v>
      </c>
      <c r="C3065">
        <v>8</v>
      </c>
      <c r="D3065">
        <v>0</v>
      </c>
      <c r="E3065">
        <v>0</v>
      </c>
      <c r="F3065" t="str">
        <f t="shared" si="143"/>
        <v>Lower Risk</v>
      </c>
      <c r="G3065" t="s">
        <v>13</v>
      </c>
      <c r="H3065" t="s">
        <v>16</v>
      </c>
      <c r="I3065" t="s">
        <v>5</v>
      </c>
      <c r="J3065">
        <v>72.81</v>
      </c>
      <c r="K3065">
        <v>18.2</v>
      </c>
      <c r="L3065" t="s">
        <v>14</v>
      </c>
      <c r="M3065">
        <v>0</v>
      </c>
      <c r="N3065" t="str">
        <f t="shared" si="141"/>
        <v>Under 40</v>
      </c>
      <c r="O3065" t="str">
        <f t="shared" si="142"/>
        <v>Underweight</v>
      </c>
    </row>
    <row r="3066" spans="1:15" x14ac:dyDescent="0.3">
      <c r="A3066">
        <v>56255</v>
      </c>
      <c r="B3066" t="s">
        <v>7</v>
      </c>
      <c r="C3066">
        <v>24</v>
      </c>
      <c r="D3066">
        <v>0</v>
      </c>
      <c r="E3066">
        <v>0</v>
      </c>
      <c r="F3066" t="str">
        <f t="shared" si="143"/>
        <v>Lower Risk</v>
      </c>
      <c r="G3066" t="s">
        <v>13</v>
      </c>
      <c r="H3066" t="s">
        <v>4</v>
      </c>
      <c r="I3066" t="s">
        <v>5</v>
      </c>
      <c r="J3066">
        <v>149.16999999999999</v>
      </c>
      <c r="K3066">
        <v>23.1</v>
      </c>
      <c r="L3066" t="s">
        <v>11</v>
      </c>
      <c r="M3066">
        <v>0</v>
      </c>
      <c r="N3066" t="str">
        <f t="shared" si="141"/>
        <v>Under 40</v>
      </c>
      <c r="O3066" t="str">
        <f t="shared" si="142"/>
        <v>Normal</v>
      </c>
    </row>
    <row r="3067" spans="1:15" x14ac:dyDescent="0.3">
      <c r="A3067">
        <v>46455</v>
      </c>
      <c r="B3067" t="s">
        <v>7</v>
      </c>
      <c r="C3067">
        <v>61</v>
      </c>
      <c r="D3067">
        <v>0</v>
      </c>
      <c r="E3067">
        <v>0</v>
      </c>
      <c r="F3067" t="str">
        <f t="shared" si="143"/>
        <v>Moderate Risk</v>
      </c>
      <c r="G3067" t="s">
        <v>3</v>
      </c>
      <c r="H3067" t="s">
        <v>4</v>
      </c>
      <c r="I3067" t="s">
        <v>5</v>
      </c>
      <c r="J3067">
        <v>125.74</v>
      </c>
      <c r="K3067">
        <v>32.6</v>
      </c>
      <c r="L3067" t="s">
        <v>14</v>
      </c>
      <c r="M3067">
        <v>0</v>
      </c>
      <c r="N3067" t="str">
        <f t="shared" si="141"/>
        <v>60+</v>
      </c>
      <c r="O3067" t="str">
        <f t="shared" si="142"/>
        <v>Obese</v>
      </c>
    </row>
    <row r="3068" spans="1:15" x14ac:dyDescent="0.3">
      <c r="A3068">
        <v>13270</v>
      </c>
      <c r="B3068" t="s">
        <v>7</v>
      </c>
      <c r="C3068">
        <v>40</v>
      </c>
      <c r="D3068">
        <v>0</v>
      </c>
      <c r="E3068">
        <v>0</v>
      </c>
      <c r="F3068" t="str">
        <f t="shared" si="143"/>
        <v>Lower Risk</v>
      </c>
      <c r="G3068" t="s">
        <v>13</v>
      </c>
      <c r="H3068" t="s">
        <v>15</v>
      </c>
      <c r="I3068" t="s">
        <v>5</v>
      </c>
      <c r="J3068">
        <v>90.21</v>
      </c>
      <c r="K3068">
        <v>41.2</v>
      </c>
      <c r="L3068" t="s">
        <v>11</v>
      </c>
      <c r="M3068">
        <v>0</v>
      </c>
      <c r="N3068" t="str">
        <f t="shared" si="141"/>
        <v>40–59</v>
      </c>
      <c r="O3068" t="str">
        <f t="shared" si="142"/>
        <v>Obese</v>
      </c>
    </row>
    <row r="3069" spans="1:15" x14ac:dyDescent="0.3">
      <c r="A3069">
        <v>38067</v>
      </c>
      <c r="B3069" t="s">
        <v>7</v>
      </c>
      <c r="C3069">
        <v>22</v>
      </c>
      <c r="D3069">
        <v>0</v>
      </c>
      <c r="E3069">
        <v>0</v>
      </c>
      <c r="F3069" t="str">
        <f t="shared" si="143"/>
        <v>Lower Risk</v>
      </c>
      <c r="G3069" t="s">
        <v>13</v>
      </c>
      <c r="H3069" t="s">
        <v>4</v>
      </c>
      <c r="I3069" t="s">
        <v>5</v>
      </c>
      <c r="J3069">
        <v>139.47999999999999</v>
      </c>
      <c r="K3069">
        <v>28.6</v>
      </c>
      <c r="L3069" t="s">
        <v>6</v>
      </c>
      <c r="M3069">
        <v>0</v>
      </c>
      <c r="N3069" t="str">
        <f t="shared" si="141"/>
        <v>Under 40</v>
      </c>
      <c r="O3069" t="str">
        <f t="shared" si="142"/>
        <v>Overweight</v>
      </c>
    </row>
    <row r="3070" spans="1:15" x14ac:dyDescent="0.3">
      <c r="A3070">
        <v>9160</v>
      </c>
      <c r="B3070" t="s">
        <v>7</v>
      </c>
      <c r="C3070">
        <v>80</v>
      </c>
      <c r="D3070">
        <v>1</v>
      </c>
      <c r="E3070">
        <v>0</v>
      </c>
      <c r="F3070" t="str">
        <f t="shared" si="143"/>
        <v>High Risk</v>
      </c>
      <c r="G3070" t="s">
        <v>3</v>
      </c>
      <c r="H3070" t="s">
        <v>4</v>
      </c>
      <c r="I3070" t="s">
        <v>5</v>
      </c>
      <c r="J3070">
        <v>90.77</v>
      </c>
      <c r="K3070">
        <v>26</v>
      </c>
      <c r="L3070" t="s">
        <v>11</v>
      </c>
      <c r="M3070">
        <v>0</v>
      </c>
      <c r="N3070" t="str">
        <f t="shared" si="141"/>
        <v>60+</v>
      </c>
      <c r="O3070" t="str">
        <f t="shared" si="142"/>
        <v>Overweight</v>
      </c>
    </row>
    <row r="3071" spans="1:15" x14ac:dyDescent="0.3">
      <c r="A3071">
        <v>52843</v>
      </c>
      <c r="B3071" t="s">
        <v>7</v>
      </c>
      <c r="C3071">
        <v>60</v>
      </c>
      <c r="D3071">
        <v>1</v>
      </c>
      <c r="E3071">
        <v>1</v>
      </c>
      <c r="F3071" t="str">
        <f t="shared" si="143"/>
        <v>High Risk</v>
      </c>
      <c r="G3071" t="s">
        <v>3</v>
      </c>
      <c r="H3071" t="s">
        <v>4</v>
      </c>
      <c r="I3071" t="s">
        <v>5</v>
      </c>
      <c r="J3071">
        <v>220.24</v>
      </c>
      <c r="K3071">
        <v>36.799999999999997</v>
      </c>
      <c r="L3071" t="s">
        <v>11</v>
      </c>
      <c r="M3071">
        <v>0</v>
      </c>
      <c r="N3071" t="str">
        <f t="shared" si="141"/>
        <v>60+</v>
      </c>
      <c r="O3071" t="str">
        <f t="shared" si="142"/>
        <v>Obese</v>
      </c>
    </row>
    <row r="3072" spans="1:15" x14ac:dyDescent="0.3">
      <c r="A3072">
        <v>67343</v>
      </c>
      <c r="B3072" t="s">
        <v>7</v>
      </c>
      <c r="C3072">
        <v>57</v>
      </c>
      <c r="D3072">
        <v>0</v>
      </c>
      <c r="E3072">
        <v>0</v>
      </c>
      <c r="F3072" t="str">
        <f t="shared" si="143"/>
        <v>Lower Risk</v>
      </c>
      <c r="G3072" t="s">
        <v>3</v>
      </c>
      <c r="H3072" t="s">
        <v>4</v>
      </c>
      <c r="I3072" t="s">
        <v>9</v>
      </c>
      <c r="J3072">
        <v>81.42</v>
      </c>
      <c r="K3072">
        <v>35.799999999999997</v>
      </c>
      <c r="L3072" t="s">
        <v>11</v>
      </c>
      <c r="M3072">
        <v>0</v>
      </c>
      <c r="N3072" t="str">
        <f t="shared" si="141"/>
        <v>40–59</v>
      </c>
      <c r="O3072" t="str">
        <f t="shared" si="142"/>
        <v>Obese</v>
      </c>
    </row>
    <row r="3073" spans="1:15" x14ac:dyDescent="0.3">
      <c r="A3073">
        <v>50805</v>
      </c>
      <c r="B3073" t="s">
        <v>7</v>
      </c>
      <c r="C3073">
        <v>55</v>
      </c>
      <c r="D3073">
        <v>0</v>
      </c>
      <c r="E3073">
        <v>0</v>
      </c>
      <c r="F3073" t="str">
        <f t="shared" si="143"/>
        <v>Lower Risk</v>
      </c>
      <c r="G3073" t="s">
        <v>3</v>
      </c>
      <c r="H3073" t="s">
        <v>4</v>
      </c>
      <c r="I3073" t="s">
        <v>5</v>
      </c>
      <c r="J3073">
        <v>102.36</v>
      </c>
      <c r="K3073">
        <v>24.2</v>
      </c>
      <c r="L3073" t="s">
        <v>11</v>
      </c>
      <c r="M3073">
        <v>0</v>
      </c>
      <c r="N3073" t="str">
        <f t="shared" si="141"/>
        <v>40–59</v>
      </c>
      <c r="O3073" t="str">
        <f t="shared" si="142"/>
        <v>Normal</v>
      </c>
    </row>
    <row r="3074" spans="1:15" x14ac:dyDescent="0.3">
      <c r="A3074">
        <v>10826</v>
      </c>
      <c r="B3074" t="s">
        <v>7</v>
      </c>
      <c r="C3074">
        <v>39</v>
      </c>
      <c r="D3074">
        <v>0</v>
      </c>
      <c r="E3074">
        <v>0</v>
      </c>
      <c r="F3074" t="str">
        <f t="shared" si="143"/>
        <v>Lower Risk</v>
      </c>
      <c r="G3074" t="s">
        <v>3</v>
      </c>
      <c r="H3074" t="s">
        <v>8</v>
      </c>
      <c r="I3074" t="s">
        <v>5</v>
      </c>
      <c r="J3074">
        <v>82.85</v>
      </c>
      <c r="K3074">
        <v>22.9</v>
      </c>
      <c r="L3074" t="s">
        <v>12</v>
      </c>
      <c r="M3074">
        <v>0</v>
      </c>
      <c r="N3074" t="str">
        <f t="shared" ref="N3074:N3137" si="144">IF(C3074&lt;40,"Under 40",IF(C3074&lt;60,"40–59","60+"))</f>
        <v>Under 40</v>
      </c>
      <c r="O3074" t="str">
        <f t="shared" ref="O3074:O3137" si="145">IF(K3074="N/A","Unknown",
IF(K3074="","Unknown",
IF(K3074&lt;18.5,"Underweight",
IF(K3074&lt;25,"Normal",
IF(K3074&lt;30,"Overweight","Obese")))))</f>
        <v>Normal</v>
      </c>
    </row>
    <row r="3075" spans="1:15" x14ac:dyDescent="0.3">
      <c r="A3075">
        <v>60358</v>
      </c>
      <c r="B3075" t="s">
        <v>7</v>
      </c>
      <c r="C3075">
        <v>51</v>
      </c>
      <c r="D3075">
        <v>0</v>
      </c>
      <c r="E3075">
        <v>0</v>
      </c>
      <c r="F3075" t="str">
        <f t="shared" ref="F3075:F3138" si="146">IF(C3075&gt;=60,
IF(OR(D3075=1,E3075=1),"High Risk","Moderate Risk"),
"Lower Risk")</f>
        <v>Lower Risk</v>
      </c>
      <c r="G3075" t="s">
        <v>3</v>
      </c>
      <c r="H3075" t="s">
        <v>4</v>
      </c>
      <c r="I3075" t="s">
        <v>5</v>
      </c>
      <c r="J3075">
        <v>102.11</v>
      </c>
      <c r="K3075">
        <v>23.1</v>
      </c>
      <c r="L3075" t="s">
        <v>11</v>
      </c>
      <c r="M3075">
        <v>0</v>
      </c>
      <c r="N3075" t="str">
        <f t="shared" si="144"/>
        <v>40–59</v>
      </c>
      <c r="O3075" t="str">
        <f t="shared" si="145"/>
        <v>Normal</v>
      </c>
    </row>
    <row r="3076" spans="1:15" x14ac:dyDescent="0.3">
      <c r="A3076">
        <v>72231</v>
      </c>
      <c r="B3076" t="s">
        <v>7</v>
      </c>
      <c r="C3076">
        <v>47</v>
      </c>
      <c r="D3076">
        <v>0</v>
      </c>
      <c r="E3076">
        <v>0</v>
      </c>
      <c r="F3076" t="str">
        <f t="shared" si="146"/>
        <v>Lower Risk</v>
      </c>
      <c r="G3076" t="s">
        <v>3</v>
      </c>
      <c r="H3076" t="s">
        <v>8</v>
      </c>
      <c r="I3076" t="s">
        <v>9</v>
      </c>
      <c r="J3076">
        <v>195.61</v>
      </c>
      <c r="K3076" t="s">
        <v>10</v>
      </c>
      <c r="L3076" t="s">
        <v>11</v>
      </c>
      <c r="M3076">
        <v>0</v>
      </c>
      <c r="N3076" t="str">
        <f t="shared" si="144"/>
        <v>40–59</v>
      </c>
      <c r="O3076" t="str">
        <f t="shared" si="145"/>
        <v>Unknown</v>
      </c>
    </row>
    <row r="3077" spans="1:15" x14ac:dyDescent="0.3">
      <c r="A3077">
        <v>58586</v>
      </c>
      <c r="B3077" t="s">
        <v>2</v>
      </c>
      <c r="C3077">
        <v>77</v>
      </c>
      <c r="D3077">
        <v>1</v>
      </c>
      <c r="E3077">
        <v>1</v>
      </c>
      <c r="F3077" t="str">
        <f t="shared" si="146"/>
        <v>High Risk</v>
      </c>
      <c r="G3077" t="s">
        <v>3</v>
      </c>
      <c r="H3077" t="s">
        <v>8</v>
      </c>
      <c r="I3077" t="s">
        <v>5</v>
      </c>
      <c r="J3077">
        <v>80.92</v>
      </c>
      <c r="K3077">
        <v>28.9</v>
      </c>
      <c r="L3077" t="s">
        <v>12</v>
      </c>
      <c r="M3077">
        <v>0</v>
      </c>
      <c r="N3077" t="str">
        <f t="shared" si="144"/>
        <v>60+</v>
      </c>
      <c r="O3077" t="str">
        <f t="shared" si="145"/>
        <v>Overweight</v>
      </c>
    </row>
    <row r="3078" spans="1:15" x14ac:dyDescent="0.3">
      <c r="A3078">
        <v>50499</v>
      </c>
      <c r="B3078" t="s">
        <v>7</v>
      </c>
      <c r="C3078">
        <v>32</v>
      </c>
      <c r="D3078">
        <v>0</v>
      </c>
      <c r="E3078">
        <v>0</v>
      </c>
      <c r="F3078" t="str">
        <f t="shared" si="146"/>
        <v>Lower Risk</v>
      </c>
      <c r="G3078" t="s">
        <v>3</v>
      </c>
      <c r="H3078" t="s">
        <v>4</v>
      </c>
      <c r="I3078" t="s">
        <v>9</v>
      </c>
      <c r="J3078">
        <v>71.8</v>
      </c>
      <c r="K3078">
        <v>26.5</v>
      </c>
      <c r="L3078" t="s">
        <v>11</v>
      </c>
      <c r="M3078">
        <v>0</v>
      </c>
      <c r="N3078" t="str">
        <f t="shared" si="144"/>
        <v>Under 40</v>
      </c>
      <c r="O3078" t="str">
        <f t="shared" si="145"/>
        <v>Overweight</v>
      </c>
    </row>
    <row r="3079" spans="1:15" x14ac:dyDescent="0.3">
      <c r="A3079">
        <v>18986</v>
      </c>
      <c r="B3079" t="s">
        <v>7</v>
      </c>
      <c r="C3079">
        <v>45</v>
      </c>
      <c r="D3079">
        <v>0</v>
      </c>
      <c r="E3079">
        <v>0</v>
      </c>
      <c r="F3079" t="str">
        <f t="shared" si="146"/>
        <v>Lower Risk</v>
      </c>
      <c r="G3079" t="s">
        <v>13</v>
      </c>
      <c r="H3079" t="s">
        <v>8</v>
      </c>
      <c r="I3079" t="s">
        <v>5</v>
      </c>
      <c r="J3079">
        <v>88.47</v>
      </c>
      <c r="K3079">
        <v>29.3</v>
      </c>
      <c r="L3079" t="s">
        <v>11</v>
      </c>
      <c r="M3079">
        <v>0</v>
      </c>
      <c r="N3079" t="str">
        <f t="shared" si="144"/>
        <v>40–59</v>
      </c>
      <c r="O3079" t="str">
        <f t="shared" si="145"/>
        <v>Overweight</v>
      </c>
    </row>
    <row r="3080" spans="1:15" x14ac:dyDescent="0.3">
      <c r="A3080">
        <v>51177</v>
      </c>
      <c r="B3080" t="s">
        <v>7</v>
      </c>
      <c r="C3080">
        <v>49</v>
      </c>
      <c r="D3080">
        <v>0</v>
      </c>
      <c r="E3080">
        <v>0</v>
      </c>
      <c r="F3080" t="str">
        <f t="shared" si="146"/>
        <v>Lower Risk</v>
      </c>
      <c r="G3080" t="s">
        <v>3</v>
      </c>
      <c r="H3080" t="s">
        <v>4</v>
      </c>
      <c r="I3080" t="s">
        <v>5</v>
      </c>
      <c r="J3080">
        <v>67.680000000000007</v>
      </c>
      <c r="K3080">
        <v>24.8</v>
      </c>
      <c r="L3080" t="s">
        <v>6</v>
      </c>
      <c r="M3080">
        <v>0</v>
      </c>
      <c r="N3080" t="str">
        <f t="shared" si="144"/>
        <v>40–59</v>
      </c>
      <c r="O3080" t="str">
        <f t="shared" si="145"/>
        <v>Normal</v>
      </c>
    </row>
    <row r="3081" spans="1:15" x14ac:dyDescent="0.3">
      <c r="A3081">
        <v>575</v>
      </c>
      <c r="B3081" t="s">
        <v>2</v>
      </c>
      <c r="C3081">
        <v>13</v>
      </c>
      <c r="D3081">
        <v>0</v>
      </c>
      <c r="E3081">
        <v>0</v>
      </c>
      <c r="F3081" t="str">
        <f t="shared" si="146"/>
        <v>Lower Risk</v>
      </c>
      <c r="G3081" t="s">
        <v>13</v>
      </c>
      <c r="H3081" t="s">
        <v>16</v>
      </c>
      <c r="I3081" t="s">
        <v>9</v>
      </c>
      <c r="J3081">
        <v>98.65</v>
      </c>
      <c r="K3081">
        <v>20.100000000000001</v>
      </c>
      <c r="L3081" t="s">
        <v>14</v>
      </c>
      <c r="M3081">
        <v>0</v>
      </c>
      <c r="N3081" t="str">
        <f t="shared" si="144"/>
        <v>Under 40</v>
      </c>
      <c r="O3081" t="str">
        <f t="shared" si="145"/>
        <v>Normal</v>
      </c>
    </row>
    <row r="3082" spans="1:15" x14ac:dyDescent="0.3">
      <c r="A3082">
        <v>47321</v>
      </c>
      <c r="B3082" t="s">
        <v>7</v>
      </c>
      <c r="C3082">
        <v>74</v>
      </c>
      <c r="D3082">
        <v>0</v>
      </c>
      <c r="E3082">
        <v>0</v>
      </c>
      <c r="F3082" t="str">
        <f t="shared" si="146"/>
        <v>Moderate Risk</v>
      </c>
      <c r="G3082" t="s">
        <v>3</v>
      </c>
      <c r="H3082" t="s">
        <v>4</v>
      </c>
      <c r="I3082" t="s">
        <v>9</v>
      </c>
      <c r="J3082">
        <v>83.58</v>
      </c>
      <c r="K3082">
        <v>18.2</v>
      </c>
      <c r="L3082" t="s">
        <v>11</v>
      </c>
      <c r="M3082">
        <v>0</v>
      </c>
      <c r="N3082" t="str">
        <f t="shared" si="144"/>
        <v>60+</v>
      </c>
      <c r="O3082" t="str">
        <f t="shared" si="145"/>
        <v>Underweight</v>
      </c>
    </row>
    <row r="3083" spans="1:15" x14ac:dyDescent="0.3">
      <c r="A3083">
        <v>7754</v>
      </c>
      <c r="B3083" t="s">
        <v>7</v>
      </c>
      <c r="C3083">
        <v>72</v>
      </c>
      <c r="D3083">
        <v>0</v>
      </c>
      <c r="E3083">
        <v>0</v>
      </c>
      <c r="F3083" t="str">
        <f t="shared" si="146"/>
        <v>Moderate Risk</v>
      </c>
      <c r="G3083" t="s">
        <v>3</v>
      </c>
      <c r="H3083" t="s">
        <v>8</v>
      </c>
      <c r="I3083" t="s">
        <v>9</v>
      </c>
      <c r="J3083">
        <v>104.04</v>
      </c>
      <c r="K3083">
        <v>34.700000000000003</v>
      </c>
      <c r="L3083" t="s">
        <v>6</v>
      </c>
      <c r="M3083">
        <v>0</v>
      </c>
      <c r="N3083" t="str">
        <f t="shared" si="144"/>
        <v>60+</v>
      </c>
      <c r="O3083" t="str">
        <f t="shared" si="145"/>
        <v>Obese</v>
      </c>
    </row>
    <row r="3084" spans="1:15" x14ac:dyDescent="0.3">
      <c r="A3084">
        <v>66270</v>
      </c>
      <c r="B3084" t="s">
        <v>7</v>
      </c>
      <c r="C3084">
        <v>57</v>
      </c>
      <c r="D3084">
        <v>0</v>
      </c>
      <c r="E3084">
        <v>0</v>
      </c>
      <c r="F3084" t="str">
        <f t="shared" si="146"/>
        <v>Lower Risk</v>
      </c>
      <c r="G3084" t="s">
        <v>3</v>
      </c>
      <c r="H3084" t="s">
        <v>4</v>
      </c>
      <c r="I3084" t="s">
        <v>9</v>
      </c>
      <c r="J3084">
        <v>69.400000000000006</v>
      </c>
      <c r="K3084">
        <v>24</v>
      </c>
      <c r="L3084" t="s">
        <v>14</v>
      </c>
      <c r="M3084">
        <v>0</v>
      </c>
      <c r="N3084" t="str">
        <f t="shared" si="144"/>
        <v>40–59</v>
      </c>
      <c r="O3084" t="str">
        <f t="shared" si="145"/>
        <v>Normal</v>
      </c>
    </row>
    <row r="3085" spans="1:15" x14ac:dyDescent="0.3">
      <c r="A3085">
        <v>2814</v>
      </c>
      <c r="B3085" t="s">
        <v>2</v>
      </c>
      <c r="C3085">
        <v>51</v>
      </c>
      <c r="D3085">
        <v>1</v>
      </c>
      <c r="E3085">
        <v>0</v>
      </c>
      <c r="F3085" t="str">
        <f t="shared" si="146"/>
        <v>Lower Risk</v>
      </c>
      <c r="G3085" t="s">
        <v>13</v>
      </c>
      <c r="H3085" t="s">
        <v>15</v>
      </c>
      <c r="I3085" t="s">
        <v>5</v>
      </c>
      <c r="J3085">
        <v>106.22</v>
      </c>
      <c r="K3085">
        <v>29</v>
      </c>
      <c r="L3085" t="s">
        <v>11</v>
      </c>
      <c r="M3085">
        <v>0</v>
      </c>
      <c r="N3085" t="str">
        <f t="shared" si="144"/>
        <v>40–59</v>
      </c>
      <c r="O3085" t="str">
        <f t="shared" si="145"/>
        <v>Overweight</v>
      </c>
    </row>
    <row r="3086" spans="1:15" x14ac:dyDescent="0.3">
      <c r="A3086">
        <v>52847</v>
      </c>
      <c r="B3086" t="s">
        <v>7</v>
      </c>
      <c r="C3086">
        <v>55</v>
      </c>
      <c r="D3086">
        <v>0</v>
      </c>
      <c r="E3086">
        <v>0</v>
      </c>
      <c r="F3086" t="str">
        <f t="shared" si="146"/>
        <v>Lower Risk</v>
      </c>
      <c r="G3086" t="s">
        <v>3</v>
      </c>
      <c r="H3086" t="s">
        <v>4</v>
      </c>
      <c r="I3086" t="s">
        <v>9</v>
      </c>
      <c r="J3086">
        <v>112.46</v>
      </c>
      <c r="K3086">
        <v>27.3</v>
      </c>
      <c r="L3086" t="s">
        <v>11</v>
      </c>
      <c r="M3086">
        <v>0</v>
      </c>
      <c r="N3086" t="str">
        <f t="shared" si="144"/>
        <v>40–59</v>
      </c>
      <c r="O3086" t="str">
        <f t="shared" si="145"/>
        <v>Overweight</v>
      </c>
    </row>
    <row r="3087" spans="1:15" x14ac:dyDescent="0.3">
      <c r="A3087">
        <v>60235</v>
      </c>
      <c r="B3087" t="s">
        <v>2</v>
      </c>
      <c r="C3087">
        <v>73</v>
      </c>
      <c r="D3087">
        <v>0</v>
      </c>
      <c r="E3087">
        <v>1</v>
      </c>
      <c r="F3087" t="str">
        <f t="shared" si="146"/>
        <v>High Risk</v>
      </c>
      <c r="G3087" t="s">
        <v>3</v>
      </c>
      <c r="H3087" t="s">
        <v>4</v>
      </c>
      <c r="I3087" t="s">
        <v>9</v>
      </c>
      <c r="J3087">
        <v>72.42</v>
      </c>
      <c r="K3087">
        <v>27.6</v>
      </c>
      <c r="L3087" t="s">
        <v>11</v>
      </c>
      <c r="M3087">
        <v>0</v>
      </c>
      <c r="N3087" t="str">
        <f t="shared" si="144"/>
        <v>60+</v>
      </c>
      <c r="O3087" t="str">
        <f t="shared" si="145"/>
        <v>Overweight</v>
      </c>
    </row>
    <row r="3088" spans="1:15" x14ac:dyDescent="0.3">
      <c r="A3088">
        <v>10981</v>
      </c>
      <c r="B3088" t="s">
        <v>2</v>
      </c>
      <c r="C3088">
        <v>12</v>
      </c>
      <c r="D3088">
        <v>0</v>
      </c>
      <c r="E3088">
        <v>0</v>
      </c>
      <c r="F3088" t="str">
        <f t="shared" si="146"/>
        <v>Lower Risk</v>
      </c>
      <c r="G3088" t="s">
        <v>13</v>
      </c>
      <c r="H3088" t="s">
        <v>16</v>
      </c>
      <c r="I3088" t="s">
        <v>9</v>
      </c>
      <c r="J3088">
        <v>96.73</v>
      </c>
      <c r="K3088">
        <v>20.399999999999999</v>
      </c>
      <c r="L3088" t="s">
        <v>11</v>
      </c>
      <c r="M3088">
        <v>0</v>
      </c>
      <c r="N3088" t="str">
        <f t="shared" si="144"/>
        <v>Under 40</v>
      </c>
      <c r="O3088" t="str">
        <f t="shared" si="145"/>
        <v>Normal</v>
      </c>
    </row>
    <row r="3089" spans="1:15" x14ac:dyDescent="0.3">
      <c r="A3089">
        <v>62833</v>
      </c>
      <c r="B3089" t="s">
        <v>7</v>
      </c>
      <c r="C3089">
        <v>6</v>
      </c>
      <c r="D3089">
        <v>0</v>
      </c>
      <c r="E3089">
        <v>0</v>
      </c>
      <c r="F3089" t="str">
        <f t="shared" si="146"/>
        <v>Lower Risk</v>
      </c>
      <c r="G3089" t="s">
        <v>13</v>
      </c>
      <c r="H3089" t="s">
        <v>16</v>
      </c>
      <c r="I3089" t="s">
        <v>5</v>
      </c>
      <c r="J3089">
        <v>107.4</v>
      </c>
      <c r="K3089">
        <v>17.7</v>
      </c>
      <c r="L3089" t="s">
        <v>14</v>
      </c>
      <c r="M3089">
        <v>0</v>
      </c>
      <c r="N3089" t="str">
        <f t="shared" si="144"/>
        <v>Under 40</v>
      </c>
      <c r="O3089" t="str">
        <f t="shared" si="145"/>
        <v>Underweight</v>
      </c>
    </row>
    <row r="3090" spans="1:15" x14ac:dyDescent="0.3">
      <c r="A3090">
        <v>26267</v>
      </c>
      <c r="B3090" t="s">
        <v>7</v>
      </c>
      <c r="C3090">
        <v>76</v>
      </c>
      <c r="D3090">
        <v>0</v>
      </c>
      <c r="E3090">
        <v>0</v>
      </c>
      <c r="F3090" t="str">
        <f t="shared" si="146"/>
        <v>Moderate Risk</v>
      </c>
      <c r="G3090" t="s">
        <v>3</v>
      </c>
      <c r="H3090" t="s">
        <v>8</v>
      </c>
      <c r="I3090" t="s">
        <v>5</v>
      </c>
      <c r="J3090">
        <v>267.61</v>
      </c>
      <c r="K3090">
        <v>27.9</v>
      </c>
      <c r="L3090" t="s">
        <v>12</v>
      </c>
      <c r="M3090">
        <v>0</v>
      </c>
      <c r="N3090" t="str">
        <f t="shared" si="144"/>
        <v>60+</v>
      </c>
      <c r="O3090" t="str">
        <f t="shared" si="145"/>
        <v>Overweight</v>
      </c>
    </row>
    <row r="3091" spans="1:15" x14ac:dyDescent="0.3">
      <c r="A3091">
        <v>69918</v>
      </c>
      <c r="B3091" t="s">
        <v>7</v>
      </c>
      <c r="C3091">
        <v>38</v>
      </c>
      <c r="D3091">
        <v>1</v>
      </c>
      <c r="E3091">
        <v>0</v>
      </c>
      <c r="F3091" t="str">
        <f t="shared" si="146"/>
        <v>Lower Risk</v>
      </c>
      <c r="G3091" t="s">
        <v>3</v>
      </c>
      <c r="H3091" t="s">
        <v>4</v>
      </c>
      <c r="I3091" t="s">
        <v>9</v>
      </c>
      <c r="J3091">
        <v>109.46</v>
      </c>
      <c r="K3091">
        <v>41.5</v>
      </c>
      <c r="L3091" t="s">
        <v>11</v>
      </c>
      <c r="M3091">
        <v>0</v>
      </c>
      <c r="N3091" t="str">
        <f t="shared" si="144"/>
        <v>Under 40</v>
      </c>
      <c r="O3091" t="str">
        <f t="shared" si="145"/>
        <v>Obese</v>
      </c>
    </row>
    <row r="3092" spans="1:15" x14ac:dyDescent="0.3">
      <c r="A3092">
        <v>44927</v>
      </c>
      <c r="B3092" t="s">
        <v>7</v>
      </c>
      <c r="C3092">
        <v>50</v>
      </c>
      <c r="D3092">
        <v>0</v>
      </c>
      <c r="E3092">
        <v>0</v>
      </c>
      <c r="F3092" t="str">
        <f t="shared" si="146"/>
        <v>Lower Risk</v>
      </c>
      <c r="G3092" t="s">
        <v>3</v>
      </c>
      <c r="H3092" t="s">
        <v>15</v>
      </c>
      <c r="I3092" t="s">
        <v>9</v>
      </c>
      <c r="J3092">
        <v>120.05</v>
      </c>
      <c r="K3092">
        <v>27.4</v>
      </c>
      <c r="L3092" t="s">
        <v>14</v>
      </c>
      <c r="M3092">
        <v>0</v>
      </c>
      <c r="N3092" t="str">
        <f t="shared" si="144"/>
        <v>40–59</v>
      </c>
      <c r="O3092" t="str">
        <f t="shared" si="145"/>
        <v>Overweight</v>
      </c>
    </row>
    <row r="3093" spans="1:15" x14ac:dyDescent="0.3">
      <c r="A3093">
        <v>20169</v>
      </c>
      <c r="B3093" t="s">
        <v>7</v>
      </c>
      <c r="C3093">
        <v>75</v>
      </c>
      <c r="D3093">
        <v>0</v>
      </c>
      <c r="E3093">
        <v>0</v>
      </c>
      <c r="F3093" t="str">
        <f t="shared" si="146"/>
        <v>Moderate Risk</v>
      </c>
      <c r="G3093" t="s">
        <v>3</v>
      </c>
      <c r="H3093" t="s">
        <v>4</v>
      </c>
      <c r="I3093" t="s">
        <v>9</v>
      </c>
      <c r="J3093">
        <v>106.33</v>
      </c>
      <c r="K3093">
        <v>27.8</v>
      </c>
      <c r="L3093" t="s">
        <v>14</v>
      </c>
      <c r="M3093">
        <v>0</v>
      </c>
      <c r="N3093" t="str">
        <f t="shared" si="144"/>
        <v>60+</v>
      </c>
      <c r="O3093" t="str">
        <f t="shared" si="145"/>
        <v>Overweight</v>
      </c>
    </row>
    <row r="3094" spans="1:15" x14ac:dyDescent="0.3">
      <c r="A3094">
        <v>31481</v>
      </c>
      <c r="B3094" t="s">
        <v>7</v>
      </c>
      <c r="C3094">
        <v>1.1599999999999999</v>
      </c>
      <c r="D3094">
        <v>0</v>
      </c>
      <c r="E3094">
        <v>0</v>
      </c>
      <c r="F3094" t="str">
        <f t="shared" si="146"/>
        <v>Lower Risk</v>
      </c>
      <c r="G3094" t="s">
        <v>13</v>
      </c>
      <c r="H3094" t="s">
        <v>16</v>
      </c>
      <c r="I3094" t="s">
        <v>5</v>
      </c>
      <c r="J3094">
        <v>97.28</v>
      </c>
      <c r="K3094">
        <v>17.8</v>
      </c>
      <c r="L3094" t="s">
        <v>14</v>
      </c>
      <c r="M3094">
        <v>0</v>
      </c>
      <c r="N3094" t="str">
        <f t="shared" si="144"/>
        <v>Under 40</v>
      </c>
      <c r="O3094" t="str">
        <f t="shared" si="145"/>
        <v>Underweight</v>
      </c>
    </row>
    <row r="3095" spans="1:15" x14ac:dyDescent="0.3">
      <c r="A3095">
        <v>27721</v>
      </c>
      <c r="B3095" t="s">
        <v>2</v>
      </c>
      <c r="C3095">
        <v>32</v>
      </c>
      <c r="D3095">
        <v>0</v>
      </c>
      <c r="E3095">
        <v>0</v>
      </c>
      <c r="F3095" t="str">
        <f t="shared" si="146"/>
        <v>Lower Risk</v>
      </c>
      <c r="G3095" t="s">
        <v>3</v>
      </c>
      <c r="H3095" t="s">
        <v>4</v>
      </c>
      <c r="I3095" t="s">
        <v>9</v>
      </c>
      <c r="J3095">
        <v>83.13</v>
      </c>
      <c r="K3095">
        <v>32</v>
      </c>
      <c r="L3095" t="s">
        <v>12</v>
      </c>
      <c r="M3095">
        <v>0</v>
      </c>
      <c r="N3095" t="str">
        <f t="shared" si="144"/>
        <v>Under 40</v>
      </c>
      <c r="O3095" t="str">
        <f t="shared" si="145"/>
        <v>Obese</v>
      </c>
    </row>
    <row r="3096" spans="1:15" x14ac:dyDescent="0.3">
      <c r="A3096">
        <v>71419</v>
      </c>
      <c r="B3096" t="s">
        <v>2</v>
      </c>
      <c r="C3096">
        <v>12</v>
      </c>
      <c r="D3096">
        <v>0</v>
      </c>
      <c r="E3096">
        <v>0</v>
      </c>
      <c r="F3096" t="str">
        <f t="shared" si="146"/>
        <v>Lower Risk</v>
      </c>
      <c r="G3096" t="s">
        <v>13</v>
      </c>
      <c r="H3096" t="s">
        <v>16</v>
      </c>
      <c r="I3096" t="s">
        <v>5</v>
      </c>
      <c r="J3096">
        <v>97.35</v>
      </c>
      <c r="K3096">
        <v>37.299999999999997</v>
      </c>
      <c r="L3096" t="s">
        <v>14</v>
      </c>
      <c r="M3096">
        <v>0</v>
      </c>
      <c r="N3096" t="str">
        <f t="shared" si="144"/>
        <v>Under 40</v>
      </c>
      <c r="O3096" t="str">
        <f t="shared" si="145"/>
        <v>Obese</v>
      </c>
    </row>
    <row r="3097" spans="1:15" x14ac:dyDescent="0.3">
      <c r="A3097">
        <v>25642</v>
      </c>
      <c r="B3097" t="s">
        <v>2</v>
      </c>
      <c r="C3097">
        <v>32</v>
      </c>
      <c r="D3097">
        <v>0</v>
      </c>
      <c r="E3097">
        <v>0</v>
      </c>
      <c r="F3097" t="str">
        <f t="shared" si="146"/>
        <v>Lower Risk</v>
      </c>
      <c r="G3097" t="s">
        <v>13</v>
      </c>
      <c r="H3097" t="s">
        <v>4</v>
      </c>
      <c r="I3097" t="s">
        <v>5</v>
      </c>
      <c r="J3097">
        <v>79.540000000000006</v>
      </c>
      <c r="K3097">
        <v>28.1</v>
      </c>
      <c r="L3097" t="s">
        <v>14</v>
      </c>
      <c r="M3097">
        <v>0</v>
      </c>
      <c r="N3097" t="str">
        <f t="shared" si="144"/>
        <v>Under 40</v>
      </c>
      <c r="O3097" t="str">
        <f t="shared" si="145"/>
        <v>Overweight</v>
      </c>
    </row>
    <row r="3098" spans="1:15" x14ac:dyDescent="0.3">
      <c r="A3098">
        <v>31932</v>
      </c>
      <c r="B3098" t="s">
        <v>7</v>
      </c>
      <c r="C3098">
        <v>13</v>
      </c>
      <c r="D3098">
        <v>0</v>
      </c>
      <c r="E3098">
        <v>0</v>
      </c>
      <c r="F3098" t="str">
        <f t="shared" si="146"/>
        <v>Lower Risk</v>
      </c>
      <c r="G3098" t="s">
        <v>13</v>
      </c>
      <c r="H3098" t="s">
        <v>16</v>
      </c>
      <c r="I3098" t="s">
        <v>5</v>
      </c>
      <c r="J3098">
        <v>76.55</v>
      </c>
      <c r="K3098">
        <v>29.1</v>
      </c>
      <c r="L3098" t="s">
        <v>14</v>
      </c>
      <c r="M3098">
        <v>0</v>
      </c>
      <c r="N3098" t="str">
        <f t="shared" si="144"/>
        <v>Under 40</v>
      </c>
      <c r="O3098" t="str">
        <f t="shared" si="145"/>
        <v>Overweight</v>
      </c>
    </row>
    <row r="3099" spans="1:15" x14ac:dyDescent="0.3">
      <c r="A3099">
        <v>13629</v>
      </c>
      <c r="B3099" t="s">
        <v>2</v>
      </c>
      <c r="C3099">
        <v>1.32</v>
      </c>
      <c r="D3099">
        <v>0</v>
      </c>
      <c r="E3099">
        <v>0</v>
      </c>
      <c r="F3099" t="str">
        <f t="shared" si="146"/>
        <v>Lower Risk</v>
      </c>
      <c r="G3099" t="s">
        <v>13</v>
      </c>
      <c r="H3099" t="s">
        <v>16</v>
      </c>
      <c r="I3099" t="s">
        <v>5</v>
      </c>
      <c r="J3099">
        <v>56.11</v>
      </c>
      <c r="K3099">
        <v>22.9</v>
      </c>
      <c r="L3099" t="s">
        <v>14</v>
      </c>
      <c r="M3099">
        <v>0</v>
      </c>
      <c r="N3099" t="str">
        <f t="shared" si="144"/>
        <v>Under 40</v>
      </c>
      <c r="O3099" t="str">
        <f t="shared" si="145"/>
        <v>Normal</v>
      </c>
    </row>
    <row r="3100" spans="1:15" x14ac:dyDescent="0.3">
      <c r="A3100">
        <v>38258</v>
      </c>
      <c r="B3100" t="s">
        <v>7</v>
      </c>
      <c r="C3100">
        <v>63</v>
      </c>
      <c r="D3100">
        <v>0</v>
      </c>
      <c r="E3100">
        <v>0</v>
      </c>
      <c r="F3100" t="str">
        <f t="shared" si="146"/>
        <v>Moderate Risk</v>
      </c>
      <c r="G3100" t="s">
        <v>3</v>
      </c>
      <c r="H3100" t="s">
        <v>4</v>
      </c>
      <c r="I3100" t="s">
        <v>9</v>
      </c>
      <c r="J3100">
        <v>91.36</v>
      </c>
      <c r="K3100">
        <v>38.799999999999997</v>
      </c>
      <c r="L3100" t="s">
        <v>6</v>
      </c>
      <c r="M3100">
        <v>0</v>
      </c>
      <c r="N3100" t="str">
        <f t="shared" si="144"/>
        <v>60+</v>
      </c>
      <c r="O3100" t="str">
        <f t="shared" si="145"/>
        <v>Obese</v>
      </c>
    </row>
    <row r="3101" spans="1:15" x14ac:dyDescent="0.3">
      <c r="A3101">
        <v>70602</v>
      </c>
      <c r="B3101" t="s">
        <v>7</v>
      </c>
      <c r="C3101">
        <v>29</v>
      </c>
      <c r="D3101">
        <v>0</v>
      </c>
      <c r="E3101">
        <v>0</v>
      </c>
      <c r="F3101" t="str">
        <f t="shared" si="146"/>
        <v>Lower Risk</v>
      </c>
      <c r="G3101" t="s">
        <v>13</v>
      </c>
      <c r="H3101" t="s">
        <v>4</v>
      </c>
      <c r="I3101" t="s">
        <v>9</v>
      </c>
      <c r="J3101">
        <v>79.27</v>
      </c>
      <c r="K3101">
        <v>29</v>
      </c>
      <c r="L3101" t="s">
        <v>12</v>
      </c>
      <c r="M3101">
        <v>0</v>
      </c>
      <c r="N3101" t="str">
        <f t="shared" si="144"/>
        <v>Under 40</v>
      </c>
      <c r="O3101" t="str">
        <f t="shared" si="145"/>
        <v>Overweight</v>
      </c>
    </row>
    <row r="3102" spans="1:15" x14ac:dyDescent="0.3">
      <c r="A3102">
        <v>60056</v>
      </c>
      <c r="B3102" t="s">
        <v>2</v>
      </c>
      <c r="C3102">
        <v>53</v>
      </c>
      <c r="D3102">
        <v>0</v>
      </c>
      <c r="E3102">
        <v>0</v>
      </c>
      <c r="F3102" t="str">
        <f t="shared" si="146"/>
        <v>Lower Risk</v>
      </c>
      <c r="G3102" t="s">
        <v>3</v>
      </c>
      <c r="H3102" t="s">
        <v>4</v>
      </c>
      <c r="I3102" t="s">
        <v>5</v>
      </c>
      <c r="J3102">
        <v>113.21</v>
      </c>
      <c r="K3102">
        <v>28.6</v>
      </c>
      <c r="L3102" t="s">
        <v>12</v>
      </c>
      <c r="M3102">
        <v>0</v>
      </c>
      <c r="N3102" t="str">
        <f t="shared" si="144"/>
        <v>40–59</v>
      </c>
      <c r="O3102" t="str">
        <f t="shared" si="145"/>
        <v>Overweight</v>
      </c>
    </row>
    <row r="3103" spans="1:15" x14ac:dyDescent="0.3">
      <c r="A3103">
        <v>31156</v>
      </c>
      <c r="B3103" t="s">
        <v>7</v>
      </c>
      <c r="C3103">
        <v>49</v>
      </c>
      <c r="D3103">
        <v>0</v>
      </c>
      <c r="E3103">
        <v>0</v>
      </c>
      <c r="F3103" t="str">
        <f t="shared" si="146"/>
        <v>Lower Risk</v>
      </c>
      <c r="G3103" t="s">
        <v>3</v>
      </c>
      <c r="H3103" t="s">
        <v>4</v>
      </c>
      <c r="I3103" t="s">
        <v>5</v>
      </c>
      <c r="J3103">
        <v>105.99</v>
      </c>
      <c r="K3103">
        <v>29.8</v>
      </c>
      <c r="L3103" t="s">
        <v>11</v>
      </c>
      <c r="M3103">
        <v>0</v>
      </c>
      <c r="N3103" t="str">
        <f t="shared" si="144"/>
        <v>40–59</v>
      </c>
      <c r="O3103" t="str">
        <f t="shared" si="145"/>
        <v>Overweight</v>
      </c>
    </row>
    <row r="3104" spans="1:15" x14ac:dyDescent="0.3">
      <c r="A3104">
        <v>69643</v>
      </c>
      <c r="B3104" t="s">
        <v>2</v>
      </c>
      <c r="C3104">
        <v>81</v>
      </c>
      <c r="D3104">
        <v>0</v>
      </c>
      <c r="E3104">
        <v>0</v>
      </c>
      <c r="F3104" t="str">
        <f t="shared" si="146"/>
        <v>Moderate Risk</v>
      </c>
      <c r="G3104" t="s">
        <v>3</v>
      </c>
      <c r="H3104" t="s">
        <v>4</v>
      </c>
      <c r="I3104" t="s">
        <v>9</v>
      </c>
      <c r="J3104">
        <v>59.93</v>
      </c>
      <c r="K3104">
        <v>28.9</v>
      </c>
      <c r="L3104" t="s">
        <v>6</v>
      </c>
      <c r="M3104">
        <v>0</v>
      </c>
      <c r="N3104" t="str">
        <f t="shared" si="144"/>
        <v>60+</v>
      </c>
      <c r="O3104" t="str">
        <f t="shared" si="145"/>
        <v>Overweight</v>
      </c>
    </row>
    <row r="3105" spans="1:15" x14ac:dyDescent="0.3">
      <c r="A3105">
        <v>23171</v>
      </c>
      <c r="B3105" t="s">
        <v>2</v>
      </c>
      <c r="C3105">
        <v>66</v>
      </c>
      <c r="D3105">
        <v>0</v>
      </c>
      <c r="E3105">
        <v>0</v>
      </c>
      <c r="F3105" t="str">
        <f t="shared" si="146"/>
        <v>Moderate Risk</v>
      </c>
      <c r="G3105" t="s">
        <v>3</v>
      </c>
      <c r="H3105" t="s">
        <v>4</v>
      </c>
      <c r="I3105" t="s">
        <v>9</v>
      </c>
      <c r="J3105">
        <v>88.83</v>
      </c>
      <c r="K3105">
        <v>29.1</v>
      </c>
      <c r="L3105" t="s">
        <v>14</v>
      </c>
      <c r="M3105">
        <v>0</v>
      </c>
      <c r="N3105" t="str">
        <f t="shared" si="144"/>
        <v>60+</v>
      </c>
      <c r="O3105" t="str">
        <f t="shared" si="145"/>
        <v>Overweight</v>
      </c>
    </row>
    <row r="3106" spans="1:15" x14ac:dyDescent="0.3">
      <c r="A3106">
        <v>42309</v>
      </c>
      <c r="B3106" t="s">
        <v>7</v>
      </c>
      <c r="C3106">
        <v>42</v>
      </c>
      <c r="D3106">
        <v>0</v>
      </c>
      <c r="E3106">
        <v>0</v>
      </c>
      <c r="F3106" t="str">
        <f t="shared" si="146"/>
        <v>Lower Risk</v>
      </c>
      <c r="G3106" t="s">
        <v>3</v>
      </c>
      <c r="H3106" t="s">
        <v>4</v>
      </c>
      <c r="I3106" t="s">
        <v>5</v>
      </c>
      <c r="J3106">
        <v>73.37</v>
      </c>
      <c r="K3106" t="s">
        <v>10</v>
      </c>
      <c r="L3106" t="s">
        <v>12</v>
      </c>
      <c r="M3106">
        <v>0</v>
      </c>
      <c r="N3106" t="str">
        <f t="shared" si="144"/>
        <v>40–59</v>
      </c>
      <c r="O3106" t="str">
        <f t="shared" si="145"/>
        <v>Unknown</v>
      </c>
    </row>
    <row r="3107" spans="1:15" x14ac:dyDescent="0.3">
      <c r="A3107">
        <v>2877</v>
      </c>
      <c r="B3107" t="s">
        <v>7</v>
      </c>
      <c r="C3107">
        <v>61</v>
      </c>
      <c r="D3107">
        <v>0</v>
      </c>
      <c r="E3107">
        <v>0</v>
      </c>
      <c r="F3107" t="str">
        <f t="shared" si="146"/>
        <v>Moderate Risk</v>
      </c>
      <c r="G3107" t="s">
        <v>3</v>
      </c>
      <c r="H3107" t="s">
        <v>4</v>
      </c>
      <c r="I3107" t="s">
        <v>5</v>
      </c>
      <c r="J3107">
        <v>115.42</v>
      </c>
      <c r="K3107">
        <v>16.7</v>
      </c>
      <c r="L3107" t="s">
        <v>12</v>
      </c>
      <c r="M3107">
        <v>0</v>
      </c>
      <c r="N3107" t="str">
        <f t="shared" si="144"/>
        <v>60+</v>
      </c>
      <c r="O3107" t="str">
        <f t="shared" si="145"/>
        <v>Underweight</v>
      </c>
    </row>
    <row r="3108" spans="1:15" x14ac:dyDescent="0.3">
      <c r="A3108">
        <v>37011</v>
      </c>
      <c r="B3108" t="s">
        <v>7</v>
      </c>
      <c r="C3108">
        <v>52</v>
      </c>
      <c r="D3108">
        <v>0</v>
      </c>
      <c r="E3108">
        <v>0</v>
      </c>
      <c r="F3108" t="str">
        <f t="shared" si="146"/>
        <v>Lower Risk</v>
      </c>
      <c r="G3108" t="s">
        <v>3</v>
      </c>
      <c r="H3108" t="s">
        <v>4</v>
      </c>
      <c r="I3108" t="s">
        <v>9</v>
      </c>
      <c r="J3108">
        <v>71.930000000000007</v>
      </c>
      <c r="K3108">
        <v>34.1</v>
      </c>
      <c r="L3108" t="s">
        <v>14</v>
      </c>
      <c r="M3108">
        <v>0</v>
      </c>
      <c r="N3108" t="str">
        <f t="shared" si="144"/>
        <v>40–59</v>
      </c>
      <c r="O3108" t="str">
        <f t="shared" si="145"/>
        <v>Obese</v>
      </c>
    </row>
    <row r="3109" spans="1:15" x14ac:dyDescent="0.3">
      <c r="A3109">
        <v>355</v>
      </c>
      <c r="B3109" t="s">
        <v>2</v>
      </c>
      <c r="C3109">
        <v>8</v>
      </c>
      <c r="D3109">
        <v>0</v>
      </c>
      <c r="E3109">
        <v>0</v>
      </c>
      <c r="F3109" t="str">
        <f t="shared" si="146"/>
        <v>Lower Risk</v>
      </c>
      <c r="G3109" t="s">
        <v>13</v>
      </c>
      <c r="H3109" t="s">
        <v>16</v>
      </c>
      <c r="I3109" t="s">
        <v>9</v>
      </c>
      <c r="J3109">
        <v>96.43</v>
      </c>
      <c r="K3109">
        <v>25.7</v>
      </c>
      <c r="L3109" t="s">
        <v>14</v>
      </c>
      <c r="M3109">
        <v>0</v>
      </c>
      <c r="N3109" t="str">
        <f t="shared" si="144"/>
        <v>Under 40</v>
      </c>
      <c r="O3109" t="str">
        <f t="shared" si="145"/>
        <v>Overweight</v>
      </c>
    </row>
    <row r="3110" spans="1:15" x14ac:dyDescent="0.3">
      <c r="A3110">
        <v>53252</v>
      </c>
      <c r="B3110" t="s">
        <v>2</v>
      </c>
      <c r="C3110">
        <v>82</v>
      </c>
      <c r="D3110">
        <v>0</v>
      </c>
      <c r="E3110">
        <v>0</v>
      </c>
      <c r="F3110" t="str">
        <f t="shared" si="146"/>
        <v>Moderate Risk</v>
      </c>
      <c r="G3110" t="s">
        <v>13</v>
      </c>
      <c r="H3110" t="s">
        <v>8</v>
      </c>
      <c r="I3110" t="s">
        <v>5</v>
      </c>
      <c r="J3110">
        <v>161.94999999999999</v>
      </c>
      <c r="K3110">
        <v>30.8</v>
      </c>
      <c r="L3110" t="s">
        <v>11</v>
      </c>
      <c r="M3110">
        <v>0</v>
      </c>
      <c r="N3110" t="str">
        <f t="shared" si="144"/>
        <v>60+</v>
      </c>
      <c r="O3110" t="str">
        <f t="shared" si="145"/>
        <v>Obese</v>
      </c>
    </row>
    <row r="3111" spans="1:15" x14ac:dyDescent="0.3">
      <c r="A3111">
        <v>3553</v>
      </c>
      <c r="B3111" t="s">
        <v>7</v>
      </c>
      <c r="C3111">
        <v>43</v>
      </c>
      <c r="D3111">
        <v>0</v>
      </c>
      <c r="E3111">
        <v>0</v>
      </c>
      <c r="F3111" t="str">
        <f t="shared" si="146"/>
        <v>Lower Risk</v>
      </c>
      <c r="G3111" t="s">
        <v>3</v>
      </c>
      <c r="H3111" t="s">
        <v>15</v>
      </c>
      <c r="I3111" t="s">
        <v>5</v>
      </c>
      <c r="J3111">
        <v>104.55</v>
      </c>
      <c r="K3111">
        <v>23.9</v>
      </c>
      <c r="L3111" t="s">
        <v>12</v>
      </c>
      <c r="M3111">
        <v>0</v>
      </c>
      <c r="N3111" t="str">
        <f t="shared" si="144"/>
        <v>40–59</v>
      </c>
      <c r="O3111" t="str">
        <f t="shared" si="145"/>
        <v>Normal</v>
      </c>
    </row>
    <row r="3112" spans="1:15" x14ac:dyDescent="0.3">
      <c r="A3112">
        <v>72178</v>
      </c>
      <c r="B3112" t="s">
        <v>7</v>
      </c>
      <c r="C3112">
        <v>4</v>
      </c>
      <c r="D3112">
        <v>0</v>
      </c>
      <c r="E3112">
        <v>0</v>
      </c>
      <c r="F3112" t="str">
        <f t="shared" si="146"/>
        <v>Lower Risk</v>
      </c>
      <c r="G3112" t="s">
        <v>13</v>
      </c>
      <c r="H3112" t="s">
        <v>16</v>
      </c>
      <c r="I3112" t="s">
        <v>5</v>
      </c>
      <c r="J3112">
        <v>71.25</v>
      </c>
      <c r="K3112">
        <v>18.8</v>
      </c>
      <c r="L3112" t="s">
        <v>14</v>
      </c>
      <c r="M3112">
        <v>0</v>
      </c>
      <c r="N3112" t="str">
        <f t="shared" si="144"/>
        <v>Under 40</v>
      </c>
      <c r="O3112" t="str">
        <f t="shared" si="145"/>
        <v>Normal</v>
      </c>
    </row>
    <row r="3113" spans="1:15" x14ac:dyDescent="0.3">
      <c r="A3113">
        <v>11817</v>
      </c>
      <c r="B3113" t="s">
        <v>2</v>
      </c>
      <c r="C3113">
        <v>58</v>
      </c>
      <c r="D3113">
        <v>0</v>
      </c>
      <c r="E3113">
        <v>0</v>
      </c>
      <c r="F3113" t="str">
        <f t="shared" si="146"/>
        <v>Lower Risk</v>
      </c>
      <c r="G3113" t="s">
        <v>3</v>
      </c>
      <c r="H3113" t="s">
        <v>15</v>
      </c>
      <c r="I3113" t="s">
        <v>5</v>
      </c>
      <c r="J3113">
        <v>160.87</v>
      </c>
      <c r="K3113" t="s">
        <v>10</v>
      </c>
      <c r="L3113" t="s">
        <v>6</v>
      </c>
      <c r="M3113">
        <v>0</v>
      </c>
      <c r="N3113" t="str">
        <f t="shared" si="144"/>
        <v>40–59</v>
      </c>
      <c r="O3113" t="str">
        <f t="shared" si="145"/>
        <v>Unknown</v>
      </c>
    </row>
    <row r="3114" spans="1:15" x14ac:dyDescent="0.3">
      <c r="A3114">
        <v>26468</v>
      </c>
      <c r="B3114" t="s">
        <v>7</v>
      </c>
      <c r="C3114">
        <v>45</v>
      </c>
      <c r="D3114">
        <v>0</v>
      </c>
      <c r="E3114">
        <v>0</v>
      </c>
      <c r="F3114" t="str">
        <f t="shared" si="146"/>
        <v>Lower Risk</v>
      </c>
      <c r="G3114" t="s">
        <v>3</v>
      </c>
      <c r="H3114" t="s">
        <v>15</v>
      </c>
      <c r="I3114" t="s">
        <v>5</v>
      </c>
      <c r="J3114">
        <v>82.02</v>
      </c>
      <c r="K3114">
        <v>41.8</v>
      </c>
      <c r="L3114" t="s">
        <v>12</v>
      </c>
      <c r="M3114">
        <v>0</v>
      </c>
      <c r="N3114" t="str">
        <f t="shared" si="144"/>
        <v>40–59</v>
      </c>
      <c r="O3114" t="str">
        <f t="shared" si="145"/>
        <v>Obese</v>
      </c>
    </row>
    <row r="3115" spans="1:15" x14ac:dyDescent="0.3">
      <c r="A3115">
        <v>13176</v>
      </c>
      <c r="B3115" t="s">
        <v>7</v>
      </c>
      <c r="C3115">
        <v>62</v>
      </c>
      <c r="D3115">
        <v>1</v>
      </c>
      <c r="E3115">
        <v>0</v>
      </c>
      <c r="F3115" t="str">
        <f t="shared" si="146"/>
        <v>High Risk</v>
      </c>
      <c r="G3115" t="s">
        <v>3</v>
      </c>
      <c r="H3115" t="s">
        <v>4</v>
      </c>
      <c r="I3115" t="s">
        <v>5</v>
      </c>
      <c r="J3115">
        <v>78.02</v>
      </c>
      <c r="K3115">
        <v>36.4</v>
      </c>
      <c r="L3115" t="s">
        <v>11</v>
      </c>
      <c r="M3115">
        <v>0</v>
      </c>
      <c r="N3115" t="str">
        <f t="shared" si="144"/>
        <v>60+</v>
      </c>
      <c r="O3115" t="str">
        <f t="shared" si="145"/>
        <v>Obese</v>
      </c>
    </row>
    <row r="3116" spans="1:15" x14ac:dyDescent="0.3">
      <c r="A3116">
        <v>67032</v>
      </c>
      <c r="B3116" t="s">
        <v>2</v>
      </c>
      <c r="C3116">
        <v>42</v>
      </c>
      <c r="D3116">
        <v>0</v>
      </c>
      <c r="E3116">
        <v>0</v>
      </c>
      <c r="F3116" t="str">
        <f t="shared" si="146"/>
        <v>Lower Risk</v>
      </c>
      <c r="G3116" t="s">
        <v>13</v>
      </c>
      <c r="H3116" t="s">
        <v>15</v>
      </c>
      <c r="I3116" t="s">
        <v>5</v>
      </c>
      <c r="J3116">
        <v>115.21</v>
      </c>
      <c r="K3116">
        <v>28.7</v>
      </c>
      <c r="L3116" t="s">
        <v>14</v>
      </c>
      <c r="M3116">
        <v>0</v>
      </c>
      <c r="N3116" t="str">
        <f t="shared" si="144"/>
        <v>40–59</v>
      </c>
      <c r="O3116" t="str">
        <f t="shared" si="145"/>
        <v>Overweight</v>
      </c>
    </row>
    <row r="3117" spans="1:15" x14ac:dyDescent="0.3">
      <c r="A3117">
        <v>39784</v>
      </c>
      <c r="B3117" t="s">
        <v>7</v>
      </c>
      <c r="C3117">
        <v>72</v>
      </c>
      <c r="D3117">
        <v>0</v>
      </c>
      <c r="E3117">
        <v>0</v>
      </c>
      <c r="F3117" t="str">
        <f t="shared" si="146"/>
        <v>Moderate Risk</v>
      </c>
      <c r="G3117" t="s">
        <v>3</v>
      </c>
      <c r="H3117" t="s">
        <v>8</v>
      </c>
      <c r="I3117" t="s">
        <v>5</v>
      </c>
      <c r="J3117">
        <v>65.12</v>
      </c>
      <c r="K3117">
        <v>28.3</v>
      </c>
      <c r="L3117" t="s">
        <v>11</v>
      </c>
      <c r="M3117">
        <v>0</v>
      </c>
      <c r="N3117" t="str">
        <f t="shared" si="144"/>
        <v>60+</v>
      </c>
      <c r="O3117" t="str">
        <f t="shared" si="145"/>
        <v>Overweight</v>
      </c>
    </row>
    <row r="3118" spans="1:15" x14ac:dyDescent="0.3">
      <c r="A3118">
        <v>56156</v>
      </c>
      <c r="B3118" t="s">
        <v>18</v>
      </c>
      <c r="C3118">
        <v>26</v>
      </c>
      <c r="D3118">
        <v>0</v>
      </c>
      <c r="E3118">
        <v>0</v>
      </c>
      <c r="F3118" t="str">
        <f t="shared" si="146"/>
        <v>Lower Risk</v>
      </c>
      <c r="G3118" t="s">
        <v>13</v>
      </c>
      <c r="H3118" t="s">
        <v>4</v>
      </c>
      <c r="I3118" t="s">
        <v>9</v>
      </c>
      <c r="J3118">
        <v>143.33000000000001</v>
      </c>
      <c r="K3118">
        <v>22.4</v>
      </c>
      <c r="L3118" t="s">
        <v>6</v>
      </c>
      <c r="M3118">
        <v>0</v>
      </c>
      <c r="N3118" t="str">
        <f t="shared" si="144"/>
        <v>Under 40</v>
      </c>
      <c r="O3118" t="str">
        <f t="shared" si="145"/>
        <v>Normal</v>
      </c>
    </row>
    <row r="3119" spans="1:15" x14ac:dyDescent="0.3">
      <c r="A3119">
        <v>15230</v>
      </c>
      <c r="B3119" t="s">
        <v>7</v>
      </c>
      <c r="C3119">
        <v>9</v>
      </c>
      <c r="D3119">
        <v>0</v>
      </c>
      <c r="E3119">
        <v>0</v>
      </c>
      <c r="F3119" t="str">
        <f t="shared" si="146"/>
        <v>Lower Risk</v>
      </c>
      <c r="G3119" t="s">
        <v>13</v>
      </c>
      <c r="H3119" t="s">
        <v>16</v>
      </c>
      <c r="I3119" t="s">
        <v>9</v>
      </c>
      <c r="J3119">
        <v>80.55</v>
      </c>
      <c r="K3119">
        <v>15.1</v>
      </c>
      <c r="L3119" t="s">
        <v>14</v>
      </c>
      <c r="M3119">
        <v>0</v>
      </c>
      <c r="N3119" t="str">
        <f t="shared" si="144"/>
        <v>Under 40</v>
      </c>
      <c r="O3119" t="str">
        <f t="shared" si="145"/>
        <v>Underweight</v>
      </c>
    </row>
    <row r="3120" spans="1:15" x14ac:dyDescent="0.3">
      <c r="A3120">
        <v>25218</v>
      </c>
      <c r="B3120" t="s">
        <v>7</v>
      </c>
      <c r="C3120">
        <v>31</v>
      </c>
      <c r="D3120">
        <v>0</v>
      </c>
      <c r="E3120">
        <v>0</v>
      </c>
      <c r="F3120" t="str">
        <f t="shared" si="146"/>
        <v>Lower Risk</v>
      </c>
      <c r="G3120" t="s">
        <v>3</v>
      </c>
      <c r="H3120" t="s">
        <v>15</v>
      </c>
      <c r="I3120" t="s">
        <v>5</v>
      </c>
      <c r="J3120">
        <v>88.2</v>
      </c>
      <c r="K3120">
        <v>22.7</v>
      </c>
      <c r="L3120" t="s">
        <v>11</v>
      </c>
      <c r="M3120">
        <v>0</v>
      </c>
      <c r="N3120" t="str">
        <f t="shared" si="144"/>
        <v>Under 40</v>
      </c>
      <c r="O3120" t="str">
        <f t="shared" si="145"/>
        <v>Normal</v>
      </c>
    </row>
    <row r="3121" spans="1:15" x14ac:dyDescent="0.3">
      <c r="A3121">
        <v>39637</v>
      </c>
      <c r="B3121" t="s">
        <v>7</v>
      </c>
      <c r="C3121">
        <v>20</v>
      </c>
      <c r="D3121">
        <v>0</v>
      </c>
      <c r="E3121">
        <v>0</v>
      </c>
      <c r="F3121" t="str">
        <f t="shared" si="146"/>
        <v>Lower Risk</v>
      </c>
      <c r="G3121" t="s">
        <v>13</v>
      </c>
      <c r="H3121" t="s">
        <v>4</v>
      </c>
      <c r="I3121" t="s">
        <v>9</v>
      </c>
      <c r="J3121">
        <v>147.41999999999999</v>
      </c>
      <c r="K3121">
        <v>26.6</v>
      </c>
      <c r="L3121" t="s">
        <v>14</v>
      </c>
      <c r="M3121">
        <v>0</v>
      </c>
      <c r="N3121" t="str">
        <f t="shared" si="144"/>
        <v>Under 40</v>
      </c>
      <c r="O3121" t="str">
        <f t="shared" si="145"/>
        <v>Overweight</v>
      </c>
    </row>
    <row r="3122" spans="1:15" x14ac:dyDescent="0.3">
      <c r="A3122">
        <v>26777</v>
      </c>
      <c r="B3122" t="s">
        <v>2</v>
      </c>
      <c r="C3122">
        <v>22</v>
      </c>
      <c r="D3122">
        <v>0</v>
      </c>
      <c r="E3122">
        <v>0</v>
      </c>
      <c r="F3122" t="str">
        <f t="shared" si="146"/>
        <v>Lower Risk</v>
      </c>
      <c r="G3122" t="s">
        <v>13</v>
      </c>
      <c r="H3122" t="s">
        <v>4</v>
      </c>
      <c r="I3122" t="s">
        <v>9</v>
      </c>
      <c r="J3122">
        <v>86.53</v>
      </c>
      <c r="K3122">
        <v>20.8</v>
      </c>
      <c r="L3122" t="s">
        <v>11</v>
      </c>
      <c r="M3122">
        <v>0</v>
      </c>
      <c r="N3122" t="str">
        <f t="shared" si="144"/>
        <v>Under 40</v>
      </c>
      <c r="O3122" t="str">
        <f t="shared" si="145"/>
        <v>Normal</v>
      </c>
    </row>
    <row r="3123" spans="1:15" x14ac:dyDescent="0.3">
      <c r="A3123">
        <v>60533</v>
      </c>
      <c r="B3123" t="s">
        <v>7</v>
      </c>
      <c r="C3123">
        <v>23</v>
      </c>
      <c r="D3123">
        <v>0</v>
      </c>
      <c r="E3123">
        <v>0</v>
      </c>
      <c r="F3123" t="str">
        <f t="shared" si="146"/>
        <v>Lower Risk</v>
      </c>
      <c r="G3123" t="s">
        <v>13</v>
      </c>
      <c r="H3123" t="s">
        <v>4</v>
      </c>
      <c r="I3123" t="s">
        <v>9</v>
      </c>
      <c r="J3123">
        <v>91.95</v>
      </c>
      <c r="K3123">
        <v>23</v>
      </c>
      <c r="L3123" t="s">
        <v>14</v>
      </c>
      <c r="M3123">
        <v>0</v>
      </c>
      <c r="N3123" t="str">
        <f t="shared" si="144"/>
        <v>Under 40</v>
      </c>
      <c r="O3123" t="str">
        <f t="shared" si="145"/>
        <v>Normal</v>
      </c>
    </row>
    <row r="3124" spans="1:15" x14ac:dyDescent="0.3">
      <c r="A3124">
        <v>44375</v>
      </c>
      <c r="B3124" t="s">
        <v>7</v>
      </c>
      <c r="C3124">
        <v>57</v>
      </c>
      <c r="D3124">
        <v>1</v>
      </c>
      <c r="E3124">
        <v>0</v>
      </c>
      <c r="F3124" t="str">
        <f t="shared" si="146"/>
        <v>Lower Risk</v>
      </c>
      <c r="G3124" t="s">
        <v>3</v>
      </c>
      <c r="H3124" t="s">
        <v>8</v>
      </c>
      <c r="I3124" t="s">
        <v>9</v>
      </c>
      <c r="J3124">
        <v>63.72</v>
      </c>
      <c r="K3124">
        <v>35.799999999999997</v>
      </c>
      <c r="L3124" t="s">
        <v>12</v>
      </c>
      <c r="M3124">
        <v>0</v>
      </c>
      <c r="N3124" t="str">
        <f t="shared" si="144"/>
        <v>40–59</v>
      </c>
      <c r="O3124" t="str">
        <f t="shared" si="145"/>
        <v>Obese</v>
      </c>
    </row>
    <row r="3125" spans="1:15" x14ac:dyDescent="0.3">
      <c r="A3125">
        <v>49848</v>
      </c>
      <c r="B3125" t="s">
        <v>2</v>
      </c>
      <c r="C3125">
        <v>52</v>
      </c>
      <c r="D3125">
        <v>0</v>
      </c>
      <c r="E3125">
        <v>0</v>
      </c>
      <c r="F3125" t="str">
        <f t="shared" si="146"/>
        <v>Lower Risk</v>
      </c>
      <c r="G3125" t="s">
        <v>3</v>
      </c>
      <c r="H3125" t="s">
        <v>4</v>
      </c>
      <c r="I3125" t="s">
        <v>9</v>
      </c>
      <c r="J3125">
        <v>63.78</v>
      </c>
      <c r="K3125">
        <v>29.9</v>
      </c>
      <c r="L3125" t="s">
        <v>11</v>
      </c>
      <c r="M3125">
        <v>0</v>
      </c>
      <c r="N3125" t="str">
        <f t="shared" si="144"/>
        <v>40–59</v>
      </c>
      <c r="O3125" t="str">
        <f t="shared" si="145"/>
        <v>Overweight</v>
      </c>
    </row>
    <row r="3126" spans="1:15" x14ac:dyDescent="0.3">
      <c r="A3126">
        <v>65413</v>
      </c>
      <c r="B3126" t="s">
        <v>7</v>
      </c>
      <c r="C3126">
        <v>64</v>
      </c>
      <c r="D3126">
        <v>0</v>
      </c>
      <c r="E3126">
        <v>0</v>
      </c>
      <c r="F3126" t="str">
        <f t="shared" si="146"/>
        <v>Moderate Risk</v>
      </c>
      <c r="G3126" t="s">
        <v>3</v>
      </c>
      <c r="H3126" t="s">
        <v>4</v>
      </c>
      <c r="I3126" t="s">
        <v>5</v>
      </c>
      <c r="J3126">
        <v>55.64</v>
      </c>
      <c r="K3126">
        <v>43.4</v>
      </c>
      <c r="L3126" t="s">
        <v>11</v>
      </c>
      <c r="M3126">
        <v>0</v>
      </c>
      <c r="N3126" t="str">
        <f t="shared" si="144"/>
        <v>60+</v>
      </c>
      <c r="O3126" t="str">
        <f t="shared" si="145"/>
        <v>Obese</v>
      </c>
    </row>
    <row r="3127" spans="1:15" x14ac:dyDescent="0.3">
      <c r="A3127">
        <v>31161</v>
      </c>
      <c r="B3127" t="s">
        <v>7</v>
      </c>
      <c r="C3127">
        <v>26</v>
      </c>
      <c r="D3127">
        <v>0</v>
      </c>
      <c r="E3127">
        <v>0</v>
      </c>
      <c r="F3127" t="str">
        <f t="shared" si="146"/>
        <v>Lower Risk</v>
      </c>
      <c r="G3127" t="s">
        <v>13</v>
      </c>
      <c r="H3127" t="s">
        <v>15</v>
      </c>
      <c r="I3127" t="s">
        <v>5</v>
      </c>
      <c r="J3127">
        <v>88.88</v>
      </c>
      <c r="K3127">
        <v>36.299999999999997</v>
      </c>
      <c r="L3127" t="s">
        <v>11</v>
      </c>
      <c r="M3127">
        <v>0</v>
      </c>
      <c r="N3127" t="str">
        <f t="shared" si="144"/>
        <v>Under 40</v>
      </c>
      <c r="O3127" t="str">
        <f t="shared" si="145"/>
        <v>Obese</v>
      </c>
    </row>
    <row r="3128" spans="1:15" x14ac:dyDescent="0.3">
      <c r="A3128">
        <v>61787</v>
      </c>
      <c r="B3128" t="s">
        <v>2</v>
      </c>
      <c r="C3128">
        <v>54</v>
      </c>
      <c r="D3128">
        <v>0</v>
      </c>
      <c r="E3128">
        <v>0</v>
      </c>
      <c r="F3128" t="str">
        <f t="shared" si="146"/>
        <v>Lower Risk</v>
      </c>
      <c r="G3128" t="s">
        <v>3</v>
      </c>
      <c r="H3128" t="s">
        <v>8</v>
      </c>
      <c r="I3128" t="s">
        <v>5</v>
      </c>
      <c r="J3128">
        <v>114.61</v>
      </c>
      <c r="K3128">
        <v>40.1</v>
      </c>
      <c r="L3128" t="s">
        <v>6</v>
      </c>
      <c r="M3128">
        <v>0</v>
      </c>
      <c r="N3128" t="str">
        <f t="shared" si="144"/>
        <v>40–59</v>
      </c>
      <c r="O3128" t="str">
        <f t="shared" si="145"/>
        <v>Obese</v>
      </c>
    </row>
    <row r="3129" spans="1:15" x14ac:dyDescent="0.3">
      <c r="A3129">
        <v>53482</v>
      </c>
      <c r="B3129" t="s">
        <v>2</v>
      </c>
      <c r="C3129">
        <v>32</v>
      </c>
      <c r="D3129">
        <v>0</v>
      </c>
      <c r="E3129">
        <v>0</v>
      </c>
      <c r="F3129" t="str">
        <f t="shared" si="146"/>
        <v>Lower Risk</v>
      </c>
      <c r="G3129" t="s">
        <v>13</v>
      </c>
      <c r="H3129" t="s">
        <v>8</v>
      </c>
      <c r="I3129" t="s">
        <v>9</v>
      </c>
      <c r="J3129">
        <v>56.08</v>
      </c>
      <c r="K3129">
        <v>35.9</v>
      </c>
      <c r="L3129" t="s">
        <v>6</v>
      </c>
      <c r="M3129">
        <v>0</v>
      </c>
      <c r="N3129" t="str">
        <f t="shared" si="144"/>
        <v>Under 40</v>
      </c>
      <c r="O3129" t="str">
        <f t="shared" si="145"/>
        <v>Obese</v>
      </c>
    </row>
    <row r="3130" spans="1:15" x14ac:dyDescent="0.3">
      <c r="A3130">
        <v>71387</v>
      </c>
      <c r="B3130" t="s">
        <v>7</v>
      </c>
      <c r="C3130">
        <v>66</v>
      </c>
      <c r="D3130">
        <v>0</v>
      </c>
      <c r="E3130">
        <v>0</v>
      </c>
      <c r="F3130" t="str">
        <f t="shared" si="146"/>
        <v>Moderate Risk</v>
      </c>
      <c r="G3130" t="s">
        <v>3</v>
      </c>
      <c r="H3130" t="s">
        <v>15</v>
      </c>
      <c r="I3130" t="s">
        <v>9</v>
      </c>
      <c r="J3130">
        <v>59.62</v>
      </c>
      <c r="K3130">
        <v>32.4</v>
      </c>
      <c r="L3130" t="s">
        <v>11</v>
      </c>
      <c r="M3130">
        <v>0</v>
      </c>
      <c r="N3130" t="str">
        <f t="shared" si="144"/>
        <v>60+</v>
      </c>
      <c r="O3130" t="str">
        <f t="shared" si="145"/>
        <v>Obese</v>
      </c>
    </row>
    <row r="3131" spans="1:15" x14ac:dyDescent="0.3">
      <c r="A3131">
        <v>7577</v>
      </c>
      <c r="B3131" t="s">
        <v>2</v>
      </c>
      <c r="C3131">
        <v>13</v>
      </c>
      <c r="D3131">
        <v>0</v>
      </c>
      <c r="E3131">
        <v>0</v>
      </c>
      <c r="F3131" t="str">
        <f t="shared" si="146"/>
        <v>Lower Risk</v>
      </c>
      <c r="G3131" t="s">
        <v>13</v>
      </c>
      <c r="H3131" t="s">
        <v>16</v>
      </c>
      <c r="I3131" t="s">
        <v>5</v>
      </c>
      <c r="J3131">
        <v>75.849999999999994</v>
      </c>
      <c r="K3131">
        <v>20.3</v>
      </c>
      <c r="L3131" t="s">
        <v>14</v>
      </c>
      <c r="M3131">
        <v>0</v>
      </c>
      <c r="N3131" t="str">
        <f t="shared" si="144"/>
        <v>Under 40</v>
      </c>
      <c r="O3131" t="str">
        <f t="shared" si="145"/>
        <v>Normal</v>
      </c>
    </row>
    <row r="3132" spans="1:15" x14ac:dyDescent="0.3">
      <c r="A3132">
        <v>34400</v>
      </c>
      <c r="B3132" t="s">
        <v>7</v>
      </c>
      <c r="C3132">
        <v>77</v>
      </c>
      <c r="D3132">
        <v>1</v>
      </c>
      <c r="E3132">
        <v>0</v>
      </c>
      <c r="F3132" t="str">
        <f t="shared" si="146"/>
        <v>High Risk</v>
      </c>
      <c r="G3132" t="s">
        <v>3</v>
      </c>
      <c r="H3132" t="s">
        <v>8</v>
      </c>
      <c r="I3132" t="s">
        <v>9</v>
      </c>
      <c r="J3132">
        <v>176.71</v>
      </c>
      <c r="K3132">
        <v>33.200000000000003</v>
      </c>
      <c r="L3132" t="s">
        <v>11</v>
      </c>
      <c r="M3132">
        <v>0</v>
      </c>
      <c r="N3132" t="str">
        <f t="shared" si="144"/>
        <v>60+</v>
      </c>
      <c r="O3132" t="str">
        <f t="shared" si="145"/>
        <v>Obese</v>
      </c>
    </row>
    <row r="3133" spans="1:15" x14ac:dyDescent="0.3">
      <c r="A3133">
        <v>45175</v>
      </c>
      <c r="B3133" t="s">
        <v>2</v>
      </c>
      <c r="C3133">
        <v>18</v>
      </c>
      <c r="D3133">
        <v>0</v>
      </c>
      <c r="E3133">
        <v>0</v>
      </c>
      <c r="F3133" t="str">
        <f t="shared" si="146"/>
        <v>Lower Risk</v>
      </c>
      <c r="G3133" t="s">
        <v>13</v>
      </c>
      <c r="H3133" t="s">
        <v>4</v>
      </c>
      <c r="I3133" t="s">
        <v>5</v>
      </c>
      <c r="J3133">
        <v>80.069999999999993</v>
      </c>
      <c r="K3133">
        <v>22.3</v>
      </c>
      <c r="L3133" t="s">
        <v>14</v>
      </c>
      <c r="M3133">
        <v>0</v>
      </c>
      <c r="N3133" t="str">
        <f t="shared" si="144"/>
        <v>Under 40</v>
      </c>
      <c r="O3133" t="str">
        <f t="shared" si="145"/>
        <v>Normal</v>
      </c>
    </row>
    <row r="3134" spans="1:15" x14ac:dyDescent="0.3">
      <c r="A3134">
        <v>71192</v>
      </c>
      <c r="B3134" t="s">
        <v>2</v>
      </c>
      <c r="C3134">
        <v>11</v>
      </c>
      <c r="D3134">
        <v>0</v>
      </c>
      <c r="E3134">
        <v>0</v>
      </c>
      <c r="F3134" t="str">
        <f t="shared" si="146"/>
        <v>Lower Risk</v>
      </c>
      <c r="G3134" t="s">
        <v>13</v>
      </c>
      <c r="H3134" t="s">
        <v>16</v>
      </c>
      <c r="I3134" t="s">
        <v>9</v>
      </c>
      <c r="J3134">
        <v>56.33</v>
      </c>
      <c r="K3134">
        <v>18.100000000000001</v>
      </c>
      <c r="L3134" t="s">
        <v>14</v>
      </c>
      <c r="M3134">
        <v>0</v>
      </c>
      <c r="N3134" t="str">
        <f t="shared" si="144"/>
        <v>Under 40</v>
      </c>
      <c r="O3134" t="str">
        <f t="shared" si="145"/>
        <v>Underweight</v>
      </c>
    </row>
    <row r="3135" spans="1:15" x14ac:dyDescent="0.3">
      <c r="A3135">
        <v>26997</v>
      </c>
      <c r="B3135" t="s">
        <v>7</v>
      </c>
      <c r="C3135">
        <v>16</v>
      </c>
      <c r="D3135">
        <v>0</v>
      </c>
      <c r="E3135">
        <v>0</v>
      </c>
      <c r="F3135" t="str">
        <f t="shared" si="146"/>
        <v>Lower Risk</v>
      </c>
      <c r="G3135" t="s">
        <v>13</v>
      </c>
      <c r="H3135" t="s">
        <v>4</v>
      </c>
      <c r="I3135" t="s">
        <v>5</v>
      </c>
      <c r="J3135">
        <v>87.16</v>
      </c>
      <c r="K3135">
        <v>28.2</v>
      </c>
      <c r="L3135" t="s">
        <v>11</v>
      </c>
      <c r="M3135">
        <v>0</v>
      </c>
      <c r="N3135" t="str">
        <f t="shared" si="144"/>
        <v>Under 40</v>
      </c>
      <c r="O3135" t="str">
        <f t="shared" si="145"/>
        <v>Overweight</v>
      </c>
    </row>
    <row r="3136" spans="1:15" x14ac:dyDescent="0.3">
      <c r="A3136">
        <v>33532</v>
      </c>
      <c r="B3136" t="s">
        <v>7</v>
      </c>
      <c r="C3136">
        <v>73</v>
      </c>
      <c r="D3136">
        <v>0</v>
      </c>
      <c r="E3136">
        <v>1</v>
      </c>
      <c r="F3136" t="str">
        <f t="shared" si="146"/>
        <v>High Risk</v>
      </c>
      <c r="G3136" t="s">
        <v>3</v>
      </c>
      <c r="H3136" t="s">
        <v>4</v>
      </c>
      <c r="I3136" t="s">
        <v>9</v>
      </c>
      <c r="J3136">
        <v>102.46</v>
      </c>
      <c r="K3136">
        <v>29.7</v>
      </c>
      <c r="L3136" t="s">
        <v>11</v>
      </c>
      <c r="M3136">
        <v>0</v>
      </c>
      <c r="N3136" t="str">
        <f t="shared" si="144"/>
        <v>60+</v>
      </c>
      <c r="O3136" t="str">
        <f t="shared" si="145"/>
        <v>Overweight</v>
      </c>
    </row>
    <row r="3137" spans="1:15" x14ac:dyDescent="0.3">
      <c r="A3137">
        <v>33704</v>
      </c>
      <c r="B3137" t="s">
        <v>2</v>
      </c>
      <c r="C3137">
        <v>44</v>
      </c>
      <c r="D3137">
        <v>1</v>
      </c>
      <c r="E3137">
        <v>0</v>
      </c>
      <c r="F3137" t="str">
        <f t="shared" si="146"/>
        <v>Lower Risk</v>
      </c>
      <c r="G3137" t="s">
        <v>3</v>
      </c>
      <c r="H3137" t="s">
        <v>4</v>
      </c>
      <c r="I3137" t="s">
        <v>9</v>
      </c>
      <c r="J3137">
        <v>84.1</v>
      </c>
      <c r="K3137" t="s">
        <v>10</v>
      </c>
      <c r="L3137" t="s">
        <v>14</v>
      </c>
      <c r="M3137">
        <v>0</v>
      </c>
      <c r="N3137" t="str">
        <f t="shared" si="144"/>
        <v>40–59</v>
      </c>
      <c r="O3137" t="str">
        <f t="shared" si="145"/>
        <v>Unknown</v>
      </c>
    </row>
    <row r="3138" spans="1:15" x14ac:dyDescent="0.3">
      <c r="A3138">
        <v>51897</v>
      </c>
      <c r="B3138" t="s">
        <v>2</v>
      </c>
      <c r="C3138">
        <v>36</v>
      </c>
      <c r="D3138">
        <v>0</v>
      </c>
      <c r="E3138">
        <v>0</v>
      </c>
      <c r="F3138" t="str">
        <f t="shared" si="146"/>
        <v>Lower Risk</v>
      </c>
      <c r="G3138" t="s">
        <v>3</v>
      </c>
      <c r="H3138" t="s">
        <v>4</v>
      </c>
      <c r="I3138" t="s">
        <v>9</v>
      </c>
      <c r="J3138">
        <v>161</v>
      </c>
      <c r="K3138">
        <v>29</v>
      </c>
      <c r="L3138" t="s">
        <v>12</v>
      </c>
      <c r="M3138">
        <v>0</v>
      </c>
      <c r="N3138" t="str">
        <f t="shared" ref="N3138:N3201" si="147">IF(C3138&lt;40,"Under 40",IF(C3138&lt;60,"40–59","60+"))</f>
        <v>Under 40</v>
      </c>
      <c r="O3138" t="str">
        <f t="shared" ref="O3138:O3201" si="148">IF(K3138="N/A","Unknown",
IF(K3138="","Unknown",
IF(K3138&lt;18.5,"Underweight",
IF(K3138&lt;25,"Normal",
IF(K3138&lt;30,"Overweight","Obese")))))</f>
        <v>Overweight</v>
      </c>
    </row>
    <row r="3139" spans="1:15" x14ac:dyDescent="0.3">
      <c r="A3139">
        <v>43016</v>
      </c>
      <c r="B3139" t="s">
        <v>2</v>
      </c>
      <c r="C3139">
        <v>10</v>
      </c>
      <c r="D3139">
        <v>0</v>
      </c>
      <c r="E3139">
        <v>0</v>
      </c>
      <c r="F3139" t="str">
        <f t="shared" ref="F3139:F3202" si="149">IF(C3139&gt;=60,
IF(OR(D3139=1,E3139=1),"High Risk","Moderate Risk"),
"Lower Risk")</f>
        <v>Lower Risk</v>
      </c>
      <c r="G3139" t="s">
        <v>13</v>
      </c>
      <c r="H3139" t="s">
        <v>16</v>
      </c>
      <c r="I3139" t="s">
        <v>5</v>
      </c>
      <c r="J3139">
        <v>70.7</v>
      </c>
      <c r="K3139">
        <v>25.4</v>
      </c>
      <c r="L3139" t="s">
        <v>14</v>
      </c>
      <c r="M3139">
        <v>0</v>
      </c>
      <c r="N3139" t="str">
        <f t="shared" si="147"/>
        <v>Under 40</v>
      </c>
      <c r="O3139" t="str">
        <f t="shared" si="148"/>
        <v>Overweight</v>
      </c>
    </row>
    <row r="3140" spans="1:15" x14ac:dyDescent="0.3">
      <c r="A3140">
        <v>3370</v>
      </c>
      <c r="B3140" t="s">
        <v>7</v>
      </c>
      <c r="C3140">
        <v>54</v>
      </c>
      <c r="D3140">
        <v>0</v>
      </c>
      <c r="E3140">
        <v>0</v>
      </c>
      <c r="F3140" t="str">
        <f t="shared" si="149"/>
        <v>Lower Risk</v>
      </c>
      <c r="G3140" t="s">
        <v>3</v>
      </c>
      <c r="H3140" t="s">
        <v>4</v>
      </c>
      <c r="I3140" t="s">
        <v>9</v>
      </c>
      <c r="J3140">
        <v>81.260000000000005</v>
      </c>
      <c r="K3140">
        <v>26.5</v>
      </c>
      <c r="L3140" t="s">
        <v>14</v>
      </c>
      <c r="M3140">
        <v>0</v>
      </c>
      <c r="N3140" t="str">
        <f t="shared" si="147"/>
        <v>40–59</v>
      </c>
      <c r="O3140" t="str">
        <f t="shared" si="148"/>
        <v>Overweight</v>
      </c>
    </row>
    <row r="3141" spans="1:15" x14ac:dyDescent="0.3">
      <c r="A3141">
        <v>39984</v>
      </c>
      <c r="B3141" t="s">
        <v>7</v>
      </c>
      <c r="C3141">
        <v>42</v>
      </c>
      <c r="D3141">
        <v>0</v>
      </c>
      <c r="E3141">
        <v>0</v>
      </c>
      <c r="F3141" t="str">
        <f t="shared" si="149"/>
        <v>Lower Risk</v>
      </c>
      <c r="G3141" t="s">
        <v>3</v>
      </c>
      <c r="H3141" t="s">
        <v>15</v>
      </c>
      <c r="I3141" t="s">
        <v>9</v>
      </c>
      <c r="J3141">
        <v>157.66999999999999</v>
      </c>
      <c r="K3141">
        <v>22.7</v>
      </c>
      <c r="L3141" t="s">
        <v>6</v>
      </c>
      <c r="M3141">
        <v>0</v>
      </c>
      <c r="N3141" t="str">
        <f t="shared" si="147"/>
        <v>40–59</v>
      </c>
      <c r="O3141" t="str">
        <f t="shared" si="148"/>
        <v>Normal</v>
      </c>
    </row>
    <row r="3142" spans="1:15" x14ac:dyDescent="0.3">
      <c r="A3142">
        <v>59232</v>
      </c>
      <c r="B3142" t="s">
        <v>7</v>
      </c>
      <c r="C3142">
        <v>52</v>
      </c>
      <c r="D3142">
        <v>0</v>
      </c>
      <c r="E3142">
        <v>0</v>
      </c>
      <c r="F3142" t="str">
        <f t="shared" si="149"/>
        <v>Lower Risk</v>
      </c>
      <c r="G3142" t="s">
        <v>3</v>
      </c>
      <c r="H3142" t="s">
        <v>8</v>
      </c>
      <c r="I3142" t="s">
        <v>5</v>
      </c>
      <c r="J3142">
        <v>89.59</v>
      </c>
      <c r="K3142">
        <v>27.5</v>
      </c>
      <c r="L3142" t="s">
        <v>14</v>
      </c>
      <c r="M3142">
        <v>0</v>
      </c>
      <c r="N3142" t="str">
        <f t="shared" si="147"/>
        <v>40–59</v>
      </c>
      <c r="O3142" t="str">
        <f t="shared" si="148"/>
        <v>Overweight</v>
      </c>
    </row>
    <row r="3143" spans="1:15" x14ac:dyDescent="0.3">
      <c r="A3143">
        <v>57896</v>
      </c>
      <c r="B3143" t="s">
        <v>2</v>
      </c>
      <c r="C3143">
        <v>32</v>
      </c>
      <c r="D3143">
        <v>0</v>
      </c>
      <c r="E3143">
        <v>0</v>
      </c>
      <c r="F3143" t="str">
        <f t="shared" si="149"/>
        <v>Lower Risk</v>
      </c>
      <c r="G3143" t="s">
        <v>3</v>
      </c>
      <c r="H3143" t="s">
        <v>4</v>
      </c>
      <c r="I3143" t="s">
        <v>5</v>
      </c>
      <c r="J3143">
        <v>64.02</v>
      </c>
      <c r="K3143">
        <v>23.8</v>
      </c>
      <c r="L3143" t="s">
        <v>12</v>
      </c>
      <c r="M3143">
        <v>0</v>
      </c>
      <c r="N3143" t="str">
        <f t="shared" si="147"/>
        <v>Under 40</v>
      </c>
      <c r="O3143" t="str">
        <f t="shared" si="148"/>
        <v>Normal</v>
      </c>
    </row>
    <row r="3144" spans="1:15" x14ac:dyDescent="0.3">
      <c r="A3144">
        <v>21917</v>
      </c>
      <c r="B3144" t="s">
        <v>2</v>
      </c>
      <c r="C3144">
        <v>43</v>
      </c>
      <c r="D3144">
        <v>0</v>
      </c>
      <c r="E3144">
        <v>0</v>
      </c>
      <c r="F3144" t="str">
        <f t="shared" si="149"/>
        <v>Lower Risk</v>
      </c>
      <c r="G3144" t="s">
        <v>3</v>
      </c>
      <c r="H3144" t="s">
        <v>15</v>
      </c>
      <c r="I3144" t="s">
        <v>9</v>
      </c>
      <c r="J3144">
        <v>110.69</v>
      </c>
      <c r="K3144">
        <v>35.6</v>
      </c>
      <c r="L3144" t="s">
        <v>14</v>
      </c>
      <c r="M3144">
        <v>0</v>
      </c>
      <c r="N3144" t="str">
        <f t="shared" si="147"/>
        <v>40–59</v>
      </c>
      <c r="O3144" t="str">
        <f t="shared" si="148"/>
        <v>Obese</v>
      </c>
    </row>
    <row r="3145" spans="1:15" x14ac:dyDescent="0.3">
      <c r="A3145">
        <v>66435</v>
      </c>
      <c r="B3145" t="s">
        <v>7</v>
      </c>
      <c r="C3145">
        <v>28</v>
      </c>
      <c r="D3145">
        <v>0</v>
      </c>
      <c r="E3145">
        <v>0</v>
      </c>
      <c r="F3145" t="str">
        <f t="shared" si="149"/>
        <v>Lower Risk</v>
      </c>
      <c r="G3145" t="s">
        <v>3</v>
      </c>
      <c r="H3145" t="s">
        <v>4</v>
      </c>
      <c r="I3145" t="s">
        <v>9</v>
      </c>
      <c r="J3145">
        <v>71.97</v>
      </c>
      <c r="K3145">
        <v>27.2</v>
      </c>
      <c r="L3145" t="s">
        <v>11</v>
      </c>
      <c r="M3145">
        <v>0</v>
      </c>
      <c r="N3145" t="str">
        <f t="shared" si="147"/>
        <v>Under 40</v>
      </c>
      <c r="O3145" t="str">
        <f t="shared" si="148"/>
        <v>Overweight</v>
      </c>
    </row>
    <row r="3146" spans="1:15" x14ac:dyDescent="0.3">
      <c r="A3146">
        <v>3442</v>
      </c>
      <c r="B3146" t="s">
        <v>7</v>
      </c>
      <c r="C3146">
        <v>79</v>
      </c>
      <c r="D3146">
        <v>0</v>
      </c>
      <c r="E3146">
        <v>0</v>
      </c>
      <c r="F3146" t="str">
        <f t="shared" si="149"/>
        <v>Moderate Risk</v>
      </c>
      <c r="G3146" t="s">
        <v>13</v>
      </c>
      <c r="H3146" t="s">
        <v>8</v>
      </c>
      <c r="I3146" t="s">
        <v>9</v>
      </c>
      <c r="J3146">
        <v>82.07</v>
      </c>
      <c r="K3146">
        <v>30.4</v>
      </c>
      <c r="L3146" t="s">
        <v>14</v>
      </c>
      <c r="M3146">
        <v>0</v>
      </c>
      <c r="N3146" t="str">
        <f t="shared" si="147"/>
        <v>60+</v>
      </c>
      <c r="O3146" t="str">
        <f t="shared" si="148"/>
        <v>Obese</v>
      </c>
    </row>
    <row r="3147" spans="1:15" x14ac:dyDescent="0.3">
      <c r="A3147">
        <v>48064</v>
      </c>
      <c r="B3147" t="s">
        <v>2</v>
      </c>
      <c r="C3147">
        <v>11</v>
      </c>
      <c r="D3147">
        <v>0</v>
      </c>
      <c r="E3147">
        <v>0</v>
      </c>
      <c r="F3147" t="str">
        <f t="shared" si="149"/>
        <v>Lower Risk</v>
      </c>
      <c r="G3147" t="s">
        <v>13</v>
      </c>
      <c r="H3147" t="s">
        <v>16</v>
      </c>
      <c r="I3147" t="s">
        <v>9</v>
      </c>
      <c r="J3147">
        <v>65.069999999999993</v>
      </c>
      <c r="K3147">
        <v>21.5</v>
      </c>
      <c r="L3147" t="s">
        <v>11</v>
      </c>
      <c r="M3147">
        <v>0</v>
      </c>
      <c r="N3147" t="str">
        <f t="shared" si="147"/>
        <v>Under 40</v>
      </c>
      <c r="O3147" t="str">
        <f t="shared" si="148"/>
        <v>Normal</v>
      </c>
    </row>
    <row r="3148" spans="1:15" x14ac:dyDescent="0.3">
      <c r="A3148">
        <v>13358</v>
      </c>
      <c r="B3148" t="s">
        <v>7</v>
      </c>
      <c r="C3148">
        <v>75</v>
      </c>
      <c r="D3148">
        <v>0</v>
      </c>
      <c r="E3148">
        <v>0</v>
      </c>
      <c r="F3148" t="str">
        <f t="shared" si="149"/>
        <v>Moderate Risk</v>
      </c>
      <c r="G3148" t="s">
        <v>3</v>
      </c>
      <c r="H3148" t="s">
        <v>8</v>
      </c>
      <c r="I3148" t="s">
        <v>9</v>
      </c>
      <c r="J3148">
        <v>207.62</v>
      </c>
      <c r="K3148">
        <v>31.8</v>
      </c>
      <c r="L3148" t="s">
        <v>11</v>
      </c>
      <c r="M3148">
        <v>0</v>
      </c>
      <c r="N3148" t="str">
        <f t="shared" si="147"/>
        <v>60+</v>
      </c>
      <c r="O3148" t="str">
        <f t="shared" si="148"/>
        <v>Obese</v>
      </c>
    </row>
    <row r="3149" spans="1:15" x14ac:dyDescent="0.3">
      <c r="A3149">
        <v>64986</v>
      </c>
      <c r="B3149" t="s">
        <v>2</v>
      </c>
      <c r="C3149">
        <v>55</v>
      </c>
      <c r="D3149">
        <v>0</v>
      </c>
      <c r="E3149">
        <v>0</v>
      </c>
      <c r="F3149" t="str">
        <f t="shared" si="149"/>
        <v>Lower Risk</v>
      </c>
      <c r="G3149" t="s">
        <v>3</v>
      </c>
      <c r="H3149" t="s">
        <v>4</v>
      </c>
      <c r="I3149" t="s">
        <v>5</v>
      </c>
      <c r="J3149">
        <v>108.64</v>
      </c>
      <c r="K3149">
        <v>29.5</v>
      </c>
      <c r="L3149" t="s">
        <v>11</v>
      </c>
      <c r="M3149">
        <v>0</v>
      </c>
      <c r="N3149" t="str">
        <f t="shared" si="147"/>
        <v>40–59</v>
      </c>
      <c r="O3149" t="str">
        <f t="shared" si="148"/>
        <v>Overweight</v>
      </c>
    </row>
    <row r="3150" spans="1:15" x14ac:dyDescent="0.3">
      <c r="A3150">
        <v>6032</v>
      </c>
      <c r="B3150" t="s">
        <v>2</v>
      </c>
      <c r="C3150">
        <v>78</v>
      </c>
      <c r="D3150">
        <v>0</v>
      </c>
      <c r="E3150">
        <v>0</v>
      </c>
      <c r="F3150" t="str">
        <f t="shared" si="149"/>
        <v>Moderate Risk</v>
      </c>
      <c r="G3150" t="s">
        <v>3</v>
      </c>
      <c r="H3150" t="s">
        <v>8</v>
      </c>
      <c r="I3150" t="s">
        <v>5</v>
      </c>
      <c r="J3150">
        <v>201.58</v>
      </c>
      <c r="K3150">
        <v>30.6</v>
      </c>
      <c r="L3150" t="s">
        <v>14</v>
      </c>
      <c r="M3150">
        <v>0</v>
      </c>
      <c r="N3150" t="str">
        <f t="shared" si="147"/>
        <v>60+</v>
      </c>
      <c r="O3150" t="str">
        <f t="shared" si="148"/>
        <v>Obese</v>
      </c>
    </row>
    <row r="3151" spans="1:15" x14ac:dyDescent="0.3">
      <c r="A3151">
        <v>52924</v>
      </c>
      <c r="B3151" t="s">
        <v>7</v>
      </c>
      <c r="C3151">
        <v>48</v>
      </c>
      <c r="D3151">
        <v>0</v>
      </c>
      <c r="E3151">
        <v>0</v>
      </c>
      <c r="F3151" t="str">
        <f t="shared" si="149"/>
        <v>Lower Risk</v>
      </c>
      <c r="G3151" t="s">
        <v>3</v>
      </c>
      <c r="H3151" t="s">
        <v>4</v>
      </c>
      <c r="I3151" t="s">
        <v>5</v>
      </c>
      <c r="J3151">
        <v>116.2</v>
      </c>
      <c r="K3151">
        <v>27.6</v>
      </c>
      <c r="L3151" t="s">
        <v>6</v>
      </c>
      <c r="M3151">
        <v>0</v>
      </c>
      <c r="N3151" t="str">
        <f t="shared" si="147"/>
        <v>40–59</v>
      </c>
      <c r="O3151" t="str">
        <f t="shared" si="148"/>
        <v>Overweight</v>
      </c>
    </row>
    <row r="3152" spans="1:15" x14ac:dyDescent="0.3">
      <c r="A3152">
        <v>69979</v>
      </c>
      <c r="B3152" t="s">
        <v>2</v>
      </c>
      <c r="C3152">
        <v>73</v>
      </c>
      <c r="D3152">
        <v>0</v>
      </c>
      <c r="E3152">
        <v>0</v>
      </c>
      <c r="F3152" t="str">
        <f t="shared" si="149"/>
        <v>Moderate Risk</v>
      </c>
      <c r="G3152" t="s">
        <v>3</v>
      </c>
      <c r="H3152" t="s">
        <v>8</v>
      </c>
      <c r="I3152" t="s">
        <v>9</v>
      </c>
      <c r="J3152">
        <v>231.43</v>
      </c>
      <c r="K3152">
        <v>23</v>
      </c>
      <c r="L3152" t="s">
        <v>12</v>
      </c>
      <c r="M3152">
        <v>0</v>
      </c>
      <c r="N3152" t="str">
        <f t="shared" si="147"/>
        <v>60+</v>
      </c>
      <c r="O3152" t="str">
        <f t="shared" si="148"/>
        <v>Normal</v>
      </c>
    </row>
    <row r="3153" spans="1:15" x14ac:dyDescent="0.3">
      <c r="A3153">
        <v>50489</v>
      </c>
      <c r="B3153" t="s">
        <v>7</v>
      </c>
      <c r="C3153">
        <v>56</v>
      </c>
      <c r="D3153">
        <v>0</v>
      </c>
      <c r="E3153">
        <v>0</v>
      </c>
      <c r="F3153" t="str">
        <f t="shared" si="149"/>
        <v>Lower Risk</v>
      </c>
      <c r="G3153" t="s">
        <v>3</v>
      </c>
      <c r="H3153" t="s">
        <v>15</v>
      </c>
      <c r="I3153" t="s">
        <v>5</v>
      </c>
      <c r="J3153">
        <v>112.62</v>
      </c>
      <c r="K3153">
        <v>24.8</v>
      </c>
      <c r="L3153" t="s">
        <v>11</v>
      </c>
      <c r="M3153">
        <v>0</v>
      </c>
      <c r="N3153" t="str">
        <f t="shared" si="147"/>
        <v>40–59</v>
      </c>
      <c r="O3153" t="str">
        <f t="shared" si="148"/>
        <v>Normal</v>
      </c>
    </row>
    <row r="3154" spans="1:15" x14ac:dyDescent="0.3">
      <c r="A3154">
        <v>20094</v>
      </c>
      <c r="B3154" t="s">
        <v>2</v>
      </c>
      <c r="C3154">
        <v>54</v>
      </c>
      <c r="D3154">
        <v>1</v>
      </c>
      <c r="E3154">
        <v>0</v>
      </c>
      <c r="F3154" t="str">
        <f t="shared" si="149"/>
        <v>Lower Risk</v>
      </c>
      <c r="G3154" t="s">
        <v>3</v>
      </c>
      <c r="H3154" t="s">
        <v>4</v>
      </c>
      <c r="I3154" t="s">
        <v>5</v>
      </c>
      <c r="J3154">
        <v>220.26</v>
      </c>
      <c r="K3154">
        <v>28</v>
      </c>
      <c r="L3154" t="s">
        <v>6</v>
      </c>
      <c r="M3154">
        <v>0</v>
      </c>
      <c r="N3154" t="str">
        <f t="shared" si="147"/>
        <v>40–59</v>
      </c>
      <c r="O3154" t="str">
        <f t="shared" si="148"/>
        <v>Overweight</v>
      </c>
    </row>
    <row r="3155" spans="1:15" x14ac:dyDescent="0.3">
      <c r="A3155">
        <v>16618</v>
      </c>
      <c r="B3155" t="s">
        <v>7</v>
      </c>
      <c r="C3155">
        <v>55</v>
      </c>
      <c r="D3155">
        <v>0</v>
      </c>
      <c r="E3155">
        <v>0</v>
      </c>
      <c r="F3155" t="str">
        <f t="shared" si="149"/>
        <v>Lower Risk</v>
      </c>
      <c r="G3155" t="s">
        <v>3</v>
      </c>
      <c r="H3155" t="s">
        <v>4</v>
      </c>
      <c r="I3155" t="s">
        <v>5</v>
      </c>
      <c r="J3155">
        <v>84.37</v>
      </c>
      <c r="K3155">
        <v>22.2</v>
      </c>
      <c r="L3155" t="s">
        <v>14</v>
      </c>
      <c r="M3155">
        <v>0</v>
      </c>
      <c r="N3155" t="str">
        <f t="shared" si="147"/>
        <v>40–59</v>
      </c>
      <c r="O3155" t="str">
        <f t="shared" si="148"/>
        <v>Normal</v>
      </c>
    </row>
    <row r="3156" spans="1:15" x14ac:dyDescent="0.3">
      <c r="A3156">
        <v>63280</v>
      </c>
      <c r="B3156" t="s">
        <v>7</v>
      </c>
      <c r="C3156">
        <v>65</v>
      </c>
      <c r="D3156">
        <v>0</v>
      </c>
      <c r="E3156">
        <v>0</v>
      </c>
      <c r="F3156" t="str">
        <f t="shared" si="149"/>
        <v>Moderate Risk</v>
      </c>
      <c r="G3156" t="s">
        <v>3</v>
      </c>
      <c r="H3156" t="s">
        <v>4</v>
      </c>
      <c r="I3156" t="s">
        <v>9</v>
      </c>
      <c r="J3156">
        <v>82.83</v>
      </c>
      <c r="K3156">
        <v>27.8</v>
      </c>
      <c r="L3156" t="s">
        <v>6</v>
      </c>
      <c r="M3156">
        <v>0</v>
      </c>
      <c r="N3156" t="str">
        <f t="shared" si="147"/>
        <v>60+</v>
      </c>
      <c r="O3156" t="str">
        <f t="shared" si="148"/>
        <v>Overweight</v>
      </c>
    </row>
    <row r="3157" spans="1:15" x14ac:dyDescent="0.3">
      <c r="A3157">
        <v>14551</v>
      </c>
      <c r="B3157" t="s">
        <v>7</v>
      </c>
      <c r="C3157">
        <v>69</v>
      </c>
      <c r="D3157">
        <v>0</v>
      </c>
      <c r="E3157">
        <v>0</v>
      </c>
      <c r="F3157" t="str">
        <f t="shared" si="149"/>
        <v>Moderate Risk</v>
      </c>
      <c r="G3157" t="s">
        <v>13</v>
      </c>
      <c r="H3157" t="s">
        <v>4</v>
      </c>
      <c r="I3157" t="s">
        <v>5</v>
      </c>
      <c r="J3157">
        <v>102.48</v>
      </c>
      <c r="K3157">
        <v>30.2</v>
      </c>
      <c r="L3157" t="s">
        <v>6</v>
      </c>
      <c r="M3157">
        <v>0</v>
      </c>
      <c r="N3157" t="str">
        <f t="shared" si="147"/>
        <v>60+</v>
      </c>
      <c r="O3157" t="str">
        <f t="shared" si="148"/>
        <v>Obese</v>
      </c>
    </row>
    <row r="3158" spans="1:15" x14ac:dyDescent="0.3">
      <c r="A3158">
        <v>22098</v>
      </c>
      <c r="B3158" t="s">
        <v>7</v>
      </c>
      <c r="C3158">
        <v>29</v>
      </c>
      <c r="D3158">
        <v>0</v>
      </c>
      <c r="E3158">
        <v>0</v>
      </c>
      <c r="F3158" t="str">
        <f t="shared" si="149"/>
        <v>Lower Risk</v>
      </c>
      <c r="G3158" t="s">
        <v>3</v>
      </c>
      <c r="H3158" t="s">
        <v>8</v>
      </c>
      <c r="I3158" t="s">
        <v>9</v>
      </c>
      <c r="J3158">
        <v>69.12</v>
      </c>
      <c r="K3158">
        <v>26.8</v>
      </c>
      <c r="L3158" t="s">
        <v>11</v>
      </c>
      <c r="M3158">
        <v>0</v>
      </c>
      <c r="N3158" t="str">
        <f t="shared" si="147"/>
        <v>Under 40</v>
      </c>
      <c r="O3158" t="str">
        <f t="shared" si="148"/>
        <v>Overweight</v>
      </c>
    </row>
    <row r="3159" spans="1:15" x14ac:dyDescent="0.3">
      <c r="A3159">
        <v>17771</v>
      </c>
      <c r="B3159" t="s">
        <v>7</v>
      </c>
      <c r="C3159">
        <v>64</v>
      </c>
      <c r="D3159">
        <v>1</v>
      </c>
      <c r="E3159">
        <v>0</v>
      </c>
      <c r="F3159" t="str">
        <f t="shared" si="149"/>
        <v>High Risk</v>
      </c>
      <c r="G3159" t="s">
        <v>3</v>
      </c>
      <c r="H3159" t="s">
        <v>15</v>
      </c>
      <c r="I3159" t="s">
        <v>5</v>
      </c>
      <c r="J3159">
        <v>211.12</v>
      </c>
      <c r="K3159">
        <v>22</v>
      </c>
      <c r="L3159" t="s">
        <v>11</v>
      </c>
      <c r="M3159">
        <v>0</v>
      </c>
      <c r="N3159" t="str">
        <f t="shared" si="147"/>
        <v>60+</v>
      </c>
      <c r="O3159" t="str">
        <f t="shared" si="148"/>
        <v>Normal</v>
      </c>
    </row>
    <row r="3160" spans="1:15" x14ac:dyDescent="0.3">
      <c r="A3160">
        <v>11803</v>
      </c>
      <c r="B3160" t="s">
        <v>7</v>
      </c>
      <c r="C3160">
        <v>16</v>
      </c>
      <c r="D3160">
        <v>0</v>
      </c>
      <c r="E3160">
        <v>0</v>
      </c>
      <c r="F3160" t="str">
        <f t="shared" si="149"/>
        <v>Lower Risk</v>
      </c>
      <c r="G3160" t="s">
        <v>13</v>
      </c>
      <c r="H3160" t="s">
        <v>4</v>
      </c>
      <c r="I3160" t="s">
        <v>9</v>
      </c>
      <c r="J3160">
        <v>95.38</v>
      </c>
      <c r="K3160">
        <v>34.299999999999997</v>
      </c>
      <c r="L3160" t="s">
        <v>6</v>
      </c>
      <c r="M3160">
        <v>0</v>
      </c>
      <c r="N3160" t="str">
        <f t="shared" si="147"/>
        <v>Under 40</v>
      </c>
      <c r="O3160" t="str">
        <f t="shared" si="148"/>
        <v>Obese</v>
      </c>
    </row>
    <row r="3161" spans="1:15" x14ac:dyDescent="0.3">
      <c r="A3161">
        <v>34356</v>
      </c>
      <c r="B3161" t="s">
        <v>7</v>
      </c>
      <c r="C3161">
        <v>75</v>
      </c>
      <c r="D3161">
        <v>0</v>
      </c>
      <c r="E3161">
        <v>0</v>
      </c>
      <c r="F3161" t="str">
        <f t="shared" si="149"/>
        <v>Moderate Risk</v>
      </c>
      <c r="G3161" t="s">
        <v>3</v>
      </c>
      <c r="H3161" t="s">
        <v>4</v>
      </c>
      <c r="I3161" t="s">
        <v>9</v>
      </c>
      <c r="J3161">
        <v>108.72</v>
      </c>
      <c r="K3161">
        <v>29.2</v>
      </c>
      <c r="L3161" t="s">
        <v>6</v>
      </c>
      <c r="M3161">
        <v>0</v>
      </c>
      <c r="N3161" t="str">
        <f t="shared" si="147"/>
        <v>60+</v>
      </c>
      <c r="O3161" t="str">
        <f t="shared" si="148"/>
        <v>Overweight</v>
      </c>
    </row>
    <row r="3162" spans="1:15" x14ac:dyDescent="0.3">
      <c r="A3162">
        <v>26528</v>
      </c>
      <c r="B3162" t="s">
        <v>7</v>
      </c>
      <c r="C3162">
        <v>17</v>
      </c>
      <c r="D3162">
        <v>0</v>
      </c>
      <c r="E3162">
        <v>0</v>
      </c>
      <c r="F3162" t="str">
        <f t="shared" si="149"/>
        <v>Lower Risk</v>
      </c>
      <c r="G3162" t="s">
        <v>13</v>
      </c>
      <c r="H3162" t="s">
        <v>4</v>
      </c>
      <c r="I3162" t="s">
        <v>9</v>
      </c>
      <c r="J3162">
        <v>88.65</v>
      </c>
      <c r="K3162">
        <v>30.3</v>
      </c>
      <c r="L3162" t="s">
        <v>11</v>
      </c>
      <c r="M3162">
        <v>0</v>
      </c>
      <c r="N3162" t="str">
        <f t="shared" si="147"/>
        <v>Under 40</v>
      </c>
      <c r="O3162" t="str">
        <f t="shared" si="148"/>
        <v>Obese</v>
      </c>
    </row>
    <row r="3163" spans="1:15" x14ac:dyDescent="0.3">
      <c r="A3163">
        <v>51554</v>
      </c>
      <c r="B3163" t="s">
        <v>2</v>
      </c>
      <c r="C3163">
        <v>42</v>
      </c>
      <c r="D3163">
        <v>0</v>
      </c>
      <c r="E3163">
        <v>0</v>
      </c>
      <c r="F3163" t="str">
        <f t="shared" si="149"/>
        <v>Lower Risk</v>
      </c>
      <c r="G3163" t="s">
        <v>3</v>
      </c>
      <c r="H3163" t="s">
        <v>4</v>
      </c>
      <c r="I3163" t="s">
        <v>5</v>
      </c>
      <c r="J3163">
        <v>177.91</v>
      </c>
      <c r="K3163" t="s">
        <v>10</v>
      </c>
      <c r="L3163" t="s">
        <v>14</v>
      </c>
      <c r="M3163">
        <v>0</v>
      </c>
      <c r="N3163" t="str">
        <f t="shared" si="147"/>
        <v>40–59</v>
      </c>
      <c r="O3163" t="str">
        <f t="shared" si="148"/>
        <v>Unknown</v>
      </c>
    </row>
    <row r="3164" spans="1:15" x14ac:dyDescent="0.3">
      <c r="A3164">
        <v>2296</v>
      </c>
      <c r="B3164" t="s">
        <v>2</v>
      </c>
      <c r="C3164">
        <v>78</v>
      </c>
      <c r="D3164">
        <v>1</v>
      </c>
      <c r="E3164">
        <v>0</v>
      </c>
      <c r="F3164" t="str">
        <f t="shared" si="149"/>
        <v>High Risk</v>
      </c>
      <c r="G3164" t="s">
        <v>3</v>
      </c>
      <c r="H3164" t="s">
        <v>8</v>
      </c>
      <c r="I3164" t="s">
        <v>5</v>
      </c>
      <c r="J3164">
        <v>90.19</v>
      </c>
      <c r="K3164" t="s">
        <v>10</v>
      </c>
      <c r="L3164" t="s">
        <v>14</v>
      </c>
      <c r="M3164">
        <v>0</v>
      </c>
      <c r="N3164" t="str">
        <f t="shared" si="147"/>
        <v>60+</v>
      </c>
      <c r="O3164" t="str">
        <f t="shared" si="148"/>
        <v>Unknown</v>
      </c>
    </row>
    <row r="3165" spans="1:15" x14ac:dyDescent="0.3">
      <c r="A3165">
        <v>10624</v>
      </c>
      <c r="B3165" t="s">
        <v>2</v>
      </c>
      <c r="C3165">
        <v>24</v>
      </c>
      <c r="D3165">
        <v>0</v>
      </c>
      <c r="E3165">
        <v>0</v>
      </c>
      <c r="F3165" t="str">
        <f t="shared" si="149"/>
        <v>Lower Risk</v>
      </c>
      <c r="G3165" t="s">
        <v>3</v>
      </c>
      <c r="H3165" t="s">
        <v>4</v>
      </c>
      <c r="I3165" t="s">
        <v>9</v>
      </c>
      <c r="J3165">
        <v>73.78</v>
      </c>
      <c r="K3165">
        <v>21.4</v>
      </c>
      <c r="L3165" t="s">
        <v>12</v>
      </c>
      <c r="M3165">
        <v>0</v>
      </c>
      <c r="N3165" t="str">
        <f t="shared" si="147"/>
        <v>Under 40</v>
      </c>
      <c r="O3165" t="str">
        <f t="shared" si="148"/>
        <v>Normal</v>
      </c>
    </row>
    <row r="3166" spans="1:15" x14ac:dyDescent="0.3">
      <c r="A3166">
        <v>1681</v>
      </c>
      <c r="B3166" t="s">
        <v>7</v>
      </c>
      <c r="C3166">
        <v>68</v>
      </c>
      <c r="D3166">
        <v>0</v>
      </c>
      <c r="E3166">
        <v>0</v>
      </c>
      <c r="F3166" t="str">
        <f t="shared" si="149"/>
        <v>Moderate Risk</v>
      </c>
      <c r="G3166" t="s">
        <v>13</v>
      </c>
      <c r="H3166" t="s">
        <v>4</v>
      </c>
      <c r="I3166" t="s">
        <v>5</v>
      </c>
      <c r="J3166">
        <v>82.85</v>
      </c>
      <c r="K3166" t="s">
        <v>10</v>
      </c>
      <c r="L3166" t="s">
        <v>12</v>
      </c>
      <c r="M3166">
        <v>0</v>
      </c>
      <c r="N3166" t="str">
        <f t="shared" si="147"/>
        <v>60+</v>
      </c>
      <c r="O3166" t="str">
        <f t="shared" si="148"/>
        <v>Unknown</v>
      </c>
    </row>
    <row r="3167" spans="1:15" x14ac:dyDescent="0.3">
      <c r="A3167">
        <v>36375</v>
      </c>
      <c r="B3167" t="s">
        <v>2</v>
      </c>
      <c r="C3167">
        <v>50</v>
      </c>
      <c r="D3167">
        <v>0</v>
      </c>
      <c r="E3167">
        <v>0</v>
      </c>
      <c r="F3167" t="str">
        <f t="shared" si="149"/>
        <v>Lower Risk</v>
      </c>
      <c r="G3167" t="s">
        <v>3</v>
      </c>
      <c r="H3167" t="s">
        <v>4</v>
      </c>
      <c r="I3167" t="s">
        <v>9</v>
      </c>
      <c r="J3167">
        <v>59.48</v>
      </c>
      <c r="K3167">
        <v>26.6</v>
      </c>
      <c r="L3167" t="s">
        <v>14</v>
      </c>
      <c r="M3167">
        <v>0</v>
      </c>
      <c r="N3167" t="str">
        <f t="shared" si="147"/>
        <v>40–59</v>
      </c>
      <c r="O3167" t="str">
        <f t="shared" si="148"/>
        <v>Overweight</v>
      </c>
    </row>
    <row r="3168" spans="1:15" x14ac:dyDescent="0.3">
      <c r="A3168">
        <v>8117</v>
      </c>
      <c r="B3168" t="s">
        <v>2</v>
      </c>
      <c r="C3168">
        <v>52</v>
      </c>
      <c r="D3168">
        <v>0</v>
      </c>
      <c r="E3168">
        <v>0</v>
      </c>
      <c r="F3168" t="str">
        <f t="shared" si="149"/>
        <v>Lower Risk</v>
      </c>
      <c r="G3168" t="s">
        <v>3</v>
      </c>
      <c r="H3168" t="s">
        <v>4</v>
      </c>
      <c r="I3168" t="s">
        <v>9</v>
      </c>
      <c r="J3168">
        <v>75.77</v>
      </c>
      <c r="K3168">
        <v>30</v>
      </c>
      <c r="L3168" t="s">
        <v>6</v>
      </c>
      <c r="M3168">
        <v>0</v>
      </c>
      <c r="N3168" t="str">
        <f t="shared" si="147"/>
        <v>40–59</v>
      </c>
      <c r="O3168" t="str">
        <f t="shared" si="148"/>
        <v>Obese</v>
      </c>
    </row>
    <row r="3169" spans="1:15" x14ac:dyDescent="0.3">
      <c r="A3169">
        <v>49849</v>
      </c>
      <c r="B3169" t="s">
        <v>7</v>
      </c>
      <c r="C3169">
        <v>82</v>
      </c>
      <c r="D3169">
        <v>0</v>
      </c>
      <c r="E3169">
        <v>0</v>
      </c>
      <c r="F3169" t="str">
        <f t="shared" si="149"/>
        <v>Moderate Risk</v>
      </c>
      <c r="G3169" t="s">
        <v>3</v>
      </c>
      <c r="H3169" t="s">
        <v>4</v>
      </c>
      <c r="I3169" t="s">
        <v>9</v>
      </c>
      <c r="J3169">
        <v>80.959999999999994</v>
      </c>
      <c r="K3169">
        <v>33.700000000000003</v>
      </c>
      <c r="L3169" t="s">
        <v>6</v>
      </c>
      <c r="M3169">
        <v>0</v>
      </c>
      <c r="N3169" t="str">
        <f t="shared" si="147"/>
        <v>60+</v>
      </c>
      <c r="O3169" t="str">
        <f t="shared" si="148"/>
        <v>Obese</v>
      </c>
    </row>
    <row r="3170" spans="1:15" x14ac:dyDescent="0.3">
      <c r="A3170">
        <v>19436</v>
      </c>
      <c r="B3170" t="s">
        <v>2</v>
      </c>
      <c r="C3170">
        <v>56</v>
      </c>
      <c r="D3170">
        <v>0</v>
      </c>
      <c r="E3170">
        <v>0</v>
      </c>
      <c r="F3170" t="str">
        <f t="shared" si="149"/>
        <v>Lower Risk</v>
      </c>
      <c r="G3170" t="s">
        <v>3</v>
      </c>
      <c r="H3170" t="s">
        <v>4</v>
      </c>
      <c r="I3170" t="s">
        <v>9</v>
      </c>
      <c r="J3170">
        <v>82.4</v>
      </c>
      <c r="K3170">
        <v>30.9</v>
      </c>
      <c r="L3170" t="s">
        <v>12</v>
      </c>
      <c r="M3170">
        <v>0</v>
      </c>
      <c r="N3170" t="str">
        <f t="shared" si="147"/>
        <v>40–59</v>
      </c>
      <c r="O3170" t="str">
        <f t="shared" si="148"/>
        <v>Obese</v>
      </c>
    </row>
    <row r="3171" spans="1:15" x14ac:dyDescent="0.3">
      <c r="A3171">
        <v>10523</v>
      </c>
      <c r="B3171" t="s">
        <v>2</v>
      </c>
      <c r="C3171">
        <v>56</v>
      </c>
      <c r="D3171">
        <v>0</v>
      </c>
      <c r="E3171">
        <v>0</v>
      </c>
      <c r="F3171" t="str">
        <f t="shared" si="149"/>
        <v>Lower Risk</v>
      </c>
      <c r="G3171" t="s">
        <v>3</v>
      </c>
      <c r="H3171" t="s">
        <v>4</v>
      </c>
      <c r="I3171" t="s">
        <v>5</v>
      </c>
      <c r="J3171">
        <v>78.930000000000007</v>
      </c>
      <c r="K3171">
        <v>31.1</v>
      </c>
      <c r="L3171" t="s">
        <v>14</v>
      </c>
      <c r="M3171">
        <v>0</v>
      </c>
      <c r="N3171" t="str">
        <f t="shared" si="147"/>
        <v>40–59</v>
      </c>
      <c r="O3171" t="str">
        <f t="shared" si="148"/>
        <v>Obese</v>
      </c>
    </row>
    <row r="3172" spans="1:15" x14ac:dyDescent="0.3">
      <c r="A3172">
        <v>39322</v>
      </c>
      <c r="B3172" t="s">
        <v>2</v>
      </c>
      <c r="C3172">
        <v>18</v>
      </c>
      <c r="D3172">
        <v>0</v>
      </c>
      <c r="E3172">
        <v>0</v>
      </c>
      <c r="F3172" t="str">
        <f t="shared" si="149"/>
        <v>Lower Risk</v>
      </c>
      <c r="G3172" t="s">
        <v>13</v>
      </c>
      <c r="H3172" t="s">
        <v>4</v>
      </c>
      <c r="I3172" t="s">
        <v>5</v>
      </c>
      <c r="J3172">
        <v>80.59</v>
      </c>
      <c r="K3172">
        <v>23</v>
      </c>
      <c r="L3172" t="s">
        <v>14</v>
      </c>
      <c r="M3172">
        <v>0</v>
      </c>
      <c r="N3172" t="str">
        <f t="shared" si="147"/>
        <v>Under 40</v>
      </c>
      <c r="O3172" t="str">
        <f t="shared" si="148"/>
        <v>Normal</v>
      </c>
    </row>
    <row r="3173" spans="1:15" x14ac:dyDescent="0.3">
      <c r="A3173">
        <v>53265</v>
      </c>
      <c r="B3173" t="s">
        <v>7</v>
      </c>
      <c r="C3173">
        <v>33</v>
      </c>
      <c r="D3173">
        <v>0</v>
      </c>
      <c r="E3173">
        <v>0</v>
      </c>
      <c r="F3173" t="str">
        <f t="shared" si="149"/>
        <v>Lower Risk</v>
      </c>
      <c r="G3173" t="s">
        <v>3</v>
      </c>
      <c r="H3173" t="s">
        <v>8</v>
      </c>
      <c r="I3173" t="s">
        <v>5</v>
      </c>
      <c r="J3173">
        <v>70.59</v>
      </c>
      <c r="K3173">
        <v>20.2</v>
      </c>
      <c r="L3173" t="s">
        <v>14</v>
      </c>
      <c r="M3173">
        <v>0</v>
      </c>
      <c r="N3173" t="str">
        <f t="shared" si="147"/>
        <v>Under 40</v>
      </c>
      <c r="O3173" t="str">
        <f t="shared" si="148"/>
        <v>Normal</v>
      </c>
    </row>
    <row r="3174" spans="1:15" x14ac:dyDescent="0.3">
      <c r="A3174">
        <v>40379</v>
      </c>
      <c r="B3174" t="s">
        <v>7</v>
      </c>
      <c r="C3174">
        <v>57</v>
      </c>
      <c r="D3174">
        <v>0</v>
      </c>
      <c r="E3174">
        <v>0</v>
      </c>
      <c r="F3174" t="str">
        <f t="shared" si="149"/>
        <v>Lower Risk</v>
      </c>
      <c r="G3174" t="s">
        <v>3</v>
      </c>
      <c r="H3174" t="s">
        <v>4</v>
      </c>
      <c r="I3174" t="s">
        <v>9</v>
      </c>
      <c r="J3174">
        <v>98.57</v>
      </c>
      <c r="K3174">
        <v>31.6</v>
      </c>
      <c r="L3174" t="s">
        <v>11</v>
      </c>
      <c r="M3174">
        <v>0</v>
      </c>
      <c r="N3174" t="str">
        <f t="shared" si="147"/>
        <v>40–59</v>
      </c>
      <c r="O3174" t="str">
        <f t="shared" si="148"/>
        <v>Obese</v>
      </c>
    </row>
    <row r="3175" spans="1:15" x14ac:dyDescent="0.3">
      <c r="A3175">
        <v>66841</v>
      </c>
      <c r="B3175" t="s">
        <v>2</v>
      </c>
      <c r="C3175">
        <v>30</v>
      </c>
      <c r="D3175">
        <v>0</v>
      </c>
      <c r="E3175">
        <v>0</v>
      </c>
      <c r="F3175" t="str">
        <f t="shared" si="149"/>
        <v>Lower Risk</v>
      </c>
      <c r="G3175" t="s">
        <v>13</v>
      </c>
      <c r="H3175" t="s">
        <v>4</v>
      </c>
      <c r="I3175" t="s">
        <v>9</v>
      </c>
      <c r="J3175">
        <v>61.87</v>
      </c>
      <c r="K3175">
        <v>23.9</v>
      </c>
      <c r="L3175" t="s">
        <v>14</v>
      </c>
      <c r="M3175">
        <v>0</v>
      </c>
      <c r="N3175" t="str">
        <f t="shared" si="147"/>
        <v>Under 40</v>
      </c>
      <c r="O3175" t="str">
        <f t="shared" si="148"/>
        <v>Normal</v>
      </c>
    </row>
    <row r="3176" spans="1:15" x14ac:dyDescent="0.3">
      <c r="A3176">
        <v>38900</v>
      </c>
      <c r="B3176" t="s">
        <v>7</v>
      </c>
      <c r="C3176">
        <v>52</v>
      </c>
      <c r="D3176">
        <v>0</v>
      </c>
      <c r="E3176">
        <v>0</v>
      </c>
      <c r="F3176" t="str">
        <f t="shared" si="149"/>
        <v>Lower Risk</v>
      </c>
      <c r="G3176" t="s">
        <v>3</v>
      </c>
      <c r="H3176" t="s">
        <v>4</v>
      </c>
      <c r="I3176" t="s">
        <v>5</v>
      </c>
      <c r="J3176">
        <v>68.88</v>
      </c>
      <c r="K3176">
        <v>26.1</v>
      </c>
      <c r="L3176" t="s">
        <v>14</v>
      </c>
      <c r="M3176">
        <v>0</v>
      </c>
      <c r="N3176" t="str">
        <f t="shared" si="147"/>
        <v>40–59</v>
      </c>
      <c r="O3176" t="str">
        <f t="shared" si="148"/>
        <v>Overweight</v>
      </c>
    </row>
    <row r="3177" spans="1:15" x14ac:dyDescent="0.3">
      <c r="A3177">
        <v>18180</v>
      </c>
      <c r="B3177" t="s">
        <v>7</v>
      </c>
      <c r="C3177">
        <v>3</v>
      </c>
      <c r="D3177">
        <v>0</v>
      </c>
      <c r="E3177">
        <v>0</v>
      </c>
      <c r="F3177" t="str">
        <f t="shared" si="149"/>
        <v>Lower Risk</v>
      </c>
      <c r="G3177" t="s">
        <v>13</v>
      </c>
      <c r="H3177" t="s">
        <v>16</v>
      </c>
      <c r="I3177" t="s">
        <v>5</v>
      </c>
      <c r="J3177">
        <v>66.25</v>
      </c>
      <c r="K3177">
        <v>15.8</v>
      </c>
      <c r="L3177" t="s">
        <v>14</v>
      </c>
      <c r="M3177">
        <v>0</v>
      </c>
      <c r="N3177" t="str">
        <f t="shared" si="147"/>
        <v>Under 40</v>
      </c>
      <c r="O3177" t="str">
        <f t="shared" si="148"/>
        <v>Underweight</v>
      </c>
    </row>
    <row r="3178" spans="1:15" x14ac:dyDescent="0.3">
      <c r="A3178">
        <v>1183</v>
      </c>
      <c r="B3178" t="s">
        <v>2</v>
      </c>
      <c r="C3178">
        <v>39</v>
      </c>
      <c r="D3178">
        <v>0</v>
      </c>
      <c r="E3178">
        <v>0</v>
      </c>
      <c r="F3178" t="str">
        <f t="shared" si="149"/>
        <v>Lower Risk</v>
      </c>
      <c r="G3178" t="s">
        <v>3</v>
      </c>
      <c r="H3178" t="s">
        <v>4</v>
      </c>
      <c r="I3178" t="s">
        <v>9</v>
      </c>
      <c r="J3178">
        <v>84.18</v>
      </c>
      <c r="K3178" t="s">
        <v>10</v>
      </c>
      <c r="L3178" t="s">
        <v>12</v>
      </c>
      <c r="M3178">
        <v>0</v>
      </c>
      <c r="N3178" t="str">
        <f t="shared" si="147"/>
        <v>Under 40</v>
      </c>
      <c r="O3178" t="str">
        <f t="shared" si="148"/>
        <v>Unknown</v>
      </c>
    </row>
    <row r="3179" spans="1:15" x14ac:dyDescent="0.3">
      <c r="A3179">
        <v>22964</v>
      </c>
      <c r="B3179" t="s">
        <v>2</v>
      </c>
      <c r="C3179">
        <v>44</v>
      </c>
      <c r="D3179">
        <v>0</v>
      </c>
      <c r="E3179">
        <v>0</v>
      </c>
      <c r="F3179" t="str">
        <f t="shared" si="149"/>
        <v>Lower Risk</v>
      </c>
      <c r="G3179" t="s">
        <v>3</v>
      </c>
      <c r="H3179" t="s">
        <v>15</v>
      </c>
      <c r="I3179" t="s">
        <v>9</v>
      </c>
      <c r="J3179">
        <v>69.23</v>
      </c>
      <c r="K3179">
        <v>28.7</v>
      </c>
      <c r="L3179" t="s">
        <v>12</v>
      </c>
      <c r="M3179">
        <v>0</v>
      </c>
      <c r="N3179" t="str">
        <f t="shared" si="147"/>
        <v>40–59</v>
      </c>
      <c r="O3179" t="str">
        <f t="shared" si="148"/>
        <v>Overweight</v>
      </c>
    </row>
    <row r="3180" spans="1:15" x14ac:dyDescent="0.3">
      <c r="A3180">
        <v>64597</v>
      </c>
      <c r="B3180" t="s">
        <v>7</v>
      </c>
      <c r="C3180">
        <v>33</v>
      </c>
      <c r="D3180">
        <v>0</v>
      </c>
      <c r="E3180">
        <v>0</v>
      </c>
      <c r="F3180" t="str">
        <f t="shared" si="149"/>
        <v>Lower Risk</v>
      </c>
      <c r="G3180" t="s">
        <v>3</v>
      </c>
      <c r="H3180" t="s">
        <v>4</v>
      </c>
      <c r="I3180" t="s">
        <v>9</v>
      </c>
      <c r="J3180">
        <v>73.2</v>
      </c>
      <c r="K3180">
        <v>28.9</v>
      </c>
      <c r="L3180" t="s">
        <v>14</v>
      </c>
      <c r="M3180">
        <v>0</v>
      </c>
      <c r="N3180" t="str">
        <f t="shared" si="147"/>
        <v>Under 40</v>
      </c>
      <c r="O3180" t="str">
        <f t="shared" si="148"/>
        <v>Overweight</v>
      </c>
    </row>
    <row r="3181" spans="1:15" x14ac:dyDescent="0.3">
      <c r="A3181">
        <v>23893</v>
      </c>
      <c r="B3181" t="s">
        <v>2</v>
      </c>
      <c r="C3181">
        <v>24</v>
      </c>
      <c r="D3181">
        <v>0</v>
      </c>
      <c r="E3181">
        <v>0</v>
      </c>
      <c r="F3181" t="str">
        <f t="shared" si="149"/>
        <v>Lower Risk</v>
      </c>
      <c r="G3181" t="s">
        <v>3</v>
      </c>
      <c r="H3181" t="s">
        <v>4</v>
      </c>
      <c r="I3181" t="s">
        <v>5</v>
      </c>
      <c r="J3181">
        <v>103.45</v>
      </c>
      <c r="K3181">
        <v>25.1</v>
      </c>
      <c r="L3181" t="s">
        <v>12</v>
      </c>
      <c r="M3181">
        <v>0</v>
      </c>
      <c r="N3181" t="str">
        <f t="shared" si="147"/>
        <v>Under 40</v>
      </c>
      <c r="O3181" t="str">
        <f t="shared" si="148"/>
        <v>Overweight</v>
      </c>
    </row>
    <row r="3182" spans="1:15" x14ac:dyDescent="0.3">
      <c r="A3182">
        <v>51564</v>
      </c>
      <c r="B3182" t="s">
        <v>7</v>
      </c>
      <c r="C3182">
        <v>24</v>
      </c>
      <c r="D3182">
        <v>0</v>
      </c>
      <c r="E3182">
        <v>0</v>
      </c>
      <c r="F3182" t="str">
        <f t="shared" si="149"/>
        <v>Lower Risk</v>
      </c>
      <c r="G3182" t="s">
        <v>13</v>
      </c>
      <c r="H3182" t="s">
        <v>15</v>
      </c>
      <c r="I3182" t="s">
        <v>5</v>
      </c>
      <c r="J3182">
        <v>104.86</v>
      </c>
      <c r="K3182">
        <v>19.8</v>
      </c>
      <c r="L3182" t="s">
        <v>11</v>
      </c>
      <c r="M3182">
        <v>0</v>
      </c>
      <c r="N3182" t="str">
        <f t="shared" si="147"/>
        <v>Under 40</v>
      </c>
      <c r="O3182" t="str">
        <f t="shared" si="148"/>
        <v>Normal</v>
      </c>
    </row>
    <row r="3183" spans="1:15" x14ac:dyDescent="0.3">
      <c r="A3183">
        <v>14410</v>
      </c>
      <c r="B3183" t="s">
        <v>2</v>
      </c>
      <c r="C3183">
        <v>54</v>
      </c>
      <c r="D3183">
        <v>0</v>
      </c>
      <c r="E3183">
        <v>1</v>
      </c>
      <c r="F3183" t="str">
        <f t="shared" si="149"/>
        <v>Lower Risk</v>
      </c>
      <c r="G3183" t="s">
        <v>3</v>
      </c>
      <c r="H3183" t="s">
        <v>15</v>
      </c>
      <c r="I3183" t="s">
        <v>5</v>
      </c>
      <c r="J3183">
        <v>90.3</v>
      </c>
      <c r="K3183">
        <v>30.8</v>
      </c>
      <c r="L3183" t="s">
        <v>12</v>
      </c>
      <c r="M3183">
        <v>0</v>
      </c>
      <c r="N3183" t="str">
        <f t="shared" si="147"/>
        <v>40–59</v>
      </c>
      <c r="O3183" t="str">
        <f t="shared" si="148"/>
        <v>Obese</v>
      </c>
    </row>
    <row r="3184" spans="1:15" x14ac:dyDescent="0.3">
      <c r="A3184">
        <v>4964</v>
      </c>
      <c r="B3184" t="s">
        <v>7</v>
      </c>
      <c r="C3184">
        <v>72</v>
      </c>
      <c r="D3184">
        <v>1</v>
      </c>
      <c r="E3184">
        <v>0</v>
      </c>
      <c r="F3184" t="str">
        <f t="shared" si="149"/>
        <v>High Risk</v>
      </c>
      <c r="G3184" t="s">
        <v>3</v>
      </c>
      <c r="H3184" t="s">
        <v>4</v>
      </c>
      <c r="I3184" t="s">
        <v>9</v>
      </c>
      <c r="J3184">
        <v>90.87</v>
      </c>
      <c r="K3184">
        <v>22.1</v>
      </c>
      <c r="L3184" t="s">
        <v>11</v>
      </c>
      <c r="M3184">
        <v>0</v>
      </c>
      <c r="N3184" t="str">
        <f t="shared" si="147"/>
        <v>60+</v>
      </c>
      <c r="O3184" t="str">
        <f t="shared" si="148"/>
        <v>Normal</v>
      </c>
    </row>
    <row r="3185" spans="1:15" x14ac:dyDescent="0.3">
      <c r="A3185">
        <v>15020</v>
      </c>
      <c r="B3185" t="s">
        <v>7</v>
      </c>
      <c r="C3185">
        <v>37</v>
      </c>
      <c r="D3185">
        <v>0</v>
      </c>
      <c r="E3185">
        <v>0</v>
      </c>
      <c r="F3185" t="str">
        <f t="shared" si="149"/>
        <v>Lower Risk</v>
      </c>
      <c r="G3185" t="s">
        <v>13</v>
      </c>
      <c r="H3185" t="s">
        <v>15</v>
      </c>
      <c r="I3185" t="s">
        <v>9</v>
      </c>
      <c r="J3185">
        <v>76.209999999999994</v>
      </c>
      <c r="K3185">
        <v>20.399999999999999</v>
      </c>
      <c r="L3185" t="s">
        <v>14</v>
      </c>
      <c r="M3185">
        <v>0</v>
      </c>
      <c r="N3185" t="str">
        <f t="shared" si="147"/>
        <v>Under 40</v>
      </c>
      <c r="O3185" t="str">
        <f t="shared" si="148"/>
        <v>Normal</v>
      </c>
    </row>
    <row r="3186" spans="1:15" x14ac:dyDescent="0.3">
      <c r="A3186">
        <v>27380</v>
      </c>
      <c r="B3186" t="s">
        <v>7</v>
      </c>
      <c r="C3186">
        <v>36</v>
      </c>
      <c r="D3186">
        <v>0</v>
      </c>
      <c r="E3186">
        <v>0</v>
      </c>
      <c r="F3186" t="str">
        <f t="shared" si="149"/>
        <v>Lower Risk</v>
      </c>
      <c r="G3186" t="s">
        <v>3</v>
      </c>
      <c r="H3186" t="s">
        <v>4</v>
      </c>
      <c r="I3186" t="s">
        <v>9</v>
      </c>
      <c r="J3186">
        <v>74.14</v>
      </c>
      <c r="K3186">
        <v>31.2</v>
      </c>
      <c r="L3186" t="s">
        <v>6</v>
      </c>
      <c r="M3186">
        <v>0</v>
      </c>
      <c r="N3186" t="str">
        <f t="shared" si="147"/>
        <v>Under 40</v>
      </c>
      <c r="O3186" t="str">
        <f t="shared" si="148"/>
        <v>Obese</v>
      </c>
    </row>
    <row r="3187" spans="1:15" x14ac:dyDescent="0.3">
      <c r="A3187">
        <v>21523</v>
      </c>
      <c r="B3187" t="s">
        <v>7</v>
      </c>
      <c r="C3187">
        <v>22</v>
      </c>
      <c r="D3187">
        <v>0</v>
      </c>
      <c r="E3187">
        <v>0</v>
      </c>
      <c r="F3187" t="str">
        <f t="shared" si="149"/>
        <v>Lower Risk</v>
      </c>
      <c r="G3187" t="s">
        <v>13</v>
      </c>
      <c r="H3187" t="s">
        <v>15</v>
      </c>
      <c r="I3187" t="s">
        <v>5</v>
      </c>
      <c r="J3187">
        <v>87.25</v>
      </c>
      <c r="K3187">
        <v>24.9</v>
      </c>
      <c r="L3187" t="s">
        <v>12</v>
      </c>
      <c r="M3187">
        <v>0</v>
      </c>
      <c r="N3187" t="str">
        <f t="shared" si="147"/>
        <v>Under 40</v>
      </c>
      <c r="O3187" t="str">
        <f t="shared" si="148"/>
        <v>Normal</v>
      </c>
    </row>
    <row r="3188" spans="1:15" x14ac:dyDescent="0.3">
      <c r="A3188">
        <v>8819</v>
      </c>
      <c r="B3188" t="s">
        <v>7</v>
      </c>
      <c r="C3188">
        <v>68</v>
      </c>
      <c r="D3188">
        <v>0</v>
      </c>
      <c r="E3188">
        <v>0</v>
      </c>
      <c r="F3188" t="str">
        <f t="shared" si="149"/>
        <v>Moderate Risk</v>
      </c>
      <c r="G3188" t="s">
        <v>3</v>
      </c>
      <c r="H3188" t="s">
        <v>15</v>
      </c>
      <c r="I3188" t="s">
        <v>9</v>
      </c>
      <c r="J3188">
        <v>215.33</v>
      </c>
      <c r="K3188">
        <v>27</v>
      </c>
      <c r="L3188" t="s">
        <v>6</v>
      </c>
      <c r="M3188">
        <v>0</v>
      </c>
      <c r="N3188" t="str">
        <f t="shared" si="147"/>
        <v>60+</v>
      </c>
      <c r="O3188" t="str">
        <f t="shared" si="148"/>
        <v>Overweight</v>
      </c>
    </row>
    <row r="3189" spans="1:15" x14ac:dyDescent="0.3">
      <c r="A3189">
        <v>68408</v>
      </c>
      <c r="B3189" t="s">
        <v>2</v>
      </c>
      <c r="C3189">
        <v>24</v>
      </c>
      <c r="D3189">
        <v>0</v>
      </c>
      <c r="E3189">
        <v>0</v>
      </c>
      <c r="F3189" t="str">
        <f t="shared" si="149"/>
        <v>Lower Risk</v>
      </c>
      <c r="G3189" t="s">
        <v>13</v>
      </c>
      <c r="H3189" t="s">
        <v>4</v>
      </c>
      <c r="I3189" t="s">
        <v>5</v>
      </c>
      <c r="J3189">
        <v>88.38</v>
      </c>
      <c r="K3189">
        <v>20.100000000000001</v>
      </c>
      <c r="L3189" t="s">
        <v>12</v>
      </c>
      <c r="M3189">
        <v>0</v>
      </c>
      <c r="N3189" t="str">
        <f t="shared" si="147"/>
        <v>Under 40</v>
      </c>
      <c r="O3189" t="str">
        <f t="shared" si="148"/>
        <v>Normal</v>
      </c>
    </row>
    <row r="3190" spans="1:15" x14ac:dyDescent="0.3">
      <c r="A3190">
        <v>8976</v>
      </c>
      <c r="B3190" t="s">
        <v>7</v>
      </c>
      <c r="C3190">
        <v>35</v>
      </c>
      <c r="D3190">
        <v>0</v>
      </c>
      <c r="E3190">
        <v>0</v>
      </c>
      <c r="F3190" t="str">
        <f t="shared" si="149"/>
        <v>Lower Risk</v>
      </c>
      <c r="G3190" t="s">
        <v>3</v>
      </c>
      <c r="H3190" t="s">
        <v>4</v>
      </c>
      <c r="I3190" t="s">
        <v>9</v>
      </c>
      <c r="J3190">
        <v>104.4</v>
      </c>
      <c r="K3190">
        <v>24.4</v>
      </c>
      <c r="L3190" t="s">
        <v>11</v>
      </c>
      <c r="M3190">
        <v>0</v>
      </c>
      <c r="N3190" t="str">
        <f t="shared" si="147"/>
        <v>Under 40</v>
      </c>
      <c r="O3190" t="str">
        <f t="shared" si="148"/>
        <v>Normal</v>
      </c>
    </row>
    <row r="3191" spans="1:15" x14ac:dyDescent="0.3">
      <c r="A3191">
        <v>22290</v>
      </c>
      <c r="B3191" t="s">
        <v>7</v>
      </c>
      <c r="C3191">
        <v>32</v>
      </c>
      <c r="D3191">
        <v>0</v>
      </c>
      <c r="E3191">
        <v>0</v>
      </c>
      <c r="F3191" t="str">
        <f t="shared" si="149"/>
        <v>Lower Risk</v>
      </c>
      <c r="G3191" t="s">
        <v>3</v>
      </c>
      <c r="H3191" t="s">
        <v>4</v>
      </c>
      <c r="I3191" t="s">
        <v>5</v>
      </c>
      <c r="J3191">
        <v>104.92</v>
      </c>
      <c r="K3191">
        <v>22.6</v>
      </c>
      <c r="L3191" t="s">
        <v>11</v>
      </c>
      <c r="M3191">
        <v>0</v>
      </c>
      <c r="N3191" t="str">
        <f t="shared" si="147"/>
        <v>Under 40</v>
      </c>
      <c r="O3191" t="str">
        <f t="shared" si="148"/>
        <v>Normal</v>
      </c>
    </row>
    <row r="3192" spans="1:15" x14ac:dyDescent="0.3">
      <c r="A3192">
        <v>7700</v>
      </c>
      <c r="B3192" t="s">
        <v>7</v>
      </c>
      <c r="C3192">
        <v>52</v>
      </c>
      <c r="D3192">
        <v>0</v>
      </c>
      <c r="E3192">
        <v>0</v>
      </c>
      <c r="F3192" t="str">
        <f t="shared" si="149"/>
        <v>Lower Risk</v>
      </c>
      <c r="G3192" t="s">
        <v>3</v>
      </c>
      <c r="H3192" t="s">
        <v>4</v>
      </c>
      <c r="I3192" t="s">
        <v>5</v>
      </c>
      <c r="J3192">
        <v>106.54</v>
      </c>
      <c r="K3192">
        <v>22.4</v>
      </c>
      <c r="L3192" t="s">
        <v>11</v>
      </c>
      <c r="M3192">
        <v>0</v>
      </c>
      <c r="N3192" t="str">
        <f t="shared" si="147"/>
        <v>40–59</v>
      </c>
      <c r="O3192" t="str">
        <f t="shared" si="148"/>
        <v>Normal</v>
      </c>
    </row>
    <row r="3193" spans="1:15" x14ac:dyDescent="0.3">
      <c r="A3193">
        <v>40503</v>
      </c>
      <c r="B3193" t="s">
        <v>2</v>
      </c>
      <c r="C3193">
        <v>21</v>
      </c>
      <c r="D3193">
        <v>0</v>
      </c>
      <c r="E3193">
        <v>0</v>
      </c>
      <c r="F3193" t="str">
        <f t="shared" si="149"/>
        <v>Lower Risk</v>
      </c>
      <c r="G3193" t="s">
        <v>13</v>
      </c>
      <c r="H3193" t="s">
        <v>4</v>
      </c>
      <c r="I3193" t="s">
        <v>9</v>
      </c>
      <c r="J3193">
        <v>62.91</v>
      </c>
      <c r="K3193">
        <v>26.2</v>
      </c>
      <c r="L3193" t="s">
        <v>11</v>
      </c>
      <c r="M3193">
        <v>0</v>
      </c>
      <c r="N3193" t="str">
        <f t="shared" si="147"/>
        <v>Under 40</v>
      </c>
      <c r="O3193" t="str">
        <f t="shared" si="148"/>
        <v>Overweight</v>
      </c>
    </row>
    <row r="3194" spans="1:15" x14ac:dyDescent="0.3">
      <c r="A3194">
        <v>47917</v>
      </c>
      <c r="B3194" t="s">
        <v>7</v>
      </c>
      <c r="C3194">
        <v>82</v>
      </c>
      <c r="D3194">
        <v>1</v>
      </c>
      <c r="E3194">
        <v>0</v>
      </c>
      <c r="F3194" t="str">
        <f t="shared" si="149"/>
        <v>High Risk</v>
      </c>
      <c r="G3194" t="s">
        <v>13</v>
      </c>
      <c r="H3194" t="s">
        <v>4</v>
      </c>
      <c r="I3194" t="s">
        <v>9</v>
      </c>
      <c r="J3194">
        <v>61.47</v>
      </c>
      <c r="K3194">
        <v>22.9</v>
      </c>
      <c r="L3194" t="s">
        <v>11</v>
      </c>
      <c r="M3194">
        <v>0</v>
      </c>
      <c r="N3194" t="str">
        <f t="shared" si="147"/>
        <v>60+</v>
      </c>
      <c r="O3194" t="str">
        <f t="shared" si="148"/>
        <v>Normal</v>
      </c>
    </row>
    <row r="3195" spans="1:15" x14ac:dyDescent="0.3">
      <c r="A3195">
        <v>30303</v>
      </c>
      <c r="B3195" t="s">
        <v>2</v>
      </c>
      <c r="C3195">
        <v>33</v>
      </c>
      <c r="D3195">
        <v>0</v>
      </c>
      <c r="E3195">
        <v>0</v>
      </c>
      <c r="F3195" t="str">
        <f t="shared" si="149"/>
        <v>Lower Risk</v>
      </c>
      <c r="G3195" t="s">
        <v>13</v>
      </c>
      <c r="H3195" t="s">
        <v>4</v>
      </c>
      <c r="I3195" t="s">
        <v>9</v>
      </c>
      <c r="J3195">
        <v>88.5</v>
      </c>
      <c r="K3195">
        <v>32.6</v>
      </c>
      <c r="L3195" t="s">
        <v>6</v>
      </c>
      <c r="M3195">
        <v>0</v>
      </c>
      <c r="N3195" t="str">
        <f t="shared" si="147"/>
        <v>Under 40</v>
      </c>
      <c r="O3195" t="str">
        <f t="shared" si="148"/>
        <v>Obese</v>
      </c>
    </row>
    <row r="3196" spans="1:15" x14ac:dyDescent="0.3">
      <c r="A3196">
        <v>63864</v>
      </c>
      <c r="B3196" t="s">
        <v>2</v>
      </c>
      <c r="C3196">
        <v>62</v>
      </c>
      <c r="D3196">
        <v>0</v>
      </c>
      <c r="E3196">
        <v>0</v>
      </c>
      <c r="F3196" t="str">
        <f t="shared" si="149"/>
        <v>Moderate Risk</v>
      </c>
      <c r="G3196" t="s">
        <v>3</v>
      </c>
      <c r="H3196" t="s">
        <v>4</v>
      </c>
      <c r="I3196" t="s">
        <v>9</v>
      </c>
      <c r="J3196">
        <v>107.61</v>
      </c>
      <c r="K3196">
        <v>31.3</v>
      </c>
      <c r="L3196" t="s">
        <v>14</v>
      </c>
      <c r="M3196">
        <v>0</v>
      </c>
      <c r="N3196" t="str">
        <f t="shared" si="147"/>
        <v>60+</v>
      </c>
      <c r="O3196" t="str">
        <f t="shared" si="148"/>
        <v>Obese</v>
      </c>
    </row>
    <row r="3197" spans="1:15" x14ac:dyDescent="0.3">
      <c r="A3197">
        <v>24177</v>
      </c>
      <c r="B3197" t="s">
        <v>7</v>
      </c>
      <c r="C3197">
        <v>57</v>
      </c>
      <c r="D3197">
        <v>1</v>
      </c>
      <c r="E3197">
        <v>0</v>
      </c>
      <c r="F3197" t="str">
        <f t="shared" si="149"/>
        <v>Lower Risk</v>
      </c>
      <c r="G3197" t="s">
        <v>3</v>
      </c>
      <c r="H3197" t="s">
        <v>4</v>
      </c>
      <c r="I3197" t="s">
        <v>5</v>
      </c>
      <c r="J3197">
        <v>90.77</v>
      </c>
      <c r="K3197">
        <v>43.9</v>
      </c>
      <c r="L3197" t="s">
        <v>6</v>
      </c>
      <c r="M3197">
        <v>0</v>
      </c>
      <c r="N3197" t="str">
        <f t="shared" si="147"/>
        <v>40–59</v>
      </c>
      <c r="O3197" t="str">
        <f t="shared" si="148"/>
        <v>Obese</v>
      </c>
    </row>
    <row r="3198" spans="1:15" x14ac:dyDescent="0.3">
      <c r="A3198">
        <v>57274</v>
      </c>
      <c r="B3198" t="s">
        <v>2</v>
      </c>
      <c r="C3198">
        <v>14</v>
      </c>
      <c r="D3198">
        <v>0</v>
      </c>
      <c r="E3198">
        <v>0</v>
      </c>
      <c r="F3198" t="str">
        <f t="shared" si="149"/>
        <v>Lower Risk</v>
      </c>
      <c r="G3198" t="s">
        <v>13</v>
      </c>
      <c r="H3198" t="s">
        <v>17</v>
      </c>
      <c r="I3198" t="s">
        <v>5</v>
      </c>
      <c r="J3198">
        <v>137.91</v>
      </c>
      <c r="K3198">
        <v>41.8</v>
      </c>
      <c r="L3198" t="s">
        <v>11</v>
      </c>
      <c r="M3198">
        <v>0</v>
      </c>
      <c r="N3198" t="str">
        <f t="shared" si="147"/>
        <v>Under 40</v>
      </c>
      <c r="O3198" t="str">
        <f t="shared" si="148"/>
        <v>Obese</v>
      </c>
    </row>
    <row r="3199" spans="1:15" x14ac:dyDescent="0.3">
      <c r="A3199">
        <v>37213</v>
      </c>
      <c r="B3199" t="s">
        <v>2</v>
      </c>
      <c r="C3199">
        <v>60</v>
      </c>
      <c r="D3199">
        <v>0</v>
      </c>
      <c r="E3199">
        <v>0</v>
      </c>
      <c r="F3199" t="str">
        <f t="shared" si="149"/>
        <v>Moderate Risk</v>
      </c>
      <c r="G3199" t="s">
        <v>3</v>
      </c>
      <c r="H3199" t="s">
        <v>8</v>
      </c>
      <c r="I3199" t="s">
        <v>9</v>
      </c>
      <c r="J3199">
        <v>212.02</v>
      </c>
      <c r="K3199" t="s">
        <v>10</v>
      </c>
      <c r="L3199" t="s">
        <v>14</v>
      </c>
      <c r="M3199">
        <v>0</v>
      </c>
      <c r="N3199" t="str">
        <f t="shared" si="147"/>
        <v>60+</v>
      </c>
      <c r="O3199" t="str">
        <f t="shared" si="148"/>
        <v>Unknown</v>
      </c>
    </row>
    <row r="3200" spans="1:15" x14ac:dyDescent="0.3">
      <c r="A3200">
        <v>59992</v>
      </c>
      <c r="B3200" t="s">
        <v>7</v>
      </c>
      <c r="C3200">
        <v>63</v>
      </c>
      <c r="D3200">
        <v>1</v>
      </c>
      <c r="E3200">
        <v>0</v>
      </c>
      <c r="F3200" t="str">
        <f t="shared" si="149"/>
        <v>High Risk</v>
      </c>
      <c r="G3200" t="s">
        <v>3</v>
      </c>
      <c r="H3200" t="s">
        <v>8</v>
      </c>
      <c r="I3200" t="s">
        <v>5</v>
      </c>
      <c r="J3200">
        <v>228.2</v>
      </c>
      <c r="K3200">
        <v>37.700000000000003</v>
      </c>
      <c r="L3200" t="s">
        <v>11</v>
      </c>
      <c r="M3200">
        <v>0</v>
      </c>
      <c r="N3200" t="str">
        <f t="shared" si="147"/>
        <v>60+</v>
      </c>
      <c r="O3200" t="str">
        <f t="shared" si="148"/>
        <v>Obese</v>
      </c>
    </row>
    <row r="3201" spans="1:15" x14ac:dyDescent="0.3">
      <c r="A3201">
        <v>27382</v>
      </c>
      <c r="B3201" t="s">
        <v>7</v>
      </c>
      <c r="C3201">
        <v>50</v>
      </c>
      <c r="D3201">
        <v>0</v>
      </c>
      <c r="E3201">
        <v>0</v>
      </c>
      <c r="F3201" t="str">
        <f t="shared" si="149"/>
        <v>Lower Risk</v>
      </c>
      <c r="G3201" t="s">
        <v>3</v>
      </c>
      <c r="H3201" t="s">
        <v>15</v>
      </c>
      <c r="I3201" t="s">
        <v>5</v>
      </c>
      <c r="J3201">
        <v>92.15</v>
      </c>
      <c r="K3201">
        <v>20.8</v>
      </c>
      <c r="L3201" t="s">
        <v>11</v>
      </c>
      <c r="M3201">
        <v>0</v>
      </c>
      <c r="N3201" t="str">
        <f t="shared" si="147"/>
        <v>40–59</v>
      </c>
      <c r="O3201" t="str">
        <f t="shared" si="148"/>
        <v>Normal</v>
      </c>
    </row>
    <row r="3202" spans="1:15" x14ac:dyDescent="0.3">
      <c r="A3202">
        <v>61017</v>
      </c>
      <c r="B3202" t="s">
        <v>7</v>
      </c>
      <c r="C3202">
        <v>12</v>
      </c>
      <c r="D3202">
        <v>0</v>
      </c>
      <c r="E3202">
        <v>0</v>
      </c>
      <c r="F3202" t="str">
        <f t="shared" si="149"/>
        <v>Lower Risk</v>
      </c>
      <c r="G3202" t="s">
        <v>13</v>
      </c>
      <c r="H3202" t="s">
        <v>16</v>
      </c>
      <c r="I3202" t="s">
        <v>5</v>
      </c>
      <c r="J3202">
        <v>126.32</v>
      </c>
      <c r="K3202">
        <v>21.6</v>
      </c>
      <c r="L3202" t="s">
        <v>14</v>
      </c>
      <c r="M3202">
        <v>0</v>
      </c>
      <c r="N3202" t="str">
        <f t="shared" ref="N3202:N3265" si="150">IF(C3202&lt;40,"Under 40",IF(C3202&lt;60,"40–59","60+"))</f>
        <v>Under 40</v>
      </c>
      <c r="O3202" t="str">
        <f t="shared" ref="O3202:O3265" si="151">IF(K3202="N/A","Unknown",
IF(K3202="","Unknown",
IF(K3202&lt;18.5,"Underweight",
IF(K3202&lt;25,"Normal",
IF(K3202&lt;30,"Overweight","Obese")))))</f>
        <v>Normal</v>
      </c>
    </row>
    <row r="3203" spans="1:15" x14ac:dyDescent="0.3">
      <c r="A3203">
        <v>61699</v>
      </c>
      <c r="B3203" t="s">
        <v>2</v>
      </c>
      <c r="C3203">
        <v>80</v>
      </c>
      <c r="D3203">
        <v>0</v>
      </c>
      <c r="E3203">
        <v>0</v>
      </c>
      <c r="F3203" t="str">
        <f t="shared" ref="F3203:F3266" si="152">IF(C3203&gt;=60,
IF(OR(D3203=1,E3203=1),"High Risk","Moderate Risk"),
"Lower Risk")</f>
        <v>Moderate Risk</v>
      </c>
      <c r="G3203" t="s">
        <v>3</v>
      </c>
      <c r="H3203" t="s">
        <v>4</v>
      </c>
      <c r="I3203" t="s">
        <v>9</v>
      </c>
      <c r="J3203">
        <v>94.96</v>
      </c>
      <c r="K3203">
        <v>22.1</v>
      </c>
      <c r="L3203" t="s">
        <v>6</v>
      </c>
      <c r="M3203">
        <v>0</v>
      </c>
      <c r="N3203" t="str">
        <f t="shared" si="150"/>
        <v>60+</v>
      </c>
      <c r="O3203" t="str">
        <f t="shared" si="151"/>
        <v>Normal</v>
      </c>
    </row>
    <row r="3204" spans="1:15" x14ac:dyDescent="0.3">
      <c r="A3204">
        <v>14489</v>
      </c>
      <c r="B3204" t="s">
        <v>7</v>
      </c>
      <c r="C3204">
        <v>74</v>
      </c>
      <c r="D3204">
        <v>0</v>
      </c>
      <c r="E3204">
        <v>0</v>
      </c>
      <c r="F3204" t="str">
        <f t="shared" si="152"/>
        <v>Moderate Risk</v>
      </c>
      <c r="G3204" t="s">
        <v>13</v>
      </c>
      <c r="H3204" t="s">
        <v>8</v>
      </c>
      <c r="I3204" t="s">
        <v>5</v>
      </c>
      <c r="J3204">
        <v>89.52</v>
      </c>
      <c r="K3204">
        <v>39.200000000000003</v>
      </c>
      <c r="L3204" t="s">
        <v>14</v>
      </c>
      <c r="M3204">
        <v>0</v>
      </c>
      <c r="N3204" t="str">
        <f t="shared" si="150"/>
        <v>60+</v>
      </c>
      <c r="O3204" t="str">
        <f t="shared" si="151"/>
        <v>Obese</v>
      </c>
    </row>
    <row r="3205" spans="1:15" x14ac:dyDescent="0.3">
      <c r="A3205">
        <v>54053</v>
      </c>
      <c r="B3205" t="s">
        <v>2</v>
      </c>
      <c r="C3205">
        <v>46</v>
      </c>
      <c r="D3205">
        <v>0</v>
      </c>
      <c r="E3205">
        <v>0</v>
      </c>
      <c r="F3205" t="str">
        <f t="shared" si="152"/>
        <v>Lower Risk</v>
      </c>
      <c r="G3205" t="s">
        <v>3</v>
      </c>
      <c r="H3205" t="s">
        <v>4</v>
      </c>
      <c r="I3205" t="s">
        <v>9</v>
      </c>
      <c r="J3205">
        <v>66.59</v>
      </c>
      <c r="K3205">
        <v>36.700000000000003</v>
      </c>
      <c r="L3205" t="s">
        <v>6</v>
      </c>
      <c r="M3205">
        <v>0</v>
      </c>
      <c r="N3205" t="str">
        <f t="shared" si="150"/>
        <v>40–59</v>
      </c>
      <c r="O3205" t="str">
        <f t="shared" si="151"/>
        <v>Obese</v>
      </c>
    </row>
    <row r="3206" spans="1:15" x14ac:dyDescent="0.3">
      <c r="A3206">
        <v>38348</v>
      </c>
      <c r="B3206" t="s">
        <v>7</v>
      </c>
      <c r="C3206">
        <v>66</v>
      </c>
      <c r="D3206">
        <v>0</v>
      </c>
      <c r="E3206">
        <v>0</v>
      </c>
      <c r="F3206" t="str">
        <f t="shared" si="152"/>
        <v>Moderate Risk</v>
      </c>
      <c r="G3206" t="s">
        <v>3</v>
      </c>
      <c r="H3206" t="s">
        <v>4</v>
      </c>
      <c r="I3206" t="s">
        <v>5</v>
      </c>
      <c r="J3206">
        <v>80.099999999999994</v>
      </c>
      <c r="K3206">
        <v>32</v>
      </c>
      <c r="L3206" t="s">
        <v>11</v>
      </c>
      <c r="M3206">
        <v>0</v>
      </c>
      <c r="N3206" t="str">
        <f t="shared" si="150"/>
        <v>60+</v>
      </c>
      <c r="O3206" t="str">
        <f t="shared" si="151"/>
        <v>Obese</v>
      </c>
    </row>
    <row r="3207" spans="1:15" x14ac:dyDescent="0.3">
      <c r="A3207">
        <v>17668</v>
      </c>
      <c r="B3207" t="s">
        <v>2</v>
      </c>
      <c r="C3207">
        <v>26</v>
      </c>
      <c r="D3207">
        <v>0</v>
      </c>
      <c r="E3207">
        <v>0</v>
      </c>
      <c r="F3207" t="str">
        <f t="shared" si="152"/>
        <v>Lower Risk</v>
      </c>
      <c r="G3207" t="s">
        <v>3</v>
      </c>
      <c r="H3207" t="s">
        <v>8</v>
      </c>
      <c r="I3207" t="s">
        <v>5</v>
      </c>
      <c r="J3207">
        <v>73.72</v>
      </c>
      <c r="K3207">
        <v>25.9</v>
      </c>
      <c r="L3207" t="s">
        <v>12</v>
      </c>
      <c r="M3207">
        <v>0</v>
      </c>
      <c r="N3207" t="str">
        <f t="shared" si="150"/>
        <v>Under 40</v>
      </c>
      <c r="O3207" t="str">
        <f t="shared" si="151"/>
        <v>Overweight</v>
      </c>
    </row>
    <row r="3208" spans="1:15" x14ac:dyDescent="0.3">
      <c r="A3208">
        <v>11792</v>
      </c>
      <c r="B3208" t="s">
        <v>7</v>
      </c>
      <c r="C3208">
        <v>70</v>
      </c>
      <c r="D3208">
        <v>0</v>
      </c>
      <c r="E3208">
        <v>0</v>
      </c>
      <c r="F3208" t="str">
        <f t="shared" si="152"/>
        <v>Moderate Risk</v>
      </c>
      <c r="G3208" t="s">
        <v>3</v>
      </c>
      <c r="H3208" t="s">
        <v>4</v>
      </c>
      <c r="I3208" t="s">
        <v>5</v>
      </c>
      <c r="J3208">
        <v>90.49</v>
      </c>
      <c r="K3208">
        <v>28.9</v>
      </c>
      <c r="L3208" t="s">
        <v>6</v>
      </c>
      <c r="M3208">
        <v>0</v>
      </c>
      <c r="N3208" t="str">
        <f t="shared" si="150"/>
        <v>60+</v>
      </c>
      <c r="O3208" t="str">
        <f t="shared" si="151"/>
        <v>Overweight</v>
      </c>
    </row>
    <row r="3209" spans="1:15" x14ac:dyDescent="0.3">
      <c r="A3209">
        <v>22917</v>
      </c>
      <c r="B3209" t="s">
        <v>7</v>
      </c>
      <c r="C3209">
        <v>62</v>
      </c>
      <c r="D3209">
        <v>0</v>
      </c>
      <c r="E3209">
        <v>0</v>
      </c>
      <c r="F3209" t="str">
        <f t="shared" si="152"/>
        <v>Moderate Risk</v>
      </c>
      <c r="G3209" t="s">
        <v>3</v>
      </c>
      <c r="H3209" t="s">
        <v>4</v>
      </c>
      <c r="I3209" t="s">
        <v>5</v>
      </c>
      <c r="J3209">
        <v>92.99</v>
      </c>
      <c r="K3209">
        <v>29.3</v>
      </c>
      <c r="L3209" t="s">
        <v>6</v>
      </c>
      <c r="M3209">
        <v>0</v>
      </c>
      <c r="N3209" t="str">
        <f t="shared" si="150"/>
        <v>60+</v>
      </c>
      <c r="O3209" t="str">
        <f t="shared" si="151"/>
        <v>Overweight</v>
      </c>
    </row>
    <row r="3210" spans="1:15" x14ac:dyDescent="0.3">
      <c r="A3210">
        <v>36204</v>
      </c>
      <c r="B3210" t="s">
        <v>2</v>
      </c>
      <c r="C3210">
        <v>15</v>
      </c>
      <c r="D3210">
        <v>0</v>
      </c>
      <c r="E3210">
        <v>0</v>
      </c>
      <c r="F3210" t="str">
        <f t="shared" si="152"/>
        <v>Lower Risk</v>
      </c>
      <c r="G3210" t="s">
        <v>13</v>
      </c>
      <c r="H3210" t="s">
        <v>16</v>
      </c>
      <c r="I3210" t="s">
        <v>9</v>
      </c>
      <c r="J3210">
        <v>62.57</v>
      </c>
      <c r="K3210">
        <v>32.299999999999997</v>
      </c>
      <c r="L3210" t="s">
        <v>11</v>
      </c>
      <c r="M3210">
        <v>0</v>
      </c>
      <c r="N3210" t="str">
        <f t="shared" si="150"/>
        <v>Under 40</v>
      </c>
      <c r="O3210" t="str">
        <f t="shared" si="151"/>
        <v>Obese</v>
      </c>
    </row>
    <row r="3211" spans="1:15" x14ac:dyDescent="0.3">
      <c r="A3211">
        <v>49554</v>
      </c>
      <c r="B3211" t="s">
        <v>2</v>
      </c>
      <c r="C3211">
        <v>67</v>
      </c>
      <c r="D3211">
        <v>0</v>
      </c>
      <c r="E3211">
        <v>0</v>
      </c>
      <c r="F3211" t="str">
        <f t="shared" si="152"/>
        <v>Moderate Risk</v>
      </c>
      <c r="G3211" t="s">
        <v>3</v>
      </c>
      <c r="H3211" t="s">
        <v>4</v>
      </c>
      <c r="I3211" t="s">
        <v>9</v>
      </c>
      <c r="J3211">
        <v>65.510000000000005</v>
      </c>
      <c r="K3211">
        <v>33.200000000000003</v>
      </c>
      <c r="L3211" t="s">
        <v>6</v>
      </c>
      <c r="M3211">
        <v>0</v>
      </c>
      <c r="N3211" t="str">
        <f t="shared" si="150"/>
        <v>60+</v>
      </c>
      <c r="O3211" t="str">
        <f t="shared" si="151"/>
        <v>Obese</v>
      </c>
    </row>
    <row r="3212" spans="1:15" x14ac:dyDescent="0.3">
      <c r="A3212">
        <v>72594</v>
      </c>
      <c r="B3212" t="s">
        <v>2</v>
      </c>
      <c r="C3212">
        <v>63</v>
      </c>
      <c r="D3212">
        <v>0</v>
      </c>
      <c r="E3212">
        <v>0</v>
      </c>
      <c r="F3212" t="str">
        <f t="shared" si="152"/>
        <v>Moderate Risk</v>
      </c>
      <c r="G3212" t="s">
        <v>3</v>
      </c>
      <c r="H3212" t="s">
        <v>4</v>
      </c>
      <c r="I3212" t="s">
        <v>5</v>
      </c>
      <c r="J3212">
        <v>95.29</v>
      </c>
      <c r="K3212">
        <v>31.6</v>
      </c>
      <c r="L3212" t="s">
        <v>12</v>
      </c>
      <c r="M3212">
        <v>0</v>
      </c>
      <c r="N3212" t="str">
        <f t="shared" si="150"/>
        <v>60+</v>
      </c>
      <c r="O3212" t="str">
        <f t="shared" si="151"/>
        <v>Obese</v>
      </c>
    </row>
    <row r="3213" spans="1:15" x14ac:dyDescent="0.3">
      <c r="A3213">
        <v>28027</v>
      </c>
      <c r="B3213" t="s">
        <v>7</v>
      </c>
      <c r="C3213">
        <v>42</v>
      </c>
      <c r="D3213">
        <v>0</v>
      </c>
      <c r="E3213">
        <v>0</v>
      </c>
      <c r="F3213" t="str">
        <f t="shared" si="152"/>
        <v>Lower Risk</v>
      </c>
      <c r="G3213" t="s">
        <v>3</v>
      </c>
      <c r="H3213" t="s">
        <v>15</v>
      </c>
      <c r="I3213" t="s">
        <v>5</v>
      </c>
      <c r="J3213">
        <v>83.7</v>
      </c>
      <c r="K3213">
        <v>20.6</v>
      </c>
      <c r="L3213" t="s">
        <v>11</v>
      </c>
      <c r="M3213">
        <v>0</v>
      </c>
      <c r="N3213" t="str">
        <f t="shared" si="150"/>
        <v>40–59</v>
      </c>
      <c r="O3213" t="str">
        <f t="shared" si="151"/>
        <v>Normal</v>
      </c>
    </row>
    <row r="3214" spans="1:15" x14ac:dyDescent="0.3">
      <c r="A3214">
        <v>54177</v>
      </c>
      <c r="B3214" t="s">
        <v>7</v>
      </c>
      <c r="C3214">
        <v>49</v>
      </c>
      <c r="D3214">
        <v>1</v>
      </c>
      <c r="E3214">
        <v>0</v>
      </c>
      <c r="F3214" t="str">
        <f t="shared" si="152"/>
        <v>Lower Risk</v>
      </c>
      <c r="G3214" t="s">
        <v>3</v>
      </c>
      <c r="H3214" t="s">
        <v>15</v>
      </c>
      <c r="I3214" t="s">
        <v>9</v>
      </c>
      <c r="J3214">
        <v>63.16</v>
      </c>
      <c r="K3214">
        <v>23.3</v>
      </c>
      <c r="L3214" t="s">
        <v>6</v>
      </c>
      <c r="M3214">
        <v>0</v>
      </c>
      <c r="N3214" t="str">
        <f t="shared" si="150"/>
        <v>40–59</v>
      </c>
      <c r="O3214" t="str">
        <f t="shared" si="151"/>
        <v>Normal</v>
      </c>
    </row>
    <row r="3215" spans="1:15" x14ac:dyDescent="0.3">
      <c r="A3215">
        <v>32602</v>
      </c>
      <c r="B3215" t="s">
        <v>2</v>
      </c>
      <c r="C3215">
        <v>78</v>
      </c>
      <c r="D3215">
        <v>0</v>
      </c>
      <c r="E3215">
        <v>1</v>
      </c>
      <c r="F3215" t="str">
        <f t="shared" si="152"/>
        <v>High Risk</v>
      </c>
      <c r="G3215" t="s">
        <v>3</v>
      </c>
      <c r="H3215" t="s">
        <v>8</v>
      </c>
      <c r="I3215" t="s">
        <v>5</v>
      </c>
      <c r="J3215">
        <v>87.77</v>
      </c>
      <c r="K3215">
        <v>30.8</v>
      </c>
      <c r="L3215" t="s">
        <v>14</v>
      </c>
      <c r="M3215">
        <v>0</v>
      </c>
      <c r="N3215" t="str">
        <f t="shared" si="150"/>
        <v>60+</v>
      </c>
      <c r="O3215" t="str">
        <f t="shared" si="151"/>
        <v>Obese</v>
      </c>
    </row>
    <row r="3216" spans="1:15" x14ac:dyDescent="0.3">
      <c r="A3216">
        <v>1213</v>
      </c>
      <c r="B3216" t="s">
        <v>7</v>
      </c>
      <c r="C3216">
        <v>31</v>
      </c>
      <c r="D3216">
        <v>0</v>
      </c>
      <c r="E3216">
        <v>0</v>
      </c>
      <c r="F3216" t="str">
        <f t="shared" si="152"/>
        <v>Lower Risk</v>
      </c>
      <c r="G3216" t="s">
        <v>3</v>
      </c>
      <c r="H3216" t="s">
        <v>8</v>
      </c>
      <c r="I3216" t="s">
        <v>5</v>
      </c>
      <c r="J3216">
        <v>87.23</v>
      </c>
      <c r="K3216" t="s">
        <v>10</v>
      </c>
      <c r="L3216" t="s">
        <v>6</v>
      </c>
      <c r="M3216">
        <v>0</v>
      </c>
      <c r="N3216" t="str">
        <f t="shared" si="150"/>
        <v>Under 40</v>
      </c>
      <c r="O3216" t="str">
        <f t="shared" si="151"/>
        <v>Unknown</v>
      </c>
    </row>
    <row r="3217" spans="1:15" x14ac:dyDescent="0.3">
      <c r="A3217">
        <v>21534</v>
      </c>
      <c r="B3217" t="s">
        <v>2</v>
      </c>
      <c r="C3217">
        <v>67</v>
      </c>
      <c r="D3217">
        <v>0</v>
      </c>
      <c r="E3217">
        <v>0</v>
      </c>
      <c r="F3217" t="str">
        <f t="shared" si="152"/>
        <v>Moderate Risk</v>
      </c>
      <c r="G3217" t="s">
        <v>3</v>
      </c>
      <c r="H3217" t="s">
        <v>4</v>
      </c>
      <c r="I3217" t="s">
        <v>5</v>
      </c>
      <c r="J3217">
        <v>260.85000000000002</v>
      </c>
      <c r="K3217" t="s">
        <v>10</v>
      </c>
      <c r="L3217" t="s">
        <v>14</v>
      </c>
      <c r="M3217">
        <v>0</v>
      </c>
      <c r="N3217" t="str">
        <f t="shared" si="150"/>
        <v>60+</v>
      </c>
      <c r="O3217" t="str">
        <f t="shared" si="151"/>
        <v>Unknown</v>
      </c>
    </row>
    <row r="3218" spans="1:15" x14ac:dyDescent="0.3">
      <c r="A3218">
        <v>6852</v>
      </c>
      <c r="B3218" t="s">
        <v>7</v>
      </c>
      <c r="C3218">
        <v>52</v>
      </c>
      <c r="D3218">
        <v>1</v>
      </c>
      <c r="E3218">
        <v>0</v>
      </c>
      <c r="F3218" t="str">
        <f t="shared" si="152"/>
        <v>Lower Risk</v>
      </c>
      <c r="G3218" t="s">
        <v>3</v>
      </c>
      <c r="H3218" t="s">
        <v>8</v>
      </c>
      <c r="I3218" t="s">
        <v>9</v>
      </c>
      <c r="J3218">
        <v>104.45</v>
      </c>
      <c r="K3218" t="s">
        <v>10</v>
      </c>
      <c r="L3218" t="s">
        <v>11</v>
      </c>
      <c r="M3218">
        <v>0</v>
      </c>
      <c r="N3218" t="str">
        <f t="shared" si="150"/>
        <v>40–59</v>
      </c>
      <c r="O3218" t="str">
        <f t="shared" si="151"/>
        <v>Unknown</v>
      </c>
    </row>
    <row r="3219" spans="1:15" x14ac:dyDescent="0.3">
      <c r="A3219">
        <v>3379</v>
      </c>
      <c r="B3219" t="s">
        <v>7</v>
      </c>
      <c r="C3219">
        <v>61</v>
      </c>
      <c r="D3219">
        <v>0</v>
      </c>
      <c r="E3219">
        <v>0</v>
      </c>
      <c r="F3219" t="str">
        <f t="shared" si="152"/>
        <v>Moderate Risk</v>
      </c>
      <c r="G3219" t="s">
        <v>3</v>
      </c>
      <c r="H3219" t="s">
        <v>4</v>
      </c>
      <c r="I3219" t="s">
        <v>5</v>
      </c>
      <c r="J3219">
        <v>87.52</v>
      </c>
      <c r="K3219">
        <v>23.7</v>
      </c>
      <c r="L3219" t="s">
        <v>14</v>
      </c>
      <c r="M3219">
        <v>0</v>
      </c>
      <c r="N3219" t="str">
        <f t="shared" si="150"/>
        <v>60+</v>
      </c>
      <c r="O3219" t="str">
        <f t="shared" si="151"/>
        <v>Normal</v>
      </c>
    </row>
    <row r="3220" spans="1:15" x14ac:dyDescent="0.3">
      <c r="A3220">
        <v>41146</v>
      </c>
      <c r="B3220" t="s">
        <v>2</v>
      </c>
      <c r="C3220">
        <v>41</v>
      </c>
      <c r="D3220">
        <v>0</v>
      </c>
      <c r="E3220">
        <v>0</v>
      </c>
      <c r="F3220" t="str">
        <f t="shared" si="152"/>
        <v>Lower Risk</v>
      </c>
      <c r="G3220" t="s">
        <v>3</v>
      </c>
      <c r="H3220" t="s">
        <v>4</v>
      </c>
      <c r="I3220" t="s">
        <v>9</v>
      </c>
      <c r="J3220">
        <v>113.65</v>
      </c>
      <c r="K3220">
        <v>49.3</v>
      </c>
      <c r="L3220" t="s">
        <v>11</v>
      </c>
      <c r="M3220">
        <v>0</v>
      </c>
      <c r="N3220" t="str">
        <f t="shared" si="150"/>
        <v>40–59</v>
      </c>
      <c r="O3220" t="str">
        <f t="shared" si="151"/>
        <v>Obese</v>
      </c>
    </row>
    <row r="3221" spans="1:15" x14ac:dyDescent="0.3">
      <c r="A3221">
        <v>20391</v>
      </c>
      <c r="B3221" t="s">
        <v>7</v>
      </c>
      <c r="C3221">
        <v>73</v>
      </c>
      <c r="D3221">
        <v>0</v>
      </c>
      <c r="E3221">
        <v>0</v>
      </c>
      <c r="F3221" t="str">
        <f t="shared" si="152"/>
        <v>Moderate Risk</v>
      </c>
      <c r="G3221" t="s">
        <v>3</v>
      </c>
      <c r="H3221" t="s">
        <v>15</v>
      </c>
      <c r="I3221" t="s">
        <v>9</v>
      </c>
      <c r="J3221">
        <v>65.930000000000007</v>
      </c>
      <c r="K3221">
        <v>30.3</v>
      </c>
      <c r="L3221" t="s">
        <v>11</v>
      </c>
      <c r="M3221">
        <v>0</v>
      </c>
      <c r="N3221" t="str">
        <f t="shared" si="150"/>
        <v>60+</v>
      </c>
      <c r="O3221" t="str">
        <f t="shared" si="151"/>
        <v>Obese</v>
      </c>
    </row>
    <row r="3222" spans="1:15" x14ac:dyDescent="0.3">
      <c r="A3222">
        <v>69379</v>
      </c>
      <c r="B3222" t="s">
        <v>7</v>
      </c>
      <c r="C3222">
        <v>64</v>
      </c>
      <c r="D3222">
        <v>1</v>
      </c>
      <c r="E3222">
        <v>0</v>
      </c>
      <c r="F3222" t="str">
        <f t="shared" si="152"/>
        <v>High Risk</v>
      </c>
      <c r="G3222" t="s">
        <v>3</v>
      </c>
      <c r="H3222" t="s">
        <v>8</v>
      </c>
      <c r="I3222" t="s">
        <v>5</v>
      </c>
      <c r="J3222">
        <v>93.78</v>
      </c>
      <c r="K3222">
        <v>24.4</v>
      </c>
      <c r="L3222" t="s">
        <v>11</v>
      </c>
      <c r="M3222">
        <v>0</v>
      </c>
      <c r="N3222" t="str">
        <f t="shared" si="150"/>
        <v>60+</v>
      </c>
      <c r="O3222" t="str">
        <f t="shared" si="151"/>
        <v>Normal</v>
      </c>
    </row>
    <row r="3223" spans="1:15" x14ac:dyDescent="0.3">
      <c r="A3223">
        <v>34778</v>
      </c>
      <c r="B3223" t="s">
        <v>2</v>
      </c>
      <c r="C3223">
        <v>65</v>
      </c>
      <c r="D3223">
        <v>0</v>
      </c>
      <c r="E3223">
        <v>0</v>
      </c>
      <c r="F3223" t="str">
        <f t="shared" si="152"/>
        <v>Moderate Risk</v>
      </c>
      <c r="G3223" t="s">
        <v>3</v>
      </c>
      <c r="H3223" t="s">
        <v>4</v>
      </c>
      <c r="I3223" t="s">
        <v>9</v>
      </c>
      <c r="J3223">
        <v>223.9</v>
      </c>
      <c r="K3223">
        <v>28.2</v>
      </c>
      <c r="L3223" t="s">
        <v>6</v>
      </c>
      <c r="M3223">
        <v>0</v>
      </c>
      <c r="N3223" t="str">
        <f t="shared" si="150"/>
        <v>60+</v>
      </c>
      <c r="O3223" t="str">
        <f t="shared" si="151"/>
        <v>Overweight</v>
      </c>
    </row>
    <row r="3224" spans="1:15" x14ac:dyDescent="0.3">
      <c r="A3224">
        <v>49270</v>
      </c>
      <c r="B3224" t="s">
        <v>7</v>
      </c>
      <c r="C3224">
        <v>81</v>
      </c>
      <c r="D3224">
        <v>0</v>
      </c>
      <c r="E3224">
        <v>0</v>
      </c>
      <c r="F3224" t="str">
        <f t="shared" si="152"/>
        <v>Moderate Risk</v>
      </c>
      <c r="G3224" t="s">
        <v>3</v>
      </c>
      <c r="H3224" t="s">
        <v>4</v>
      </c>
      <c r="I3224" t="s">
        <v>5</v>
      </c>
      <c r="J3224">
        <v>77.540000000000006</v>
      </c>
      <c r="K3224">
        <v>33.799999999999997</v>
      </c>
      <c r="L3224" t="s">
        <v>14</v>
      </c>
      <c r="M3224">
        <v>0</v>
      </c>
      <c r="N3224" t="str">
        <f t="shared" si="150"/>
        <v>60+</v>
      </c>
      <c r="O3224" t="str">
        <f t="shared" si="151"/>
        <v>Obese</v>
      </c>
    </row>
    <row r="3225" spans="1:15" x14ac:dyDescent="0.3">
      <c r="A3225">
        <v>55407</v>
      </c>
      <c r="B3225" t="s">
        <v>7</v>
      </c>
      <c r="C3225">
        <v>47</v>
      </c>
      <c r="D3225">
        <v>0</v>
      </c>
      <c r="E3225">
        <v>0</v>
      </c>
      <c r="F3225" t="str">
        <f t="shared" si="152"/>
        <v>Lower Risk</v>
      </c>
      <c r="G3225" t="s">
        <v>3</v>
      </c>
      <c r="H3225" t="s">
        <v>4</v>
      </c>
      <c r="I3225" t="s">
        <v>5</v>
      </c>
      <c r="J3225">
        <v>93.18</v>
      </c>
      <c r="K3225">
        <v>42.6</v>
      </c>
      <c r="L3225" t="s">
        <v>6</v>
      </c>
      <c r="M3225">
        <v>0</v>
      </c>
      <c r="N3225" t="str">
        <f t="shared" si="150"/>
        <v>40–59</v>
      </c>
      <c r="O3225" t="str">
        <f t="shared" si="151"/>
        <v>Obese</v>
      </c>
    </row>
    <row r="3226" spans="1:15" x14ac:dyDescent="0.3">
      <c r="A3226">
        <v>36744</v>
      </c>
      <c r="B3226" t="s">
        <v>2</v>
      </c>
      <c r="C3226">
        <v>40</v>
      </c>
      <c r="D3226">
        <v>0</v>
      </c>
      <c r="E3226">
        <v>0</v>
      </c>
      <c r="F3226" t="str">
        <f t="shared" si="152"/>
        <v>Lower Risk</v>
      </c>
      <c r="G3226" t="s">
        <v>3</v>
      </c>
      <c r="H3226" t="s">
        <v>8</v>
      </c>
      <c r="I3226" t="s">
        <v>9</v>
      </c>
      <c r="J3226">
        <v>169.74</v>
      </c>
      <c r="K3226">
        <v>31.9</v>
      </c>
      <c r="L3226" t="s">
        <v>11</v>
      </c>
      <c r="M3226">
        <v>0</v>
      </c>
      <c r="N3226" t="str">
        <f t="shared" si="150"/>
        <v>40–59</v>
      </c>
      <c r="O3226" t="str">
        <f t="shared" si="151"/>
        <v>Obese</v>
      </c>
    </row>
    <row r="3227" spans="1:15" x14ac:dyDescent="0.3">
      <c r="A3227">
        <v>26603</v>
      </c>
      <c r="B3227" t="s">
        <v>2</v>
      </c>
      <c r="C3227">
        <v>46</v>
      </c>
      <c r="D3227">
        <v>1</v>
      </c>
      <c r="E3227">
        <v>0</v>
      </c>
      <c r="F3227" t="str">
        <f t="shared" si="152"/>
        <v>Lower Risk</v>
      </c>
      <c r="G3227" t="s">
        <v>3</v>
      </c>
      <c r="H3227" t="s">
        <v>8</v>
      </c>
      <c r="I3227" t="s">
        <v>5</v>
      </c>
      <c r="J3227">
        <v>101.93</v>
      </c>
      <c r="K3227">
        <v>34</v>
      </c>
      <c r="L3227" t="s">
        <v>14</v>
      </c>
      <c r="M3227">
        <v>0</v>
      </c>
      <c r="N3227" t="str">
        <f t="shared" si="150"/>
        <v>40–59</v>
      </c>
      <c r="O3227" t="str">
        <f t="shared" si="151"/>
        <v>Obese</v>
      </c>
    </row>
    <row r="3228" spans="1:15" x14ac:dyDescent="0.3">
      <c r="A3228">
        <v>71414</v>
      </c>
      <c r="B3228" t="s">
        <v>7</v>
      </c>
      <c r="C3228">
        <v>2</v>
      </c>
      <c r="D3228">
        <v>0</v>
      </c>
      <c r="E3228">
        <v>0</v>
      </c>
      <c r="F3228" t="str">
        <f t="shared" si="152"/>
        <v>Lower Risk</v>
      </c>
      <c r="G3228" t="s">
        <v>13</v>
      </c>
      <c r="H3228" t="s">
        <v>16</v>
      </c>
      <c r="I3228" t="s">
        <v>5</v>
      </c>
      <c r="J3228">
        <v>125.03</v>
      </c>
      <c r="K3228">
        <v>19.8</v>
      </c>
      <c r="L3228" t="s">
        <v>14</v>
      </c>
      <c r="M3228">
        <v>0</v>
      </c>
      <c r="N3228" t="str">
        <f t="shared" si="150"/>
        <v>Under 40</v>
      </c>
      <c r="O3228" t="str">
        <f t="shared" si="151"/>
        <v>Normal</v>
      </c>
    </row>
    <row r="3229" spans="1:15" x14ac:dyDescent="0.3">
      <c r="A3229">
        <v>14517</v>
      </c>
      <c r="B3229" t="s">
        <v>2</v>
      </c>
      <c r="C3229">
        <v>56</v>
      </c>
      <c r="D3229">
        <v>0</v>
      </c>
      <c r="E3229">
        <v>0</v>
      </c>
      <c r="F3229" t="str">
        <f t="shared" si="152"/>
        <v>Lower Risk</v>
      </c>
      <c r="G3229" t="s">
        <v>3</v>
      </c>
      <c r="H3229" t="s">
        <v>4</v>
      </c>
      <c r="I3229" t="s">
        <v>5</v>
      </c>
      <c r="J3229">
        <v>82.25</v>
      </c>
      <c r="K3229">
        <v>30.5</v>
      </c>
      <c r="L3229" t="s">
        <v>6</v>
      </c>
      <c r="M3229">
        <v>0</v>
      </c>
      <c r="N3229" t="str">
        <f t="shared" si="150"/>
        <v>40–59</v>
      </c>
      <c r="O3229" t="str">
        <f t="shared" si="151"/>
        <v>Obese</v>
      </c>
    </row>
    <row r="3230" spans="1:15" x14ac:dyDescent="0.3">
      <c r="A3230">
        <v>69050</v>
      </c>
      <c r="B3230" t="s">
        <v>2</v>
      </c>
      <c r="C3230">
        <v>54</v>
      </c>
      <c r="D3230">
        <v>0</v>
      </c>
      <c r="E3230">
        <v>0</v>
      </c>
      <c r="F3230" t="str">
        <f t="shared" si="152"/>
        <v>Lower Risk</v>
      </c>
      <c r="G3230" t="s">
        <v>3</v>
      </c>
      <c r="H3230" t="s">
        <v>4</v>
      </c>
      <c r="I3230" t="s">
        <v>5</v>
      </c>
      <c r="J3230">
        <v>85.81</v>
      </c>
      <c r="K3230">
        <v>21.7</v>
      </c>
      <c r="L3230" t="s">
        <v>6</v>
      </c>
      <c r="M3230">
        <v>0</v>
      </c>
      <c r="N3230" t="str">
        <f t="shared" si="150"/>
        <v>40–59</v>
      </c>
      <c r="O3230" t="str">
        <f t="shared" si="151"/>
        <v>Normal</v>
      </c>
    </row>
    <row r="3231" spans="1:15" x14ac:dyDescent="0.3">
      <c r="A3231">
        <v>52080</v>
      </c>
      <c r="B3231" t="s">
        <v>7</v>
      </c>
      <c r="C3231">
        <v>26</v>
      </c>
      <c r="D3231">
        <v>0</v>
      </c>
      <c r="E3231">
        <v>0</v>
      </c>
      <c r="F3231" t="str">
        <f t="shared" si="152"/>
        <v>Lower Risk</v>
      </c>
      <c r="G3231" t="s">
        <v>13</v>
      </c>
      <c r="H3231" t="s">
        <v>4</v>
      </c>
      <c r="I3231" t="s">
        <v>9</v>
      </c>
      <c r="J3231">
        <v>85.27</v>
      </c>
      <c r="K3231">
        <v>24.6</v>
      </c>
      <c r="L3231" t="s">
        <v>11</v>
      </c>
      <c r="M3231">
        <v>0</v>
      </c>
      <c r="N3231" t="str">
        <f t="shared" si="150"/>
        <v>Under 40</v>
      </c>
      <c r="O3231" t="str">
        <f t="shared" si="151"/>
        <v>Normal</v>
      </c>
    </row>
    <row r="3232" spans="1:15" x14ac:dyDescent="0.3">
      <c r="A3232">
        <v>27493</v>
      </c>
      <c r="B3232" t="s">
        <v>7</v>
      </c>
      <c r="C3232">
        <v>45</v>
      </c>
      <c r="D3232">
        <v>0</v>
      </c>
      <c r="E3232">
        <v>0</v>
      </c>
      <c r="F3232" t="str">
        <f t="shared" si="152"/>
        <v>Lower Risk</v>
      </c>
      <c r="G3232" t="s">
        <v>3</v>
      </c>
      <c r="H3232" t="s">
        <v>4</v>
      </c>
      <c r="I3232" t="s">
        <v>5</v>
      </c>
      <c r="J3232">
        <v>86.06</v>
      </c>
      <c r="K3232">
        <v>38.1</v>
      </c>
      <c r="L3232" t="s">
        <v>11</v>
      </c>
      <c r="M3232">
        <v>0</v>
      </c>
      <c r="N3232" t="str">
        <f t="shared" si="150"/>
        <v>40–59</v>
      </c>
      <c r="O3232" t="str">
        <f t="shared" si="151"/>
        <v>Obese</v>
      </c>
    </row>
    <row r="3233" spans="1:15" x14ac:dyDescent="0.3">
      <c r="A3233">
        <v>6295</v>
      </c>
      <c r="B3233" t="s">
        <v>7</v>
      </c>
      <c r="C3233">
        <v>57</v>
      </c>
      <c r="D3233">
        <v>0</v>
      </c>
      <c r="E3233">
        <v>0</v>
      </c>
      <c r="F3233" t="str">
        <f t="shared" si="152"/>
        <v>Lower Risk</v>
      </c>
      <c r="G3233" t="s">
        <v>3</v>
      </c>
      <c r="H3233" t="s">
        <v>15</v>
      </c>
      <c r="I3233" t="s">
        <v>5</v>
      </c>
      <c r="J3233">
        <v>104.36</v>
      </c>
      <c r="K3233">
        <v>19.2</v>
      </c>
      <c r="L3233" t="s">
        <v>12</v>
      </c>
      <c r="M3233">
        <v>0</v>
      </c>
      <c r="N3233" t="str">
        <f t="shared" si="150"/>
        <v>40–59</v>
      </c>
      <c r="O3233" t="str">
        <f t="shared" si="151"/>
        <v>Normal</v>
      </c>
    </row>
    <row r="3234" spans="1:15" x14ac:dyDescent="0.3">
      <c r="A3234">
        <v>20375</v>
      </c>
      <c r="B3234" t="s">
        <v>7</v>
      </c>
      <c r="C3234">
        <v>78</v>
      </c>
      <c r="D3234">
        <v>0</v>
      </c>
      <c r="E3234">
        <v>0</v>
      </c>
      <c r="F3234" t="str">
        <f t="shared" si="152"/>
        <v>Moderate Risk</v>
      </c>
      <c r="G3234" t="s">
        <v>3</v>
      </c>
      <c r="H3234" t="s">
        <v>4</v>
      </c>
      <c r="I3234" t="s">
        <v>5</v>
      </c>
      <c r="J3234">
        <v>78.290000000000006</v>
      </c>
      <c r="K3234">
        <v>30.1</v>
      </c>
      <c r="L3234" t="s">
        <v>6</v>
      </c>
      <c r="M3234">
        <v>0</v>
      </c>
      <c r="N3234" t="str">
        <f t="shared" si="150"/>
        <v>60+</v>
      </c>
      <c r="O3234" t="str">
        <f t="shared" si="151"/>
        <v>Obese</v>
      </c>
    </row>
    <row r="3235" spans="1:15" x14ac:dyDescent="0.3">
      <c r="A3235">
        <v>29017</v>
      </c>
      <c r="B3235" t="s">
        <v>2</v>
      </c>
      <c r="C3235">
        <v>2</v>
      </c>
      <c r="D3235">
        <v>0</v>
      </c>
      <c r="E3235">
        <v>0</v>
      </c>
      <c r="F3235" t="str">
        <f t="shared" si="152"/>
        <v>Lower Risk</v>
      </c>
      <c r="G3235" t="s">
        <v>13</v>
      </c>
      <c r="H3235" t="s">
        <v>16</v>
      </c>
      <c r="I3235" t="s">
        <v>5</v>
      </c>
      <c r="J3235">
        <v>93.55</v>
      </c>
      <c r="K3235">
        <v>23.3</v>
      </c>
      <c r="L3235" t="s">
        <v>14</v>
      </c>
      <c r="M3235">
        <v>0</v>
      </c>
      <c r="N3235" t="str">
        <f t="shared" si="150"/>
        <v>Under 40</v>
      </c>
      <c r="O3235" t="str">
        <f t="shared" si="151"/>
        <v>Normal</v>
      </c>
    </row>
    <row r="3236" spans="1:15" x14ac:dyDescent="0.3">
      <c r="A3236">
        <v>56635</v>
      </c>
      <c r="B3236" t="s">
        <v>2</v>
      </c>
      <c r="C3236">
        <v>76</v>
      </c>
      <c r="D3236">
        <v>1</v>
      </c>
      <c r="E3236">
        <v>0</v>
      </c>
      <c r="F3236" t="str">
        <f t="shared" si="152"/>
        <v>High Risk</v>
      </c>
      <c r="G3236" t="s">
        <v>3</v>
      </c>
      <c r="H3236" t="s">
        <v>8</v>
      </c>
      <c r="I3236" t="s">
        <v>9</v>
      </c>
      <c r="J3236">
        <v>207.96</v>
      </c>
      <c r="K3236">
        <v>34.5</v>
      </c>
      <c r="L3236" t="s">
        <v>6</v>
      </c>
      <c r="M3236">
        <v>0</v>
      </c>
      <c r="N3236" t="str">
        <f t="shared" si="150"/>
        <v>60+</v>
      </c>
      <c r="O3236" t="str">
        <f t="shared" si="151"/>
        <v>Obese</v>
      </c>
    </row>
    <row r="3237" spans="1:15" x14ac:dyDescent="0.3">
      <c r="A3237">
        <v>4280</v>
      </c>
      <c r="B3237" t="s">
        <v>7</v>
      </c>
      <c r="C3237">
        <v>51</v>
      </c>
      <c r="D3237">
        <v>0</v>
      </c>
      <c r="E3237">
        <v>0</v>
      </c>
      <c r="F3237" t="str">
        <f t="shared" si="152"/>
        <v>Lower Risk</v>
      </c>
      <c r="G3237" t="s">
        <v>3</v>
      </c>
      <c r="H3237" t="s">
        <v>15</v>
      </c>
      <c r="I3237" t="s">
        <v>9</v>
      </c>
      <c r="J3237">
        <v>105.52</v>
      </c>
      <c r="K3237">
        <v>30.8</v>
      </c>
      <c r="L3237" t="s">
        <v>11</v>
      </c>
      <c r="M3237">
        <v>0</v>
      </c>
      <c r="N3237" t="str">
        <f t="shared" si="150"/>
        <v>40–59</v>
      </c>
      <c r="O3237" t="str">
        <f t="shared" si="151"/>
        <v>Obese</v>
      </c>
    </row>
    <row r="3238" spans="1:15" x14ac:dyDescent="0.3">
      <c r="A3238">
        <v>22896</v>
      </c>
      <c r="B3238" t="s">
        <v>7</v>
      </c>
      <c r="C3238">
        <v>54</v>
      </c>
      <c r="D3238">
        <v>0</v>
      </c>
      <c r="E3238">
        <v>0</v>
      </c>
      <c r="F3238" t="str">
        <f t="shared" si="152"/>
        <v>Lower Risk</v>
      </c>
      <c r="G3238" t="s">
        <v>3</v>
      </c>
      <c r="H3238" t="s">
        <v>4</v>
      </c>
      <c r="I3238" t="s">
        <v>9</v>
      </c>
      <c r="J3238">
        <v>109.27</v>
      </c>
      <c r="K3238">
        <v>43.8</v>
      </c>
      <c r="L3238" t="s">
        <v>6</v>
      </c>
      <c r="M3238">
        <v>0</v>
      </c>
      <c r="N3238" t="str">
        <f t="shared" si="150"/>
        <v>40–59</v>
      </c>
      <c r="O3238" t="str">
        <f t="shared" si="151"/>
        <v>Obese</v>
      </c>
    </row>
    <row r="3239" spans="1:15" x14ac:dyDescent="0.3">
      <c r="A3239">
        <v>70297</v>
      </c>
      <c r="B3239" t="s">
        <v>7</v>
      </c>
      <c r="C3239">
        <v>36</v>
      </c>
      <c r="D3239">
        <v>0</v>
      </c>
      <c r="E3239">
        <v>0</v>
      </c>
      <c r="F3239" t="str">
        <f t="shared" si="152"/>
        <v>Lower Risk</v>
      </c>
      <c r="G3239" t="s">
        <v>3</v>
      </c>
      <c r="H3239" t="s">
        <v>4</v>
      </c>
      <c r="I3239" t="s">
        <v>5</v>
      </c>
      <c r="J3239">
        <v>91.34</v>
      </c>
      <c r="K3239">
        <v>29.9</v>
      </c>
      <c r="L3239" t="s">
        <v>11</v>
      </c>
      <c r="M3239">
        <v>0</v>
      </c>
      <c r="N3239" t="str">
        <f t="shared" si="150"/>
        <v>Under 40</v>
      </c>
      <c r="O3239" t="str">
        <f t="shared" si="151"/>
        <v>Overweight</v>
      </c>
    </row>
    <row r="3240" spans="1:15" x14ac:dyDescent="0.3">
      <c r="A3240">
        <v>47776</v>
      </c>
      <c r="B3240" t="s">
        <v>7</v>
      </c>
      <c r="C3240">
        <v>57</v>
      </c>
      <c r="D3240">
        <v>0</v>
      </c>
      <c r="E3240">
        <v>0</v>
      </c>
      <c r="F3240" t="str">
        <f t="shared" si="152"/>
        <v>Lower Risk</v>
      </c>
      <c r="G3240" t="s">
        <v>3</v>
      </c>
      <c r="H3240" t="s">
        <v>15</v>
      </c>
      <c r="I3240" t="s">
        <v>9</v>
      </c>
      <c r="J3240">
        <v>176.78</v>
      </c>
      <c r="K3240">
        <v>50.4</v>
      </c>
      <c r="L3240" t="s">
        <v>11</v>
      </c>
      <c r="M3240">
        <v>0</v>
      </c>
      <c r="N3240" t="str">
        <f t="shared" si="150"/>
        <v>40–59</v>
      </c>
      <c r="O3240" t="str">
        <f t="shared" si="151"/>
        <v>Obese</v>
      </c>
    </row>
    <row r="3241" spans="1:15" x14ac:dyDescent="0.3">
      <c r="A3241">
        <v>53141</v>
      </c>
      <c r="B3241" t="s">
        <v>7</v>
      </c>
      <c r="C3241">
        <v>25</v>
      </c>
      <c r="D3241">
        <v>0</v>
      </c>
      <c r="E3241">
        <v>0</v>
      </c>
      <c r="F3241" t="str">
        <f t="shared" si="152"/>
        <v>Lower Risk</v>
      </c>
      <c r="G3241" t="s">
        <v>13</v>
      </c>
      <c r="H3241" t="s">
        <v>4</v>
      </c>
      <c r="I3241" t="s">
        <v>9</v>
      </c>
      <c r="J3241">
        <v>67.73</v>
      </c>
      <c r="K3241">
        <v>22.6</v>
      </c>
      <c r="L3241" t="s">
        <v>11</v>
      </c>
      <c r="M3241">
        <v>0</v>
      </c>
      <c r="N3241" t="str">
        <f t="shared" si="150"/>
        <v>Under 40</v>
      </c>
      <c r="O3241" t="str">
        <f t="shared" si="151"/>
        <v>Normal</v>
      </c>
    </row>
    <row r="3242" spans="1:15" x14ac:dyDescent="0.3">
      <c r="A3242">
        <v>16145</v>
      </c>
      <c r="B3242" t="s">
        <v>7</v>
      </c>
      <c r="C3242">
        <v>7</v>
      </c>
      <c r="D3242">
        <v>0</v>
      </c>
      <c r="E3242">
        <v>0</v>
      </c>
      <c r="F3242" t="str">
        <f t="shared" si="152"/>
        <v>Lower Risk</v>
      </c>
      <c r="G3242" t="s">
        <v>13</v>
      </c>
      <c r="H3242" t="s">
        <v>16</v>
      </c>
      <c r="I3242" t="s">
        <v>9</v>
      </c>
      <c r="J3242">
        <v>73.27</v>
      </c>
      <c r="K3242">
        <v>19.5</v>
      </c>
      <c r="L3242" t="s">
        <v>14</v>
      </c>
      <c r="M3242">
        <v>0</v>
      </c>
      <c r="N3242" t="str">
        <f t="shared" si="150"/>
        <v>Under 40</v>
      </c>
      <c r="O3242" t="str">
        <f t="shared" si="151"/>
        <v>Normal</v>
      </c>
    </row>
    <row r="3243" spans="1:15" x14ac:dyDescent="0.3">
      <c r="A3243">
        <v>41593</v>
      </c>
      <c r="B3243" t="s">
        <v>7</v>
      </c>
      <c r="C3243">
        <v>76</v>
      </c>
      <c r="D3243">
        <v>0</v>
      </c>
      <c r="E3243">
        <v>0</v>
      </c>
      <c r="F3243" t="str">
        <f t="shared" si="152"/>
        <v>Moderate Risk</v>
      </c>
      <c r="G3243" t="s">
        <v>3</v>
      </c>
      <c r="H3243" t="s">
        <v>8</v>
      </c>
      <c r="I3243" t="s">
        <v>9</v>
      </c>
      <c r="J3243">
        <v>70.290000000000006</v>
      </c>
      <c r="K3243">
        <v>33.4</v>
      </c>
      <c r="L3243" t="s">
        <v>6</v>
      </c>
      <c r="M3243">
        <v>0</v>
      </c>
      <c r="N3243" t="str">
        <f t="shared" si="150"/>
        <v>60+</v>
      </c>
      <c r="O3243" t="str">
        <f t="shared" si="151"/>
        <v>Obese</v>
      </c>
    </row>
    <row r="3244" spans="1:15" x14ac:dyDescent="0.3">
      <c r="A3244">
        <v>50651</v>
      </c>
      <c r="B3244" t="s">
        <v>7</v>
      </c>
      <c r="C3244">
        <v>45</v>
      </c>
      <c r="D3244">
        <v>0</v>
      </c>
      <c r="E3244">
        <v>0</v>
      </c>
      <c r="F3244" t="str">
        <f t="shared" si="152"/>
        <v>Lower Risk</v>
      </c>
      <c r="G3244" t="s">
        <v>13</v>
      </c>
      <c r="H3244" t="s">
        <v>4</v>
      </c>
      <c r="I3244" t="s">
        <v>9</v>
      </c>
      <c r="J3244">
        <v>91.47</v>
      </c>
      <c r="K3244">
        <v>24.2</v>
      </c>
      <c r="L3244" t="s">
        <v>14</v>
      </c>
      <c r="M3244">
        <v>0</v>
      </c>
      <c r="N3244" t="str">
        <f t="shared" si="150"/>
        <v>40–59</v>
      </c>
      <c r="O3244" t="str">
        <f t="shared" si="151"/>
        <v>Normal</v>
      </c>
    </row>
    <row r="3245" spans="1:15" x14ac:dyDescent="0.3">
      <c r="A3245">
        <v>11111</v>
      </c>
      <c r="B3245" t="s">
        <v>7</v>
      </c>
      <c r="C3245">
        <v>66</v>
      </c>
      <c r="D3245">
        <v>1</v>
      </c>
      <c r="E3245">
        <v>0</v>
      </c>
      <c r="F3245" t="str">
        <f t="shared" si="152"/>
        <v>High Risk</v>
      </c>
      <c r="G3245" t="s">
        <v>3</v>
      </c>
      <c r="H3245" t="s">
        <v>15</v>
      </c>
      <c r="I3245" t="s">
        <v>5</v>
      </c>
      <c r="J3245">
        <v>205.01</v>
      </c>
      <c r="K3245">
        <v>52.7</v>
      </c>
      <c r="L3245" t="s">
        <v>6</v>
      </c>
      <c r="M3245">
        <v>0</v>
      </c>
      <c r="N3245" t="str">
        <f t="shared" si="150"/>
        <v>60+</v>
      </c>
      <c r="O3245" t="str">
        <f t="shared" si="151"/>
        <v>Obese</v>
      </c>
    </row>
    <row r="3246" spans="1:15" x14ac:dyDescent="0.3">
      <c r="A3246">
        <v>15803</v>
      </c>
      <c r="B3246" t="s">
        <v>7</v>
      </c>
      <c r="C3246">
        <v>45</v>
      </c>
      <c r="D3246">
        <v>0</v>
      </c>
      <c r="E3246">
        <v>0</v>
      </c>
      <c r="F3246" t="str">
        <f t="shared" si="152"/>
        <v>Lower Risk</v>
      </c>
      <c r="G3246" t="s">
        <v>3</v>
      </c>
      <c r="H3246" t="s">
        <v>4</v>
      </c>
      <c r="I3246" t="s">
        <v>9</v>
      </c>
      <c r="J3246">
        <v>73.87</v>
      </c>
      <c r="K3246">
        <v>25.6</v>
      </c>
      <c r="L3246" t="s">
        <v>14</v>
      </c>
      <c r="M3246">
        <v>0</v>
      </c>
      <c r="N3246" t="str">
        <f t="shared" si="150"/>
        <v>40–59</v>
      </c>
      <c r="O3246" t="str">
        <f t="shared" si="151"/>
        <v>Overweight</v>
      </c>
    </row>
    <row r="3247" spans="1:15" x14ac:dyDescent="0.3">
      <c r="A3247">
        <v>71597</v>
      </c>
      <c r="B3247" t="s">
        <v>7</v>
      </c>
      <c r="C3247">
        <v>79</v>
      </c>
      <c r="D3247">
        <v>1</v>
      </c>
      <c r="E3247">
        <v>0</v>
      </c>
      <c r="F3247" t="str">
        <f t="shared" si="152"/>
        <v>High Risk</v>
      </c>
      <c r="G3247" t="s">
        <v>3</v>
      </c>
      <c r="H3247" t="s">
        <v>4</v>
      </c>
      <c r="I3247" t="s">
        <v>9</v>
      </c>
      <c r="J3247">
        <v>64.44</v>
      </c>
      <c r="K3247">
        <v>26.9</v>
      </c>
      <c r="L3247" t="s">
        <v>6</v>
      </c>
      <c r="M3247">
        <v>0</v>
      </c>
      <c r="N3247" t="str">
        <f t="shared" si="150"/>
        <v>60+</v>
      </c>
      <c r="O3247" t="str">
        <f t="shared" si="151"/>
        <v>Overweight</v>
      </c>
    </row>
    <row r="3248" spans="1:15" x14ac:dyDescent="0.3">
      <c r="A3248">
        <v>22804</v>
      </c>
      <c r="B3248" t="s">
        <v>7</v>
      </c>
      <c r="C3248">
        <v>25</v>
      </c>
      <c r="D3248">
        <v>0</v>
      </c>
      <c r="E3248">
        <v>0</v>
      </c>
      <c r="F3248" t="str">
        <f t="shared" si="152"/>
        <v>Lower Risk</v>
      </c>
      <c r="G3248" t="s">
        <v>13</v>
      </c>
      <c r="H3248" t="s">
        <v>4</v>
      </c>
      <c r="I3248" t="s">
        <v>9</v>
      </c>
      <c r="J3248">
        <v>111.65</v>
      </c>
      <c r="K3248">
        <v>35.200000000000003</v>
      </c>
      <c r="L3248" t="s">
        <v>6</v>
      </c>
      <c r="M3248">
        <v>0</v>
      </c>
      <c r="N3248" t="str">
        <f t="shared" si="150"/>
        <v>Under 40</v>
      </c>
      <c r="O3248" t="str">
        <f t="shared" si="151"/>
        <v>Obese</v>
      </c>
    </row>
    <row r="3249" spans="1:15" x14ac:dyDescent="0.3">
      <c r="A3249">
        <v>64498</v>
      </c>
      <c r="B3249" t="s">
        <v>7</v>
      </c>
      <c r="C3249">
        <v>53</v>
      </c>
      <c r="D3249">
        <v>0</v>
      </c>
      <c r="E3249">
        <v>0</v>
      </c>
      <c r="F3249" t="str">
        <f t="shared" si="152"/>
        <v>Lower Risk</v>
      </c>
      <c r="G3249" t="s">
        <v>3</v>
      </c>
      <c r="H3249" t="s">
        <v>4</v>
      </c>
      <c r="I3249" t="s">
        <v>9</v>
      </c>
      <c r="J3249">
        <v>90.65</v>
      </c>
      <c r="K3249">
        <v>22.1</v>
      </c>
      <c r="L3249" t="s">
        <v>6</v>
      </c>
      <c r="M3249">
        <v>0</v>
      </c>
      <c r="N3249" t="str">
        <f t="shared" si="150"/>
        <v>40–59</v>
      </c>
      <c r="O3249" t="str">
        <f t="shared" si="151"/>
        <v>Normal</v>
      </c>
    </row>
    <row r="3250" spans="1:15" x14ac:dyDescent="0.3">
      <c r="A3250">
        <v>41182</v>
      </c>
      <c r="B3250" t="s">
        <v>7</v>
      </c>
      <c r="C3250">
        <v>35</v>
      </c>
      <c r="D3250">
        <v>1</v>
      </c>
      <c r="E3250">
        <v>0</v>
      </c>
      <c r="F3250" t="str">
        <f t="shared" si="152"/>
        <v>Lower Risk</v>
      </c>
      <c r="G3250" t="s">
        <v>3</v>
      </c>
      <c r="H3250" t="s">
        <v>4</v>
      </c>
      <c r="I3250" t="s">
        <v>5</v>
      </c>
      <c r="J3250">
        <v>94.2</v>
      </c>
      <c r="K3250">
        <v>34.4</v>
      </c>
      <c r="L3250" t="s">
        <v>12</v>
      </c>
      <c r="M3250">
        <v>0</v>
      </c>
      <c r="N3250" t="str">
        <f t="shared" si="150"/>
        <v>Under 40</v>
      </c>
      <c r="O3250" t="str">
        <f t="shared" si="151"/>
        <v>Obese</v>
      </c>
    </row>
    <row r="3251" spans="1:15" x14ac:dyDescent="0.3">
      <c r="A3251">
        <v>56606</v>
      </c>
      <c r="B3251" t="s">
        <v>7</v>
      </c>
      <c r="C3251">
        <v>78</v>
      </c>
      <c r="D3251">
        <v>0</v>
      </c>
      <c r="E3251">
        <v>0</v>
      </c>
      <c r="F3251" t="str">
        <f t="shared" si="152"/>
        <v>Moderate Risk</v>
      </c>
      <c r="G3251" t="s">
        <v>3</v>
      </c>
      <c r="H3251" t="s">
        <v>8</v>
      </c>
      <c r="I3251" t="s">
        <v>5</v>
      </c>
      <c r="J3251">
        <v>56.95</v>
      </c>
      <c r="K3251">
        <v>26</v>
      </c>
      <c r="L3251" t="s">
        <v>14</v>
      </c>
      <c r="M3251">
        <v>0</v>
      </c>
      <c r="N3251" t="str">
        <f t="shared" si="150"/>
        <v>60+</v>
      </c>
      <c r="O3251" t="str">
        <f t="shared" si="151"/>
        <v>Overweight</v>
      </c>
    </row>
    <row r="3252" spans="1:15" x14ac:dyDescent="0.3">
      <c r="A3252">
        <v>36958</v>
      </c>
      <c r="B3252" t="s">
        <v>7</v>
      </c>
      <c r="C3252">
        <v>32</v>
      </c>
      <c r="D3252">
        <v>0</v>
      </c>
      <c r="E3252">
        <v>0</v>
      </c>
      <c r="F3252" t="str">
        <f t="shared" si="152"/>
        <v>Lower Risk</v>
      </c>
      <c r="G3252" t="s">
        <v>3</v>
      </c>
      <c r="H3252" t="s">
        <v>4</v>
      </c>
      <c r="I3252" t="s">
        <v>9</v>
      </c>
      <c r="J3252">
        <v>92.37</v>
      </c>
      <c r="K3252">
        <v>26.9</v>
      </c>
      <c r="L3252" t="s">
        <v>11</v>
      </c>
      <c r="M3252">
        <v>0</v>
      </c>
      <c r="N3252" t="str">
        <f t="shared" si="150"/>
        <v>Under 40</v>
      </c>
      <c r="O3252" t="str">
        <f t="shared" si="151"/>
        <v>Overweight</v>
      </c>
    </row>
    <row r="3253" spans="1:15" x14ac:dyDescent="0.3">
      <c r="A3253">
        <v>14877</v>
      </c>
      <c r="B3253" t="s">
        <v>2</v>
      </c>
      <c r="C3253">
        <v>0.56000000000000005</v>
      </c>
      <c r="D3253">
        <v>0</v>
      </c>
      <c r="E3253">
        <v>0</v>
      </c>
      <c r="F3253" t="str">
        <f t="shared" si="152"/>
        <v>Lower Risk</v>
      </c>
      <c r="G3253" t="s">
        <v>13</v>
      </c>
      <c r="H3253" t="s">
        <v>16</v>
      </c>
      <c r="I3253" t="s">
        <v>9</v>
      </c>
      <c r="J3253">
        <v>127.23</v>
      </c>
      <c r="K3253">
        <v>20.100000000000001</v>
      </c>
      <c r="L3253" t="s">
        <v>14</v>
      </c>
      <c r="M3253">
        <v>0</v>
      </c>
      <c r="N3253" t="str">
        <f t="shared" si="150"/>
        <v>Under 40</v>
      </c>
      <c r="O3253" t="str">
        <f t="shared" si="151"/>
        <v>Normal</v>
      </c>
    </row>
    <row r="3254" spans="1:15" x14ac:dyDescent="0.3">
      <c r="A3254">
        <v>65988</v>
      </c>
      <c r="B3254" t="s">
        <v>7</v>
      </c>
      <c r="C3254">
        <v>26</v>
      </c>
      <c r="D3254">
        <v>0</v>
      </c>
      <c r="E3254">
        <v>0</v>
      </c>
      <c r="F3254" t="str">
        <f t="shared" si="152"/>
        <v>Lower Risk</v>
      </c>
      <c r="G3254" t="s">
        <v>13</v>
      </c>
      <c r="H3254" t="s">
        <v>4</v>
      </c>
      <c r="I3254" t="s">
        <v>9</v>
      </c>
      <c r="J3254">
        <v>191.78</v>
      </c>
      <c r="K3254">
        <v>24.7</v>
      </c>
      <c r="L3254" t="s">
        <v>14</v>
      </c>
      <c r="M3254">
        <v>0</v>
      </c>
      <c r="N3254" t="str">
        <f t="shared" si="150"/>
        <v>Under 40</v>
      </c>
      <c r="O3254" t="str">
        <f t="shared" si="151"/>
        <v>Normal</v>
      </c>
    </row>
    <row r="3255" spans="1:15" x14ac:dyDescent="0.3">
      <c r="A3255">
        <v>50001</v>
      </c>
      <c r="B3255" t="s">
        <v>7</v>
      </c>
      <c r="C3255">
        <v>34</v>
      </c>
      <c r="D3255">
        <v>0</v>
      </c>
      <c r="E3255">
        <v>0</v>
      </c>
      <c r="F3255" t="str">
        <f t="shared" si="152"/>
        <v>Lower Risk</v>
      </c>
      <c r="G3255" t="s">
        <v>3</v>
      </c>
      <c r="H3255" t="s">
        <v>15</v>
      </c>
      <c r="I3255" t="s">
        <v>9</v>
      </c>
      <c r="J3255">
        <v>86.36</v>
      </c>
      <c r="K3255">
        <v>32.1</v>
      </c>
      <c r="L3255" t="s">
        <v>12</v>
      </c>
      <c r="M3255">
        <v>0</v>
      </c>
      <c r="N3255" t="str">
        <f t="shared" si="150"/>
        <v>Under 40</v>
      </c>
      <c r="O3255" t="str">
        <f t="shared" si="151"/>
        <v>Obese</v>
      </c>
    </row>
    <row r="3256" spans="1:15" x14ac:dyDescent="0.3">
      <c r="A3256">
        <v>27034</v>
      </c>
      <c r="B3256" t="s">
        <v>7</v>
      </c>
      <c r="C3256">
        <v>65</v>
      </c>
      <c r="D3256">
        <v>0</v>
      </c>
      <c r="E3256">
        <v>0</v>
      </c>
      <c r="F3256" t="str">
        <f t="shared" si="152"/>
        <v>Moderate Risk</v>
      </c>
      <c r="G3256" t="s">
        <v>3</v>
      </c>
      <c r="H3256" t="s">
        <v>15</v>
      </c>
      <c r="I3256" t="s">
        <v>5</v>
      </c>
      <c r="J3256">
        <v>82.72</v>
      </c>
      <c r="K3256">
        <v>29.8</v>
      </c>
      <c r="L3256" t="s">
        <v>12</v>
      </c>
      <c r="M3256">
        <v>0</v>
      </c>
      <c r="N3256" t="str">
        <f t="shared" si="150"/>
        <v>60+</v>
      </c>
      <c r="O3256" t="str">
        <f t="shared" si="151"/>
        <v>Overweight</v>
      </c>
    </row>
    <row r="3257" spans="1:15" x14ac:dyDescent="0.3">
      <c r="A3257">
        <v>8950</v>
      </c>
      <c r="B3257" t="s">
        <v>7</v>
      </c>
      <c r="C3257">
        <v>15</v>
      </c>
      <c r="D3257">
        <v>0</v>
      </c>
      <c r="E3257">
        <v>0</v>
      </c>
      <c r="F3257" t="str">
        <f t="shared" si="152"/>
        <v>Lower Risk</v>
      </c>
      <c r="G3257" t="s">
        <v>13</v>
      </c>
      <c r="H3257" t="s">
        <v>4</v>
      </c>
      <c r="I3257" t="s">
        <v>5</v>
      </c>
      <c r="J3257">
        <v>113.57</v>
      </c>
      <c r="K3257">
        <v>27.5</v>
      </c>
      <c r="L3257" t="s">
        <v>6</v>
      </c>
      <c r="M3257">
        <v>0</v>
      </c>
      <c r="N3257" t="str">
        <f t="shared" si="150"/>
        <v>Under 40</v>
      </c>
      <c r="O3257" t="str">
        <f t="shared" si="151"/>
        <v>Overweight</v>
      </c>
    </row>
    <row r="3258" spans="1:15" x14ac:dyDescent="0.3">
      <c r="A3258">
        <v>31850</v>
      </c>
      <c r="B3258" t="s">
        <v>7</v>
      </c>
      <c r="C3258">
        <v>17</v>
      </c>
      <c r="D3258">
        <v>0</v>
      </c>
      <c r="E3258">
        <v>0</v>
      </c>
      <c r="F3258" t="str">
        <f t="shared" si="152"/>
        <v>Lower Risk</v>
      </c>
      <c r="G3258" t="s">
        <v>13</v>
      </c>
      <c r="H3258" t="s">
        <v>4</v>
      </c>
      <c r="I3258" t="s">
        <v>5</v>
      </c>
      <c r="J3258">
        <v>89.58</v>
      </c>
      <c r="K3258">
        <v>22.8</v>
      </c>
      <c r="L3258" t="s">
        <v>14</v>
      </c>
      <c r="M3258">
        <v>0</v>
      </c>
      <c r="N3258" t="str">
        <f t="shared" si="150"/>
        <v>Under 40</v>
      </c>
      <c r="O3258" t="str">
        <f t="shared" si="151"/>
        <v>Normal</v>
      </c>
    </row>
    <row r="3259" spans="1:15" x14ac:dyDescent="0.3">
      <c r="A3259">
        <v>14288</v>
      </c>
      <c r="B3259" t="s">
        <v>7</v>
      </c>
      <c r="C3259">
        <v>71</v>
      </c>
      <c r="D3259">
        <v>0</v>
      </c>
      <c r="E3259">
        <v>0</v>
      </c>
      <c r="F3259" t="str">
        <f t="shared" si="152"/>
        <v>Moderate Risk</v>
      </c>
      <c r="G3259" t="s">
        <v>3</v>
      </c>
      <c r="H3259" t="s">
        <v>4</v>
      </c>
      <c r="I3259" t="s">
        <v>9</v>
      </c>
      <c r="J3259">
        <v>91.85</v>
      </c>
      <c r="K3259">
        <v>27.6</v>
      </c>
      <c r="L3259" t="s">
        <v>6</v>
      </c>
      <c r="M3259">
        <v>0</v>
      </c>
      <c r="N3259" t="str">
        <f t="shared" si="150"/>
        <v>60+</v>
      </c>
      <c r="O3259" t="str">
        <f t="shared" si="151"/>
        <v>Overweight</v>
      </c>
    </row>
    <row r="3260" spans="1:15" x14ac:dyDescent="0.3">
      <c r="A3260">
        <v>3180</v>
      </c>
      <c r="B3260" t="s">
        <v>7</v>
      </c>
      <c r="C3260">
        <v>42</v>
      </c>
      <c r="D3260">
        <v>0</v>
      </c>
      <c r="E3260">
        <v>0</v>
      </c>
      <c r="F3260" t="str">
        <f t="shared" si="152"/>
        <v>Lower Risk</v>
      </c>
      <c r="G3260" t="s">
        <v>3</v>
      </c>
      <c r="H3260" t="s">
        <v>15</v>
      </c>
      <c r="I3260" t="s">
        <v>5</v>
      </c>
      <c r="J3260">
        <v>88.89</v>
      </c>
      <c r="K3260">
        <v>33</v>
      </c>
      <c r="L3260" t="s">
        <v>11</v>
      </c>
      <c r="M3260">
        <v>0</v>
      </c>
      <c r="N3260" t="str">
        <f t="shared" si="150"/>
        <v>40–59</v>
      </c>
      <c r="O3260" t="str">
        <f t="shared" si="151"/>
        <v>Obese</v>
      </c>
    </row>
    <row r="3261" spans="1:15" x14ac:dyDescent="0.3">
      <c r="A3261">
        <v>13899</v>
      </c>
      <c r="B3261" t="s">
        <v>2</v>
      </c>
      <c r="C3261">
        <v>30</v>
      </c>
      <c r="D3261">
        <v>0</v>
      </c>
      <c r="E3261">
        <v>0</v>
      </c>
      <c r="F3261" t="str">
        <f t="shared" si="152"/>
        <v>Lower Risk</v>
      </c>
      <c r="G3261" t="s">
        <v>3</v>
      </c>
      <c r="H3261" t="s">
        <v>4</v>
      </c>
      <c r="I3261" t="s">
        <v>5</v>
      </c>
      <c r="J3261">
        <v>79.55</v>
      </c>
      <c r="K3261">
        <v>33.700000000000003</v>
      </c>
      <c r="L3261" t="s">
        <v>11</v>
      </c>
      <c r="M3261">
        <v>0</v>
      </c>
      <c r="N3261" t="str">
        <f t="shared" si="150"/>
        <v>Under 40</v>
      </c>
      <c r="O3261" t="str">
        <f t="shared" si="151"/>
        <v>Obese</v>
      </c>
    </row>
    <row r="3262" spans="1:15" x14ac:dyDescent="0.3">
      <c r="A3262">
        <v>23730</v>
      </c>
      <c r="B3262" t="s">
        <v>7</v>
      </c>
      <c r="C3262">
        <v>75</v>
      </c>
      <c r="D3262">
        <v>0</v>
      </c>
      <c r="E3262">
        <v>0</v>
      </c>
      <c r="F3262" t="str">
        <f t="shared" si="152"/>
        <v>Moderate Risk</v>
      </c>
      <c r="G3262" t="s">
        <v>3</v>
      </c>
      <c r="H3262" t="s">
        <v>8</v>
      </c>
      <c r="I3262" t="s">
        <v>5</v>
      </c>
      <c r="J3262">
        <v>108.62</v>
      </c>
      <c r="K3262">
        <v>25.1</v>
      </c>
      <c r="L3262" t="s">
        <v>14</v>
      </c>
      <c r="M3262">
        <v>0</v>
      </c>
      <c r="N3262" t="str">
        <f t="shared" si="150"/>
        <v>60+</v>
      </c>
      <c r="O3262" t="str">
        <f t="shared" si="151"/>
        <v>Overweight</v>
      </c>
    </row>
    <row r="3263" spans="1:15" x14ac:dyDescent="0.3">
      <c r="A3263">
        <v>6011</v>
      </c>
      <c r="B3263" t="s">
        <v>2</v>
      </c>
      <c r="C3263">
        <v>9</v>
      </c>
      <c r="D3263">
        <v>0</v>
      </c>
      <c r="E3263">
        <v>0</v>
      </c>
      <c r="F3263" t="str">
        <f t="shared" si="152"/>
        <v>Lower Risk</v>
      </c>
      <c r="G3263" t="s">
        <v>13</v>
      </c>
      <c r="H3263" t="s">
        <v>16</v>
      </c>
      <c r="I3263" t="s">
        <v>5</v>
      </c>
      <c r="J3263">
        <v>78.239999999999995</v>
      </c>
      <c r="K3263">
        <v>15.3</v>
      </c>
      <c r="L3263" t="s">
        <v>14</v>
      </c>
      <c r="M3263">
        <v>0</v>
      </c>
      <c r="N3263" t="str">
        <f t="shared" si="150"/>
        <v>Under 40</v>
      </c>
      <c r="O3263" t="str">
        <f t="shared" si="151"/>
        <v>Underweight</v>
      </c>
    </row>
    <row r="3264" spans="1:15" x14ac:dyDescent="0.3">
      <c r="A3264">
        <v>14376</v>
      </c>
      <c r="B3264" t="s">
        <v>2</v>
      </c>
      <c r="C3264">
        <v>47</v>
      </c>
      <c r="D3264">
        <v>0</v>
      </c>
      <c r="E3264">
        <v>0</v>
      </c>
      <c r="F3264" t="str">
        <f t="shared" si="152"/>
        <v>Lower Risk</v>
      </c>
      <c r="G3264" t="s">
        <v>3</v>
      </c>
      <c r="H3264" t="s">
        <v>4</v>
      </c>
      <c r="I3264" t="s">
        <v>9</v>
      </c>
      <c r="J3264">
        <v>88.49</v>
      </c>
      <c r="K3264">
        <v>22.2</v>
      </c>
      <c r="L3264" t="s">
        <v>12</v>
      </c>
      <c r="M3264">
        <v>0</v>
      </c>
      <c r="N3264" t="str">
        <f t="shared" si="150"/>
        <v>40–59</v>
      </c>
      <c r="O3264" t="str">
        <f t="shared" si="151"/>
        <v>Normal</v>
      </c>
    </row>
    <row r="3265" spans="1:15" x14ac:dyDescent="0.3">
      <c r="A3265">
        <v>22052</v>
      </c>
      <c r="B3265" t="s">
        <v>7</v>
      </c>
      <c r="C3265">
        <v>75</v>
      </c>
      <c r="D3265">
        <v>1</v>
      </c>
      <c r="E3265">
        <v>0</v>
      </c>
      <c r="F3265" t="str">
        <f t="shared" si="152"/>
        <v>High Risk</v>
      </c>
      <c r="G3265" t="s">
        <v>13</v>
      </c>
      <c r="H3265" t="s">
        <v>8</v>
      </c>
      <c r="I3265" t="s">
        <v>9</v>
      </c>
      <c r="J3265">
        <v>91.85</v>
      </c>
      <c r="K3265">
        <v>21.4</v>
      </c>
      <c r="L3265" t="s">
        <v>6</v>
      </c>
      <c r="M3265">
        <v>0</v>
      </c>
      <c r="N3265" t="str">
        <f t="shared" si="150"/>
        <v>60+</v>
      </c>
      <c r="O3265" t="str">
        <f t="shared" si="151"/>
        <v>Normal</v>
      </c>
    </row>
    <row r="3266" spans="1:15" x14ac:dyDescent="0.3">
      <c r="A3266">
        <v>24836</v>
      </c>
      <c r="B3266" t="s">
        <v>7</v>
      </c>
      <c r="C3266">
        <v>61</v>
      </c>
      <c r="D3266">
        <v>0</v>
      </c>
      <c r="E3266">
        <v>0</v>
      </c>
      <c r="F3266" t="str">
        <f t="shared" si="152"/>
        <v>Moderate Risk</v>
      </c>
      <c r="G3266" t="s">
        <v>3</v>
      </c>
      <c r="H3266" t="s">
        <v>4</v>
      </c>
      <c r="I3266" t="s">
        <v>9</v>
      </c>
      <c r="J3266">
        <v>72.010000000000005</v>
      </c>
      <c r="K3266">
        <v>26</v>
      </c>
      <c r="L3266" t="s">
        <v>6</v>
      </c>
      <c r="M3266">
        <v>0</v>
      </c>
      <c r="N3266" t="str">
        <f t="shared" ref="N3266:N3329" si="153">IF(C3266&lt;40,"Under 40",IF(C3266&lt;60,"40–59","60+"))</f>
        <v>60+</v>
      </c>
      <c r="O3266" t="str">
        <f t="shared" ref="O3266:O3329" si="154">IF(K3266="N/A","Unknown",
IF(K3266="","Unknown",
IF(K3266&lt;18.5,"Underweight",
IF(K3266&lt;25,"Normal",
IF(K3266&lt;30,"Overweight","Obese")))))</f>
        <v>Overweight</v>
      </c>
    </row>
    <row r="3267" spans="1:15" x14ac:dyDescent="0.3">
      <c r="A3267">
        <v>11861</v>
      </c>
      <c r="B3267" t="s">
        <v>2</v>
      </c>
      <c r="C3267">
        <v>61</v>
      </c>
      <c r="D3267">
        <v>0</v>
      </c>
      <c r="E3267">
        <v>0</v>
      </c>
      <c r="F3267" t="str">
        <f t="shared" ref="F3267:F3330" si="155">IF(C3267&gt;=60,
IF(OR(D3267=1,E3267=1),"High Risk","Moderate Risk"),
"Lower Risk")</f>
        <v>Moderate Risk</v>
      </c>
      <c r="G3267" t="s">
        <v>3</v>
      </c>
      <c r="H3267" t="s">
        <v>8</v>
      </c>
      <c r="I3267" t="s">
        <v>9</v>
      </c>
      <c r="J3267">
        <v>81.96</v>
      </c>
      <c r="K3267">
        <v>29.9</v>
      </c>
      <c r="L3267" t="s">
        <v>11</v>
      </c>
      <c r="M3267">
        <v>0</v>
      </c>
      <c r="N3267" t="str">
        <f t="shared" si="153"/>
        <v>60+</v>
      </c>
      <c r="O3267" t="str">
        <f t="shared" si="154"/>
        <v>Overweight</v>
      </c>
    </row>
    <row r="3268" spans="1:15" x14ac:dyDescent="0.3">
      <c r="A3268">
        <v>25613</v>
      </c>
      <c r="B3268" t="s">
        <v>7</v>
      </c>
      <c r="C3268">
        <v>27</v>
      </c>
      <c r="D3268">
        <v>0</v>
      </c>
      <c r="E3268">
        <v>0</v>
      </c>
      <c r="F3268" t="str">
        <f t="shared" si="155"/>
        <v>Lower Risk</v>
      </c>
      <c r="G3268" t="s">
        <v>3</v>
      </c>
      <c r="H3268" t="s">
        <v>4</v>
      </c>
      <c r="I3268" t="s">
        <v>5</v>
      </c>
      <c r="J3268">
        <v>70.56</v>
      </c>
      <c r="K3268">
        <v>28.6</v>
      </c>
      <c r="L3268" t="s">
        <v>12</v>
      </c>
      <c r="M3268">
        <v>0</v>
      </c>
      <c r="N3268" t="str">
        <f t="shared" si="153"/>
        <v>Under 40</v>
      </c>
      <c r="O3268" t="str">
        <f t="shared" si="154"/>
        <v>Overweight</v>
      </c>
    </row>
    <row r="3269" spans="1:15" x14ac:dyDescent="0.3">
      <c r="A3269">
        <v>71496</v>
      </c>
      <c r="B3269" t="s">
        <v>7</v>
      </c>
      <c r="C3269">
        <v>55</v>
      </c>
      <c r="D3269">
        <v>0</v>
      </c>
      <c r="E3269">
        <v>0</v>
      </c>
      <c r="F3269" t="str">
        <f t="shared" si="155"/>
        <v>Lower Risk</v>
      </c>
      <c r="G3269" t="s">
        <v>3</v>
      </c>
      <c r="H3269" t="s">
        <v>4</v>
      </c>
      <c r="I3269" t="s">
        <v>5</v>
      </c>
      <c r="J3269">
        <v>71.02</v>
      </c>
      <c r="K3269">
        <v>21.2</v>
      </c>
      <c r="L3269" t="s">
        <v>11</v>
      </c>
      <c r="M3269">
        <v>0</v>
      </c>
      <c r="N3269" t="str">
        <f t="shared" si="153"/>
        <v>40–59</v>
      </c>
      <c r="O3269" t="str">
        <f t="shared" si="154"/>
        <v>Normal</v>
      </c>
    </row>
    <row r="3270" spans="1:15" x14ac:dyDescent="0.3">
      <c r="A3270">
        <v>24074</v>
      </c>
      <c r="B3270" t="s">
        <v>7</v>
      </c>
      <c r="C3270">
        <v>2</v>
      </c>
      <c r="D3270">
        <v>0</v>
      </c>
      <c r="E3270">
        <v>0</v>
      </c>
      <c r="F3270" t="str">
        <f t="shared" si="155"/>
        <v>Lower Risk</v>
      </c>
      <c r="G3270" t="s">
        <v>13</v>
      </c>
      <c r="H3270" t="s">
        <v>16</v>
      </c>
      <c r="I3270" t="s">
        <v>9</v>
      </c>
      <c r="J3270">
        <v>99.75</v>
      </c>
      <c r="K3270">
        <v>16</v>
      </c>
      <c r="L3270" t="s">
        <v>14</v>
      </c>
      <c r="M3270">
        <v>0</v>
      </c>
      <c r="N3270" t="str">
        <f t="shared" si="153"/>
        <v>Under 40</v>
      </c>
      <c r="O3270" t="str">
        <f t="shared" si="154"/>
        <v>Underweight</v>
      </c>
    </row>
    <row r="3271" spans="1:15" x14ac:dyDescent="0.3">
      <c r="A3271">
        <v>44937</v>
      </c>
      <c r="B3271" t="s">
        <v>7</v>
      </c>
      <c r="C3271">
        <v>51</v>
      </c>
      <c r="D3271">
        <v>0</v>
      </c>
      <c r="E3271">
        <v>0</v>
      </c>
      <c r="F3271" t="str">
        <f t="shared" si="155"/>
        <v>Lower Risk</v>
      </c>
      <c r="G3271" t="s">
        <v>3</v>
      </c>
      <c r="H3271" t="s">
        <v>15</v>
      </c>
      <c r="I3271" t="s">
        <v>5</v>
      </c>
      <c r="J3271">
        <v>127.2</v>
      </c>
      <c r="K3271">
        <v>22.7</v>
      </c>
      <c r="L3271" t="s">
        <v>11</v>
      </c>
      <c r="M3271">
        <v>0</v>
      </c>
      <c r="N3271" t="str">
        <f t="shared" si="153"/>
        <v>40–59</v>
      </c>
      <c r="O3271" t="str">
        <f t="shared" si="154"/>
        <v>Normal</v>
      </c>
    </row>
    <row r="3272" spans="1:15" x14ac:dyDescent="0.3">
      <c r="A3272">
        <v>72082</v>
      </c>
      <c r="B3272" t="s">
        <v>7</v>
      </c>
      <c r="C3272">
        <v>45</v>
      </c>
      <c r="D3272">
        <v>0</v>
      </c>
      <c r="E3272">
        <v>0</v>
      </c>
      <c r="F3272" t="str">
        <f t="shared" si="155"/>
        <v>Lower Risk</v>
      </c>
      <c r="G3272" t="s">
        <v>3</v>
      </c>
      <c r="H3272" t="s">
        <v>8</v>
      </c>
      <c r="I3272" t="s">
        <v>9</v>
      </c>
      <c r="J3272">
        <v>69.760000000000005</v>
      </c>
      <c r="K3272">
        <v>25.3</v>
      </c>
      <c r="L3272" t="s">
        <v>12</v>
      </c>
      <c r="M3272">
        <v>0</v>
      </c>
      <c r="N3272" t="str">
        <f t="shared" si="153"/>
        <v>40–59</v>
      </c>
      <c r="O3272" t="str">
        <f t="shared" si="154"/>
        <v>Overweight</v>
      </c>
    </row>
    <row r="3273" spans="1:15" x14ac:dyDescent="0.3">
      <c r="A3273">
        <v>53271</v>
      </c>
      <c r="B3273" t="s">
        <v>2</v>
      </c>
      <c r="C3273">
        <v>36</v>
      </c>
      <c r="D3273">
        <v>0</v>
      </c>
      <c r="E3273">
        <v>0</v>
      </c>
      <c r="F3273" t="str">
        <f t="shared" si="155"/>
        <v>Lower Risk</v>
      </c>
      <c r="G3273" t="s">
        <v>3</v>
      </c>
      <c r="H3273" t="s">
        <v>4</v>
      </c>
      <c r="I3273" t="s">
        <v>9</v>
      </c>
      <c r="J3273">
        <v>74.63</v>
      </c>
      <c r="K3273">
        <v>31.6</v>
      </c>
      <c r="L3273" t="s">
        <v>6</v>
      </c>
      <c r="M3273">
        <v>0</v>
      </c>
      <c r="N3273" t="str">
        <f t="shared" si="153"/>
        <v>Under 40</v>
      </c>
      <c r="O3273" t="str">
        <f t="shared" si="154"/>
        <v>Obese</v>
      </c>
    </row>
    <row r="3274" spans="1:15" x14ac:dyDescent="0.3">
      <c r="A3274">
        <v>34077</v>
      </c>
      <c r="B3274" t="s">
        <v>2</v>
      </c>
      <c r="C3274">
        <v>46</v>
      </c>
      <c r="D3274">
        <v>0</v>
      </c>
      <c r="E3274">
        <v>0</v>
      </c>
      <c r="F3274" t="str">
        <f t="shared" si="155"/>
        <v>Lower Risk</v>
      </c>
      <c r="G3274" t="s">
        <v>3</v>
      </c>
      <c r="H3274" t="s">
        <v>15</v>
      </c>
      <c r="I3274" t="s">
        <v>9</v>
      </c>
      <c r="J3274">
        <v>102.27</v>
      </c>
      <c r="K3274">
        <v>38.9</v>
      </c>
      <c r="L3274" t="s">
        <v>6</v>
      </c>
      <c r="M3274">
        <v>0</v>
      </c>
      <c r="N3274" t="str">
        <f t="shared" si="153"/>
        <v>40–59</v>
      </c>
      <c r="O3274" t="str">
        <f t="shared" si="154"/>
        <v>Obese</v>
      </c>
    </row>
    <row r="3275" spans="1:15" x14ac:dyDescent="0.3">
      <c r="A3275">
        <v>42330</v>
      </c>
      <c r="B3275" t="s">
        <v>7</v>
      </c>
      <c r="C3275">
        <v>48</v>
      </c>
      <c r="D3275">
        <v>0</v>
      </c>
      <c r="E3275">
        <v>0</v>
      </c>
      <c r="F3275" t="str">
        <f t="shared" si="155"/>
        <v>Lower Risk</v>
      </c>
      <c r="G3275" t="s">
        <v>3</v>
      </c>
      <c r="H3275" t="s">
        <v>4</v>
      </c>
      <c r="I3275" t="s">
        <v>9</v>
      </c>
      <c r="J3275">
        <v>73.56</v>
      </c>
      <c r="K3275">
        <v>27.1</v>
      </c>
      <c r="L3275" t="s">
        <v>12</v>
      </c>
      <c r="M3275">
        <v>0</v>
      </c>
      <c r="N3275" t="str">
        <f t="shared" si="153"/>
        <v>40–59</v>
      </c>
      <c r="O3275" t="str">
        <f t="shared" si="154"/>
        <v>Overweight</v>
      </c>
    </row>
    <row r="3276" spans="1:15" x14ac:dyDescent="0.3">
      <c r="A3276">
        <v>69487</v>
      </c>
      <c r="B3276" t="s">
        <v>7</v>
      </c>
      <c r="C3276">
        <v>79</v>
      </c>
      <c r="D3276">
        <v>0</v>
      </c>
      <c r="E3276">
        <v>0</v>
      </c>
      <c r="F3276" t="str">
        <f t="shared" si="155"/>
        <v>Moderate Risk</v>
      </c>
      <c r="G3276" t="s">
        <v>3</v>
      </c>
      <c r="H3276" t="s">
        <v>8</v>
      </c>
      <c r="I3276" t="s">
        <v>5</v>
      </c>
      <c r="J3276">
        <v>57.77</v>
      </c>
      <c r="K3276">
        <v>24.1</v>
      </c>
      <c r="L3276" t="s">
        <v>6</v>
      </c>
      <c r="M3276">
        <v>0</v>
      </c>
      <c r="N3276" t="str">
        <f t="shared" si="153"/>
        <v>60+</v>
      </c>
      <c r="O3276" t="str">
        <f t="shared" si="154"/>
        <v>Normal</v>
      </c>
    </row>
    <row r="3277" spans="1:15" x14ac:dyDescent="0.3">
      <c r="A3277">
        <v>70973</v>
      </c>
      <c r="B3277" t="s">
        <v>7</v>
      </c>
      <c r="C3277">
        <v>50</v>
      </c>
      <c r="D3277">
        <v>0</v>
      </c>
      <c r="E3277">
        <v>0</v>
      </c>
      <c r="F3277" t="str">
        <f t="shared" si="155"/>
        <v>Lower Risk</v>
      </c>
      <c r="G3277" t="s">
        <v>3</v>
      </c>
      <c r="H3277" t="s">
        <v>15</v>
      </c>
      <c r="I3277" t="s">
        <v>5</v>
      </c>
      <c r="J3277">
        <v>151.25</v>
      </c>
      <c r="K3277">
        <v>31.5</v>
      </c>
      <c r="L3277" t="s">
        <v>11</v>
      </c>
      <c r="M3277">
        <v>0</v>
      </c>
      <c r="N3277" t="str">
        <f t="shared" si="153"/>
        <v>40–59</v>
      </c>
      <c r="O3277" t="str">
        <f t="shared" si="154"/>
        <v>Obese</v>
      </c>
    </row>
    <row r="3278" spans="1:15" x14ac:dyDescent="0.3">
      <c r="A3278">
        <v>44986</v>
      </c>
      <c r="B3278" t="s">
        <v>7</v>
      </c>
      <c r="C3278">
        <v>79</v>
      </c>
      <c r="D3278">
        <v>0</v>
      </c>
      <c r="E3278">
        <v>0</v>
      </c>
      <c r="F3278" t="str">
        <f t="shared" si="155"/>
        <v>Moderate Risk</v>
      </c>
      <c r="G3278" t="s">
        <v>3</v>
      </c>
      <c r="H3278" t="s">
        <v>8</v>
      </c>
      <c r="I3278" t="s">
        <v>5</v>
      </c>
      <c r="J3278">
        <v>78.319999999999993</v>
      </c>
      <c r="K3278">
        <v>32</v>
      </c>
      <c r="L3278" t="s">
        <v>14</v>
      </c>
      <c r="M3278">
        <v>0</v>
      </c>
      <c r="N3278" t="str">
        <f t="shared" si="153"/>
        <v>60+</v>
      </c>
      <c r="O3278" t="str">
        <f t="shared" si="154"/>
        <v>Obese</v>
      </c>
    </row>
    <row r="3279" spans="1:15" x14ac:dyDescent="0.3">
      <c r="A3279">
        <v>2633</v>
      </c>
      <c r="B3279" t="s">
        <v>2</v>
      </c>
      <c r="C3279">
        <v>32</v>
      </c>
      <c r="D3279">
        <v>0</v>
      </c>
      <c r="E3279">
        <v>0</v>
      </c>
      <c r="F3279" t="str">
        <f t="shared" si="155"/>
        <v>Lower Risk</v>
      </c>
      <c r="G3279" t="s">
        <v>3</v>
      </c>
      <c r="H3279" t="s">
        <v>4</v>
      </c>
      <c r="I3279" t="s">
        <v>9</v>
      </c>
      <c r="J3279">
        <v>71.5</v>
      </c>
      <c r="K3279">
        <v>31.8</v>
      </c>
      <c r="L3279" t="s">
        <v>11</v>
      </c>
      <c r="M3279">
        <v>0</v>
      </c>
      <c r="N3279" t="str">
        <f t="shared" si="153"/>
        <v>Under 40</v>
      </c>
      <c r="O3279" t="str">
        <f t="shared" si="154"/>
        <v>Obese</v>
      </c>
    </row>
    <row r="3280" spans="1:15" x14ac:dyDescent="0.3">
      <c r="A3280">
        <v>21834</v>
      </c>
      <c r="B3280" t="s">
        <v>7</v>
      </c>
      <c r="C3280">
        <v>36</v>
      </c>
      <c r="D3280">
        <v>0</v>
      </c>
      <c r="E3280">
        <v>0</v>
      </c>
      <c r="F3280" t="str">
        <f t="shared" si="155"/>
        <v>Lower Risk</v>
      </c>
      <c r="G3280" t="s">
        <v>3</v>
      </c>
      <c r="H3280" t="s">
        <v>4</v>
      </c>
      <c r="I3280" t="s">
        <v>5</v>
      </c>
      <c r="J3280">
        <v>84.7</v>
      </c>
      <c r="K3280">
        <v>34</v>
      </c>
      <c r="L3280" t="s">
        <v>11</v>
      </c>
      <c r="M3280">
        <v>0</v>
      </c>
      <c r="N3280" t="str">
        <f t="shared" si="153"/>
        <v>Under 40</v>
      </c>
      <c r="O3280" t="str">
        <f t="shared" si="154"/>
        <v>Obese</v>
      </c>
    </row>
    <row r="3281" spans="1:15" x14ac:dyDescent="0.3">
      <c r="A3281">
        <v>49196</v>
      </c>
      <c r="B3281" t="s">
        <v>7</v>
      </c>
      <c r="C3281">
        <v>27</v>
      </c>
      <c r="D3281">
        <v>0</v>
      </c>
      <c r="E3281">
        <v>0</v>
      </c>
      <c r="F3281" t="str">
        <f t="shared" si="155"/>
        <v>Lower Risk</v>
      </c>
      <c r="G3281" t="s">
        <v>3</v>
      </c>
      <c r="H3281" t="s">
        <v>4</v>
      </c>
      <c r="I3281" t="s">
        <v>5</v>
      </c>
      <c r="J3281">
        <v>127.28</v>
      </c>
      <c r="K3281">
        <v>23.4</v>
      </c>
      <c r="L3281" t="s">
        <v>14</v>
      </c>
      <c r="M3281">
        <v>0</v>
      </c>
      <c r="N3281" t="str">
        <f t="shared" si="153"/>
        <v>Under 40</v>
      </c>
      <c r="O3281" t="str">
        <f t="shared" si="154"/>
        <v>Normal</v>
      </c>
    </row>
    <row r="3282" spans="1:15" x14ac:dyDescent="0.3">
      <c r="A3282">
        <v>22939</v>
      </c>
      <c r="B3282" t="s">
        <v>7</v>
      </c>
      <c r="C3282">
        <v>22</v>
      </c>
      <c r="D3282">
        <v>0</v>
      </c>
      <c r="E3282">
        <v>0</v>
      </c>
      <c r="F3282" t="str">
        <f t="shared" si="155"/>
        <v>Lower Risk</v>
      </c>
      <c r="G3282" t="s">
        <v>13</v>
      </c>
      <c r="H3282" t="s">
        <v>4</v>
      </c>
      <c r="I3282" t="s">
        <v>9</v>
      </c>
      <c r="J3282">
        <v>80.72</v>
      </c>
      <c r="K3282">
        <v>29.3</v>
      </c>
      <c r="L3282" t="s">
        <v>14</v>
      </c>
      <c r="M3282">
        <v>0</v>
      </c>
      <c r="N3282" t="str">
        <f t="shared" si="153"/>
        <v>Under 40</v>
      </c>
      <c r="O3282" t="str">
        <f t="shared" si="154"/>
        <v>Overweight</v>
      </c>
    </row>
    <row r="3283" spans="1:15" x14ac:dyDescent="0.3">
      <c r="A3283">
        <v>55400</v>
      </c>
      <c r="B3283" t="s">
        <v>7</v>
      </c>
      <c r="C3283">
        <v>5</v>
      </c>
      <c r="D3283">
        <v>0</v>
      </c>
      <c r="E3283">
        <v>0</v>
      </c>
      <c r="F3283" t="str">
        <f t="shared" si="155"/>
        <v>Lower Risk</v>
      </c>
      <c r="G3283" t="s">
        <v>13</v>
      </c>
      <c r="H3283" t="s">
        <v>16</v>
      </c>
      <c r="I3283" t="s">
        <v>9</v>
      </c>
      <c r="J3283">
        <v>73.92</v>
      </c>
      <c r="K3283">
        <v>17.2</v>
      </c>
      <c r="L3283" t="s">
        <v>14</v>
      </c>
      <c r="M3283">
        <v>0</v>
      </c>
      <c r="N3283" t="str">
        <f t="shared" si="153"/>
        <v>Under 40</v>
      </c>
      <c r="O3283" t="str">
        <f t="shared" si="154"/>
        <v>Underweight</v>
      </c>
    </row>
    <row r="3284" spans="1:15" x14ac:dyDescent="0.3">
      <c r="A3284">
        <v>30870</v>
      </c>
      <c r="B3284" t="s">
        <v>2</v>
      </c>
      <c r="C3284">
        <v>9</v>
      </c>
      <c r="D3284">
        <v>0</v>
      </c>
      <c r="E3284">
        <v>0</v>
      </c>
      <c r="F3284" t="str">
        <f t="shared" si="155"/>
        <v>Lower Risk</v>
      </c>
      <c r="G3284" t="s">
        <v>13</v>
      </c>
      <c r="H3284" t="s">
        <v>16</v>
      </c>
      <c r="I3284" t="s">
        <v>5</v>
      </c>
      <c r="J3284">
        <v>93.24</v>
      </c>
      <c r="K3284">
        <v>31.9</v>
      </c>
      <c r="L3284" t="s">
        <v>14</v>
      </c>
      <c r="M3284">
        <v>0</v>
      </c>
      <c r="N3284" t="str">
        <f t="shared" si="153"/>
        <v>Under 40</v>
      </c>
      <c r="O3284" t="str">
        <f t="shared" si="154"/>
        <v>Obese</v>
      </c>
    </row>
    <row r="3285" spans="1:15" x14ac:dyDescent="0.3">
      <c r="A3285">
        <v>247</v>
      </c>
      <c r="B3285" t="s">
        <v>2</v>
      </c>
      <c r="C3285">
        <v>31</v>
      </c>
      <c r="D3285">
        <v>0</v>
      </c>
      <c r="E3285">
        <v>0</v>
      </c>
      <c r="F3285" t="str">
        <f t="shared" si="155"/>
        <v>Lower Risk</v>
      </c>
      <c r="G3285" t="s">
        <v>13</v>
      </c>
      <c r="H3285" t="s">
        <v>4</v>
      </c>
      <c r="I3285" t="s">
        <v>5</v>
      </c>
      <c r="J3285">
        <v>72.599999999999994</v>
      </c>
      <c r="K3285">
        <v>31.6</v>
      </c>
      <c r="L3285" t="s">
        <v>11</v>
      </c>
      <c r="M3285">
        <v>0</v>
      </c>
      <c r="N3285" t="str">
        <f t="shared" si="153"/>
        <v>Under 40</v>
      </c>
      <c r="O3285" t="str">
        <f t="shared" si="154"/>
        <v>Obese</v>
      </c>
    </row>
    <row r="3286" spans="1:15" x14ac:dyDescent="0.3">
      <c r="A3286">
        <v>7979</v>
      </c>
      <c r="B3286" t="s">
        <v>7</v>
      </c>
      <c r="C3286">
        <v>26</v>
      </c>
      <c r="D3286">
        <v>0</v>
      </c>
      <c r="E3286">
        <v>0</v>
      </c>
      <c r="F3286" t="str">
        <f t="shared" si="155"/>
        <v>Lower Risk</v>
      </c>
      <c r="G3286" t="s">
        <v>13</v>
      </c>
      <c r="H3286" t="s">
        <v>4</v>
      </c>
      <c r="I3286" t="s">
        <v>9</v>
      </c>
      <c r="J3286">
        <v>69.77</v>
      </c>
      <c r="K3286">
        <v>23.2</v>
      </c>
      <c r="L3286" t="s">
        <v>11</v>
      </c>
      <c r="M3286">
        <v>0</v>
      </c>
      <c r="N3286" t="str">
        <f t="shared" si="153"/>
        <v>Under 40</v>
      </c>
      <c r="O3286" t="str">
        <f t="shared" si="154"/>
        <v>Normal</v>
      </c>
    </row>
    <row r="3287" spans="1:15" x14ac:dyDescent="0.3">
      <c r="A3287">
        <v>56189</v>
      </c>
      <c r="B3287" t="s">
        <v>2</v>
      </c>
      <c r="C3287">
        <v>43</v>
      </c>
      <c r="D3287">
        <v>0</v>
      </c>
      <c r="E3287">
        <v>0</v>
      </c>
      <c r="F3287" t="str">
        <f t="shared" si="155"/>
        <v>Lower Risk</v>
      </c>
      <c r="G3287" t="s">
        <v>13</v>
      </c>
      <c r="H3287" t="s">
        <v>15</v>
      </c>
      <c r="I3287" t="s">
        <v>5</v>
      </c>
      <c r="J3287">
        <v>84.43</v>
      </c>
      <c r="K3287">
        <v>30</v>
      </c>
      <c r="L3287" t="s">
        <v>12</v>
      </c>
      <c r="M3287">
        <v>0</v>
      </c>
      <c r="N3287" t="str">
        <f t="shared" si="153"/>
        <v>40–59</v>
      </c>
      <c r="O3287" t="str">
        <f t="shared" si="154"/>
        <v>Obese</v>
      </c>
    </row>
    <row r="3288" spans="1:15" x14ac:dyDescent="0.3">
      <c r="A3288">
        <v>3984</v>
      </c>
      <c r="B3288" t="s">
        <v>7</v>
      </c>
      <c r="C3288">
        <v>33</v>
      </c>
      <c r="D3288">
        <v>0</v>
      </c>
      <c r="E3288">
        <v>0</v>
      </c>
      <c r="F3288" t="str">
        <f t="shared" si="155"/>
        <v>Lower Risk</v>
      </c>
      <c r="G3288" t="s">
        <v>3</v>
      </c>
      <c r="H3288" t="s">
        <v>4</v>
      </c>
      <c r="I3288" t="s">
        <v>9</v>
      </c>
      <c r="J3288">
        <v>84.13</v>
      </c>
      <c r="K3288">
        <v>26.3</v>
      </c>
      <c r="L3288" t="s">
        <v>11</v>
      </c>
      <c r="M3288">
        <v>0</v>
      </c>
      <c r="N3288" t="str">
        <f t="shared" si="153"/>
        <v>Under 40</v>
      </c>
      <c r="O3288" t="str">
        <f t="shared" si="154"/>
        <v>Overweight</v>
      </c>
    </row>
    <row r="3289" spans="1:15" x14ac:dyDescent="0.3">
      <c r="A3289">
        <v>49753</v>
      </c>
      <c r="B3289" t="s">
        <v>2</v>
      </c>
      <c r="C3289">
        <v>34</v>
      </c>
      <c r="D3289">
        <v>0</v>
      </c>
      <c r="E3289">
        <v>0</v>
      </c>
      <c r="F3289" t="str">
        <f t="shared" si="155"/>
        <v>Lower Risk</v>
      </c>
      <c r="G3289" t="s">
        <v>13</v>
      </c>
      <c r="H3289" t="s">
        <v>8</v>
      </c>
      <c r="I3289" t="s">
        <v>9</v>
      </c>
      <c r="J3289">
        <v>81.540000000000006</v>
      </c>
      <c r="K3289">
        <v>31.8</v>
      </c>
      <c r="L3289" t="s">
        <v>6</v>
      </c>
      <c r="M3289">
        <v>0</v>
      </c>
      <c r="N3289" t="str">
        <f t="shared" si="153"/>
        <v>Under 40</v>
      </c>
      <c r="O3289" t="str">
        <f t="shared" si="154"/>
        <v>Obese</v>
      </c>
    </row>
    <row r="3290" spans="1:15" x14ac:dyDescent="0.3">
      <c r="A3290">
        <v>71719</v>
      </c>
      <c r="B3290" t="s">
        <v>2</v>
      </c>
      <c r="C3290">
        <v>66</v>
      </c>
      <c r="D3290">
        <v>0</v>
      </c>
      <c r="E3290">
        <v>0</v>
      </c>
      <c r="F3290" t="str">
        <f t="shared" si="155"/>
        <v>Moderate Risk</v>
      </c>
      <c r="G3290" t="s">
        <v>3</v>
      </c>
      <c r="H3290" t="s">
        <v>15</v>
      </c>
      <c r="I3290" t="s">
        <v>9</v>
      </c>
      <c r="J3290">
        <v>57.17</v>
      </c>
      <c r="K3290">
        <v>25.5</v>
      </c>
      <c r="L3290" t="s">
        <v>6</v>
      </c>
      <c r="M3290">
        <v>0</v>
      </c>
      <c r="N3290" t="str">
        <f t="shared" si="153"/>
        <v>60+</v>
      </c>
      <c r="O3290" t="str">
        <f t="shared" si="154"/>
        <v>Overweight</v>
      </c>
    </row>
    <row r="3291" spans="1:15" x14ac:dyDescent="0.3">
      <c r="A3291">
        <v>11313</v>
      </c>
      <c r="B3291" t="s">
        <v>7</v>
      </c>
      <c r="C3291">
        <v>44</v>
      </c>
      <c r="D3291">
        <v>0</v>
      </c>
      <c r="E3291">
        <v>0</v>
      </c>
      <c r="F3291" t="str">
        <f t="shared" si="155"/>
        <v>Lower Risk</v>
      </c>
      <c r="G3291" t="s">
        <v>3</v>
      </c>
      <c r="H3291" t="s">
        <v>4</v>
      </c>
      <c r="I3291" t="s">
        <v>9</v>
      </c>
      <c r="J3291">
        <v>86.15</v>
      </c>
      <c r="K3291">
        <v>21.3</v>
      </c>
      <c r="L3291" t="s">
        <v>11</v>
      </c>
      <c r="M3291">
        <v>0</v>
      </c>
      <c r="N3291" t="str">
        <f t="shared" si="153"/>
        <v>40–59</v>
      </c>
      <c r="O3291" t="str">
        <f t="shared" si="154"/>
        <v>Normal</v>
      </c>
    </row>
    <row r="3292" spans="1:15" x14ac:dyDescent="0.3">
      <c r="A3292">
        <v>38070</v>
      </c>
      <c r="B3292" t="s">
        <v>7</v>
      </c>
      <c r="C3292">
        <v>56</v>
      </c>
      <c r="D3292">
        <v>0</v>
      </c>
      <c r="E3292">
        <v>0</v>
      </c>
      <c r="F3292" t="str">
        <f t="shared" si="155"/>
        <v>Lower Risk</v>
      </c>
      <c r="G3292" t="s">
        <v>3</v>
      </c>
      <c r="H3292" t="s">
        <v>4</v>
      </c>
      <c r="I3292" t="s">
        <v>9</v>
      </c>
      <c r="J3292">
        <v>163.02000000000001</v>
      </c>
      <c r="K3292">
        <v>29.6</v>
      </c>
      <c r="L3292" t="s">
        <v>11</v>
      </c>
      <c r="M3292">
        <v>0</v>
      </c>
      <c r="N3292" t="str">
        <f t="shared" si="153"/>
        <v>40–59</v>
      </c>
      <c r="O3292" t="str">
        <f t="shared" si="154"/>
        <v>Overweight</v>
      </c>
    </row>
    <row r="3293" spans="1:15" x14ac:dyDescent="0.3">
      <c r="A3293">
        <v>50455</v>
      </c>
      <c r="B3293" t="s">
        <v>7</v>
      </c>
      <c r="C3293">
        <v>67</v>
      </c>
      <c r="D3293">
        <v>0</v>
      </c>
      <c r="E3293">
        <v>0</v>
      </c>
      <c r="F3293" t="str">
        <f t="shared" si="155"/>
        <v>Moderate Risk</v>
      </c>
      <c r="G3293" t="s">
        <v>3</v>
      </c>
      <c r="H3293" t="s">
        <v>8</v>
      </c>
      <c r="I3293" t="s">
        <v>5</v>
      </c>
      <c r="J3293">
        <v>110.41</v>
      </c>
      <c r="K3293">
        <v>28.7</v>
      </c>
      <c r="L3293" t="s">
        <v>11</v>
      </c>
      <c r="M3293">
        <v>0</v>
      </c>
      <c r="N3293" t="str">
        <f t="shared" si="153"/>
        <v>60+</v>
      </c>
      <c r="O3293" t="str">
        <f t="shared" si="154"/>
        <v>Overweight</v>
      </c>
    </row>
    <row r="3294" spans="1:15" x14ac:dyDescent="0.3">
      <c r="A3294">
        <v>31766</v>
      </c>
      <c r="B3294" t="s">
        <v>2</v>
      </c>
      <c r="C3294">
        <v>18</v>
      </c>
      <c r="D3294">
        <v>0</v>
      </c>
      <c r="E3294">
        <v>0</v>
      </c>
      <c r="F3294" t="str">
        <f t="shared" si="155"/>
        <v>Lower Risk</v>
      </c>
      <c r="G3294" t="s">
        <v>13</v>
      </c>
      <c r="H3294" t="s">
        <v>4</v>
      </c>
      <c r="I3294" t="s">
        <v>9</v>
      </c>
      <c r="J3294">
        <v>102.58</v>
      </c>
      <c r="K3294">
        <v>30.8</v>
      </c>
      <c r="L3294" t="s">
        <v>11</v>
      </c>
      <c r="M3294">
        <v>0</v>
      </c>
      <c r="N3294" t="str">
        <f t="shared" si="153"/>
        <v>Under 40</v>
      </c>
      <c r="O3294" t="str">
        <f t="shared" si="154"/>
        <v>Obese</v>
      </c>
    </row>
    <row r="3295" spans="1:15" x14ac:dyDescent="0.3">
      <c r="A3295">
        <v>24245</v>
      </c>
      <c r="B3295" t="s">
        <v>2</v>
      </c>
      <c r="C3295">
        <v>55</v>
      </c>
      <c r="D3295">
        <v>0</v>
      </c>
      <c r="E3295">
        <v>0</v>
      </c>
      <c r="F3295" t="str">
        <f t="shared" si="155"/>
        <v>Lower Risk</v>
      </c>
      <c r="G3295" t="s">
        <v>3</v>
      </c>
      <c r="H3295" t="s">
        <v>4</v>
      </c>
      <c r="I3295" t="s">
        <v>5</v>
      </c>
      <c r="J3295">
        <v>90.97</v>
      </c>
      <c r="K3295">
        <v>32.1</v>
      </c>
      <c r="L3295" t="s">
        <v>14</v>
      </c>
      <c r="M3295">
        <v>0</v>
      </c>
      <c r="N3295" t="str">
        <f t="shared" si="153"/>
        <v>40–59</v>
      </c>
      <c r="O3295" t="str">
        <f t="shared" si="154"/>
        <v>Obese</v>
      </c>
    </row>
    <row r="3296" spans="1:15" x14ac:dyDescent="0.3">
      <c r="A3296">
        <v>50726</v>
      </c>
      <c r="B3296" t="s">
        <v>2</v>
      </c>
      <c r="C3296">
        <v>61</v>
      </c>
      <c r="D3296">
        <v>0</v>
      </c>
      <c r="E3296">
        <v>0</v>
      </c>
      <c r="F3296" t="str">
        <f t="shared" si="155"/>
        <v>Moderate Risk</v>
      </c>
      <c r="G3296" t="s">
        <v>3</v>
      </c>
      <c r="H3296" t="s">
        <v>4</v>
      </c>
      <c r="I3296" t="s">
        <v>9</v>
      </c>
      <c r="J3296">
        <v>140.96</v>
      </c>
      <c r="K3296">
        <v>34</v>
      </c>
      <c r="L3296" t="s">
        <v>12</v>
      </c>
      <c r="M3296">
        <v>0</v>
      </c>
      <c r="N3296" t="str">
        <f t="shared" si="153"/>
        <v>60+</v>
      </c>
      <c r="O3296" t="str">
        <f t="shared" si="154"/>
        <v>Obese</v>
      </c>
    </row>
    <row r="3297" spans="1:15" x14ac:dyDescent="0.3">
      <c r="A3297">
        <v>29955</v>
      </c>
      <c r="B3297" t="s">
        <v>2</v>
      </c>
      <c r="C3297">
        <v>0.08</v>
      </c>
      <c r="D3297">
        <v>0</v>
      </c>
      <c r="E3297">
        <v>0</v>
      </c>
      <c r="F3297" t="str">
        <f t="shared" si="155"/>
        <v>Lower Risk</v>
      </c>
      <c r="G3297" t="s">
        <v>13</v>
      </c>
      <c r="H3297" t="s">
        <v>16</v>
      </c>
      <c r="I3297" t="s">
        <v>9</v>
      </c>
      <c r="J3297">
        <v>70.33</v>
      </c>
      <c r="K3297">
        <v>16.899999999999999</v>
      </c>
      <c r="L3297" t="s">
        <v>14</v>
      </c>
      <c r="M3297">
        <v>0</v>
      </c>
      <c r="N3297" t="str">
        <f t="shared" si="153"/>
        <v>Under 40</v>
      </c>
      <c r="O3297" t="str">
        <f t="shared" si="154"/>
        <v>Underweight</v>
      </c>
    </row>
    <row r="3298" spans="1:15" x14ac:dyDescent="0.3">
      <c r="A3298">
        <v>64742</v>
      </c>
      <c r="B3298" t="s">
        <v>2</v>
      </c>
      <c r="C3298">
        <v>48</v>
      </c>
      <c r="D3298">
        <v>0</v>
      </c>
      <c r="E3298">
        <v>0</v>
      </c>
      <c r="F3298" t="str">
        <f t="shared" si="155"/>
        <v>Lower Risk</v>
      </c>
      <c r="G3298" t="s">
        <v>13</v>
      </c>
      <c r="H3298" t="s">
        <v>8</v>
      </c>
      <c r="I3298" t="s">
        <v>9</v>
      </c>
      <c r="J3298">
        <v>64.180000000000007</v>
      </c>
      <c r="K3298">
        <v>32.1</v>
      </c>
      <c r="L3298" t="s">
        <v>11</v>
      </c>
      <c r="M3298">
        <v>0</v>
      </c>
      <c r="N3298" t="str">
        <f t="shared" si="153"/>
        <v>40–59</v>
      </c>
      <c r="O3298" t="str">
        <f t="shared" si="154"/>
        <v>Obese</v>
      </c>
    </row>
    <row r="3299" spans="1:15" x14ac:dyDescent="0.3">
      <c r="A3299">
        <v>48518</v>
      </c>
      <c r="B3299" t="s">
        <v>2</v>
      </c>
      <c r="C3299">
        <v>44</v>
      </c>
      <c r="D3299">
        <v>0</v>
      </c>
      <c r="E3299">
        <v>0</v>
      </c>
      <c r="F3299" t="str">
        <f t="shared" si="155"/>
        <v>Lower Risk</v>
      </c>
      <c r="G3299" t="s">
        <v>3</v>
      </c>
      <c r="H3299" t="s">
        <v>8</v>
      </c>
      <c r="I3299" t="s">
        <v>9</v>
      </c>
      <c r="J3299">
        <v>127.57</v>
      </c>
      <c r="K3299">
        <v>22.6</v>
      </c>
      <c r="L3299" t="s">
        <v>11</v>
      </c>
      <c r="M3299">
        <v>0</v>
      </c>
      <c r="N3299" t="str">
        <f t="shared" si="153"/>
        <v>40–59</v>
      </c>
      <c r="O3299" t="str">
        <f t="shared" si="154"/>
        <v>Normal</v>
      </c>
    </row>
    <row r="3300" spans="1:15" x14ac:dyDescent="0.3">
      <c r="A3300">
        <v>42999</v>
      </c>
      <c r="B3300" t="s">
        <v>7</v>
      </c>
      <c r="C3300">
        <v>68</v>
      </c>
      <c r="D3300">
        <v>0</v>
      </c>
      <c r="E3300">
        <v>0</v>
      </c>
      <c r="F3300" t="str">
        <f t="shared" si="155"/>
        <v>Moderate Risk</v>
      </c>
      <c r="G3300" t="s">
        <v>3</v>
      </c>
      <c r="H3300" t="s">
        <v>4</v>
      </c>
      <c r="I3300" t="s">
        <v>5</v>
      </c>
      <c r="J3300">
        <v>109.23</v>
      </c>
      <c r="K3300">
        <v>31.3</v>
      </c>
      <c r="L3300" t="s">
        <v>11</v>
      </c>
      <c r="M3300">
        <v>0</v>
      </c>
      <c r="N3300" t="str">
        <f t="shared" si="153"/>
        <v>60+</v>
      </c>
      <c r="O3300" t="str">
        <f t="shared" si="154"/>
        <v>Obese</v>
      </c>
    </row>
    <row r="3301" spans="1:15" x14ac:dyDescent="0.3">
      <c r="A3301">
        <v>71447</v>
      </c>
      <c r="B3301" t="s">
        <v>2</v>
      </c>
      <c r="C3301">
        <v>52</v>
      </c>
      <c r="D3301">
        <v>0</v>
      </c>
      <c r="E3301">
        <v>1</v>
      </c>
      <c r="F3301" t="str">
        <f t="shared" si="155"/>
        <v>Lower Risk</v>
      </c>
      <c r="G3301" t="s">
        <v>3</v>
      </c>
      <c r="H3301" t="s">
        <v>4</v>
      </c>
      <c r="I3301" t="s">
        <v>5</v>
      </c>
      <c r="J3301">
        <v>124.49</v>
      </c>
      <c r="K3301">
        <v>29</v>
      </c>
      <c r="L3301" t="s">
        <v>11</v>
      </c>
      <c r="M3301">
        <v>0</v>
      </c>
      <c r="N3301" t="str">
        <f t="shared" si="153"/>
        <v>40–59</v>
      </c>
      <c r="O3301" t="str">
        <f t="shared" si="154"/>
        <v>Overweight</v>
      </c>
    </row>
    <row r="3302" spans="1:15" x14ac:dyDescent="0.3">
      <c r="A3302">
        <v>61437</v>
      </c>
      <c r="B3302" t="s">
        <v>2</v>
      </c>
      <c r="C3302">
        <v>15</v>
      </c>
      <c r="D3302">
        <v>0</v>
      </c>
      <c r="E3302">
        <v>0</v>
      </c>
      <c r="F3302" t="str">
        <f t="shared" si="155"/>
        <v>Lower Risk</v>
      </c>
      <c r="G3302" t="s">
        <v>13</v>
      </c>
      <c r="H3302" t="s">
        <v>15</v>
      </c>
      <c r="I3302" t="s">
        <v>9</v>
      </c>
      <c r="J3302">
        <v>142.82</v>
      </c>
      <c r="K3302">
        <v>27.6</v>
      </c>
      <c r="L3302" t="s">
        <v>11</v>
      </c>
      <c r="M3302">
        <v>0</v>
      </c>
      <c r="N3302" t="str">
        <f t="shared" si="153"/>
        <v>Under 40</v>
      </c>
      <c r="O3302" t="str">
        <f t="shared" si="154"/>
        <v>Overweight</v>
      </c>
    </row>
    <row r="3303" spans="1:15" x14ac:dyDescent="0.3">
      <c r="A3303">
        <v>50428</v>
      </c>
      <c r="B3303" t="s">
        <v>2</v>
      </c>
      <c r="C3303">
        <v>2</v>
      </c>
      <c r="D3303">
        <v>0</v>
      </c>
      <c r="E3303">
        <v>0</v>
      </c>
      <c r="F3303" t="str">
        <f t="shared" si="155"/>
        <v>Lower Risk</v>
      </c>
      <c r="G3303" t="s">
        <v>13</v>
      </c>
      <c r="H3303" t="s">
        <v>16</v>
      </c>
      <c r="I3303" t="s">
        <v>9</v>
      </c>
      <c r="J3303">
        <v>75.69</v>
      </c>
      <c r="K3303">
        <v>17.7</v>
      </c>
      <c r="L3303" t="s">
        <v>14</v>
      </c>
      <c r="M3303">
        <v>0</v>
      </c>
      <c r="N3303" t="str">
        <f t="shared" si="153"/>
        <v>Under 40</v>
      </c>
      <c r="O3303" t="str">
        <f t="shared" si="154"/>
        <v>Underweight</v>
      </c>
    </row>
    <row r="3304" spans="1:15" x14ac:dyDescent="0.3">
      <c r="A3304">
        <v>8816</v>
      </c>
      <c r="B3304" t="s">
        <v>2</v>
      </c>
      <c r="C3304">
        <v>60</v>
      </c>
      <c r="D3304">
        <v>0</v>
      </c>
      <c r="E3304">
        <v>0</v>
      </c>
      <c r="F3304" t="str">
        <f t="shared" si="155"/>
        <v>Moderate Risk</v>
      </c>
      <c r="G3304" t="s">
        <v>3</v>
      </c>
      <c r="H3304" t="s">
        <v>4</v>
      </c>
      <c r="I3304" t="s">
        <v>5</v>
      </c>
      <c r="J3304">
        <v>74.08</v>
      </c>
      <c r="K3304">
        <v>35.9</v>
      </c>
      <c r="L3304" t="s">
        <v>14</v>
      </c>
      <c r="M3304">
        <v>0</v>
      </c>
      <c r="N3304" t="str">
        <f t="shared" si="153"/>
        <v>60+</v>
      </c>
      <c r="O3304" t="str">
        <f t="shared" si="154"/>
        <v>Obese</v>
      </c>
    </row>
    <row r="3305" spans="1:15" x14ac:dyDescent="0.3">
      <c r="A3305">
        <v>49556</v>
      </c>
      <c r="B3305" t="s">
        <v>7</v>
      </c>
      <c r="C3305">
        <v>37</v>
      </c>
      <c r="D3305">
        <v>0</v>
      </c>
      <c r="E3305">
        <v>0</v>
      </c>
      <c r="F3305" t="str">
        <f t="shared" si="155"/>
        <v>Lower Risk</v>
      </c>
      <c r="G3305" t="s">
        <v>3</v>
      </c>
      <c r="H3305" t="s">
        <v>15</v>
      </c>
      <c r="I3305" t="s">
        <v>5</v>
      </c>
      <c r="J3305">
        <v>75.98</v>
      </c>
      <c r="K3305">
        <v>33.799999999999997</v>
      </c>
      <c r="L3305" t="s">
        <v>14</v>
      </c>
      <c r="M3305">
        <v>0</v>
      </c>
      <c r="N3305" t="str">
        <f t="shared" si="153"/>
        <v>Under 40</v>
      </c>
      <c r="O3305" t="str">
        <f t="shared" si="154"/>
        <v>Obese</v>
      </c>
    </row>
    <row r="3306" spans="1:15" x14ac:dyDescent="0.3">
      <c r="A3306">
        <v>67654</v>
      </c>
      <c r="B3306" t="s">
        <v>7</v>
      </c>
      <c r="C3306">
        <v>5</v>
      </c>
      <c r="D3306">
        <v>0</v>
      </c>
      <c r="E3306">
        <v>0</v>
      </c>
      <c r="F3306" t="str">
        <f t="shared" si="155"/>
        <v>Lower Risk</v>
      </c>
      <c r="G3306" t="s">
        <v>13</v>
      </c>
      <c r="H3306" t="s">
        <v>16</v>
      </c>
      <c r="I3306" t="s">
        <v>9</v>
      </c>
      <c r="J3306">
        <v>57.8</v>
      </c>
      <c r="K3306">
        <v>17.600000000000001</v>
      </c>
      <c r="L3306" t="s">
        <v>14</v>
      </c>
      <c r="M3306">
        <v>0</v>
      </c>
      <c r="N3306" t="str">
        <f t="shared" si="153"/>
        <v>Under 40</v>
      </c>
      <c r="O3306" t="str">
        <f t="shared" si="154"/>
        <v>Underweight</v>
      </c>
    </row>
    <row r="3307" spans="1:15" x14ac:dyDescent="0.3">
      <c r="A3307">
        <v>21989</v>
      </c>
      <c r="B3307" t="s">
        <v>7</v>
      </c>
      <c r="C3307">
        <v>25</v>
      </c>
      <c r="D3307">
        <v>0</v>
      </c>
      <c r="E3307">
        <v>0</v>
      </c>
      <c r="F3307" t="str">
        <f t="shared" si="155"/>
        <v>Lower Risk</v>
      </c>
      <c r="G3307" t="s">
        <v>13</v>
      </c>
      <c r="H3307" t="s">
        <v>4</v>
      </c>
      <c r="I3307" t="s">
        <v>5</v>
      </c>
      <c r="J3307">
        <v>76.44</v>
      </c>
      <c r="K3307">
        <v>48.3</v>
      </c>
      <c r="L3307" t="s">
        <v>14</v>
      </c>
      <c r="M3307">
        <v>0</v>
      </c>
      <c r="N3307" t="str">
        <f t="shared" si="153"/>
        <v>Under 40</v>
      </c>
      <c r="O3307" t="str">
        <f t="shared" si="154"/>
        <v>Obese</v>
      </c>
    </row>
    <row r="3308" spans="1:15" x14ac:dyDescent="0.3">
      <c r="A3308">
        <v>46434</v>
      </c>
      <c r="B3308" t="s">
        <v>2</v>
      </c>
      <c r="C3308">
        <v>52</v>
      </c>
      <c r="D3308">
        <v>1</v>
      </c>
      <c r="E3308">
        <v>0</v>
      </c>
      <c r="F3308" t="str">
        <f t="shared" si="155"/>
        <v>Lower Risk</v>
      </c>
      <c r="G3308" t="s">
        <v>3</v>
      </c>
      <c r="H3308" t="s">
        <v>15</v>
      </c>
      <c r="I3308" t="s">
        <v>5</v>
      </c>
      <c r="J3308">
        <v>214.43</v>
      </c>
      <c r="K3308">
        <v>39.9</v>
      </c>
      <c r="L3308" t="s">
        <v>12</v>
      </c>
      <c r="M3308">
        <v>0</v>
      </c>
      <c r="N3308" t="str">
        <f t="shared" si="153"/>
        <v>40–59</v>
      </c>
      <c r="O3308" t="str">
        <f t="shared" si="154"/>
        <v>Obese</v>
      </c>
    </row>
    <row r="3309" spans="1:15" x14ac:dyDescent="0.3">
      <c r="A3309">
        <v>3205</v>
      </c>
      <c r="B3309" t="s">
        <v>7</v>
      </c>
      <c r="C3309">
        <v>79</v>
      </c>
      <c r="D3309">
        <v>0</v>
      </c>
      <c r="E3309">
        <v>0</v>
      </c>
      <c r="F3309" t="str">
        <f t="shared" si="155"/>
        <v>Moderate Risk</v>
      </c>
      <c r="G3309" t="s">
        <v>3</v>
      </c>
      <c r="H3309" t="s">
        <v>8</v>
      </c>
      <c r="I3309" t="s">
        <v>5</v>
      </c>
      <c r="J3309">
        <v>79.03</v>
      </c>
      <c r="K3309">
        <v>11.3</v>
      </c>
      <c r="L3309" t="s">
        <v>14</v>
      </c>
      <c r="M3309">
        <v>0</v>
      </c>
      <c r="N3309" t="str">
        <f t="shared" si="153"/>
        <v>60+</v>
      </c>
      <c r="O3309" t="str">
        <f t="shared" si="154"/>
        <v>Underweight</v>
      </c>
    </row>
    <row r="3310" spans="1:15" x14ac:dyDescent="0.3">
      <c r="A3310">
        <v>68692</v>
      </c>
      <c r="B3310" t="s">
        <v>2</v>
      </c>
      <c r="C3310">
        <v>61</v>
      </c>
      <c r="D3310">
        <v>1</v>
      </c>
      <c r="E3310">
        <v>0</v>
      </c>
      <c r="F3310" t="str">
        <f t="shared" si="155"/>
        <v>High Risk</v>
      </c>
      <c r="G3310" t="s">
        <v>3</v>
      </c>
      <c r="H3310" t="s">
        <v>4</v>
      </c>
      <c r="I3310" t="s">
        <v>5</v>
      </c>
      <c r="J3310">
        <v>66.459999999999994</v>
      </c>
      <c r="K3310">
        <v>31.5</v>
      </c>
      <c r="L3310" t="s">
        <v>6</v>
      </c>
      <c r="M3310">
        <v>0</v>
      </c>
      <c r="N3310" t="str">
        <f t="shared" si="153"/>
        <v>60+</v>
      </c>
      <c r="O3310" t="str">
        <f t="shared" si="154"/>
        <v>Obese</v>
      </c>
    </row>
    <row r="3311" spans="1:15" x14ac:dyDescent="0.3">
      <c r="A3311">
        <v>44531</v>
      </c>
      <c r="B3311" t="s">
        <v>2</v>
      </c>
      <c r="C3311">
        <v>36</v>
      </c>
      <c r="D3311">
        <v>0</v>
      </c>
      <c r="E3311">
        <v>0</v>
      </c>
      <c r="F3311" t="str">
        <f t="shared" si="155"/>
        <v>Lower Risk</v>
      </c>
      <c r="G3311" t="s">
        <v>3</v>
      </c>
      <c r="H3311" t="s">
        <v>4</v>
      </c>
      <c r="I3311" t="s">
        <v>5</v>
      </c>
      <c r="J3311">
        <v>56.42</v>
      </c>
      <c r="K3311">
        <v>29.6</v>
      </c>
      <c r="L3311" t="s">
        <v>11</v>
      </c>
      <c r="M3311">
        <v>0</v>
      </c>
      <c r="N3311" t="str">
        <f t="shared" si="153"/>
        <v>Under 40</v>
      </c>
      <c r="O3311" t="str">
        <f t="shared" si="154"/>
        <v>Overweight</v>
      </c>
    </row>
    <row r="3312" spans="1:15" x14ac:dyDescent="0.3">
      <c r="A3312">
        <v>70392</v>
      </c>
      <c r="B3312" t="s">
        <v>2</v>
      </c>
      <c r="C3312">
        <v>34</v>
      </c>
      <c r="D3312">
        <v>0</v>
      </c>
      <c r="E3312">
        <v>0</v>
      </c>
      <c r="F3312" t="str">
        <f t="shared" si="155"/>
        <v>Lower Risk</v>
      </c>
      <c r="G3312" t="s">
        <v>3</v>
      </c>
      <c r="H3312" t="s">
        <v>4</v>
      </c>
      <c r="I3312" t="s">
        <v>9</v>
      </c>
      <c r="J3312">
        <v>112.72</v>
      </c>
      <c r="K3312">
        <v>19.399999999999999</v>
      </c>
      <c r="L3312" t="s">
        <v>14</v>
      </c>
      <c r="M3312">
        <v>0</v>
      </c>
      <c r="N3312" t="str">
        <f t="shared" si="153"/>
        <v>Under 40</v>
      </c>
      <c r="O3312" t="str">
        <f t="shared" si="154"/>
        <v>Normal</v>
      </c>
    </row>
    <row r="3313" spans="1:15" x14ac:dyDescent="0.3">
      <c r="A3313">
        <v>37025</v>
      </c>
      <c r="B3313" t="s">
        <v>7</v>
      </c>
      <c r="C3313">
        <v>2</v>
      </c>
      <c r="D3313">
        <v>0</v>
      </c>
      <c r="E3313">
        <v>0</v>
      </c>
      <c r="F3313" t="str">
        <f t="shared" si="155"/>
        <v>Lower Risk</v>
      </c>
      <c r="G3313" t="s">
        <v>13</v>
      </c>
      <c r="H3313" t="s">
        <v>16</v>
      </c>
      <c r="I3313" t="s">
        <v>5</v>
      </c>
      <c r="J3313">
        <v>114.02</v>
      </c>
      <c r="K3313">
        <v>18.100000000000001</v>
      </c>
      <c r="L3313" t="s">
        <v>14</v>
      </c>
      <c r="M3313">
        <v>0</v>
      </c>
      <c r="N3313" t="str">
        <f t="shared" si="153"/>
        <v>Under 40</v>
      </c>
      <c r="O3313" t="str">
        <f t="shared" si="154"/>
        <v>Underweight</v>
      </c>
    </row>
    <row r="3314" spans="1:15" x14ac:dyDescent="0.3">
      <c r="A3314">
        <v>68965</v>
      </c>
      <c r="B3314" t="s">
        <v>2</v>
      </c>
      <c r="C3314">
        <v>43</v>
      </c>
      <c r="D3314">
        <v>0</v>
      </c>
      <c r="E3314">
        <v>0</v>
      </c>
      <c r="F3314" t="str">
        <f t="shared" si="155"/>
        <v>Lower Risk</v>
      </c>
      <c r="G3314" t="s">
        <v>3</v>
      </c>
      <c r="H3314" t="s">
        <v>4</v>
      </c>
      <c r="I3314" t="s">
        <v>5</v>
      </c>
      <c r="J3314">
        <v>72.33</v>
      </c>
      <c r="K3314">
        <v>36.200000000000003</v>
      </c>
      <c r="L3314" t="s">
        <v>12</v>
      </c>
      <c r="M3314">
        <v>0</v>
      </c>
      <c r="N3314" t="str">
        <f t="shared" si="153"/>
        <v>40–59</v>
      </c>
      <c r="O3314" t="str">
        <f t="shared" si="154"/>
        <v>Obese</v>
      </c>
    </row>
    <row r="3315" spans="1:15" x14ac:dyDescent="0.3">
      <c r="A3315">
        <v>53843</v>
      </c>
      <c r="B3315" t="s">
        <v>7</v>
      </c>
      <c r="C3315">
        <v>1.48</v>
      </c>
      <c r="D3315">
        <v>0</v>
      </c>
      <c r="E3315">
        <v>0</v>
      </c>
      <c r="F3315" t="str">
        <f t="shared" si="155"/>
        <v>Lower Risk</v>
      </c>
      <c r="G3315" t="s">
        <v>13</v>
      </c>
      <c r="H3315" t="s">
        <v>16</v>
      </c>
      <c r="I3315" t="s">
        <v>9</v>
      </c>
      <c r="J3315">
        <v>55.59</v>
      </c>
      <c r="K3315">
        <v>17.899999999999999</v>
      </c>
      <c r="L3315" t="s">
        <v>14</v>
      </c>
      <c r="M3315">
        <v>0</v>
      </c>
      <c r="N3315" t="str">
        <f t="shared" si="153"/>
        <v>Under 40</v>
      </c>
      <c r="O3315" t="str">
        <f t="shared" si="154"/>
        <v>Underweight</v>
      </c>
    </row>
    <row r="3316" spans="1:15" x14ac:dyDescent="0.3">
      <c r="A3316">
        <v>5236</v>
      </c>
      <c r="B3316" t="s">
        <v>7</v>
      </c>
      <c r="C3316">
        <v>49</v>
      </c>
      <c r="D3316">
        <v>0</v>
      </c>
      <c r="E3316">
        <v>0</v>
      </c>
      <c r="F3316" t="str">
        <f t="shared" si="155"/>
        <v>Lower Risk</v>
      </c>
      <c r="G3316" t="s">
        <v>3</v>
      </c>
      <c r="H3316" t="s">
        <v>4</v>
      </c>
      <c r="I3316" t="s">
        <v>9</v>
      </c>
      <c r="J3316">
        <v>73.48</v>
      </c>
      <c r="K3316">
        <v>33</v>
      </c>
      <c r="L3316" t="s">
        <v>11</v>
      </c>
      <c r="M3316">
        <v>0</v>
      </c>
      <c r="N3316" t="str">
        <f t="shared" si="153"/>
        <v>40–59</v>
      </c>
      <c r="O3316" t="str">
        <f t="shared" si="154"/>
        <v>Obese</v>
      </c>
    </row>
    <row r="3317" spans="1:15" x14ac:dyDescent="0.3">
      <c r="A3317">
        <v>32110</v>
      </c>
      <c r="B3317" t="s">
        <v>7</v>
      </c>
      <c r="C3317">
        <v>2</v>
      </c>
      <c r="D3317">
        <v>0</v>
      </c>
      <c r="E3317">
        <v>0</v>
      </c>
      <c r="F3317" t="str">
        <f t="shared" si="155"/>
        <v>Lower Risk</v>
      </c>
      <c r="G3317" t="s">
        <v>13</v>
      </c>
      <c r="H3317" t="s">
        <v>16</v>
      </c>
      <c r="I3317" t="s">
        <v>5</v>
      </c>
      <c r="J3317">
        <v>105.05</v>
      </c>
      <c r="K3317">
        <v>20.399999999999999</v>
      </c>
      <c r="L3317" t="s">
        <v>14</v>
      </c>
      <c r="M3317">
        <v>0</v>
      </c>
      <c r="N3317" t="str">
        <f t="shared" si="153"/>
        <v>Under 40</v>
      </c>
      <c r="O3317" t="str">
        <f t="shared" si="154"/>
        <v>Normal</v>
      </c>
    </row>
    <row r="3318" spans="1:15" x14ac:dyDescent="0.3">
      <c r="A3318">
        <v>17893</v>
      </c>
      <c r="B3318" t="s">
        <v>7</v>
      </c>
      <c r="C3318">
        <v>82</v>
      </c>
      <c r="D3318">
        <v>0</v>
      </c>
      <c r="E3318">
        <v>0</v>
      </c>
      <c r="F3318" t="str">
        <f t="shared" si="155"/>
        <v>Moderate Risk</v>
      </c>
      <c r="G3318" t="s">
        <v>3</v>
      </c>
      <c r="H3318" t="s">
        <v>8</v>
      </c>
      <c r="I3318" t="s">
        <v>5</v>
      </c>
      <c r="J3318">
        <v>84.78</v>
      </c>
      <c r="K3318">
        <v>33.6</v>
      </c>
      <c r="L3318" t="s">
        <v>6</v>
      </c>
      <c r="M3318">
        <v>0</v>
      </c>
      <c r="N3318" t="str">
        <f t="shared" si="153"/>
        <v>60+</v>
      </c>
      <c r="O3318" t="str">
        <f t="shared" si="154"/>
        <v>Obese</v>
      </c>
    </row>
    <row r="3319" spans="1:15" x14ac:dyDescent="0.3">
      <c r="A3319">
        <v>65794</v>
      </c>
      <c r="B3319" t="s">
        <v>7</v>
      </c>
      <c r="C3319">
        <v>81</v>
      </c>
      <c r="D3319">
        <v>1</v>
      </c>
      <c r="E3319">
        <v>0</v>
      </c>
      <c r="F3319" t="str">
        <f t="shared" si="155"/>
        <v>High Risk</v>
      </c>
      <c r="G3319" t="s">
        <v>3</v>
      </c>
      <c r="H3319" t="s">
        <v>4</v>
      </c>
      <c r="I3319" t="s">
        <v>9</v>
      </c>
      <c r="J3319">
        <v>164.77</v>
      </c>
      <c r="K3319">
        <v>34.5</v>
      </c>
      <c r="L3319" t="s">
        <v>11</v>
      </c>
      <c r="M3319">
        <v>0</v>
      </c>
      <c r="N3319" t="str">
        <f t="shared" si="153"/>
        <v>60+</v>
      </c>
      <c r="O3319" t="str">
        <f t="shared" si="154"/>
        <v>Obese</v>
      </c>
    </row>
    <row r="3320" spans="1:15" x14ac:dyDescent="0.3">
      <c r="A3320">
        <v>65955</v>
      </c>
      <c r="B3320" t="s">
        <v>2</v>
      </c>
      <c r="C3320">
        <v>81</v>
      </c>
      <c r="D3320">
        <v>1</v>
      </c>
      <c r="E3320">
        <v>1</v>
      </c>
      <c r="F3320" t="str">
        <f t="shared" si="155"/>
        <v>High Risk</v>
      </c>
      <c r="G3320" t="s">
        <v>13</v>
      </c>
      <c r="H3320" t="s">
        <v>4</v>
      </c>
      <c r="I3320" t="s">
        <v>9</v>
      </c>
      <c r="J3320">
        <v>220.64</v>
      </c>
      <c r="K3320">
        <v>30</v>
      </c>
      <c r="L3320" t="s">
        <v>11</v>
      </c>
      <c r="M3320">
        <v>0</v>
      </c>
      <c r="N3320" t="str">
        <f t="shared" si="153"/>
        <v>60+</v>
      </c>
      <c r="O3320" t="str">
        <f t="shared" si="154"/>
        <v>Obese</v>
      </c>
    </row>
    <row r="3321" spans="1:15" x14ac:dyDescent="0.3">
      <c r="A3321">
        <v>53924</v>
      </c>
      <c r="B3321" t="s">
        <v>7</v>
      </c>
      <c r="C3321">
        <v>1.08</v>
      </c>
      <c r="D3321">
        <v>0</v>
      </c>
      <c r="E3321">
        <v>0</v>
      </c>
      <c r="F3321" t="str">
        <f t="shared" si="155"/>
        <v>Lower Risk</v>
      </c>
      <c r="G3321" t="s">
        <v>13</v>
      </c>
      <c r="H3321" t="s">
        <v>16</v>
      </c>
      <c r="I3321" t="s">
        <v>5</v>
      </c>
      <c r="J3321">
        <v>159.38999999999999</v>
      </c>
      <c r="K3321">
        <v>12.8</v>
      </c>
      <c r="L3321" t="s">
        <v>14</v>
      </c>
      <c r="M3321">
        <v>0</v>
      </c>
      <c r="N3321" t="str">
        <f t="shared" si="153"/>
        <v>Under 40</v>
      </c>
      <c r="O3321" t="str">
        <f t="shared" si="154"/>
        <v>Underweight</v>
      </c>
    </row>
    <row r="3322" spans="1:15" x14ac:dyDescent="0.3">
      <c r="A3322">
        <v>70674</v>
      </c>
      <c r="B3322" t="s">
        <v>2</v>
      </c>
      <c r="C3322">
        <v>60</v>
      </c>
      <c r="D3322">
        <v>0</v>
      </c>
      <c r="E3322">
        <v>0</v>
      </c>
      <c r="F3322" t="str">
        <f t="shared" si="155"/>
        <v>Moderate Risk</v>
      </c>
      <c r="G3322" t="s">
        <v>3</v>
      </c>
      <c r="H3322" t="s">
        <v>8</v>
      </c>
      <c r="I3322" t="s">
        <v>5</v>
      </c>
      <c r="J3322">
        <v>69.53</v>
      </c>
      <c r="K3322">
        <v>26.2</v>
      </c>
      <c r="L3322" t="s">
        <v>11</v>
      </c>
      <c r="M3322">
        <v>0</v>
      </c>
      <c r="N3322" t="str">
        <f t="shared" si="153"/>
        <v>60+</v>
      </c>
      <c r="O3322" t="str">
        <f t="shared" si="154"/>
        <v>Overweight</v>
      </c>
    </row>
    <row r="3323" spans="1:15" x14ac:dyDescent="0.3">
      <c r="A3323">
        <v>56410</v>
      </c>
      <c r="B3323" t="s">
        <v>2</v>
      </c>
      <c r="C3323">
        <v>1.88</v>
      </c>
      <c r="D3323">
        <v>0</v>
      </c>
      <c r="E3323">
        <v>0</v>
      </c>
      <c r="F3323" t="str">
        <f t="shared" si="155"/>
        <v>Lower Risk</v>
      </c>
      <c r="G3323" t="s">
        <v>13</v>
      </c>
      <c r="H3323" t="s">
        <v>16</v>
      </c>
      <c r="I3323" t="s">
        <v>5</v>
      </c>
      <c r="J3323">
        <v>81.42</v>
      </c>
      <c r="K3323">
        <v>13.5</v>
      </c>
      <c r="L3323" t="s">
        <v>14</v>
      </c>
      <c r="M3323">
        <v>0</v>
      </c>
      <c r="N3323" t="str">
        <f t="shared" si="153"/>
        <v>Under 40</v>
      </c>
      <c r="O3323" t="str">
        <f t="shared" si="154"/>
        <v>Underweight</v>
      </c>
    </row>
    <row r="3324" spans="1:15" x14ac:dyDescent="0.3">
      <c r="A3324">
        <v>9955</v>
      </c>
      <c r="B3324" t="s">
        <v>7</v>
      </c>
      <c r="C3324">
        <v>58</v>
      </c>
      <c r="D3324">
        <v>0</v>
      </c>
      <c r="E3324">
        <v>0</v>
      </c>
      <c r="F3324" t="str">
        <f t="shared" si="155"/>
        <v>Lower Risk</v>
      </c>
      <c r="G3324" t="s">
        <v>13</v>
      </c>
      <c r="H3324" t="s">
        <v>4</v>
      </c>
      <c r="I3324" t="s">
        <v>5</v>
      </c>
      <c r="J3324">
        <v>83.93</v>
      </c>
      <c r="K3324">
        <v>25.6</v>
      </c>
      <c r="L3324" t="s">
        <v>6</v>
      </c>
      <c r="M3324">
        <v>0</v>
      </c>
      <c r="N3324" t="str">
        <f t="shared" si="153"/>
        <v>40–59</v>
      </c>
      <c r="O3324" t="str">
        <f t="shared" si="154"/>
        <v>Overweight</v>
      </c>
    </row>
    <row r="3325" spans="1:15" x14ac:dyDescent="0.3">
      <c r="A3325">
        <v>8410</v>
      </c>
      <c r="B3325" t="s">
        <v>7</v>
      </c>
      <c r="C3325">
        <v>8</v>
      </c>
      <c r="D3325">
        <v>0</v>
      </c>
      <c r="E3325">
        <v>0</v>
      </c>
      <c r="F3325" t="str">
        <f t="shared" si="155"/>
        <v>Lower Risk</v>
      </c>
      <c r="G3325" t="s">
        <v>13</v>
      </c>
      <c r="H3325" t="s">
        <v>16</v>
      </c>
      <c r="I3325" t="s">
        <v>9</v>
      </c>
      <c r="J3325">
        <v>98.9</v>
      </c>
      <c r="K3325">
        <v>18.8</v>
      </c>
      <c r="L3325" t="s">
        <v>14</v>
      </c>
      <c r="M3325">
        <v>0</v>
      </c>
      <c r="N3325" t="str">
        <f t="shared" si="153"/>
        <v>Under 40</v>
      </c>
      <c r="O3325" t="str">
        <f t="shared" si="154"/>
        <v>Normal</v>
      </c>
    </row>
    <row r="3326" spans="1:15" x14ac:dyDescent="0.3">
      <c r="A3326">
        <v>46854</v>
      </c>
      <c r="B3326" t="s">
        <v>7</v>
      </c>
      <c r="C3326">
        <v>9</v>
      </c>
      <c r="D3326">
        <v>0</v>
      </c>
      <c r="E3326">
        <v>0</v>
      </c>
      <c r="F3326" t="str">
        <f t="shared" si="155"/>
        <v>Lower Risk</v>
      </c>
      <c r="G3326" t="s">
        <v>13</v>
      </c>
      <c r="H3326" t="s">
        <v>16</v>
      </c>
      <c r="I3326" t="s">
        <v>5</v>
      </c>
      <c r="J3326">
        <v>82.64</v>
      </c>
      <c r="K3326">
        <v>14.5</v>
      </c>
      <c r="L3326" t="s">
        <v>14</v>
      </c>
      <c r="M3326">
        <v>0</v>
      </c>
      <c r="N3326" t="str">
        <f t="shared" si="153"/>
        <v>Under 40</v>
      </c>
      <c r="O3326" t="str">
        <f t="shared" si="154"/>
        <v>Underweight</v>
      </c>
    </row>
    <row r="3327" spans="1:15" x14ac:dyDescent="0.3">
      <c r="A3327">
        <v>8168</v>
      </c>
      <c r="B3327" t="s">
        <v>7</v>
      </c>
      <c r="C3327">
        <v>34</v>
      </c>
      <c r="D3327">
        <v>0</v>
      </c>
      <c r="E3327">
        <v>0</v>
      </c>
      <c r="F3327" t="str">
        <f t="shared" si="155"/>
        <v>Lower Risk</v>
      </c>
      <c r="G3327" t="s">
        <v>3</v>
      </c>
      <c r="H3327" t="s">
        <v>4</v>
      </c>
      <c r="I3327" t="s">
        <v>9</v>
      </c>
      <c r="J3327">
        <v>112.54</v>
      </c>
      <c r="K3327">
        <v>23.4</v>
      </c>
      <c r="L3327" t="s">
        <v>6</v>
      </c>
      <c r="M3327">
        <v>0</v>
      </c>
      <c r="N3327" t="str">
        <f t="shared" si="153"/>
        <v>Under 40</v>
      </c>
      <c r="O3327" t="str">
        <f t="shared" si="154"/>
        <v>Normal</v>
      </c>
    </row>
    <row r="3328" spans="1:15" x14ac:dyDescent="0.3">
      <c r="A3328">
        <v>30405</v>
      </c>
      <c r="B3328" t="s">
        <v>7</v>
      </c>
      <c r="C3328">
        <v>23</v>
      </c>
      <c r="D3328">
        <v>0</v>
      </c>
      <c r="E3328">
        <v>0</v>
      </c>
      <c r="F3328" t="str">
        <f t="shared" si="155"/>
        <v>Lower Risk</v>
      </c>
      <c r="G3328" t="s">
        <v>13</v>
      </c>
      <c r="H3328" t="s">
        <v>4</v>
      </c>
      <c r="I3328" t="s">
        <v>9</v>
      </c>
      <c r="J3328">
        <v>75.25</v>
      </c>
      <c r="K3328">
        <v>39.700000000000003</v>
      </c>
      <c r="L3328" t="s">
        <v>6</v>
      </c>
      <c r="M3328">
        <v>0</v>
      </c>
      <c r="N3328" t="str">
        <f t="shared" si="153"/>
        <v>Under 40</v>
      </c>
      <c r="O3328" t="str">
        <f t="shared" si="154"/>
        <v>Obese</v>
      </c>
    </row>
    <row r="3329" spans="1:15" x14ac:dyDescent="0.3">
      <c r="A3329">
        <v>1301</v>
      </c>
      <c r="B3329" t="s">
        <v>7</v>
      </c>
      <c r="C3329">
        <v>74</v>
      </c>
      <c r="D3329">
        <v>0</v>
      </c>
      <c r="E3329">
        <v>0</v>
      </c>
      <c r="F3329" t="str">
        <f t="shared" si="155"/>
        <v>Moderate Risk</v>
      </c>
      <c r="G3329" t="s">
        <v>13</v>
      </c>
      <c r="H3329" t="s">
        <v>8</v>
      </c>
      <c r="I3329" t="s">
        <v>5</v>
      </c>
      <c r="J3329">
        <v>204.77</v>
      </c>
      <c r="K3329">
        <v>40.799999999999997</v>
      </c>
      <c r="L3329" t="s">
        <v>11</v>
      </c>
      <c r="M3329">
        <v>0</v>
      </c>
      <c r="N3329" t="str">
        <f t="shared" si="153"/>
        <v>60+</v>
      </c>
      <c r="O3329" t="str">
        <f t="shared" si="154"/>
        <v>Obese</v>
      </c>
    </row>
    <row r="3330" spans="1:15" x14ac:dyDescent="0.3">
      <c r="A3330">
        <v>42348</v>
      </c>
      <c r="B3330" t="s">
        <v>2</v>
      </c>
      <c r="C3330">
        <v>72</v>
      </c>
      <c r="D3330">
        <v>0</v>
      </c>
      <c r="E3330">
        <v>1</v>
      </c>
      <c r="F3330" t="str">
        <f t="shared" si="155"/>
        <v>High Risk</v>
      </c>
      <c r="G3330" t="s">
        <v>3</v>
      </c>
      <c r="H3330" t="s">
        <v>8</v>
      </c>
      <c r="I3330" t="s">
        <v>5</v>
      </c>
      <c r="J3330">
        <v>63.86</v>
      </c>
      <c r="K3330">
        <v>29.5</v>
      </c>
      <c r="L3330" t="s">
        <v>12</v>
      </c>
      <c r="M3330">
        <v>0</v>
      </c>
      <c r="N3330" t="str">
        <f t="shared" ref="N3330:N3393" si="156">IF(C3330&lt;40,"Under 40",IF(C3330&lt;60,"40–59","60+"))</f>
        <v>60+</v>
      </c>
      <c r="O3330" t="str">
        <f t="shared" ref="O3330:O3393" si="157">IF(K3330="N/A","Unknown",
IF(K3330="","Unknown",
IF(K3330&lt;18.5,"Underweight",
IF(K3330&lt;25,"Normal",
IF(K3330&lt;30,"Overweight","Obese")))))</f>
        <v>Overweight</v>
      </c>
    </row>
    <row r="3331" spans="1:15" x14ac:dyDescent="0.3">
      <c r="A3331">
        <v>38560</v>
      </c>
      <c r="B3331" t="s">
        <v>2</v>
      </c>
      <c r="C3331">
        <v>47</v>
      </c>
      <c r="D3331">
        <v>0</v>
      </c>
      <c r="E3331">
        <v>0</v>
      </c>
      <c r="F3331" t="str">
        <f t="shared" ref="F3331:F3394" si="158">IF(C3331&gt;=60,
IF(OR(D3331=1,E3331=1),"High Risk","Moderate Risk"),
"Lower Risk")</f>
        <v>Lower Risk</v>
      </c>
      <c r="G3331" t="s">
        <v>3</v>
      </c>
      <c r="H3331" t="s">
        <v>4</v>
      </c>
      <c r="I3331" t="s">
        <v>9</v>
      </c>
      <c r="J3331">
        <v>72.2</v>
      </c>
      <c r="K3331">
        <v>33</v>
      </c>
      <c r="L3331" t="s">
        <v>14</v>
      </c>
      <c r="M3331">
        <v>0</v>
      </c>
      <c r="N3331" t="str">
        <f t="shared" si="156"/>
        <v>40–59</v>
      </c>
      <c r="O3331" t="str">
        <f t="shared" si="157"/>
        <v>Obese</v>
      </c>
    </row>
    <row r="3332" spans="1:15" x14ac:dyDescent="0.3">
      <c r="A3332">
        <v>48129</v>
      </c>
      <c r="B3332" t="s">
        <v>7</v>
      </c>
      <c r="C3332">
        <v>56</v>
      </c>
      <c r="D3332">
        <v>0</v>
      </c>
      <c r="E3332">
        <v>0</v>
      </c>
      <c r="F3332" t="str">
        <f t="shared" si="158"/>
        <v>Lower Risk</v>
      </c>
      <c r="G3332" t="s">
        <v>3</v>
      </c>
      <c r="H3332" t="s">
        <v>4</v>
      </c>
      <c r="I3332" t="s">
        <v>5</v>
      </c>
      <c r="J3332">
        <v>80.08</v>
      </c>
      <c r="K3332">
        <v>25.6</v>
      </c>
      <c r="L3332" t="s">
        <v>11</v>
      </c>
      <c r="M3332">
        <v>0</v>
      </c>
      <c r="N3332" t="str">
        <f t="shared" si="156"/>
        <v>40–59</v>
      </c>
      <c r="O3332" t="str">
        <f t="shared" si="157"/>
        <v>Overweight</v>
      </c>
    </row>
    <row r="3333" spans="1:15" x14ac:dyDescent="0.3">
      <c r="A3333">
        <v>10511</v>
      </c>
      <c r="B3333" t="s">
        <v>2</v>
      </c>
      <c r="C3333">
        <v>5</v>
      </c>
      <c r="D3333">
        <v>0</v>
      </c>
      <c r="E3333">
        <v>0</v>
      </c>
      <c r="F3333" t="str">
        <f t="shared" si="158"/>
        <v>Lower Risk</v>
      </c>
      <c r="G3333" t="s">
        <v>13</v>
      </c>
      <c r="H3333" t="s">
        <v>16</v>
      </c>
      <c r="I3333" t="s">
        <v>5</v>
      </c>
      <c r="J3333">
        <v>101.61</v>
      </c>
      <c r="K3333">
        <v>33.1</v>
      </c>
      <c r="L3333" t="s">
        <v>14</v>
      </c>
      <c r="M3333">
        <v>0</v>
      </c>
      <c r="N3333" t="str">
        <f t="shared" si="156"/>
        <v>Under 40</v>
      </c>
      <c r="O3333" t="str">
        <f t="shared" si="157"/>
        <v>Obese</v>
      </c>
    </row>
    <row r="3334" spans="1:15" x14ac:dyDescent="0.3">
      <c r="A3334">
        <v>42481</v>
      </c>
      <c r="B3334" t="s">
        <v>2</v>
      </c>
      <c r="C3334">
        <v>27</v>
      </c>
      <c r="D3334">
        <v>0</v>
      </c>
      <c r="E3334">
        <v>0</v>
      </c>
      <c r="F3334" t="str">
        <f t="shared" si="158"/>
        <v>Lower Risk</v>
      </c>
      <c r="G3334" t="s">
        <v>3</v>
      </c>
      <c r="H3334" t="s">
        <v>4</v>
      </c>
      <c r="I3334" t="s">
        <v>5</v>
      </c>
      <c r="J3334">
        <v>114.32</v>
      </c>
      <c r="K3334">
        <v>28.1</v>
      </c>
      <c r="L3334" t="s">
        <v>14</v>
      </c>
      <c r="M3334">
        <v>0</v>
      </c>
      <c r="N3334" t="str">
        <f t="shared" si="156"/>
        <v>Under 40</v>
      </c>
      <c r="O3334" t="str">
        <f t="shared" si="157"/>
        <v>Overweight</v>
      </c>
    </row>
    <row r="3335" spans="1:15" x14ac:dyDescent="0.3">
      <c r="A3335">
        <v>59872</v>
      </c>
      <c r="B3335" t="s">
        <v>7</v>
      </c>
      <c r="C3335">
        <v>38</v>
      </c>
      <c r="D3335">
        <v>0</v>
      </c>
      <c r="E3335">
        <v>0</v>
      </c>
      <c r="F3335" t="str">
        <f t="shared" si="158"/>
        <v>Lower Risk</v>
      </c>
      <c r="G3335" t="s">
        <v>3</v>
      </c>
      <c r="H3335" t="s">
        <v>4</v>
      </c>
      <c r="I3335" t="s">
        <v>9</v>
      </c>
      <c r="J3335">
        <v>80.819999999999993</v>
      </c>
      <c r="K3335">
        <v>49.3</v>
      </c>
      <c r="L3335" t="s">
        <v>11</v>
      </c>
      <c r="M3335">
        <v>0</v>
      </c>
      <c r="N3335" t="str">
        <f t="shared" si="156"/>
        <v>Under 40</v>
      </c>
      <c r="O3335" t="str">
        <f t="shared" si="157"/>
        <v>Obese</v>
      </c>
    </row>
    <row r="3336" spans="1:15" x14ac:dyDescent="0.3">
      <c r="A3336">
        <v>56282</v>
      </c>
      <c r="B3336" t="s">
        <v>2</v>
      </c>
      <c r="C3336">
        <v>13</v>
      </c>
      <c r="D3336">
        <v>0</v>
      </c>
      <c r="E3336">
        <v>0</v>
      </c>
      <c r="F3336" t="str">
        <f t="shared" si="158"/>
        <v>Lower Risk</v>
      </c>
      <c r="G3336" t="s">
        <v>13</v>
      </c>
      <c r="H3336" t="s">
        <v>4</v>
      </c>
      <c r="I3336" t="s">
        <v>9</v>
      </c>
      <c r="J3336">
        <v>90.6</v>
      </c>
      <c r="K3336">
        <v>16.899999999999999</v>
      </c>
      <c r="L3336" t="s">
        <v>11</v>
      </c>
      <c r="M3336">
        <v>0</v>
      </c>
      <c r="N3336" t="str">
        <f t="shared" si="156"/>
        <v>Under 40</v>
      </c>
      <c r="O3336" t="str">
        <f t="shared" si="157"/>
        <v>Underweight</v>
      </c>
    </row>
    <row r="3337" spans="1:15" x14ac:dyDescent="0.3">
      <c r="A3337">
        <v>6540</v>
      </c>
      <c r="B3337" t="s">
        <v>7</v>
      </c>
      <c r="C3337">
        <v>41</v>
      </c>
      <c r="D3337">
        <v>0</v>
      </c>
      <c r="E3337">
        <v>0</v>
      </c>
      <c r="F3337" t="str">
        <f t="shared" si="158"/>
        <v>Lower Risk</v>
      </c>
      <c r="G3337" t="s">
        <v>3</v>
      </c>
      <c r="H3337" t="s">
        <v>4</v>
      </c>
      <c r="I3337" t="s">
        <v>9</v>
      </c>
      <c r="J3337">
        <v>93.67</v>
      </c>
      <c r="K3337">
        <v>35.9</v>
      </c>
      <c r="L3337" t="s">
        <v>14</v>
      </c>
      <c r="M3337">
        <v>0</v>
      </c>
      <c r="N3337" t="str">
        <f t="shared" si="156"/>
        <v>40–59</v>
      </c>
      <c r="O3337" t="str">
        <f t="shared" si="157"/>
        <v>Obese</v>
      </c>
    </row>
    <row r="3338" spans="1:15" x14ac:dyDescent="0.3">
      <c r="A3338">
        <v>31378</v>
      </c>
      <c r="B3338" t="s">
        <v>7</v>
      </c>
      <c r="C3338">
        <v>50</v>
      </c>
      <c r="D3338">
        <v>0</v>
      </c>
      <c r="E3338">
        <v>0</v>
      </c>
      <c r="F3338" t="str">
        <f t="shared" si="158"/>
        <v>Lower Risk</v>
      </c>
      <c r="G3338" t="s">
        <v>3</v>
      </c>
      <c r="H3338" t="s">
        <v>8</v>
      </c>
      <c r="I3338" t="s">
        <v>9</v>
      </c>
      <c r="J3338">
        <v>87.15</v>
      </c>
      <c r="K3338">
        <v>32.1</v>
      </c>
      <c r="L3338" t="s">
        <v>11</v>
      </c>
      <c r="M3338">
        <v>0</v>
      </c>
      <c r="N3338" t="str">
        <f t="shared" si="156"/>
        <v>40–59</v>
      </c>
      <c r="O3338" t="str">
        <f t="shared" si="157"/>
        <v>Obese</v>
      </c>
    </row>
    <row r="3339" spans="1:15" x14ac:dyDescent="0.3">
      <c r="A3339">
        <v>32317</v>
      </c>
      <c r="B3339" t="s">
        <v>7</v>
      </c>
      <c r="C3339">
        <v>41</v>
      </c>
      <c r="D3339">
        <v>0</v>
      </c>
      <c r="E3339">
        <v>0</v>
      </c>
      <c r="F3339" t="str">
        <f t="shared" si="158"/>
        <v>Lower Risk</v>
      </c>
      <c r="G3339" t="s">
        <v>3</v>
      </c>
      <c r="H3339" t="s">
        <v>4</v>
      </c>
      <c r="I3339" t="s">
        <v>5</v>
      </c>
      <c r="J3339">
        <v>80.72</v>
      </c>
      <c r="K3339">
        <v>34.1</v>
      </c>
      <c r="L3339" t="s">
        <v>12</v>
      </c>
      <c r="M3339">
        <v>0</v>
      </c>
      <c r="N3339" t="str">
        <f t="shared" si="156"/>
        <v>40–59</v>
      </c>
      <c r="O3339" t="str">
        <f t="shared" si="157"/>
        <v>Obese</v>
      </c>
    </row>
    <row r="3340" spans="1:15" x14ac:dyDescent="0.3">
      <c r="A3340">
        <v>9948</v>
      </c>
      <c r="B3340" t="s">
        <v>2</v>
      </c>
      <c r="C3340">
        <v>6</v>
      </c>
      <c r="D3340">
        <v>0</v>
      </c>
      <c r="E3340">
        <v>0</v>
      </c>
      <c r="F3340" t="str">
        <f t="shared" si="158"/>
        <v>Lower Risk</v>
      </c>
      <c r="G3340" t="s">
        <v>13</v>
      </c>
      <c r="H3340" t="s">
        <v>16</v>
      </c>
      <c r="I3340" t="s">
        <v>5</v>
      </c>
      <c r="J3340">
        <v>83.16</v>
      </c>
      <c r="K3340">
        <v>15.1</v>
      </c>
      <c r="L3340" t="s">
        <v>14</v>
      </c>
      <c r="M3340">
        <v>0</v>
      </c>
      <c r="N3340" t="str">
        <f t="shared" si="156"/>
        <v>Under 40</v>
      </c>
      <c r="O3340" t="str">
        <f t="shared" si="157"/>
        <v>Underweight</v>
      </c>
    </row>
    <row r="3341" spans="1:15" x14ac:dyDescent="0.3">
      <c r="A3341">
        <v>35182</v>
      </c>
      <c r="B3341" t="s">
        <v>7</v>
      </c>
      <c r="C3341">
        <v>62</v>
      </c>
      <c r="D3341">
        <v>0</v>
      </c>
      <c r="E3341">
        <v>0</v>
      </c>
      <c r="F3341" t="str">
        <f t="shared" si="158"/>
        <v>Moderate Risk</v>
      </c>
      <c r="G3341" t="s">
        <v>3</v>
      </c>
      <c r="H3341" t="s">
        <v>15</v>
      </c>
      <c r="I3341" t="s">
        <v>9</v>
      </c>
      <c r="J3341">
        <v>98.14</v>
      </c>
      <c r="K3341">
        <v>42</v>
      </c>
      <c r="L3341" t="s">
        <v>14</v>
      </c>
      <c r="M3341">
        <v>0</v>
      </c>
      <c r="N3341" t="str">
        <f t="shared" si="156"/>
        <v>60+</v>
      </c>
      <c r="O3341" t="str">
        <f t="shared" si="157"/>
        <v>Obese</v>
      </c>
    </row>
    <row r="3342" spans="1:15" x14ac:dyDescent="0.3">
      <c r="A3342">
        <v>5655</v>
      </c>
      <c r="B3342" t="s">
        <v>2</v>
      </c>
      <c r="C3342">
        <v>4</v>
      </c>
      <c r="D3342">
        <v>0</v>
      </c>
      <c r="E3342">
        <v>0</v>
      </c>
      <c r="F3342" t="str">
        <f t="shared" si="158"/>
        <v>Lower Risk</v>
      </c>
      <c r="G3342" t="s">
        <v>13</v>
      </c>
      <c r="H3342" t="s">
        <v>16</v>
      </c>
      <c r="I3342" t="s">
        <v>5</v>
      </c>
      <c r="J3342">
        <v>83.13</v>
      </c>
      <c r="K3342">
        <v>16.8</v>
      </c>
      <c r="L3342" t="s">
        <v>14</v>
      </c>
      <c r="M3342">
        <v>0</v>
      </c>
      <c r="N3342" t="str">
        <f t="shared" si="156"/>
        <v>Under 40</v>
      </c>
      <c r="O3342" t="str">
        <f t="shared" si="157"/>
        <v>Underweight</v>
      </c>
    </row>
    <row r="3343" spans="1:15" x14ac:dyDescent="0.3">
      <c r="A3343">
        <v>51762</v>
      </c>
      <c r="B3343" t="s">
        <v>7</v>
      </c>
      <c r="C3343">
        <v>59</v>
      </c>
      <c r="D3343">
        <v>0</v>
      </c>
      <c r="E3343">
        <v>0</v>
      </c>
      <c r="F3343" t="str">
        <f t="shared" si="158"/>
        <v>Lower Risk</v>
      </c>
      <c r="G3343" t="s">
        <v>3</v>
      </c>
      <c r="H3343" t="s">
        <v>4</v>
      </c>
      <c r="I3343" t="s">
        <v>9</v>
      </c>
      <c r="J3343">
        <v>134.24</v>
      </c>
      <c r="K3343">
        <v>28.8</v>
      </c>
      <c r="L3343" t="s">
        <v>14</v>
      </c>
      <c r="M3343">
        <v>0</v>
      </c>
      <c r="N3343" t="str">
        <f t="shared" si="156"/>
        <v>40–59</v>
      </c>
      <c r="O3343" t="str">
        <f t="shared" si="157"/>
        <v>Overweight</v>
      </c>
    </row>
    <row r="3344" spans="1:15" x14ac:dyDescent="0.3">
      <c r="A3344">
        <v>68193</v>
      </c>
      <c r="B3344" t="s">
        <v>2</v>
      </c>
      <c r="C3344">
        <v>63</v>
      </c>
      <c r="D3344">
        <v>0</v>
      </c>
      <c r="E3344">
        <v>0</v>
      </c>
      <c r="F3344" t="str">
        <f t="shared" si="158"/>
        <v>Moderate Risk</v>
      </c>
      <c r="G3344" t="s">
        <v>3</v>
      </c>
      <c r="H3344" t="s">
        <v>8</v>
      </c>
      <c r="I3344" t="s">
        <v>5</v>
      </c>
      <c r="J3344">
        <v>248.37</v>
      </c>
      <c r="K3344">
        <v>32.200000000000003</v>
      </c>
      <c r="L3344" t="s">
        <v>12</v>
      </c>
      <c r="M3344">
        <v>0</v>
      </c>
      <c r="N3344" t="str">
        <f t="shared" si="156"/>
        <v>60+</v>
      </c>
      <c r="O3344" t="str">
        <f t="shared" si="157"/>
        <v>Obese</v>
      </c>
    </row>
    <row r="3345" spans="1:15" x14ac:dyDescent="0.3">
      <c r="A3345">
        <v>49459</v>
      </c>
      <c r="B3345" t="s">
        <v>2</v>
      </c>
      <c r="C3345">
        <v>9</v>
      </c>
      <c r="D3345">
        <v>0</v>
      </c>
      <c r="E3345">
        <v>0</v>
      </c>
      <c r="F3345" t="str">
        <f t="shared" si="158"/>
        <v>Lower Risk</v>
      </c>
      <c r="G3345" t="s">
        <v>13</v>
      </c>
      <c r="H3345" t="s">
        <v>16</v>
      </c>
      <c r="I3345" t="s">
        <v>9</v>
      </c>
      <c r="J3345">
        <v>61.75</v>
      </c>
      <c r="K3345">
        <v>16.2</v>
      </c>
      <c r="L3345" t="s">
        <v>14</v>
      </c>
      <c r="M3345">
        <v>0</v>
      </c>
      <c r="N3345" t="str">
        <f t="shared" si="156"/>
        <v>Under 40</v>
      </c>
      <c r="O3345" t="str">
        <f t="shared" si="157"/>
        <v>Underweight</v>
      </c>
    </row>
    <row r="3346" spans="1:15" x14ac:dyDescent="0.3">
      <c r="A3346">
        <v>54776</v>
      </c>
      <c r="B3346" t="s">
        <v>2</v>
      </c>
      <c r="C3346">
        <v>41</v>
      </c>
      <c r="D3346">
        <v>0</v>
      </c>
      <c r="E3346">
        <v>0</v>
      </c>
      <c r="F3346" t="str">
        <f t="shared" si="158"/>
        <v>Lower Risk</v>
      </c>
      <c r="G3346" t="s">
        <v>13</v>
      </c>
      <c r="H3346" t="s">
        <v>4</v>
      </c>
      <c r="I3346" t="s">
        <v>5</v>
      </c>
      <c r="J3346">
        <v>70.55</v>
      </c>
      <c r="K3346">
        <v>44.2</v>
      </c>
      <c r="L3346" t="s">
        <v>14</v>
      </c>
      <c r="M3346">
        <v>0</v>
      </c>
      <c r="N3346" t="str">
        <f t="shared" si="156"/>
        <v>40–59</v>
      </c>
      <c r="O3346" t="str">
        <f t="shared" si="157"/>
        <v>Obese</v>
      </c>
    </row>
    <row r="3347" spans="1:15" x14ac:dyDescent="0.3">
      <c r="A3347">
        <v>45701</v>
      </c>
      <c r="B3347" t="s">
        <v>7</v>
      </c>
      <c r="C3347">
        <v>72</v>
      </c>
      <c r="D3347">
        <v>0</v>
      </c>
      <c r="E3347">
        <v>1</v>
      </c>
      <c r="F3347" t="str">
        <f t="shared" si="158"/>
        <v>High Risk</v>
      </c>
      <c r="G3347" t="s">
        <v>13</v>
      </c>
      <c r="H3347" t="s">
        <v>8</v>
      </c>
      <c r="I3347" t="s">
        <v>9</v>
      </c>
      <c r="J3347">
        <v>124.38</v>
      </c>
      <c r="K3347">
        <v>23.4</v>
      </c>
      <c r="L3347" t="s">
        <v>6</v>
      </c>
      <c r="M3347">
        <v>0</v>
      </c>
      <c r="N3347" t="str">
        <f t="shared" si="156"/>
        <v>60+</v>
      </c>
      <c r="O3347" t="str">
        <f t="shared" si="157"/>
        <v>Normal</v>
      </c>
    </row>
    <row r="3348" spans="1:15" x14ac:dyDescent="0.3">
      <c r="A3348">
        <v>7953</v>
      </c>
      <c r="B3348" t="s">
        <v>7</v>
      </c>
      <c r="C3348">
        <v>45</v>
      </c>
      <c r="D3348">
        <v>0</v>
      </c>
      <c r="E3348">
        <v>0</v>
      </c>
      <c r="F3348" t="str">
        <f t="shared" si="158"/>
        <v>Lower Risk</v>
      </c>
      <c r="G3348" t="s">
        <v>3</v>
      </c>
      <c r="H3348" t="s">
        <v>4</v>
      </c>
      <c r="I3348" t="s">
        <v>9</v>
      </c>
      <c r="J3348">
        <v>92.21</v>
      </c>
      <c r="K3348">
        <v>31</v>
      </c>
      <c r="L3348" t="s">
        <v>11</v>
      </c>
      <c r="M3348">
        <v>0</v>
      </c>
      <c r="N3348" t="str">
        <f t="shared" si="156"/>
        <v>40–59</v>
      </c>
      <c r="O3348" t="str">
        <f t="shared" si="157"/>
        <v>Obese</v>
      </c>
    </row>
    <row r="3349" spans="1:15" x14ac:dyDescent="0.3">
      <c r="A3349">
        <v>65508</v>
      </c>
      <c r="B3349" t="s">
        <v>2</v>
      </c>
      <c r="C3349">
        <v>80</v>
      </c>
      <c r="D3349">
        <v>0</v>
      </c>
      <c r="E3349">
        <v>0</v>
      </c>
      <c r="F3349" t="str">
        <f t="shared" si="158"/>
        <v>Moderate Risk</v>
      </c>
      <c r="G3349" t="s">
        <v>3</v>
      </c>
      <c r="H3349" t="s">
        <v>15</v>
      </c>
      <c r="I3349" t="s">
        <v>5</v>
      </c>
      <c r="J3349">
        <v>148.72</v>
      </c>
      <c r="K3349">
        <v>28.7</v>
      </c>
      <c r="L3349" t="s">
        <v>11</v>
      </c>
      <c r="M3349">
        <v>0</v>
      </c>
      <c r="N3349" t="str">
        <f t="shared" si="156"/>
        <v>60+</v>
      </c>
      <c r="O3349" t="str">
        <f t="shared" si="157"/>
        <v>Overweight</v>
      </c>
    </row>
    <row r="3350" spans="1:15" x14ac:dyDescent="0.3">
      <c r="A3350">
        <v>68539</v>
      </c>
      <c r="B3350" t="s">
        <v>7</v>
      </c>
      <c r="C3350">
        <v>19</v>
      </c>
      <c r="D3350">
        <v>0</v>
      </c>
      <c r="E3350">
        <v>0</v>
      </c>
      <c r="F3350" t="str">
        <f t="shared" si="158"/>
        <v>Lower Risk</v>
      </c>
      <c r="G3350" t="s">
        <v>13</v>
      </c>
      <c r="H3350" t="s">
        <v>4</v>
      </c>
      <c r="I3350" t="s">
        <v>5</v>
      </c>
      <c r="J3350">
        <v>79.25</v>
      </c>
      <c r="K3350">
        <v>23.6</v>
      </c>
      <c r="L3350" t="s">
        <v>14</v>
      </c>
      <c r="M3350">
        <v>0</v>
      </c>
      <c r="N3350" t="str">
        <f t="shared" si="156"/>
        <v>Under 40</v>
      </c>
      <c r="O3350" t="str">
        <f t="shared" si="157"/>
        <v>Normal</v>
      </c>
    </row>
    <row r="3351" spans="1:15" x14ac:dyDescent="0.3">
      <c r="A3351">
        <v>12022</v>
      </c>
      <c r="B3351" t="s">
        <v>2</v>
      </c>
      <c r="C3351">
        <v>37</v>
      </c>
      <c r="D3351">
        <v>0</v>
      </c>
      <c r="E3351">
        <v>0</v>
      </c>
      <c r="F3351" t="str">
        <f t="shared" si="158"/>
        <v>Lower Risk</v>
      </c>
      <c r="G3351" t="s">
        <v>3</v>
      </c>
      <c r="H3351" t="s">
        <v>15</v>
      </c>
      <c r="I3351" t="s">
        <v>5</v>
      </c>
      <c r="J3351">
        <v>82.09</v>
      </c>
      <c r="K3351">
        <v>35.700000000000003</v>
      </c>
      <c r="L3351" t="s">
        <v>12</v>
      </c>
      <c r="M3351">
        <v>0</v>
      </c>
      <c r="N3351" t="str">
        <f t="shared" si="156"/>
        <v>Under 40</v>
      </c>
      <c r="O3351" t="str">
        <f t="shared" si="157"/>
        <v>Obese</v>
      </c>
    </row>
    <row r="3352" spans="1:15" x14ac:dyDescent="0.3">
      <c r="A3352">
        <v>3348</v>
      </c>
      <c r="B3352" t="s">
        <v>7</v>
      </c>
      <c r="C3352">
        <v>58</v>
      </c>
      <c r="D3352">
        <v>1</v>
      </c>
      <c r="E3352">
        <v>0</v>
      </c>
      <c r="F3352" t="str">
        <f t="shared" si="158"/>
        <v>Lower Risk</v>
      </c>
      <c r="G3352" t="s">
        <v>3</v>
      </c>
      <c r="H3352" t="s">
        <v>4</v>
      </c>
      <c r="I3352" t="s">
        <v>5</v>
      </c>
      <c r="J3352">
        <v>194.53</v>
      </c>
      <c r="K3352">
        <v>39.5</v>
      </c>
      <c r="L3352" t="s">
        <v>11</v>
      </c>
      <c r="M3352">
        <v>0</v>
      </c>
      <c r="N3352" t="str">
        <f t="shared" si="156"/>
        <v>40–59</v>
      </c>
      <c r="O3352" t="str">
        <f t="shared" si="157"/>
        <v>Obese</v>
      </c>
    </row>
    <row r="3353" spans="1:15" x14ac:dyDescent="0.3">
      <c r="A3353">
        <v>58466</v>
      </c>
      <c r="B3353" t="s">
        <v>2</v>
      </c>
      <c r="C3353">
        <v>77</v>
      </c>
      <c r="D3353">
        <v>0</v>
      </c>
      <c r="E3353">
        <v>0</v>
      </c>
      <c r="F3353" t="str">
        <f t="shared" si="158"/>
        <v>Moderate Risk</v>
      </c>
      <c r="G3353" t="s">
        <v>3</v>
      </c>
      <c r="H3353" t="s">
        <v>4</v>
      </c>
      <c r="I3353" t="s">
        <v>9</v>
      </c>
      <c r="J3353">
        <v>98.84</v>
      </c>
      <c r="K3353">
        <v>27.3</v>
      </c>
      <c r="L3353" t="s">
        <v>14</v>
      </c>
      <c r="M3353">
        <v>0</v>
      </c>
      <c r="N3353" t="str">
        <f t="shared" si="156"/>
        <v>60+</v>
      </c>
      <c r="O3353" t="str">
        <f t="shared" si="157"/>
        <v>Overweight</v>
      </c>
    </row>
    <row r="3354" spans="1:15" x14ac:dyDescent="0.3">
      <c r="A3354">
        <v>50434</v>
      </c>
      <c r="B3354" t="s">
        <v>2</v>
      </c>
      <c r="C3354">
        <v>38</v>
      </c>
      <c r="D3354">
        <v>0</v>
      </c>
      <c r="E3354">
        <v>0</v>
      </c>
      <c r="F3354" t="str">
        <f t="shared" si="158"/>
        <v>Lower Risk</v>
      </c>
      <c r="G3354" t="s">
        <v>3</v>
      </c>
      <c r="H3354" t="s">
        <v>15</v>
      </c>
      <c r="I3354" t="s">
        <v>9</v>
      </c>
      <c r="J3354">
        <v>135.74</v>
      </c>
      <c r="K3354">
        <v>31.3</v>
      </c>
      <c r="L3354" t="s">
        <v>6</v>
      </c>
      <c r="M3354">
        <v>0</v>
      </c>
      <c r="N3354" t="str">
        <f t="shared" si="156"/>
        <v>Under 40</v>
      </c>
      <c r="O3354" t="str">
        <f t="shared" si="157"/>
        <v>Obese</v>
      </c>
    </row>
    <row r="3355" spans="1:15" x14ac:dyDescent="0.3">
      <c r="A3355">
        <v>49974</v>
      </c>
      <c r="B3355" t="s">
        <v>2</v>
      </c>
      <c r="C3355">
        <v>49</v>
      </c>
      <c r="D3355">
        <v>0</v>
      </c>
      <c r="E3355">
        <v>0</v>
      </c>
      <c r="F3355" t="str">
        <f t="shared" si="158"/>
        <v>Lower Risk</v>
      </c>
      <c r="G3355" t="s">
        <v>3</v>
      </c>
      <c r="H3355" t="s">
        <v>4</v>
      </c>
      <c r="I3355" t="s">
        <v>9</v>
      </c>
      <c r="J3355">
        <v>66.55</v>
      </c>
      <c r="K3355">
        <v>33.4</v>
      </c>
      <c r="L3355" t="s">
        <v>14</v>
      </c>
      <c r="M3355">
        <v>0</v>
      </c>
      <c r="N3355" t="str">
        <f t="shared" si="156"/>
        <v>40–59</v>
      </c>
      <c r="O3355" t="str">
        <f t="shared" si="157"/>
        <v>Obese</v>
      </c>
    </row>
    <row r="3356" spans="1:15" x14ac:dyDescent="0.3">
      <c r="A3356">
        <v>54574</v>
      </c>
      <c r="B3356" t="s">
        <v>7</v>
      </c>
      <c r="C3356">
        <v>20</v>
      </c>
      <c r="D3356">
        <v>0</v>
      </c>
      <c r="E3356">
        <v>0</v>
      </c>
      <c r="F3356" t="str">
        <f t="shared" si="158"/>
        <v>Lower Risk</v>
      </c>
      <c r="G3356" t="s">
        <v>13</v>
      </c>
      <c r="H3356" t="s">
        <v>4</v>
      </c>
      <c r="I3356" t="s">
        <v>5</v>
      </c>
      <c r="J3356">
        <v>115.69</v>
      </c>
      <c r="K3356">
        <v>29.2</v>
      </c>
      <c r="L3356" t="s">
        <v>11</v>
      </c>
      <c r="M3356">
        <v>0</v>
      </c>
      <c r="N3356" t="str">
        <f t="shared" si="156"/>
        <v>Under 40</v>
      </c>
      <c r="O3356" t="str">
        <f t="shared" si="157"/>
        <v>Overweight</v>
      </c>
    </row>
    <row r="3357" spans="1:15" x14ac:dyDescent="0.3">
      <c r="A3357">
        <v>39342</v>
      </c>
      <c r="B3357" t="s">
        <v>2</v>
      </c>
      <c r="C3357">
        <v>23</v>
      </c>
      <c r="D3357">
        <v>0</v>
      </c>
      <c r="E3357">
        <v>0</v>
      </c>
      <c r="F3357" t="str">
        <f t="shared" si="158"/>
        <v>Lower Risk</v>
      </c>
      <c r="G3357" t="s">
        <v>13</v>
      </c>
      <c r="H3357" t="s">
        <v>4</v>
      </c>
      <c r="I3357" t="s">
        <v>9</v>
      </c>
      <c r="J3357">
        <v>67.760000000000005</v>
      </c>
      <c r="K3357">
        <v>26</v>
      </c>
      <c r="L3357" t="s">
        <v>11</v>
      </c>
      <c r="M3357">
        <v>0</v>
      </c>
      <c r="N3357" t="str">
        <f t="shared" si="156"/>
        <v>Under 40</v>
      </c>
      <c r="O3357" t="str">
        <f t="shared" si="157"/>
        <v>Overweight</v>
      </c>
    </row>
    <row r="3358" spans="1:15" x14ac:dyDescent="0.3">
      <c r="A3358">
        <v>2972</v>
      </c>
      <c r="B3358" t="s">
        <v>2</v>
      </c>
      <c r="C3358">
        <v>55</v>
      </c>
      <c r="D3358">
        <v>0</v>
      </c>
      <c r="E3358">
        <v>0</v>
      </c>
      <c r="F3358" t="str">
        <f t="shared" si="158"/>
        <v>Lower Risk</v>
      </c>
      <c r="G3358" t="s">
        <v>13</v>
      </c>
      <c r="H3358" t="s">
        <v>15</v>
      </c>
      <c r="I3358" t="s">
        <v>9</v>
      </c>
      <c r="J3358">
        <v>88.65</v>
      </c>
      <c r="K3358">
        <v>18.100000000000001</v>
      </c>
      <c r="L3358" t="s">
        <v>6</v>
      </c>
      <c r="M3358">
        <v>0</v>
      </c>
      <c r="N3358" t="str">
        <f t="shared" si="156"/>
        <v>40–59</v>
      </c>
      <c r="O3358" t="str">
        <f t="shared" si="157"/>
        <v>Underweight</v>
      </c>
    </row>
    <row r="3359" spans="1:15" x14ac:dyDescent="0.3">
      <c r="A3359">
        <v>32717</v>
      </c>
      <c r="B3359" t="s">
        <v>2</v>
      </c>
      <c r="C3359">
        <v>16</v>
      </c>
      <c r="D3359">
        <v>0</v>
      </c>
      <c r="E3359">
        <v>0</v>
      </c>
      <c r="F3359" t="str">
        <f t="shared" si="158"/>
        <v>Lower Risk</v>
      </c>
      <c r="G3359" t="s">
        <v>13</v>
      </c>
      <c r="H3359" t="s">
        <v>16</v>
      </c>
      <c r="I3359" t="s">
        <v>9</v>
      </c>
      <c r="J3359">
        <v>106.11</v>
      </c>
      <c r="K3359">
        <v>22.4</v>
      </c>
      <c r="L3359" t="s">
        <v>14</v>
      </c>
      <c r="M3359">
        <v>0</v>
      </c>
      <c r="N3359" t="str">
        <f t="shared" si="156"/>
        <v>Under 40</v>
      </c>
      <c r="O3359" t="str">
        <f t="shared" si="157"/>
        <v>Normal</v>
      </c>
    </row>
    <row r="3360" spans="1:15" x14ac:dyDescent="0.3">
      <c r="A3360">
        <v>14063</v>
      </c>
      <c r="B3360" t="s">
        <v>2</v>
      </c>
      <c r="C3360">
        <v>81</v>
      </c>
      <c r="D3360">
        <v>0</v>
      </c>
      <c r="E3360">
        <v>1</v>
      </c>
      <c r="F3360" t="str">
        <f t="shared" si="158"/>
        <v>High Risk</v>
      </c>
      <c r="G3360" t="s">
        <v>13</v>
      </c>
      <c r="H3360" t="s">
        <v>8</v>
      </c>
      <c r="I3360" t="s">
        <v>9</v>
      </c>
      <c r="J3360">
        <v>95.49</v>
      </c>
      <c r="K3360">
        <v>29.4</v>
      </c>
      <c r="L3360" t="s">
        <v>14</v>
      </c>
      <c r="M3360">
        <v>0</v>
      </c>
      <c r="N3360" t="str">
        <f t="shared" si="156"/>
        <v>60+</v>
      </c>
      <c r="O3360" t="str">
        <f t="shared" si="157"/>
        <v>Overweight</v>
      </c>
    </row>
    <row r="3361" spans="1:15" x14ac:dyDescent="0.3">
      <c r="A3361">
        <v>71724</v>
      </c>
      <c r="B3361" t="s">
        <v>7</v>
      </c>
      <c r="C3361">
        <v>23</v>
      </c>
      <c r="D3361">
        <v>0</v>
      </c>
      <c r="E3361">
        <v>0</v>
      </c>
      <c r="F3361" t="str">
        <f t="shared" si="158"/>
        <v>Lower Risk</v>
      </c>
      <c r="G3361" t="s">
        <v>13</v>
      </c>
      <c r="H3361" t="s">
        <v>4</v>
      </c>
      <c r="I3361" t="s">
        <v>5</v>
      </c>
      <c r="J3361">
        <v>59.07</v>
      </c>
      <c r="K3361">
        <v>21.6</v>
      </c>
      <c r="L3361" t="s">
        <v>11</v>
      </c>
      <c r="M3361">
        <v>0</v>
      </c>
      <c r="N3361" t="str">
        <f t="shared" si="156"/>
        <v>Under 40</v>
      </c>
      <c r="O3361" t="str">
        <f t="shared" si="157"/>
        <v>Normal</v>
      </c>
    </row>
    <row r="3362" spans="1:15" x14ac:dyDescent="0.3">
      <c r="A3362">
        <v>4753</v>
      </c>
      <c r="B3362" t="s">
        <v>2</v>
      </c>
      <c r="C3362">
        <v>82</v>
      </c>
      <c r="D3362">
        <v>0</v>
      </c>
      <c r="E3362">
        <v>1</v>
      </c>
      <c r="F3362" t="str">
        <f t="shared" si="158"/>
        <v>High Risk</v>
      </c>
      <c r="G3362" t="s">
        <v>3</v>
      </c>
      <c r="H3362" t="s">
        <v>8</v>
      </c>
      <c r="I3362" t="s">
        <v>5</v>
      </c>
      <c r="J3362">
        <v>228.92</v>
      </c>
      <c r="K3362">
        <v>27.9</v>
      </c>
      <c r="L3362" t="s">
        <v>6</v>
      </c>
      <c r="M3362">
        <v>0</v>
      </c>
      <c r="N3362" t="str">
        <f t="shared" si="156"/>
        <v>60+</v>
      </c>
      <c r="O3362" t="str">
        <f t="shared" si="157"/>
        <v>Overweight</v>
      </c>
    </row>
    <row r="3363" spans="1:15" x14ac:dyDescent="0.3">
      <c r="A3363">
        <v>62076</v>
      </c>
      <c r="B3363" t="s">
        <v>2</v>
      </c>
      <c r="C3363">
        <v>48</v>
      </c>
      <c r="D3363">
        <v>0</v>
      </c>
      <c r="E3363">
        <v>0</v>
      </c>
      <c r="F3363" t="str">
        <f t="shared" si="158"/>
        <v>Lower Risk</v>
      </c>
      <c r="G3363" t="s">
        <v>3</v>
      </c>
      <c r="H3363" t="s">
        <v>4</v>
      </c>
      <c r="I3363" t="s">
        <v>9</v>
      </c>
      <c r="J3363">
        <v>62.89</v>
      </c>
      <c r="K3363">
        <v>29.6</v>
      </c>
      <c r="L3363" t="s">
        <v>14</v>
      </c>
      <c r="M3363">
        <v>0</v>
      </c>
      <c r="N3363" t="str">
        <f t="shared" si="156"/>
        <v>40–59</v>
      </c>
      <c r="O3363" t="str">
        <f t="shared" si="157"/>
        <v>Overweight</v>
      </c>
    </row>
    <row r="3364" spans="1:15" x14ac:dyDescent="0.3">
      <c r="A3364">
        <v>6665</v>
      </c>
      <c r="B3364" t="s">
        <v>2</v>
      </c>
      <c r="C3364">
        <v>56</v>
      </c>
      <c r="D3364">
        <v>0</v>
      </c>
      <c r="E3364">
        <v>0</v>
      </c>
      <c r="F3364" t="str">
        <f t="shared" si="158"/>
        <v>Lower Risk</v>
      </c>
      <c r="G3364" t="s">
        <v>3</v>
      </c>
      <c r="H3364" t="s">
        <v>4</v>
      </c>
      <c r="I3364" t="s">
        <v>9</v>
      </c>
      <c r="J3364">
        <v>96.84</v>
      </c>
      <c r="K3364">
        <v>30.2</v>
      </c>
      <c r="L3364" t="s">
        <v>14</v>
      </c>
      <c r="M3364">
        <v>0</v>
      </c>
      <c r="N3364" t="str">
        <f t="shared" si="156"/>
        <v>40–59</v>
      </c>
      <c r="O3364" t="str">
        <f t="shared" si="157"/>
        <v>Obese</v>
      </c>
    </row>
    <row r="3365" spans="1:15" x14ac:dyDescent="0.3">
      <c r="A3365">
        <v>51385</v>
      </c>
      <c r="B3365" t="s">
        <v>2</v>
      </c>
      <c r="C3365">
        <v>61</v>
      </c>
      <c r="D3365">
        <v>0</v>
      </c>
      <c r="E3365">
        <v>0</v>
      </c>
      <c r="F3365" t="str">
        <f t="shared" si="158"/>
        <v>Moderate Risk</v>
      </c>
      <c r="G3365" t="s">
        <v>3</v>
      </c>
      <c r="H3365" t="s">
        <v>4</v>
      </c>
      <c r="I3365" t="s">
        <v>9</v>
      </c>
      <c r="J3365">
        <v>81.25</v>
      </c>
      <c r="K3365">
        <v>43.4</v>
      </c>
      <c r="L3365" t="s">
        <v>12</v>
      </c>
      <c r="M3365">
        <v>0</v>
      </c>
      <c r="N3365" t="str">
        <f t="shared" si="156"/>
        <v>60+</v>
      </c>
      <c r="O3365" t="str">
        <f t="shared" si="157"/>
        <v>Obese</v>
      </c>
    </row>
    <row r="3366" spans="1:15" x14ac:dyDescent="0.3">
      <c r="A3366">
        <v>66973</v>
      </c>
      <c r="B3366" t="s">
        <v>2</v>
      </c>
      <c r="C3366">
        <v>43</v>
      </c>
      <c r="D3366">
        <v>0</v>
      </c>
      <c r="E3366">
        <v>0</v>
      </c>
      <c r="F3366" t="str">
        <f t="shared" si="158"/>
        <v>Lower Risk</v>
      </c>
      <c r="G3366" t="s">
        <v>3</v>
      </c>
      <c r="H3366" t="s">
        <v>4</v>
      </c>
      <c r="I3366" t="s">
        <v>5</v>
      </c>
      <c r="J3366">
        <v>92.71</v>
      </c>
      <c r="K3366">
        <v>30.5</v>
      </c>
      <c r="L3366" t="s">
        <v>6</v>
      </c>
      <c r="M3366">
        <v>0</v>
      </c>
      <c r="N3366" t="str">
        <f t="shared" si="156"/>
        <v>40–59</v>
      </c>
      <c r="O3366" t="str">
        <f t="shared" si="157"/>
        <v>Obese</v>
      </c>
    </row>
    <row r="3367" spans="1:15" x14ac:dyDescent="0.3">
      <c r="A3367">
        <v>59671</v>
      </c>
      <c r="B3367" t="s">
        <v>7</v>
      </c>
      <c r="C3367">
        <v>39</v>
      </c>
      <c r="D3367">
        <v>0</v>
      </c>
      <c r="E3367">
        <v>0</v>
      </c>
      <c r="F3367" t="str">
        <f t="shared" si="158"/>
        <v>Lower Risk</v>
      </c>
      <c r="G3367" t="s">
        <v>13</v>
      </c>
      <c r="H3367" t="s">
        <v>4</v>
      </c>
      <c r="I3367" t="s">
        <v>9</v>
      </c>
      <c r="J3367">
        <v>85.59</v>
      </c>
      <c r="K3367">
        <v>33.200000000000003</v>
      </c>
      <c r="L3367" t="s">
        <v>14</v>
      </c>
      <c r="M3367">
        <v>0</v>
      </c>
      <c r="N3367" t="str">
        <f t="shared" si="156"/>
        <v>Under 40</v>
      </c>
      <c r="O3367" t="str">
        <f t="shared" si="157"/>
        <v>Obese</v>
      </c>
    </row>
    <row r="3368" spans="1:15" x14ac:dyDescent="0.3">
      <c r="A3368">
        <v>3946</v>
      </c>
      <c r="B3368" t="s">
        <v>7</v>
      </c>
      <c r="C3368">
        <v>22</v>
      </c>
      <c r="D3368">
        <v>0</v>
      </c>
      <c r="E3368">
        <v>0</v>
      </c>
      <c r="F3368" t="str">
        <f t="shared" si="158"/>
        <v>Lower Risk</v>
      </c>
      <c r="G3368" t="s">
        <v>3</v>
      </c>
      <c r="H3368" t="s">
        <v>4</v>
      </c>
      <c r="I3368" t="s">
        <v>5</v>
      </c>
      <c r="J3368">
        <v>89.06</v>
      </c>
      <c r="K3368">
        <v>27.7</v>
      </c>
      <c r="L3368" t="s">
        <v>11</v>
      </c>
      <c r="M3368">
        <v>0</v>
      </c>
      <c r="N3368" t="str">
        <f t="shared" si="156"/>
        <v>Under 40</v>
      </c>
      <c r="O3368" t="str">
        <f t="shared" si="157"/>
        <v>Overweight</v>
      </c>
    </row>
    <row r="3369" spans="1:15" x14ac:dyDescent="0.3">
      <c r="A3369">
        <v>17623</v>
      </c>
      <c r="B3369" t="s">
        <v>2</v>
      </c>
      <c r="C3369">
        <v>41</v>
      </c>
      <c r="D3369">
        <v>0</v>
      </c>
      <c r="E3369">
        <v>0</v>
      </c>
      <c r="F3369" t="str">
        <f t="shared" si="158"/>
        <v>Lower Risk</v>
      </c>
      <c r="G3369" t="s">
        <v>13</v>
      </c>
      <c r="H3369" t="s">
        <v>8</v>
      </c>
      <c r="I3369" t="s">
        <v>5</v>
      </c>
      <c r="J3369">
        <v>87.44</v>
      </c>
      <c r="K3369">
        <v>33.5</v>
      </c>
      <c r="L3369" t="s">
        <v>14</v>
      </c>
      <c r="M3369">
        <v>0</v>
      </c>
      <c r="N3369" t="str">
        <f t="shared" si="156"/>
        <v>40–59</v>
      </c>
      <c r="O3369" t="str">
        <f t="shared" si="157"/>
        <v>Obese</v>
      </c>
    </row>
    <row r="3370" spans="1:15" x14ac:dyDescent="0.3">
      <c r="A3370">
        <v>50644</v>
      </c>
      <c r="B3370" t="s">
        <v>2</v>
      </c>
      <c r="C3370">
        <v>37</v>
      </c>
      <c r="D3370">
        <v>0</v>
      </c>
      <c r="E3370">
        <v>0</v>
      </c>
      <c r="F3370" t="str">
        <f t="shared" si="158"/>
        <v>Lower Risk</v>
      </c>
      <c r="G3370" t="s">
        <v>3</v>
      </c>
      <c r="H3370" t="s">
        <v>4</v>
      </c>
      <c r="I3370" t="s">
        <v>5</v>
      </c>
      <c r="J3370">
        <v>64.069999999999993</v>
      </c>
      <c r="K3370">
        <v>28</v>
      </c>
      <c r="L3370" t="s">
        <v>14</v>
      </c>
      <c r="M3370">
        <v>0</v>
      </c>
      <c r="N3370" t="str">
        <f t="shared" si="156"/>
        <v>Under 40</v>
      </c>
      <c r="O3370" t="str">
        <f t="shared" si="157"/>
        <v>Overweight</v>
      </c>
    </row>
    <row r="3371" spans="1:15" x14ac:dyDescent="0.3">
      <c r="A3371">
        <v>54294</v>
      </c>
      <c r="B3371" t="s">
        <v>7</v>
      </c>
      <c r="C3371">
        <v>65</v>
      </c>
      <c r="D3371">
        <v>0</v>
      </c>
      <c r="E3371">
        <v>0</v>
      </c>
      <c r="F3371" t="str">
        <f t="shared" si="158"/>
        <v>Moderate Risk</v>
      </c>
      <c r="G3371" t="s">
        <v>3</v>
      </c>
      <c r="H3371" t="s">
        <v>15</v>
      </c>
      <c r="I3371" t="s">
        <v>5</v>
      </c>
      <c r="J3371">
        <v>79.39</v>
      </c>
      <c r="K3371">
        <v>31.5</v>
      </c>
      <c r="L3371" t="s">
        <v>6</v>
      </c>
      <c r="M3371">
        <v>0</v>
      </c>
      <c r="N3371" t="str">
        <f t="shared" si="156"/>
        <v>60+</v>
      </c>
      <c r="O3371" t="str">
        <f t="shared" si="157"/>
        <v>Obese</v>
      </c>
    </row>
    <row r="3372" spans="1:15" x14ac:dyDescent="0.3">
      <c r="A3372">
        <v>46767</v>
      </c>
      <c r="B3372" t="s">
        <v>7</v>
      </c>
      <c r="C3372">
        <v>8</v>
      </c>
      <c r="D3372">
        <v>0</v>
      </c>
      <c r="E3372">
        <v>0</v>
      </c>
      <c r="F3372" t="str">
        <f t="shared" si="158"/>
        <v>Lower Risk</v>
      </c>
      <c r="G3372" t="s">
        <v>13</v>
      </c>
      <c r="H3372" t="s">
        <v>16</v>
      </c>
      <c r="I3372" t="s">
        <v>9</v>
      </c>
      <c r="J3372">
        <v>67.84</v>
      </c>
      <c r="K3372">
        <v>24</v>
      </c>
      <c r="L3372" t="s">
        <v>14</v>
      </c>
      <c r="M3372">
        <v>0</v>
      </c>
      <c r="N3372" t="str">
        <f t="shared" si="156"/>
        <v>Under 40</v>
      </c>
      <c r="O3372" t="str">
        <f t="shared" si="157"/>
        <v>Normal</v>
      </c>
    </row>
    <row r="3373" spans="1:15" x14ac:dyDescent="0.3">
      <c r="A3373">
        <v>12911</v>
      </c>
      <c r="B3373" t="s">
        <v>7</v>
      </c>
      <c r="C3373">
        <v>51</v>
      </c>
      <c r="D3373">
        <v>0</v>
      </c>
      <c r="E3373">
        <v>0</v>
      </c>
      <c r="F3373" t="str">
        <f t="shared" si="158"/>
        <v>Lower Risk</v>
      </c>
      <c r="G3373" t="s">
        <v>3</v>
      </c>
      <c r="H3373" t="s">
        <v>4</v>
      </c>
      <c r="I3373" t="s">
        <v>9</v>
      </c>
      <c r="J3373">
        <v>81.73</v>
      </c>
      <c r="K3373">
        <v>27.4</v>
      </c>
      <c r="L3373" t="s">
        <v>11</v>
      </c>
      <c r="M3373">
        <v>0</v>
      </c>
      <c r="N3373" t="str">
        <f t="shared" si="156"/>
        <v>40–59</v>
      </c>
      <c r="O3373" t="str">
        <f t="shared" si="157"/>
        <v>Overweight</v>
      </c>
    </row>
    <row r="3374" spans="1:15" x14ac:dyDescent="0.3">
      <c r="A3374">
        <v>16109</v>
      </c>
      <c r="B3374" t="s">
        <v>2</v>
      </c>
      <c r="C3374">
        <v>63</v>
      </c>
      <c r="D3374">
        <v>0</v>
      </c>
      <c r="E3374">
        <v>0</v>
      </c>
      <c r="F3374" t="str">
        <f t="shared" si="158"/>
        <v>Moderate Risk</v>
      </c>
      <c r="G3374" t="s">
        <v>3</v>
      </c>
      <c r="H3374" t="s">
        <v>4</v>
      </c>
      <c r="I3374" t="s">
        <v>5</v>
      </c>
      <c r="J3374">
        <v>105.52</v>
      </c>
      <c r="K3374">
        <v>37.9</v>
      </c>
      <c r="L3374" t="s">
        <v>6</v>
      </c>
      <c r="M3374">
        <v>0</v>
      </c>
      <c r="N3374" t="str">
        <f t="shared" si="156"/>
        <v>60+</v>
      </c>
      <c r="O3374" t="str">
        <f t="shared" si="157"/>
        <v>Obese</v>
      </c>
    </row>
    <row r="3375" spans="1:15" x14ac:dyDescent="0.3">
      <c r="A3375">
        <v>47499</v>
      </c>
      <c r="B3375" t="s">
        <v>7</v>
      </c>
      <c r="C3375">
        <v>48</v>
      </c>
      <c r="D3375">
        <v>0</v>
      </c>
      <c r="E3375">
        <v>0</v>
      </c>
      <c r="F3375" t="str">
        <f t="shared" si="158"/>
        <v>Lower Risk</v>
      </c>
      <c r="G3375" t="s">
        <v>3</v>
      </c>
      <c r="H3375" t="s">
        <v>15</v>
      </c>
      <c r="I3375" t="s">
        <v>9</v>
      </c>
      <c r="J3375">
        <v>77.55</v>
      </c>
      <c r="K3375">
        <v>26.2</v>
      </c>
      <c r="L3375" t="s">
        <v>14</v>
      </c>
      <c r="M3375">
        <v>0</v>
      </c>
      <c r="N3375" t="str">
        <f t="shared" si="156"/>
        <v>40–59</v>
      </c>
      <c r="O3375" t="str">
        <f t="shared" si="157"/>
        <v>Overweight</v>
      </c>
    </row>
    <row r="3376" spans="1:15" x14ac:dyDescent="0.3">
      <c r="A3376">
        <v>8790</v>
      </c>
      <c r="B3376" t="s">
        <v>7</v>
      </c>
      <c r="C3376">
        <v>17</v>
      </c>
      <c r="D3376">
        <v>0</v>
      </c>
      <c r="E3376">
        <v>0</v>
      </c>
      <c r="F3376" t="str">
        <f t="shared" si="158"/>
        <v>Lower Risk</v>
      </c>
      <c r="G3376" t="s">
        <v>13</v>
      </c>
      <c r="H3376" t="s">
        <v>4</v>
      </c>
      <c r="I3376" t="s">
        <v>5</v>
      </c>
      <c r="J3376">
        <v>127.42</v>
      </c>
      <c r="K3376">
        <v>22.4</v>
      </c>
      <c r="L3376" t="s">
        <v>14</v>
      </c>
      <c r="M3376">
        <v>0</v>
      </c>
      <c r="N3376" t="str">
        <f t="shared" si="156"/>
        <v>Under 40</v>
      </c>
      <c r="O3376" t="str">
        <f t="shared" si="157"/>
        <v>Normal</v>
      </c>
    </row>
    <row r="3377" spans="1:15" x14ac:dyDescent="0.3">
      <c r="A3377">
        <v>11259</v>
      </c>
      <c r="B3377" t="s">
        <v>7</v>
      </c>
      <c r="C3377">
        <v>53</v>
      </c>
      <c r="D3377">
        <v>0</v>
      </c>
      <c r="E3377">
        <v>0</v>
      </c>
      <c r="F3377" t="str">
        <f t="shared" si="158"/>
        <v>Lower Risk</v>
      </c>
      <c r="G3377" t="s">
        <v>3</v>
      </c>
      <c r="H3377" t="s">
        <v>4</v>
      </c>
      <c r="I3377" t="s">
        <v>5</v>
      </c>
      <c r="J3377">
        <v>227.68</v>
      </c>
      <c r="K3377" t="s">
        <v>10</v>
      </c>
      <c r="L3377" t="s">
        <v>11</v>
      </c>
      <c r="M3377">
        <v>0</v>
      </c>
      <c r="N3377" t="str">
        <f t="shared" si="156"/>
        <v>40–59</v>
      </c>
      <c r="O3377" t="str">
        <f t="shared" si="157"/>
        <v>Unknown</v>
      </c>
    </row>
    <row r="3378" spans="1:15" x14ac:dyDescent="0.3">
      <c r="A3378">
        <v>12003</v>
      </c>
      <c r="B3378" t="s">
        <v>7</v>
      </c>
      <c r="C3378">
        <v>75</v>
      </c>
      <c r="D3378">
        <v>0</v>
      </c>
      <c r="E3378">
        <v>0</v>
      </c>
      <c r="F3378" t="str">
        <f t="shared" si="158"/>
        <v>Moderate Risk</v>
      </c>
      <c r="G3378" t="s">
        <v>3</v>
      </c>
      <c r="H3378" t="s">
        <v>4</v>
      </c>
      <c r="I3378" t="s">
        <v>9</v>
      </c>
      <c r="J3378">
        <v>226.73</v>
      </c>
      <c r="K3378">
        <v>43.7</v>
      </c>
      <c r="L3378" t="s">
        <v>11</v>
      </c>
      <c r="M3378">
        <v>0</v>
      </c>
      <c r="N3378" t="str">
        <f t="shared" si="156"/>
        <v>60+</v>
      </c>
      <c r="O3378" t="str">
        <f t="shared" si="157"/>
        <v>Obese</v>
      </c>
    </row>
    <row r="3379" spans="1:15" x14ac:dyDescent="0.3">
      <c r="A3379">
        <v>71099</v>
      </c>
      <c r="B3379" t="s">
        <v>7</v>
      </c>
      <c r="C3379">
        <v>51</v>
      </c>
      <c r="D3379">
        <v>0</v>
      </c>
      <c r="E3379">
        <v>0</v>
      </c>
      <c r="F3379" t="str">
        <f t="shared" si="158"/>
        <v>Lower Risk</v>
      </c>
      <c r="G3379" t="s">
        <v>3</v>
      </c>
      <c r="H3379" t="s">
        <v>8</v>
      </c>
      <c r="I3379" t="s">
        <v>5</v>
      </c>
      <c r="J3379">
        <v>89.74</v>
      </c>
      <c r="K3379">
        <v>28.4</v>
      </c>
      <c r="L3379" t="s">
        <v>11</v>
      </c>
      <c r="M3379">
        <v>0</v>
      </c>
      <c r="N3379" t="str">
        <f t="shared" si="156"/>
        <v>40–59</v>
      </c>
      <c r="O3379" t="str">
        <f t="shared" si="157"/>
        <v>Overweight</v>
      </c>
    </row>
    <row r="3380" spans="1:15" x14ac:dyDescent="0.3">
      <c r="A3380">
        <v>62090</v>
      </c>
      <c r="B3380" t="s">
        <v>2</v>
      </c>
      <c r="C3380">
        <v>51</v>
      </c>
      <c r="D3380">
        <v>0</v>
      </c>
      <c r="E3380">
        <v>0</v>
      </c>
      <c r="F3380" t="str">
        <f t="shared" si="158"/>
        <v>Lower Risk</v>
      </c>
      <c r="G3380" t="s">
        <v>13</v>
      </c>
      <c r="H3380" t="s">
        <v>8</v>
      </c>
      <c r="I3380" t="s">
        <v>9</v>
      </c>
      <c r="J3380">
        <v>219.17</v>
      </c>
      <c r="K3380">
        <v>29.8</v>
      </c>
      <c r="L3380" t="s">
        <v>11</v>
      </c>
      <c r="M3380">
        <v>0</v>
      </c>
      <c r="N3380" t="str">
        <f t="shared" si="156"/>
        <v>40–59</v>
      </c>
      <c r="O3380" t="str">
        <f t="shared" si="157"/>
        <v>Overweight</v>
      </c>
    </row>
    <row r="3381" spans="1:15" x14ac:dyDescent="0.3">
      <c r="A3381">
        <v>10138</v>
      </c>
      <c r="B3381" t="s">
        <v>7</v>
      </c>
      <c r="C3381">
        <v>41</v>
      </c>
      <c r="D3381">
        <v>0</v>
      </c>
      <c r="E3381">
        <v>0</v>
      </c>
      <c r="F3381" t="str">
        <f t="shared" si="158"/>
        <v>Lower Risk</v>
      </c>
      <c r="G3381" t="s">
        <v>3</v>
      </c>
      <c r="H3381" t="s">
        <v>4</v>
      </c>
      <c r="I3381" t="s">
        <v>5</v>
      </c>
      <c r="J3381">
        <v>74.849999999999994</v>
      </c>
      <c r="K3381">
        <v>24.8</v>
      </c>
      <c r="L3381" t="s">
        <v>6</v>
      </c>
      <c r="M3381">
        <v>0</v>
      </c>
      <c r="N3381" t="str">
        <f t="shared" si="156"/>
        <v>40–59</v>
      </c>
      <c r="O3381" t="str">
        <f t="shared" si="157"/>
        <v>Normal</v>
      </c>
    </row>
    <row r="3382" spans="1:15" x14ac:dyDescent="0.3">
      <c r="A3382">
        <v>71424</v>
      </c>
      <c r="B3382" t="s">
        <v>7</v>
      </c>
      <c r="C3382">
        <v>75</v>
      </c>
      <c r="D3382">
        <v>1</v>
      </c>
      <c r="E3382">
        <v>0</v>
      </c>
      <c r="F3382" t="str">
        <f t="shared" si="158"/>
        <v>High Risk</v>
      </c>
      <c r="G3382" t="s">
        <v>3</v>
      </c>
      <c r="H3382" t="s">
        <v>8</v>
      </c>
      <c r="I3382" t="s">
        <v>5</v>
      </c>
      <c r="J3382">
        <v>55.96</v>
      </c>
      <c r="K3382">
        <v>34.799999999999997</v>
      </c>
      <c r="L3382" t="s">
        <v>11</v>
      </c>
      <c r="M3382">
        <v>0</v>
      </c>
      <c r="N3382" t="str">
        <f t="shared" si="156"/>
        <v>60+</v>
      </c>
      <c r="O3382" t="str">
        <f t="shared" si="157"/>
        <v>Obese</v>
      </c>
    </row>
    <row r="3383" spans="1:15" x14ac:dyDescent="0.3">
      <c r="A3383">
        <v>44759</v>
      </c>
      <c r="B3383" t="s">
        <v>2</v>
      </c>
      <c r="C3383">
        <v>57</v>
      </c>
      <c r="D3383">
        <v>0</v>
      </c>
      <c r="E3383">
        <v>0</v>
      </c>
      <c r="F3383" t="str">
        <f t="shared" si="158"/>
        <v>Lower Risk</v>
      </c>
      <c r="G3383" t="s">
        <v>3</v>
      </c>
      <c r="H3383" t="s">
        <v>4</v>
      </c>
      <c r="I3383" t="s">
        <v>5</v>
      </c>
      <c r="J3383">
        <v>215.92</v>
      </c>
      <c r="K3383">
        <v>27.4</v>
      </c>
      <c r="L3383" t="s">
        <v>12</v>
      </c>
      <c r="M3383">
        <v>0</v>
      </c>
      <c r="N3383" t="str">
        <f t="shared" si="156"/>
        <v>40–59</v>
      </c>
      <c r="O3383" t="str">
        <f t="shared" si="157"/>
        <v>Overweight</v>
      </c>
    </row>
    <row r="3384" spans="1:15" x14ac:dyDescent="0.3">
      <c r="A3384">
        <v>21953</v>
      </c>
      <c r="B3384" t="s">
        <v>7</v>
      </c>
      <c r="C3384">
        <v>33</v>
      </c>
      <c r="D3384">
        <v>0</v>
      </c>
      <c r="E3384">
        <v>0</v>
      </c>
      <c r="F3384" t="str">
        <f t="shared" si="158"/>
        <v>Lower Risk</v>
      </c>
      <c r="G3384" t="s">
        <v>13</v>
      </c>
      <c r="H3384" t="s">
        <v>4</v>
      </c>
      <c r="I3384" t="s">
        <v>5</v>
      </c>
      <c r="J3384">
        <v>84.4</v>
      </c>
      <c r="K3384" t="s">
        <v>10</v>
      </c>
      <c r="L3384" t="s">
        <v>12</v>
      </c>
      <c r="M3384">
        <v>0</v>
      </c>
      <c r="N3384" t="str">
        <f t="shared" si="156"/>
        <v>Under 40</v>
      </c>
      <c r="O3384" t="str">
        <f t="shared" si="157"/>
        <v>Unknown</v>
      </c>
    </row>
    <row r="3385" spans="1:15" x14ac:dyDescent="0.3">
      <c r="A3385">
        <v>52234</v>
      </c>
      <c r="B3385" t="s">
        <v>7</v>
      </c>
      <c r="C3385">
        <v>72</v>
      </c>
      <c r="D3385">
        <v>0</v>
      </c>
      <c r="E3385">
        <v>0</v>
      </c>
      <c r="F3385" t="str">
        <f t="shared" si="158"/>
        <v>Moderate Risk</v>
      </c>
      <c r="G3385" t="s">
        <v>3</v>
      </c>
      <c r="H3385" t="s">
        <v>15</v>
      </c>
      <c r="I3385" t="s">
        <v>5</v>
      </c>
      <c r="J3385">
        <v>104.05</v>
      </c>
      <c r="K3385">
        <v>33.5</v>
      </c>
      <c r="L3385" t="s">
        <v>11</v>
      </c>
      <c r="M3385">
        <v>0</v>
      </c>
      <c r="N3385" t="str">
        <f t="shared" si="156"/>
        <v>60+</v>
      </c>
      <c r="O3385" t="str">
        <f t="shared" si="157"/>
        <v>Obese</v>
      </c>
    </row>
    <row r="3386" spans="1:15" x14ac:dyDescent="0.3">
      <c r="A3386">
        <v>46461</v>
      </c>
      <c r="B3386" t="s">
        <v>7</v>
      </c>
      <c r="C3386">
        <v>52</v>
      </c>
      <c r="D3386">
        <v>0</v>
      </c>
      <c r="E3386">
        <v>0</v>
      </c>
      <c r="F3386" t="str">
        <f t="shared" si="158"/>
        <v>Lower Risk</v>
      </c>
      <c r="G3386" t="s">
        <v>3</v>
      </c>
      <c r="H3386" t="s">
        <v>4</v>
      </c>
      <c r="I3386" t="s">
        <v>5</v>
      </c>
      <c r="J3386">
        <v>62.54</v>
      </c>
      <c r="K3386">
        <v>35</v>
      </c>
      <c r="L3386" t="s">
        <v>12</v>
      </c>
      <c r="M3386">
        <v>0</v>
      </c>
      <c r="N3386" t="str">
        <f t="shared" si="156"/>
        <v>40–59</v>
      </c>
      <c r="O3386" t="str">
        <f t="shared" si="157"/>
        <v>Obese</v>
      </c>
    </row>
    <row r="3387" spans="1:15" x14ac:dyDescent="0.3">
      <c r="A3387">
        <v>6973</v>
      </c>
      <c r="B3387" t="s">
        <v>2</v>
      </c>
      <c r="C3387">
        <v>11</v>
      </c>
      <c r="D3387">
        <v>0</v>
      </c>
      <c r="E3387">
        <v>0</v>
      </c>
      <c r="F3387" t="str">
        <f t="shared" si="158"/>
        <v>Lower Risk</v>
      </c>
      <c r="G3387" t="s">
        <v>13</v>
      </c>
      <c r="H3387" t="s">
        <v>16</v>
      </c>
      <c r="I3387" t="s">
        <v>9</v>
      </c>
      <c r="J3387">
        <v>87.54</v>
      </c>
      <c r="K3387">
        <v>24.4</v>
      </c>
      <c r="L3387" t="s">
        <v>14</v>
      </c>
      <c r="M3387">
        <v>0</v>
      </c>
      <c r="N3387" t="str">
        <f t="shared" si="156"/>
        <v>Under 40</v>
      </c>
      <c r="O3387" t="str">
        <f t="shared" si="157"/>
        <v>Normal</v>
      </c>
    </row>
    <row r="3388" spans="1:15" x14ac:dyDescent="0.3">
      <c r="A3388">
        <v>5068</v>
      </c>
      <c r="B3388" t="s">
        <v>7</v>
      </c>
      <c r="C3388">
        <v>28</v>
      </c>
      <c r="D3388">
        <v>0</v>
      </c>
      <c r="E3388">
        <v>0</v>
      </c>
      <c r="F3388" t="str">
        <f t="shared" si="158"/>
        <v>Lower Risk</v>
      </c>
      <c r="G3388" t="s">
        <v>13</v>
      </c>
      <c r="H3388" t="s">
        <v>4</v>
      </c>
      <c r="I3388" t="s">
        <v>5</v>
      </c>
      <c r="J3388">
        <v>76.81</v>
      </c>
      <c r="K3388">
        <v>28.3</v>
      </c>
      <c r="L3388" t="s">
        <v>12</v>
      </c>
      <c r="M3388">
        <v>0</v>
      </c>
      <c r="N3388" t="str">
        <f t="shared" si="156"/>
        <v>Under 40</v>
      </c>
      <c r="O3388" t="str">
        <f t="shared" si="157"/>
        <v>Overweight</v>
      </c>
    </row>
    <row r="3389" spans="1:15" x14ac:dyDescent="0.3">
      <c r="A3389">
        <v>65277</v>
      </c>
      <c r="B3389" t="s">
        <v>7</v>
      </c>
      <c r="C3389">
        <v>78</v>
      </c>
      <c r="D3389">
        <v>1</v>
      </c>
      <c r="E3389">
        <v>0</v>
      </c>
      <c r="F3389" t="str">
        <f t="shared" si="158"/>
        <v>High Risk</v>
      </c>
      <c r="G3389" t="s">
        <v>13</v>
      </c>
      <c r="H3389" t="s">
        <v>8</v>
      </c>
      <c r="I3389" t="s">
        <v>9</v>
      </c>
      <c r="J3389">
        <v>198.12</v>
      </c>
      <c r="K3389">
        <v>29.1</v>
      </c>
      <c r="L3389" t="s">
        <v>11</v>
      </c>
      <c r="M3389">
        <v>0</v>
      </c>
      <c r="N3389" t="str">
        <f t="shared" si="156"/>
        <v>60+</v>
      </c>
      <c r="O3389" t="str">
        <f t="shared" si="157"/>
        <v>Overweight</v>
      </c>
    </row>
    <row r="3390" spans="1:15" x14ac:dyDescent="0.3">
      <c r="A3390">
        <v>52679</v>
      </c>
      <c r="B3390" t="s">
        <v>7</v>
      </c>
      <c r="C3390">
        <v>82</v>
      </c>
      <c r="D3390">
        <v>0</v>
      </c>
      <c r="E3390">
        <v>0</v>
      </c>
      <c r="F3390" t="str">
        <f t="shared" si="158"/>
        <v>Moderate Risk</v>
      </c>
      <c r="G3390" t="s">
        <v>3</v>
      </c>
      <c r="H3390" t="s">
        <v>8</v>
      </c>
      <c r="I3390" t="s">
        <v>9</v>
      </c>
      <c r="J3390">
        <v>78</v>
      </c>
      <c r="K3390">
        <v>31.3</v>
      </c>
      <c r="L3390" t="s">
        <v>6</v>
      </c>
      <c r="M3390">
        <v>0</v>
      </c>
      <c r="N3390" t="str">
        <f t="shared" si="156"/>
        <v>60+</v>
      </c>
      <c r="O3390" t="str">
        <f t="shared" si="157"/>
        <v>Obese</v>
      </c>
    </row>
    <row r="3391" spans="1:15" x14ac:dyDescent="0.3">
      <c r="A3391">
        <v>36728</v>
      </c>
      <c r="B3391" t="s">
        <v>2</v>
      </c>
      <c r="C3391">
        <v>74</v>
      </c>
      <c r="D3391">
        <v>0</v>
      </c>
      <c r="E3391">
        <v>0</v>
      </c>
      <c r="F3391" t="str">
        <f t="shared" si="158"/>
        <v>Moderate Risk</v>
      </c>
      <c r="G3391" t="s">
        <v>3</v>
      </c>
      <c r="H3391" t="s">
        <v>4</v>
      </c>
      <c r="I3391" t="s">
        <v>5</v>
      </c>
      <c r="J3391">
        <v>79.44</v>
      </c>
      <c r="K3391">
        <v>32.799999999999997</v>
      </c>
      <c r="L3391" t="s">
        <v>11</v>
      </c>
      <c r="M3391">
        <v>0</v>
      </c>
      <c r="N3391" t="str">
        <f t="shared" si="156"/>
        <v>60+</v>
      </c>
      <c r="O3391" t="str">
        <f t="shared" si="157"/>
        <v>Obese</v>
      </c>
    </row>
    <row r="3392" spans="1:15" x14ac:dyDescent="0.3">
      <c r="A3392">
        <v>46797</v>
      </c>
      <c r="B3392" t="s">
        <v>7</v>
      </c>
      <c r="C3392">
        <v>31</v>
      </c>
      <c r="D3392">
        <v>0</v>
      </c>
      <c r="E3392">
        <v>0</v>
      </c>
      <c r="F3392" t="str">
        <f t="shared" si="158"/>
        <v>Lower Risk</v>
      </c>
      <c r="G3392" t="s">
        <v>3</v>
      </c>
      <c r="H3392" t="s">
        <v>4</v>
      </c>
      <c r="I3392" t="s">
        <v>9</v>
      </c>
      <c r="J3392">
        <v>75.819999999999993</v>
      </c>
      <c r="K3392">
        <v>29.1</v>
      </c>
      <c r="L3392" t="s">
        <v>11</v>
      </c>
      <c r="M3392">
        <v>0</v>
      </c>
      <c r="N3392" t="str">
        <f t="shared" si="156"/>
        <v>Under 40</v>
      </c>
      <c r="O3392" t="str">
        <f t="shared" si="157"/>
        <v>Overweight</v>
      </c>
    </row>
    <row r="3393" spans="1:15" x14ac:dyDescent="0.3">
      <c r="A3393">
        <v>63898</v>
      </c>
      <c r="B3393" t="s">
        <v>7</v>
      </c>
      <c r="C3393">
        <v>53</v>
      </c>
      <c r="D3393">
        <v>1</v>
      </c>
      <c r="E3393">
        <v>0</v>
      </c>
      <c r="F3393" t="str">
        <f t="shared" si="158"/>
        <v>Lower Risk</v>
      </c>
      <c r="G3393" t="s">
        <v>3</v>
      </c>
      <c r="H3393" t="s">
        <v>4</v>
      </c>
      <c r="I3393" t="s">
        <v>5</v>
      </c>
      <c r="J3393">
        <v>240.86</v>
      </c>
      <c r="K3393">
        <v>31.9</v>
      </c>
      <c r="L3393" t="s">
        <v>11</v>
      </c>
      <c r="M3393">
        <v>0</v>
      </c>
      <c r="N3393" t="str">
        <f t="shared" si="156"/>
        <v>40–59</v>
      </c>
      <c r="O3393" t="str">
        <f t="shared" si="157"/>
        <v>Obese</v>
      </c>
    </row>
    <row r="3394" spans="1:15" x14ac:dyDescent="0.3">
      <c r="A3394">
        <v>11371</v>
      </c>
      <c r="B3394" t="s">
        <v>2</v>
      </c>
      <c r="C3394">
        <v>0.24</v>
      </c>
      <c r="D3394">
        <v>0</v>
      </c>
      <c r="E3394">
        <v>0</v>
      </c>
      <c r="F3394" t="str">
        <f t="shared" si="158"/>
        <v>Lower Risk</v>
      </c>
      <c r="G3394" t="s">
        <v>13</v>
      </c>
      <c r="H3394" t="s">
        <v>16</v>
      </c>
      <c r="I3394" t="s">
        <v>5</v>
      </c>
      <c r="J3394">
        <v>89.28</v>
      </c>
      <c r="K3394">
        <v>14.2</v>
      </c>
      <c r="L3394" t="s">
        <v>14</v>
      </c>
      <c r="M3394">
        <v>0</v>
      </c>
      <c r="N3394" t="str">
        <f t="shared" ref="N3394:N3457" si="159">IF(C3394&lt;40,"Under 40",IF(C3394&lt;60,"40–59","60+"))</f>
        <v>Under 40</v>
      </c>
      <c r="O3394" t="str">
        <f t="shared" ref="O3394:O3457" si="160">IF(K3394="N/A","Unknown",
IF(K3394="","Unknown",
IF(K3394&lt;18.5,"Underweight",
IF(K3394&lt;25,"Normal",
IF(K3394&lt;30,"Overweight","Obese")))))</f>
        <v>Underweight</v>
      </c>
    </row>
    <row r="3395" spans="1:15" x14ac:dyDescent="0.3">
      <c r="A3395">
        <v>13155</v>
      </c>
      <c r="B3395" t="s">
        <v>7</v>
      </c>
      <c r="C3395">
        <v>67</v>
      </c>
      <c r="D3395">
        <v>1</v>
      </c>
      <c r="E3395">
        <v>0</v>
      </c>
      <c r="F3395" t="str">
        <f t="shared" ref="F3395:F3458" si="161">IF(C3395&gt;=60,
IF(OR(D3395=1,E3395=1),"High Risk","Moderate Risk"),
"Lower Risk")</f>
        <v>High Risk</v>
      </c>
      <c r="G3395" t="s">
        <v>3</v>
      </c>
      <c r="H3395" t="s">
        <v>15</v>
      </c>
      <c r="I3395" t="s">
        <v>9</v>
      </c>
      <c r="J3395">
        <v>263.56</v>
      </c>
      <c r="K3395">
        <v>26.3</v>
      </c>
      <c r="L3395" t="s">
        <v>11</v>
      </c>
      <c r="M3395">
        <v>0</v>
      </c>
      <c r="N3395" t="str">
        <f t="shared" si="159"/>
        <v>60+</v>
      </c>
      <c r="O3395" t="str">
        <f t="shared" si="160"/>
        <v>Overweight</v>
      </c>
    </row>
    <row r="3396" spans="1:15" x14ac:dyDescent="0.3">
      <c r="A3396">
        <v>27125</v>
      </c>
      <c r="B3396" t="s">
        <v>7</v>
      </c>
      <c r="C3396">
        <v>17</v>
      </c>
      <c r="D3396">
        <v>0</v>
      </c>
      <c r="E3396">
        <v>0</v>
      </c>
      <c r="F3396" t="str">
        <f t="shared" si="161"/>
        <v>Lower Risk</v>
      </c>
      <c r="G3396" t="s">
        <v>13</v>
      </c>
      <c r="H3396" t="s">
        <v>4</v>
      </c>
      <c r="I3396" t="s">
        <v>5</v>
      </c>
      <c r="J3396">
        <v>81.13</v>
      </c>
      <c r="K3396">
        <v>22.8</v>
      </c>
      <c r="L3396" t="s">
        <v>11</v>
      </c>
      <c r="M3396">
        <v>0</v>
      </c>
      <c r="N3396" t="str">
        <f t="shared" si="159"/>
        <v>Under 40</v>
      </c>
      <c r="O3396" t="str">
        <f t="shared" si="160"/>
        <v>Normal</v>
      </c>
    </row>
    <row r="3397" spans="1:15" x14ac:dyDescent="0.3">
      <c r="A3397">
        <v>15383</v>
      </c>
      <c r="B3397" t="s">
        <v>7</v>
      </c>
      <c r="C3397">
        <v>29</v>
      </c>
      <c r="D3397">
        <v>0</v>
      </c>
      <c r="E3397">
        <v>0</v>
      </c>
      <c r="F3397" t="str">
        <f t="shared" si="161"/>
        <v>Lower Risk</v>
      </c>
      <c r="G3397" t="s">
        <v>3</v>
      </c>
      <c r="H3397" t="s">
        <v>4</v>
      </c>
      <c r="I3397" t="s">
        <v>5</v>
      </c>
      <c r="J3397">
        <v>118.44</v>
      </c>
      <c r="K3397">
        <v>24.8</v>
      </c>
      <c r="L3397" t="s">
        <v>11</v>
      </c>
      <c r="M3397">
        <v>0</v>
      </c>
      <c r="N3397" t="str">
        <f t="shared" si="159"/>
        <v>Under 40</v>
      </c>
      <c r="O3397" t="str">
        <f t="shared" si="160"/>
        <v>Normal</v>
      </c>
    </row>
    <row r="3398" spans="1:15" x14ac:dyDescent="0.3">
      <c r="A3398">
        <v>19828</v>
      </c>
      <c r="B3398" t="s">
        <v>7</v>
      </c>
      <c r="C3398">
        <v>56</v>
      </c>
      <c r="D3398">
        <v>1</v>
      </c>
      <c r="E3398">
        <v>0</v>
      </c>
      <c r="F3398" t="str">
        <f t="shared" si="161"/>
        <v>Lower Risk</v>
      </c>
      <c r="G3398" t="s">
        <v>3</v>
      </c>
      <c r="H3398" t="s">
        <v>4</v>
      </c>
      <c r="I3398" t="s">
        <v>9</v>
      </c>
      <c r="J3398">
        <v>97.37</v>
      </c>
      <c r="K3398">
        <v>34.1</v>
      </c>
      <c r="L3398" t="s">
        <v>12</v>
      </c>
      <c r="M3398">
        <v>0</v>
      </c>
      <c r="N3398" t="str">
        <f t="shared" si="159"/>
        <v>40–59</v>
      </c>
      <c r="O3398" t="str">
        <f t="shared" si="160"/>
        <v>Obese</v>
      </c>
    </row>
    <row r="3399" spans="1:15" x14ac:dyDescent="0.3">
      <c r="A3399">
        <v>6289</v>
      </c>
      <c r="B3399" t="s">
        <v>7</v>
      </c>
      <c r="C3399">
        <v>15</v>
      </c>
      <c r="D3399">
        <v>0</v>
      </c>
      <c r="E3399">
        <v>0</v>
      </c>
      <c r="F3399" t="str">
        <f t="shared" si="161"/>
        <v>Lower Risk</v>
      </c>
      <c r="G3399" t="s">
        <v>13</v>
      </c>
      <c r="H3399" t="s">
        <v>16</v>
      </c>
      <c r="I3399" t="s">
        <v>5</v>
      </c>
      <c r="J3399">
        <v>80.510000000000005</v>
      </c>
      <c r="K3399">
        <v>21.5</v>
      </c>
      <c r="L3399" t="s">
        <v>14</v>
      </c>
      <c r="M3399">
        <v>0</v>
      </c>
      <c r="N3399" t="str">
        <f t="shared" si="159"/>
        <v>Under 40</v>
      </c>
      <c r="O3399" t="str">
        <f t="shared" si="160"/>
        <v>Normal</v>
      </c>
    </row>
    <row r="3400" spans="1:15" x14ac:dyDescent="0.3">
      <c r="A3400">
        <v>44243</v>
      </c>
      <c r="B3400" t="s">
        <v>7</v>
      </c>
      <c r="C3400">
        <v>29</v>
      </c>
      <c r="D3400">
        <v>0</v>
      </c>
      <c r="E3400">
        <v>0</v>
      </c>
      <c r="F3400" t="str">
        <f t="shared" si="161"/>
        <v>Lower Risk</v>
      </c>
      <c r="G3400" t="s">
        <v>13</v>
      </c>
      <c r="H3400" t="s">
        <v>4</v>
      </c>
      <c r="I3400" t="s">
        <v>9</v>
      </c>
      <c r="J3400">
        <v>78.88</v>
      </c>
      <c r="K3400">
        <v>26.1</v>
      </c>
      <c r="L3400" t="s">
        <v>11</v>
      </c>
      <c r="M3400">
        <v>0</v>
      </c>
      <c r="N3400" t="str">
        <f t="shared" si="159"/>
        <v>Under 40</v>
      </c>
      <c r="O3400" t="str">
        <f t="shared" si="160"/>
        <v>Overweight</v>
      </c>
    </row>
    <row r="3401" spans="1:15" x14ac:dyDescent="0.3">
      <c r="A3401">
        <v>40167</v>
      </c>
      <c r="B3401" t="s">
        <v>7</v>
      </c>
      <c r="C3401">
        <v>79</v>
      </c>
      <c r="D3401">
        <v>1</v>
      </c>
      <c r="E3401">
        <v>1</v>
      </c>
      <c r="F3401" t="str">
        <f t="shared" si="161"/>
        <v>High Risk</v>
      </c>
      <c r="G3401" t="s">
        <v>3</v>
      </c>
      <c r="H3401" t="s">
        <v>15</v>
      </c>
      <c r="I3401" t="s">
        <v>9</v>
      </c>
      <c r="J3401">
        <v>83.61</v>
      </c>
      <c r="K3401">
        <v>21.4</v>
      </c>
      <c r="L3401" t="s">
        <v>12</v>
      </c>
      <c r="M3401">
        <v>0</v>
      </c>
      <c r="N3401" t="str">
        <f t="shared" si="159"/>
        <v>60+</v>
      </c>
      <c r="O3401" t="str">
        <f t="shared" si="160"/>
        <v>Normal</v>
      </c>
    </row>
    <row r="3402" spans="1:15" x14ac:dyDescent="0.3">
      <c r="A3402">
        <v>38078</v>
      </c>
      <c r="B3402" t="s">
        <v>7</v>
      </c>
      <c r="C3402">
        <v>82</v>
      </c>
      <c r="D3402">
        <v>1</v>
      </c>
      <c r="E3402">
        <v>1</v>
      </c>
      <c r="F3402" t="str">
        <f t="shared" si="161"/>
        <v>High Risk</v>
      </c>
      <c r="G3402" t="s">
        <v>3</v>
      </c>
      <c r="H3402" t="s">
        <v>4</v>
      </c>
      <c r="I3402" t="s">
        <v>5</v>
      </c>
      <c r="J3402">
        <v>73.19</v>
      </c>
      <c r="K3402">
        <v>33.5</v>
      </c>
      <c r="L3402" t="s">
        <v>11</v>
      </c>
      <c r="M3402">
        <v>0</v>
      </c>
      <c r="N3402" t="str">
        <f t="shared" si="159"/>
        <v>60+</v>
      </c>
      <c r="O3402" t="str">
        <f t="shared" si="160"/>
        <v>Obese</v>
      </c>
    </row>
    <row r="3403" spans="1:15" x14ac:dyDescent="0.3">
      <c r="A3403">
        <v>34257</v>
      </c>
      <c r="B3403" t="s">
        <v>2</v>
      </c>
      <c r="C3403">
        <v>17</v>
      </c>
      <c r="D3403">
        <v>0</v>
      </c>
      <c r="E3403">
        <v>0</v>
      </c>
      <c r="F3403" t="str">
        <f t="shared" si="161"/>
        <v>Lower Risk</v>
      </c>
      <c r="G3403" t="s">
        <v>13</v>
      </c>
      <c r="H3403" t="s">
        <v>15</v>
      </c>
      <c r="I3403" t="s">
        <v>5</v>
      </c>
      <c r="J3403">
        <v>68.91</v>
      </c>
      <c r="K3403">
        <v>23</v>
      </c>
      <c r="L3403" t="s">
        <v>14</v>
      </c>
      <c r="M3403">
        <v>0</v>
      </c>
      <c r="N3403" t="str">
        <f t="shared" si="159"/>
        <v>Under 40</v>
      </c>
      <c r="O3403" t="str">
        <f t="shared" si="160"/>
        <v>Normal</v>
      </c>
    </row>
    <row r="3404" spans="1:15" x14ac:dyDescent="0.3">
      <c r="A3404">
        <v>21653</v>
      </c>
      <c r="B3404" t="s">
        <v>2</v>
      </c>
      <c r="C3404">
        <v>8</v>
      </c>
      <c r="D3404">
        <v>0</v>
      </c>
      <c r="E3404">
        <v>0</v>
      </c>
      <c r="F3404" t="str">
        <f t="shared" si="161"/>
        <v>Lower Risk</v>
      </c>
      <c r="G3404" t="s">
        <v>13</v>
      </c>
      <c r="H3404" t="s">
        <v>16</v>
      </c>
      <c r="I3404" t="s">
        <v>9</v>
      </c>
      <c r="J3404">
        <v>104.3</v>
      </c>
      <c r="K3404">
        <v>18.5</v>
      </c>
      <c r="L3404" t="s">
        <v>14</v>
      </c>
      <c r="M3404">
        <v>0</v>
      </c>
      <c r="N3404" t="str">
        <f t="shared" si="159"/>
        <v>Under 40</v>
      </c>
      <c r="O3404" t="str">
        <f t="shared" si="160"/>
        <v>Normal</v>
      </c>
    </row>
    <row r="3405" spans="1:15" x14ac:dyDescent="0.3">
      <c r="A3405">
        <v>63764</v>
      </c>
      <c r="B3405" t="s">
        <v>2</v>
      </c>
      <c r="C3405">
        <v>23</v>
      </c>
      <c r="D3405">
        <v>0</v>
      </c>
      <c r="E3405">
        <v>0</v>
      </c>
      <c r="F3405" t="str">
        <f t="shared" si="161"/>
        <v>Lower Risk</v>
      </c>
      <c r="G3405" t="s">
        <v>13</v>
      </c>
      <c r="H3405" t="s">
        <v>4</v>
      </c>
      <c r="I3405" t="s">
        <v>5</v>
      </c>
      <c r="J3405">
        <v>87.87</v>
      </c>
      <c r="K3405">
        <v>23.4</v>
      </c>
      <c r="L3405" t="s">
        <v>11</v>
      </c>
      <c r="M3405">
        <v>0</v>
      </c>
      <c r="N3405" t="str">
        <f t="shared" si="159"/>
        <v>Under 40</v>
      </c>
      <c r="O3405" t="str">
        <f t="shared" si="160"/>
        <v>Normal</v>
      </c>
    </row>
    <row r="3406" spans="1:15" x14ac:dyDescent="0.3">
      <c r="A3406">
        <v>22194</v>
      </c>
      <c r="B3406" t="s">
        <v>7</v>
      </c>
      <c r="C3406">
        <v>36</v>
      </c>
      <c r="D3406">
        <v>0</v>
      </c>
      <c r="E3406">
        <v>0</v>
      </c>
      <c r="F3406" t="str">
        <f t="shared" si="161"/>
        <v>Lower Risk</v>
      </c>
      <c r="G3406" t="s">
        <v>3</v>
      </c>
      <c r="H3406" t="s">
        <v>4</v>
      </c>
      <c r="I3406" t="s">
        <v>5</v>
      </c>
      <c r="J3406">
        <v>96.7</v>
      </c>
      <c r="K3406">
        <v>31.4</v>
      </c>
      <c r="L3406" t="s">
        <v>14</v>
      </c>
      <c r="M3406">
        <v>0</v>
      </c>
      <c r="N3406" t="str">
        <f t="shared" si="159"/>
        <v>Under 40</v>
      </c>
      <c r="O3406" t="str">
        <f t="shared" si="160"/>
        <v>Obese</v>
      </c>
    </row>
    <row r="3407" spans="1:15" x14ac:dyDescent="0.3">
      <c r="A3407">
        <v>16010</v>
      </c>
      <c r="B3407" t="s">
        <v>2</v>
      </c>
      <c r="C3407">
        <v>47</v>
      </c>
      <c r="D3407">
        <v>0</v>
      </c>
      <c r="E3407">
        <v>0</v>
      </c>
      <c r="F3407" t="str">
        <f t="shared" si="161"/>
        <v>Lower Risk</v>
      </c>
      <c r="G3407" t="s">
        <v>3</v>
      </c>
      <c r="H3407" t="s">
        <v>4</v>
      </c>
      <c r="I3407" t="s">
        <v>9</v>
      </c>
      <c r="J3407">
        <v>91.05</v>
      </c>
      <c r="K3407">
        <v>31.1</v>
      </c>
      <c r="L3407" t="s">
        <v>6</v>
      </c>
      <c r="M3407">
        <v>0</v>
      </c>
      <c r="N3407" t="str">
        <f t="shared" si="159"/>
        <v>40–59</v>
      </c>
      <c r="O3407" t="str">
        <f t="shared" si="160"/>
        <v>Obese</v>
      </c>
    </row>
    <row r="3408" spans="1:15" x14ac:dyDescent="0.3">
      <c r="A3408">
        <v>5074</v>
      </c>
      <c r="B3408" t="s">
        <v>2</v>
      </c>
      <c r="C3408">
        <v>24</v>
      </c>
      <c r="D3408">
        <v>0</v>
      </c>
      <c r="E3408">
        <v>0</v>
      </c>
      <c r="F3408" t="str">
        <f t="shared" si="161"/>
        <v>Lower Risk</v>
      </c>
      <c r="G3408" t="s">
        <v>13</v>
      </c>
      <c r="H3408" t="s">
        <v>4</v>
      </c>
      <c r="I3408" t="s">
        <v>9</v>
      </c>
      <c r="J3408">
        <v>200.14</v>
      </c>
      <c r="K3408">
        <v>37.700000000000003</v>
      </c>
      <c r="L3408" t="s">
        <v>12</v>
      </c>
      <c r="M3408">
        <v>0</v>
      </c>
      <c r="N3408" t="str">
        <f t="shared" si="159"/>
        <v>Under 40</v>
      </c>
      <c r="O3408" t="str">
        <f t="shared" si="160"/>
        <v>Obese</v>
      </c>
    </row>
    <row r="3409" spans="1:15" x14ac:dyDescent="0.3">
      <c r="A3409">
        <v>10243</v>
      </c>
      <c r="B3409" t="s">
        <v>7</v>
      </c>
      <c r="C3409">
        <v>60</v>
      </c>
      <c r="D3409">
        <v>0</v>
      </c>
      <c r="E3409">
        <v>0</v>
      </c>
      <c r="F3409" t="str">
        <f t="shared" si="161"/>
        <v>Moderate Risk</v>
      </c>
      <c r="G3409" t="s">
        <v>3</v>
      </c>
      <c r="H3409" t="s">
        <v>15</v>
      </c>
      <c r="I3409" t="s">
        <v>5</v>
      </c>
      <c r="J3409">
        <v>73.040000000000006</v>
      </c>
      <c r="K3409">
        <v>25.3</v>
      </c>
      <c r="L3409" t="s">
        <v>11</v>
      </c>
      <c r="M3409">
        <v>0</v>
      </c>
      <c r="N3409" t="str">
        <f t="shared" si="159"/>
        <v>60+</v>
      </c>
      <c r="O3409" t="str">
        <f t="shared" si="160"/>
        <v>Overweight</v>
      </c>
    </row>
    <row r="3410" spans="1:15" x14ac:dyDescent="0.3">
      <c r="A3410">
        <v>52588</v>
      </c>
      <c r="B3410" t="s">
        <v>7</v>
      </c>
      <c r="C3410">
        <v>63</v>
      </c>
      <c r="D3410">
        <v>0</v>
      </c>
      <c r="E3410">
        <v>0</v>
      </c>
      <c r="F3410" t="str">
        <f t="shared" si="161"/>
        <v>Moderate Risk</v>
      </c>
      <c r="G3410" t="s">
        <v>3</v>
      </c>
      <c r="H3410" t="s">
        <v>4</v>
      </c>
      <c r="I3410" t="s">
        <v>9</v>
      </c>
      <c r="J3410">
        <v>85.81</v>
      </c>
      <c r="K3410">
        <v>35.6</v>
      </c>
      <c r="L3410" t="s">
        <v>11</v>
      </c>
      <c r="M3410">
        <v>0</v>
      </c>
      <c r="N3410" t="str">
        <f t="shared" si="159"/>
        <v>60+</v>
      </c>
      <c r="O3410" t="str">
        <f t="shared" si="160"/>
        <v>Obese</v>
      </c>
    </row>
    <row r="3411" spans="1:15" x14ac:dyDescent="0.3">
      <c r="A3411">
        <v>56996</v>
      </c>
      <c r="B3411" t="s">
        <v>2</v>
      </c>
      <c r="C3411">
        <v>44</v>
      </c>
      <c r="D3411">
        <v>0</v>
      </c>
      <c r="E3411">
        <v>0</v>
      </c>
      <c r="F3411" t="str">
        <f t="shared" si="161"/>
        <v>Lower Risk</v>
      </c>
      <c r="G3411" t="s">
        <v>3</v>
      </c>
      <c r="H3411" t="s">
        <v>4</v>
      </c>
      <c r="I3411" t="s">
        <v>5</v>
      </c>
      <c r="J3411">
        <v>65.41</v>
      </c>
      <c r="K3411">
        <v>24.8</v>
      </c>
      <c r="L3411" t="s">
        <v>12</v>
      </c>
      <c r="M3411">
        <v>0</v>
      </c>
      <c r="N3411" t="str">
        <f t="shared" si="159"/>
        <v>40–59</v>
      </c>
      <c r="O3411" t="str">
        <f t="shared" si="160"/>
        <v>Normal</v>
      </c>
    </row>
    <row r="3412" spans="1:15" x14ac:dyDescent="0.3">
      <c r="A3412">
        <v>28315</v>
      </c>
      <c r="B3412" t="s">
        <v>2</v>
      </c>
      <c r="C3412">
        <v>38</v>
      </c>
      <c r="D3412">
        <v>0</v>
      </c>
      <c r="E3412">
        <v>0</v>
      </c>
      <c r="F3412" t="str">
        <f t="shared" si="161"/>
        <v>Lower Risk</v>
      </c>
      <c r="G3412" t="s">
        <v>3</v>
      </c>
      <c r="H3412" t="s">
        <v>4</v>
      </c>
      <c r="I3412" t="s">
        <v>9</v>
      </c>
      <c r="J3412">
        <v>108.68</v>
      </c>
      <c r="K3412">
        <v>32.700000000000003</v>
      </c>
      <c r="L3412" t="s">
        <v>11</v>
      </c>
      <c r="M3412">
        <v>0</v>
      </c>
      <c r="N3412" t="str">
        <f t="shared" si="159"/>
        <v>Under 40</v>
      </c>
      <c r="O3412" t="str">
        <f t="shared" si="160"/>
        <v>Obese</v>
      </c>
    </row>
    <row r="3413" spans="1:15" x14ac:dyDescent="0.3">
      <c r="A3413">
        <v>15104</v>
      </c>
      <c r="B3413" t="s">
        <v>7</v>
      </c>
      <c r="C3413">
        <v>26</v>
      </c>
      <c r="D3413">
        <v>0</v>
      </c>
      <c r="E3413">
        <v>0</v>
      </c>
      <c r="F3413" t="str">
        <f t="shared" si="161"/>
        <v>Lower Risk</v>
      </c>
      <c r="G3413" t="s">
        <v>3</v>
      </c>
      <c r="H3413" t="s">
        <v>4</v>
      </c>
      <c r="I3413" t="s">
        <v>9</v>
      </c>
      <c r="J3413">
        <v>88.79</v>
      </c>
      <c r="K3413">
        <v>24.9</v>
      </c>
      <c r="L3413" t="s">
        <v>11</v>
      </c>
      <c r="M3413">
        <v>0</v>
      </c>
      <c r="N3413" t="str">
        <f t="shared" si="159"/>
        <v>Under 40</v>
      </c>
      <c r="O3413" t="str">
        <f t="shared" si="160"/>
        <v>Normal</v>
      </c>
    </row>
    <row r="3414" spans="1:15" x14ac:dyDescent="0.3">
      <c r="A3414">
        <v>26604</v>
      </c>
      <c r="B3414" t="s">
        <v>7</v>
      </c>
      <c r="C3414">
        <v>18</v>
      </c>
      <c r="D3414">
        <v>0</v>
      </c>
      <c r="E3414">
        <v>0</v>
      </c>
      <c r="F3414" t="str">
        <f t="shared" si="161"/>
        <v>Lower Risk</v>
      </c>
      <c r="G3414" t="s">
        <v>13</v>
      </c>
      <c r="H3414" t="s">
        <v>4</v>
      </c>
      <c r="I3414" t="s">
        <v>9</v>
      </c>
      <c r="J3414">
        <v>107.82</v>
      </c>
      <c r="K3414">
        <v>26</v>
      </c>
      <c r="L3414" t="s">
        <v>11</v>
      </c>
      <c r="M3414">
        <v>0</v>
      </c>
      <c r="N3414" t="str">
        <f t="shared" si="159"/>
        <v>Under 40</v>
      </c>
      <c r="O3414" t="str">
        <f t="shared" si="160"/>
        <v>Overweight</v>
      </c>
    </row>
    <row r="3415" spans="1:15" x14ac:dyDescent="0.3">
      <c r="A3415">
        <v>27916</v>
      </c>
      <c r="B3415" t="s">
        <v>2</v>
      </c>
      <c r="C3415">
        <v>18</v>
      </c>
      <c r="D3415">
        <v>0</v>
      </c>
      <c r="E3415">
        <v>0</v>
      </c>
      <c r="F3415" t="str">
        <f t="shared" si="161"/>
        <v>Lower Risk</v>
      </c>
      <c r="G3415" t="s">
        <v>13</v>
      </c>
      <c r="H3415" t="s">
        <v>4</v>
      </c>
      <c r="I3415" t="s">
        <v>5</v>
      </c>
      <c r="J3415">
        <v>97.39</v>
      </c>
      <c r="K3415">
        <v>22.8</v>
      </c>
      <c r="L3415" t="s">
        <v>11</v>
      </c>
      <c r="M3415">
        <v>0</v>
      </c>
      <c r="N3415" t="str">
        <f t="shared" si="159"/>
        <v>Under 40</v>
      </c>
      <c r="O3415" t="str">
        <f t="shared" si="160"/>
        <v>Normal</v>
      </c>
    </row>
    <row r="3416" spans="1:15" x14ac:dyDescent="0.3">
      <c r="A3416">
        <v>60249</v>
      </c>
      <c r="B3416" t="s">
        <v>2</v>
      </c>
      <c r="C3416">
        <v>13</v>
      </c>
      <c r="D3416">
        <v>0</v>
      </c>
      <c r="E3416">
        <v>0</v>
      </c>
      <c r="F3416" t="str">
        <f t="shared" si="161"/>
        <v>Lower Risk</v>
      </c>
      <c r="G3416" t="s">
        <v>13</v>
      </c>
      <c r="H3416" t="s">
        <v>4</v>
      </c>
      <c r="I3416" t="s">
        <v>5</v>
      </c>
      <c r="J3416">
        <v>141.09</v>
      </c>
      <c r="K3416">
        <v>24</v>
      </c>
      <c r="L3416" t="s">
        <v>14</v>
      </c>
      <c r="M3416">
        <v>0</v>
      </c>
      <c r="N3416" t="str">
        <f t="shared" si="159"/>
        <v>Under 40</v>
      </c>
      <c r="O3416" t="str">
        <f t="shared" si="160"/>
        <v>Normal</v>
      </c>
    </row>
    <row r="3417" spans="1:15" x14ac:dyDescent="0.3">
      <c r="A3417">
        <v>45787</v>
      </c>
      <c r="B3417" t="s">
        <v>2</v>
      </c>
      <c r="C3417">
        <v>13</v>
      </c>
      <c r="D3417">
        <v>0</v>
      </c>
      <c r="E3417">
        <v>0</v>
      </c>
      <c r="F3417" t="str">
        <f t="shared" si="161"/>
        <v>Lower Risk</v>
      </c>
      <c r="G3417" t="s">
        <v>13</v>
      </c>
      <c r="H3417" t="s">
        <v>16</v>
      </c>
      <c r="I3417" t="s">
        <v>5</v>
      </c>
      <c r="J3417">
        <v>122.38</v>
      </c>
      <c r="K3417">
        <v>20.3</v>
      </c>
      <c r="L3417" t="s">
        <v>14</v>
      </c>
      <c r="M3417">
        <v>0</v>
      </c>
      <c r="N3417" t="str">
        <f t="shared" si="159"/>
        <v>Under 40</v>
      </c>
      <c r="O3417" t="str">
        <f t="shared" si="160"/>
        <v>Normal</v>
      </c>
    </row>
    <row r="3418" spans="1:15" x14ac:dyDescent="0.3">
      <c r="A3418">
        <v>65526</v>
      </c>
      <c r="B3418" t="s">
        <v>7</v>
      </c>
      <c r="C3418">
        <v>47</v>
      </c>
      <c r="D3418">
        <v>0</v>
      </c>
      <c r="E3418">
        <v>0</v>
      </c>
      <c r="F3418" t="str">
        <f t="shared" si="161"/>
        <v>Lower Risk</v>
      </c>
      <c r="G3418" t="s">
        <v>3</v>
      </c>
      <c r="H3418" t="s">
        <v>4</v>
      </c>
      <c r="I3418" t="s">
        <v>5</v>
      </c>
      <c r="J3418">
        <v>77.91</v>
      </c>
      <c r="K3418">
        <v>30.3</v>
      </c>
      <c r="L3418" t="s">
        <v>6</v>
      </c>
      <c r="M3418">
        <v>0</v>
      </c>
      <c r="N3418" t="str">
        <f t="shared" si="159"/>
        <v>40–59</v>
      </c>
      <c r="O3418" t="str">
        <f t="shared" si="160"/>
        <v>Obese</v>
      </c>
    </row>
    <row r="3419" spans="1:15" x14ac:dyDescent="0.3">
      <c r="A3419">
        <v>72354</v>
      </c>
      <c r="B3419" t="s">
        <v>7</v>
      </c>
      <c r="C3419">
        <v>80</v>
      </c>
      <c r="D3419">
        <v>1</v>
      </c>
      <c r="E3419">
        <v>0</v>
      </c>
      <c r="F3419" t="str">
        <f t="shared" si="161"/>
        <v>High Risk</v>
      </c>
      <c r="G3419" t="s">
        <v>3</v>
      </c>
      <c r="H3419" t="s">
        <v>8</v>
      </c>
      <c r="I3419" t="s">
        <v>9</v>
      </c>
      <c r="J3419">
        <v>103.6</v>
      </c>
      <c r="K3419">
        <v>23.7</v>
      </c>
      <c r="L3419" t="s">
        <v>11</v>
      </c>
      <c r="M3419">
        <v>0</v>
      </c>
      <c r="N3419" t="str">
        <f t="shared" si="159"/>
        <v>60+</v>
      </c>
      <c r="O3419" t="str">
        <f t="shared" si="160"/>
        <v>Normal</v>
      </c>
    </row>
    <row r="3420" spans="1:15" x14ac:dyDescent="0.3">
      <c r="A3420">
        <v>38938</v>
      </c>
      <c r="B3420" t="s">
        <v>7</v>
      </c>
      <c r="C3420">
        <v>24</v>
      </c>
      <c r="D3420">
        <v>0</v>
      </c>
      <c r="E3420">
        <v>0</v>
      </c>
      <c r="F3420" t="str">
        <f t="shared" si="161"/>
        <v>Lower Risk</v>
      </c>
      <c r="G3420" t="s">
        <v>13</v>
      </c>
      <c r="H3420" t="s">
        <v>4</v>
      </c>
      <c r="I3420" t="s">
        <v>9</v>
      </c>
      <c r="J3420">
        <v>159.69999999999999</v>
      </c>
      <c r="K3420">
        <v>25.7</v>
      </c>
      <c r="L3420" t="s">
        <v>14</v>
      </c>
      <c r="M3420">
        <v>0</v>
      </c>
      <c r="N3420" t="str">
        <f t="shared" si="159"/>
        <v>Under 40</v>
      </c>
      <c r="O3420" t="str">
        <f t="shared" si="160"/>
        <v>Overweight</v>
      </c>
    </row>
    <row r="3421" spans="1:15" x14ac:dyDescent="0.3">
      <c r="A3421">
        <v>39017</v>
      </c>
      <c r="B3421" t="s">
        <v>7</v>
      </c>
      <c r="C3421">
        <v>72</v>
      </c>
      <c r="D3421">
        <v>0</v>
      </c>
      <c r="E3421">
        <v>0</v>
      </c>
      <c r="F3421" t="str">
        <f t="shared" si="161"/>
        <v>Moderate Risk</v>
      </c>
      <c r="G3421" t="s">
        <v>3</v>
      </c>
      <c r="H3421" t="s">
        <v>15</v>
      </c>
      <c r="I3421" t="s">
        <v>9</v>
      </c>
      <c r="J3421">
        <v>118.22</v>
      </c>
      <c r="K3421">
        <v>21.9</v>
      </c>
      <c r="L3421" t="s">
        <v>6</v>
      </c>
      <c r="M3421">
        <v>0</v>
      </c>
      <c r="N3421" t="str">
        <f t="shared" si="159"/>
        <v>60+</v>
      </c>
      <c r="O3421" t="str">
        <f t="shared" si="160"/>
        <v>Normal</v>
      </c>
    </row>
    <row r="3422" spans="1:15" x14ac:dyDescent="0.3">
      <c r="A3422">
        <v>13219</v>
      </c>
      <c r="B3422" t="s">
        <v>2</v>
      </c>
      <c r="C3422">
        <v>5</v>
      </c>
      <c r="D3422">
        <v>0</v>
      </c>
      <c r="E3422">
        <v>0</v>
      </c>
      <c r="F3422" t="str">
        <f t="shared" si="161"/>
        <v>Lower Risk</v>
      </c>
      <c r="G3422" t="s">
        <v>13</v>
      </c>
      <c r="H3422" t="s">
        <v>16</v>
      </c>
      <c r="I3422" t="s">
        <v>5</v>
      </c>
      <c r="J3422">
        <v>84.5</v>
      </c>
      <c r="K3422">
        <v>15.8</v>
      </c>
      <c r="L3422" t="s">
        <v>14</v>
      </c>
      <c r="M3422">
        <v>0</v>
      </c>
      <c r="N3422" t="str">
        <f t="shared" si="159"/>
        <v>Under 40</v>
      </c>
      <c r="O3422" t="str">
        <f t="shared" si="160"/>
        <v>Underweight</v>
      </c>
    </row>
    <row r="3423" spans="1:15" x14ac:dyDescent="0.3">
      <c r="A3423">
        <v>3003</v>
      </c>
      <c r="B3423" t="s">
        <v>7</v>
      </c>
      <c r="C3423">
        <v>51</v>
      </c>
      <c r="D3423">
        <v>0</v>
      </c>
      <c r="E3423">
        <v>0</v>
      </c>
      <c r="F3423" t="str">
        <f t="shared" si="161"/>
        <v>Lower Risk</v>
      </c>
      <c r="G3423" t="s">
        <v>3</v>
      </c>
      <c r="H3423" t="s">
        <v>15</v>
      </c>
      <c r="I3423" t="s">
        <v>9</v>
      </c>
      <c r="J3423">
        <v>85.59</v>
      </c>
      <c r="K3423">
        <v>30.5</v>
      </c>
      <c r="L3423" t="s">
        <v>11</v>
      </c>
      <c r="M3423">
        <v>0</v>
      </c>
      <c r="N3423" t="str">
        <f t="shared" si="159"/>
        <v>40–59</v>
      </c>
      <c r="O3423" t="str">
        <f t="shared" si="160"/>
        <v>Obese</v>
      </c>
    </row>
    <row r="3424" spans="1:15" x14ac:dyDescent="0.3">
      <c r="A3424">
        <v>34543</v>
      </c>
      <c r="B3424" t="s">
        <v>7</v>
      </c>
      <c r="C3424">
        <v>82</v>
      </c>
      <c r="D3424">
        <v>0</v>
      </c>
      <c r="E3424">
        <v>0</v>
      </c>
      <c r="F3424" t="str">
        <f t="shared" si="161"/>
        <v>Moderate Risk</v>
      </c>
      <c r="G3424" t="s">
        <v>3</v>
      </c>
      <c r="H3424" t="s">
        <v>8</v>
      </c>
      <c r="I3424" t="s">
        <v>9</v>
      </c>
      <c r="J3424">
        <v>84.42</v>
      </c>
      <c r="K3424">
        <v>25.7</v>
      </c>
      <c r="L3424" t="s">
        <v>14</v>
      </c>
      <c r="M3424">
        <v>0</v>
      </c>
      <c r="N3424" t="str">
        <f t="shared" si="159"/>
        <v>60+</v>
      </c>
      <c r="O3424" t="str">
        <f t="shared" si="160"/>
        <v>Overweight</v>
      </c>
    </row>
    <row r="3425" spans="1:15" x14ac:dyDescent="0.3">
      <c r="A3425">
        <v>21762</v>
      </c>
      <c r="B3425" t="s">
        <v>2</v>
      </c>
      <c r="C3425">
        <v>5</v>
      </c>
      <c r="D3425">
        <v>0</v>
      </c>
      <c r="E3425">
        <v>0</v>
      </c>
      <c r="F3425" t="str">
        <f t="shared" si="161"/>
        <v>Lower Risk</v>
      </c>
      <c r="G3425" t="s">
        <v>13</v>
      </c>
      <c r="H3425" t="s">
        <v>16</v>
      </c>
      <c r="I3425" t="s">
        <v>9</v>
      </c>
      <c r="J3425">
        <v>100.98</v>
      </c>
      <c r="K3425">
        <v>19</v>
      </c>
      <c r="L3425" t="s">
        <v>14</v>
      </c>
      <c r="M3425">
        <v>0</v>
      </c>
      <c r="N3425" t="str">
        <f t="shared" si="159"/>
        <v>Under 40</v>
      </c>
      <c r="O3425" t="str">
        <f t="shared" si="160"/>
        <v>Normal</v>
      </c>
    </row>
    <row r="3426" spans="1:15" x14ac:dyDescent="0.3">
      <c r="A3426">
        <v>22003</v>
      </c>
      <c r="B3426" t="s">
        <v>2</v>
      </c>
      <c r="C3426">
        <v>66</v>
      </c>
      <c r="D3426">
        <v>0</v>
      </c>
      <c r="E3426">
        <v>0</v>
      </c>
      <c r="F3426" t="str">
        <f t="shared" si="161"/>
        <v>Moderate Risk</v>
      </c>
      <c r="G3426" t="s">
        <v>3</v>
      </c>
      <c r="H3426" t="s">
        <v>4</v>
      </c>
      <c r="I3426" t="s">
        <v>9</v>
      </c>
      <c r="J3426">
        <v>81.11</v>
      </c>
      <c r="K3426">
        <v>28.8</v>
      </c>
      <c r="L3426" t="s">
        <v>6</v>
      </c>
      <c r="M3426">
        <v>0</v>
      </c>
      <c r="N3426" t="str">
        <f t="shared" si="159"/>
        <v>60+</v>
      </c>
      <c r="O3426" t="str">
        <f t="shared" si="160"/>
        <v>Overweight</v>
      </c>
    </row>
    <row r="3427" spans="1:15" x14ac:dyDescent="0.3">
      <c r="A3427">
        <v>6731</v>
      </c>
      <c r="B3427" t="s">
        <v>7</v>
      </c>
      <c r="C3427">
        <v>53</v>
      </c>
      <c r="D3427">
        <v>0</v>
      </c>
      <c r="E3427">
        <v>0</v>
      </c>
      <c r="F3427" t="str">
        <f t="shared" si="161"/>
        <v>Lower Risk</v>
      </c>
      <c r="G3427" t="s">
        <v>13</v>
      </c>
      <c r="H3427" t="s">
        <v>4</v>
      </c>
      <c r="I3427" t="s">
        <v>9</v>
      </c>
      <c r="J3427">
        <v>235.45</v>
      </c>
      <c r="K3427" t="s">
        <v>10</v>
      </c>
      <c r="L3427" t="s">
        <v>6</v>
      </c>
      <c r="M3427">
        <v>0</v>
      </c>
      <c r="N3427" t="str">
        <f t="shared" si="159"/>
        <v>40–59</v>
      </c>
      <c r="O3427" t="str">
        <f t="shared" si="160"/>
        <v>Unknown</v>
      </c>
    </row>
    <row r="3428" spans="1:15" x14ac:dyDescent="0.3">
      <c r="A3428">
        <v>19032</v>
      </c>
      <c r="B3428" t="s">
        <v>7</v>
      </c>
      <c r="C3428">
        <v>15</v>
      </c>
      <c r="D3428">
        <v>0</v>
      </c>
      <c r="E3428">
        <v>0</v>
      </c>
      <c r="F3428" t="str">
        <f t="shared" si="161"/>
        <v>Lower Risk</v>
      </c>
      <c r="G3428" t="s">
        <v>13</v>
      </c>
      <c r="H3428" t="s">
        <v>4</v>
      </c>
      <c r="I3428" t="s">
        <v>9</v>
      </c>
      <c r="J3428">
        <v>79.2</v>
      </c>
      <c r="K3428">
        <v>22.4</v>
      </c>
      <c r="L3428" t="s">
        <v>11</v>
      </c>
      <c r="M3428">
        <v>0</v>
      </c>
      <c r="N3428" t="str">
        <f t="shared" si="159"/>
        <v>Under 40</v>
      </c>
      <c r="O3428" t="str">
        <f t="shared" si="160"/>
        <v>Normal</v>
      </c>
    </row>
    <row r="3429" spans="1:15" x14ac:dyDescent="0.3">
      <c r="A3429">
        <v>55370</v>
      </c>
      <c r="B3429" t="s">
        <v>7</v>
      </c>
      <c r="C3429">
        <v>53</v>
      </c>
      <c r="D3429">
        <v>0</v>
      </c>
      <c r="E3429">
        <v>0</v>
      </c>
      <c r="F3429" t="str">
        <f t="shared" si="161"/>
        <v>Lower Risk</v>
      </c>
      <c r="G3429" t="s">
        <v>3</v>
      </c>
      <c r="H3429" t="s">
        <v>4</v>
      </c>
      <c r="I3429" t="s">
        <v>5</v>
      </c>
      <c r="J3429">
        <v>207.71</v>
      </c>
      <c r="K3429">
        <v>32.4</v>
      </c>
      <c r="L3429" t="s">
        <v>14</v>
      </c>
      <c r="M3429">
        <v>0</v>
      </c>
      <c r="N3429" t="str">
        <f t="shared" si="159"/>
        <v>40–59</v>
      </c>
      <c r="O3429" t="str">
        <f t="shared" si="160"/>
        <v>Obese</v>
      </c>
    </row>
    <row r="3430" spans="1:15" x14ac:dyDescent="0.3">
      <c r="A3430">
        <v>57288</v>
      </c>
      <c r="B3430" t="s">
        <v>7</v>
      </c>
      <c r="C3430">
        <v>78</v>
      </c>
      <c r="D3430">
        <v>0</v>
      </c>
      <c r="E3430">
        <v>0</v>
      </c>
      <c r="F3430" t="str">
        <f t="shared" si="161"/>
        <v>Moderate Risk</v>
      </c>
      <c r="G3430" t="s">
        <v>3</v>
      </c>
      <c r="H3430" t="s">
        <v>4</v>
      </c>
      <c r="I3430" t="s">
        <v>9</v>
      </c>
      <c r="J3430">
        <v>99.84</v>
      </c>
      <c r="K3430">
        <v>36.6</v>
      </c>
      <c r="L3430" t="s">
        <v>11</v>
      </c>
      <c r="M3430">
        <v>0</v>
      </c>
      <c r="N3430" t="str">
        <f t="shared" si="159"/>
        <v>60+</v>
      </c>
      <c r="O3430" t="str">
        <f t="shared" si="160"/>
        <v>Obese</v>
      </c>
    </row>
    <row r="3431" spans="1:15" x14ac:dyDescent="0.3">
      <c r="A3431">
        <v>31925</v>
      </c>
      <c r="B3431" t="s">
        <v>7</v>
      </c>
      <c r="C3431">
        <v>62</v>
      </c>
      <c r="D3431">
        <v>0</v>
      </c>
      <c r="E3431">
        <v>0</v>
      </c>
      <c r="F3431" t="str">
        <f t="shared" si="161"/>
        <v>Moderate Risk</v>
      </c>
      <c r="G3431" t="s">
        <v>3</v>
      </c>
      <c r="H3431" t="s">
        <v>4</v>
      </c>
      <c r="I3431" t="s">
        <v>9</v>
      </c>
      <c r="J3431">
        <v>98.05</v>
      </c>
      <c r="K3431">
        <v>27.9</v>
      </c>
      <c r="L3431" t="s">
        <v>11</v>
      </c>
      <c r="M3431">
        <v>0</v>
      </c>
      <c r="N3431" t="str">
        <f t="shared" si="159"/>
        <v>60+</v>
      </c>
      <c r="O3431" t="str">
        <f t="shared" si="160"/>
        <v>Overweight</v>
      </c>
    </row>
    <row r="3432" spans="1:15" x14ac:dyDescent="0.3">
      <c r="A3432">
        <v>8264</v>
      </c>
      <c r="B3432" t="s">
        <v>2</v>
      </c>
      <c r="C3432">
        <v>41</v>
      </c>
      <c r="D3432">
        <v>0</v>
      </c>
      <c r="E3432">
        <v>0</v>
      </c>
      <c r="F3432" t="str">
        <f t="shared" si="161"/>
        <v>Lower Risk</v>
      </c>
      <c r="G3432" t="s">
        <v>3</v>
      </c>
      <c r="H3432" t="s">
        <v>8</v>
      </c>
      <c r="I3432" t="s">
        <v>9</v>
      </c>
      <c r="J3432">
        <v>105.9</v>
      </c>
      <c r="K3432">
        <v>27.7</v>
      </c>
      <c r="L3432" t="s">
        <v>14</v>
      </c>
      <c r="M3432">
        <v>0</v>
      </c>
      <c r="N3432" t="str">
        <f t="shared" si="159"/>
        <v>40–59</v>
      </c>
      <c r="O3432" t="str">
        <f t="shared" si="160"/>
        <v>Overweight</v>
      </c>
    </row>
    <row r="3433" spans="1:15" x14ac:dyDescent="0.3">
      <c r="A3433">
        <v>448</v>
      </c>
      <c r="B3433" t="s">
        <v>7</v>
      </c>
      <c r="C3433">
        <v>49</v>
      </c>
      <c r="D3433">
        <v>0</v>
      </c>
      <c r="E3433">
        <v>0</v>
      </c>
      <c r="F3433" t="str">
        <f t="shared" si="161"/>
        <v>Lower Risk</v>
      </c>
      <c r="G3433" t="s">
        <v>3</v>
      </c>
      <c r="H3433" t="s">
        <v>4</v>
      </c>
      <c r="I3433" t="s">
        <v>9</v>
      </c>
      <c r="J3433">
        <v>107.55</v>
      </c>
      <c r="K3433" t="s">
        <v>10</v>
      </c>
      <c r="L3433" t="s">
        <v>14</v>
      </c>
      <c r="M3433">
        <v>0</v>
      </c>
      <c r="N3433" t="str">
        <f t="shared" si="159"/>
        <v>40–59</v>
      </c>
      <c r="O3433" t="str">
        <f t="shared" si="160"/>
        <v>Unknown</v>
      </c>
    </row>
    <row r="3434" spans="1:15" x14ac:dyDescent="0.3">
      <c r="A3434">
        <v>38783</v>
      </c>
      <c r="B3434" t="s">
        <v>7</v>
      </c>
      <c r="C3434">
        <v>41</v>
      </c>
      <c r="D3434">
        <v>0</v>
      </c>
      <c r="E3434">
        <v>0</v>
      </c>
      <c r="F3434" t="str">
        <f t="shared" si="161"/>
        <v>Lower Risk</v>
      </c>
      <c r="G3434" t="s">
        <v>3</v>
      </c>
      <c r="H3434" t="s">
        <v>8</v>
      </c>
      <c r="I3434" t="s">
        <v>5</v>
      </c>
      <c r="J3434">
        <v>146.21</v>
      </c>
      <c r="K3434">
        <v>34.299999999999997</v>
      </c>
      <c r="L3434" t="s">
        <v>14</v>
      </c>
      <c r="M3434">
        <v>0</v>
      </c>
      <c r="N3434" t="str">
        <f t="shared" si="159"/>
        <v>40–59</v>
      </c>
      <c r="O3434" t="str">
        <f t="shared" si="160"/>
        <v>Obese</v>
      </c>
    </row>
    <row r="3435" spans="1:15" x14ac:dyDescent="0.3">
      <c r="A3435">
        <v>45961</v>
      </c>
      <c r="B3435" t="s">
        <v>7</v>
      </c>
      <c r="C3435">
        <v>78</v>
      </c>
      <c r="D3435">
        <v>0</v>
      </c>
      <c r="E3435">
        <v>0</v>
      </c>
      <c r="F3435" t="str">
        <f t="shared" si="161"/>
        <v>Moderate Risk</v>
      </c>
      <c r="G3435" t="s">
        <v>3</v>
      </c>
      <c r="H3435" t="s">
        <v>4</v>
      </c>
      <c r="I3435" t="s">
        <v>5</v>
      </c>
      <c r="J3435">
        <v>79.94</v>
      </c>
      <c r="K3435">
        <v>26.7</v>
      </c>
      <c r="L3435" t="s">
        <v>11</v>
      </c>
      <c r="M3435">
        <v>0</v>
      </c>
      <c r="N3435" t="str">
        <f t="shared" si="159"/>
        <v>60+</v>
      </c>
      <c r="O3435" t="str">
        <f t="shared" si="160"/>
        <v>Overweight</v>
      </c>
    </row>
    <row r="3436" spans="1:15" x14ac:dyDescent="0.3">
      <c r="A3436">
        <v>27518</v>
      </c>
      <c r="B3436" t="s">
        <v>2</v>
      </c>
      <c r="C3436">
        <v>14</v>
      </c>
      <c r="D3436">
        <v>0</v>
      </c>
      <c r="E3436">
        <v>0</v>
      </c>
      <c r="F3436" t="str">
        <f t="shared" si="161"/>
        <v>Lower Risk</v>
      </c>
      <c r="G3436" t="s">
        <v>13</v>
      </c>
      <c r="H3436" t="s">
        <v>8</v>
      </c>
      <c r="I3436" t="s">
        <v>9</v>
      </c>
      <c r="J3436">
        <v>72.28</v>
      </c>
      <c r="K3436">
        <v>19</v>
      </c>
      <c r="L3436" t="s">
        <v>14</v>
      </c>
      <c r="M3436">
        <v>0</v>
      </c>
      <c r="N3436" t="str">
        <f t="shared" si="159"/>
        <v>Under 40</v>
      </c>
      <c r="O3436" t="str">
        <f t="shared" si="160"/>
        <v>Normal</v>
      </c>
    </row>
    <row r="3437" spans="1:15" x14ac:dyDescent="0.3">
      <c r="A3437">
        <v>51106</v>
      </c>
      <c r="B3437" t="s">
        <v>7</v>
      </c>
      <c r="C3437">
        <v>1.48</v>
      </c>
      <c r="D3437">
        <v>0</v>
      </c>
      <c r="E3437">
        <v>0</v>
      </c>
      <c r="F3437" t="str">
        <f t="shared" si="161"/>
        <v>Lower Risk</v>
      </c>
      <c r="G3437" t="s">
        <v>13</v>
      </c>
      <c r="H3437" t="s">
        <v>16</v>
      </c>
      <c r="I3437" t="s">
        <v>9</v>
      </c>
      <c r="J3437">
        <v>123.1</v>
      </c>
      <c r="K3437">
        <v>20.6</v>
      </c>
      <c r="L3437" t="s">
        <v>14</v>
      </c>
      <c r="M3437">
        <v>0</v>
      </c>
      <c r="N3437" t="str">
        <f t="shared" si="159"/>
        <v>Under 40</v>
      </c>
      <c r="O3437" t="str">
        <f t="shared" si="160"/>
        <v>Normal</v>
      </c>
    </row>
    <row r="3438" spans="1:15" x14ac:dyDescent="0.3">
      <c r="A3438">
        <v>42251</v>
      </c>
      <c r="B3438" t="s">
        <v>2</v>
      </c>
      <c r="C3438">
        <v>71</v>
      </c>
      <c r="D3438">
        <v>1</v>
      </c>
      <c r="E3438">
        <v>1</v>
      </c>
      <c r="F3438" t="str">
        <f t="shared" si="161"/>
        <v>High Risk</v>
      </c>
      <c r="G3438" t="s">
        <v>3</v>
      </c>
      <c r="H3438" t="s">
        <v>8</v>
      </c>
      <c r="I3438" t="s">
        <v>9</v>
      </c>
      <c r="J3438">
        <v>67.06</v>
      </c>
      <c r="K3438">
        <v>26.7</v>
      </c>
      <c r="L3438" t="s">
        <v>12</v>
      </c>
      <c r="M3438">
        <v>0</v>
      </c>
      <c r="N3438" t="str">
        <f t="shared" si="159"/>
        <v>60+</v>
      </c>
      <c r="O3438" t="str">
        <f t="shared" si="160"/>
        <v>Overweight</v>
      </c>
    </row>
    <row r="3439" spans="1:15" x14ac:dyDescent="0.3">
      <c r="A3439">
        <v>33115</v>
      </c>
      <c r="B3439" t="s">
        <v>2</v>
      </c>
      <c r="C3439">
        <v>32</v>
      </c>
      <c r="D3439">
        <v>0</v>
      </c>
      <c r="E3439">
        <v>0</v>
      </c>
      <c r="F3439" t="str">
        <f t="shared" si="161"/>
        <v>Lower Risk</v>
      </c>
      <c r="G3439" t="s">
        <v>3</v>
      </c>
      <c r="H3439" t="s">
        <v>4</v>
      </c>
      <c r="I3439" t="s">
        <v>9</v>
      </c>
      <c r="J3439">
        <v>82.68</v>
      </c>
      <c r="K3439">
        <v>29.2</v>
      </c>
      <c r="L3439" t="s">
        <v>11</v>
      </c>
      <c r="M3439">
        <v>0</v>
      </c>
      <c r="N3439" t="str">
        <f t="shared" si="159"/>
        <v>Under 40</v>
      </c>
      <c r="O3439" t="str">
        <f t="shared" si="160"/>
        <v>Overweight</v>
      </c>
    </row>
    <row r="3440" spans="1:15" x14ac:dyDescent="0.3">
      <c r="A3440">
        <v>31701</v>
      </c>
      <c r="B3440" t="s">
        <v>2</v>
      </c>
      <c r="C3440">
        <v>16</v>
      </c>
      <c r="D3440">
        <v>0</v>
      </c>
      <c r="E3440">
        <v>0</v>
      </c>
      <c r="F3440" t="str">
        <f t="shared" si="161"/>
        <v>Lower Risk</v>
      </c>
      <c r="G3440" t="s">
        <v>13</v>
      </c>
      <c r="H3440" t="s">
        <v>4</v>
      </c>
      <c r="I3440" t="s">
        <v>9</v>
      </c>
      <c r="J3440">
        <v>125.89</v>
      </c>
      <c r="K3440">
        <v>21.3</v>
      </c>
      <c r="L3440" t="s">
        <v>11</v>
      </c>
      <c r="M3440">
        <v>0</v>
      </c>
      <c r="N3440" t="str">
        <f t="shared" si="159"/>
        <v>Under 40</v>
      </c>
      <c r="O3440" t="str">
        <f t="shared" si="160"/>
        <v>Normal</v>
      </c>
    </row>
    <row r="3441" spans="1:15" x14ac:dyDescent="0.3">
      <c r="A3441">
        <v>21661</v>
      </c>
      <c r="B3441" t="s">
        <v>7</v>
      </c>
      <c r="C3441">
        <v>68</v>
      </c>
      <c r="D3441">
        <v>0</v>
      </c>
      <c r="E3441">
        <v>0</v>
      </c>
      <c r="F3441" t="str">
        <f t="shared" si="161"/>
        <v>Moderate Risk</v>
      </c>
      <c r="G3441" t="s">
        <v>3</v>
      </c>
      <c r="H3441" t="s">
        <v>15</v>
      </c>
      <c r="I3441" t="s">
        <v>5</v>
      </c>
      <c r="J3441">
        <v>228.05</v>
      </c>
      <c r="K3441">
        <v>51.9</v>
      </c>
      <c r="L3441" t="s">
        <v>14</v>
      </c>
      <c r="M3441">
        <v>0</v>
      </c>
      <c r="N3441" t="str">
        <f t="shared" si="159"/>
        <v>60+</v>
      </c>
      <c r="O3441" t="str">
        <f t="shared" si="160"/>
        <v>Obese</v>
      </c>
    </row>
    <row r="3442" spans="1:15" x14ac:dyDescent="0.3">
      <c r="A3442">
        <v>18837</v>
      </c>
      <c r="B3442" t="s">
        <v>2</v>
      </c>
      <c r="C3442">
        <v>0.56000000000000005</v>
      </c>
      <c r="D3442">
        <v>0</v>
      </c>
      <c r="E3442">
        <v>0</v>
      </c>
      <c r="F3442" t="str">
        <f t="shared" si="161"/>
        <v>Lower Risk</v>
      </c>
      <c r="G3442" t="s">
        <v>13</v>
      </c>
      <c r="H3442" t="s">
        <v>16</v>
      </c>
      <c r="I3442" t="s">
        <v>5</v>
      </c>
      <c r="J3442">
        <v>98.23</v>
      </c>
      <c r="K3442">
        <v>14.1</v>
      </c>
      <c r="L3442" t="s">
        <v>14</v>
      </c>
      <c r="M3442">
        <v>0</v>
      </c>
      <c r="N3442" t="str">
        <f t="shared" si="159"/>
        <v>Under 40</v>
      </c>
      <c r="O3442" t="str">
        <f t="shared" si="160"/>
        <v>Underweight</v>
      </c>
    </row>
    <row r="3443" spans="1:15" x14ac:dyDescent="0.3">
      <c r="A3443">
        <v>57777</v>
      </c>
      <c r="B3443" t="s">
        <v>7</v>
      </c>
      <c r="C3443">
        <v>59</v>
      </c>
      <c r="D3443">
        <v>0</v>
      </c>
      <c r="E3443">
        <v>0</v>
      </c>
      <c r="F3443" t="str">
        <f t="shared" si="161"/>
        <v>Lower Risk</v>
      </c>
      <c r="G3443" t="s">
        <v>3</v>
      </c>
      <c r="H3443" t="s">
        <v>8</v>
      </c>
      <c r="I3443" t="s">
        <v>5</v>
      </c>
      <c r="J3443">
        <v>90.06</v>
      </c>
      <c r="K3443">
        <v>28.9</v>
      </c>
      <c r="L3443" t="s">
        <v>12</v>
      </c>
      <c r="M3443">
        <v>0</v>
      </c>
      <c r="N3443" t="str">
        <f t="shared" si="159"/>
        <v>40–59</v>
      </c>
      <c r="O3443" t="str">
        <f t="shared" si="160"/>
        <v>Overweight</v>
      </c>
    </row>
    <row r="3444" spans="1:15" x14ac:dyDescent="0.3">
      <c r="A3444">
        <v>62610</v>
      </c>
      <c r="B3444" t="s">
        <v>2</v>
      </c>
      <c r="C3444">
        <v>32</v>
      </c>
      <c r="D3444">
        <v>0</v>
      </c>
      <c r="E3444">
        <v>0</v>
      </c>
      <c r="F3444" t="str">
        <f t="shared" si="161"/>
        <v>Lower Risk</v>
      </c>
      <c r="G3444" t="s">
        <v>3</v>
      </c>
      <c r="H3444" t="s">
        <v>4</v>
      </c>
      <c r="I3444" t="s">
        <v>5</v>
      </c>
      <c r="J3444">
        <v>119.9</v>
      </c>
      <c r="K3444">
        <v>30.9</v>
      </c>
      <c r="L3444" t="s">
        <v>12</v>
      </c>
      <c r="M3444">
        <v>0</v>
      </c>
      <c r="N3444" t="str">
        <f t="shared" si="159"/>
        <v>Under 40</v>
      </c>
      <c r="O3444" t="str">
        <f t="shared" si="160"/>
        <v>Obese</v>
      </c>
    </row>
    <row r="3445" spans="1:15" x14ac:dyDescent="0.3">
      <c r="A3445">
        <v>2730</v>
      </c>
      <c r="B3445" t="s">
        <v>2</v>
      </c>
      <c r="C3445">
        <v>58</v>
      </c>
      <c r="D3445">
        <v>0</v>
      </c>
      <c r="E3445">
        <v>0</v>
      </c>
      <c r="F3445" t="str">
        <f t="shared" si="161"/>
        <v>Lower Risk</v>
      </c>
      <c r="G3445" t="s">
        <v>3</v>
      </c>
      <c r="H3445" t="s">
        <v>4</v>
      </c>
      <c r="I3445" t="s">
        <v>5</v>
      </c>
      <c r="J3445">
        <v>94.53</v>
      </c>
      <c r="K3445">
        <v>36.1</v>
      </c>
      <c r="L3445" t="s">
        <v>11</v>
      </c>
      <c r="M3445">
        <v>0</v>
      </c>
      <c r="N3445" t="str">
        <f t="shared" si="159"/>
        <v>40–59</v>
      </c>
      <c r="O3445" t="str">
        <f t="shared" si="160"/>
        <v>Obese</v>
      </c>
    </row>
    <row r="3446" spans="1:15" x14ac:dyDescent="0.3">
      <c r="A3446">
        <v>51116</v>
      </c>
      <c r="B3446" t="s">
        <v>7</v>
      </c>
      <c r="C3446">
        <v>40</v>
      </c>
      <c r="D3446">
        <v>0</v>
      </c>
      <c r="E3446">
        <v>0</v>
      </c>
      <c r="F3446" t="str">
        <f t="shared" si="161"/>
        <v>Lower Risk</v>
      </c>
      <c r="G3446" t="s">
        <v>3</v>
      </c>
      <c r="H3446" t="s">
        <v>8</v>
      </c>
      <c r="I3446" t="s">
        <v>5</v>
      </c>
      <c r="J3446">
        <v>64.66</v>
      </c>
      <c r="K3446">
        <v>25</v>
      </c>
      <c r="L3446" t="s">
        <v>6</v>
      </c>
      <c r="M3446">
        <v>0</v>
      </c>
      <c r="N3446" t="str">
        <f t="shared" si="159"/>
        <v>40–59</v>
      </c>
      <c r="O3446" t="str">
        <f t="shared" si="160"/>
        <v>Overweight</v>
      </c>
    </row>
    <row r="3447" spans="1:15" x14ac:dyDescent="0.3">
      <c r="A3447">
        <v>22607</v>
      </c>
      <c r="B3447" t="s">
        <v>7</v>
      </c>
      <c r="C3447">
        <v>41</v>
      </c>
      <c r="D3447">
        <v>0</v>
      </c>
      <c r="E3447">
        <v>0</v>
      </c>
      <c r="F3447" t="str">
        <f t="shared" si="161"/>
        <v>Lower Risk</v>
      </c>
      <c r="G3447" t="s">
        <v>3</v>
      </c>
      <c r="H3447" t="s">
        <v>4</v>
      </c>
      <c r="I3447" t="s">
        <v>5</v>
      </c>
      <c r="J3447">
        <v>103.79</v>
      </c>
      <c r="K3447">
        <v>28.6</v>
      </c>
      <c r="L3447" t="s">
        <v>11</v>
      </c>
      <c r="M3447">
        <v>0</v>
      </c>
      <c r="N3447" t="str">
        <f t="shared" si="159"/>
        <v>40–59</v>
      </c>
      <c r="O3447" t="str">
        <f t="shared" si="160"/>
        <v>Overweight</v>
      </c>
    </row>
    <row r="3448" spans="1:15" x14ac:dyDescent="0.3">
      <c r="A3448">
        <v>11595</v>
      </c>
      <c r="B3448" t="s">
        <v>7</v>
      </c>
      <c r="C3448">
        <v>21</v>
      </c>
      <c r="D3448">
        <v>0</v>
      </c>
      <c r="E3448">
        <v>0</v>
      </c>
      <c r="F3448" t="str">
        <f t="shared" si="161"/>
        <v>Lower Risk</v>
      </c>
      <c r="G3448" t="s">
        <v>13</v>
      </c>
      <c r="H3448" t="s">
        <v>4</v>
      </c>
      <c r="I3448" t="s">
        <v>5</v>
      </c>
      <c r="J3448">
        <v>88.51</v>
      </c>
      <c r="K3448">
        <v>20.5</v>
      </c>
      <c r="L3448" t="s">
        <v>11</v>
      </c>
      <c r="M3448">
        <v>0</v>
      </c>
      <c r="N3448" t="str">
        <f t="shared" si="159"/>
        <v>Under 40</v>
      </c>
      <c r="O3448" t="str">
        <f t="shared" si="160"/>
        <v>Normal</v>
      </c>
    </row>
    <row r="3449" spans="1:15" x14ac:dyDescent="0.3">
      <c r="A3449">
        <v>24355</v>
      </c>
      <c r="B3449" t="s">
        <v>7</v>
      </c>
      <c r="C3449">
        <v>1.88</v>
      </c>
      <c r="D3449">
        <v>0</v>
      </c>
      <c r="E3449">
        <v>0</v>
      </c>
      <c r="F3449" t="str">
        <f t="shared" si="161"/>
        <v>Lower Risk</v>
      </c>
      <c r="G3449" t="s">
        <v>13</v>
      </c>
      <c r="H3449" t="s">
        <v>16</v>
      </c>
      <c r="I3449" t="s">
        <v>9</v>
      </c>
      <c r="J3449">
        <v>97.26</v>
      </c>
      <c r="K3449">
        <v>16.7</v>
      </c>
      <c r="L3449" t="s">
        <v>14</v>
      </c>
      <c r="M3449">
        <v>0</v>
      </c>
      <c r="N3449" t="str">
        <f t="shared" si="159"/>
        <v>Under 40</v>
      </c>
      <c r="O3449" t="str">
        <f t="shared" si="160"/>
        <v>Underweight</v>
      </c>
    </row>
    <row r="3450" spans="1:15" x14ac:dyDescent="0.3">
      <c r="A3450">
        <v>32563</v>
      </c>
      <c r="B3450" t="s">
        <v>2</v>
      </c>
      <c r="C3450">
        <v>55</v>
      </c>
      <c r="D3450">
        <v>0</v>
      </c>
      <c r="E3450">
        <v>0</v>
      </c>
      <c r="F3450" t="str">
        <f t="shared" si="161"/>
        <v>Lower Risk</v>
      </c>
      <c r="G3450" t="s">
        <v>3</v>
      </c>
      <c r="H3450" t="s">
        <v>15</v>
      </c>
      <c r="I3450" t="s">
        <v>5</v>
      </c>
      <c r="J3450">
        <v>92.59</v>
      </c>
      <c r="K3450">
        <v>36.6</v>
      </c>
      <c r="L3450" t="s">
        <v>11</v>
      </c>
      <c r="M3450">
        <v>0</v>
      </c>
      <c r="N3450" t="str">
        <f t="shared" si="159"/>
        <v>40–59</v>
      </c>
      <c r="O3450" t="str">
        <f t="shared" si="160"/>
        <v>Obese</v>
      </c>
    </row>
    <row r="3451" spans="1:15" x14ac:dyDescent="0.3">
      <c r="A3451">
        <v>18266</v>
      </c>
      <c r="B3451" t="s">
        <v>7</v>
      </c>
      <c r="C3451">
        <v>67</v>
      </c>
      <c r="D3451">
        <v>0</v>
      </c>
      <c r="E3451">
        <v>0</v>
      </c>
      <c r="F3451" t="str">
        <f t="shared" si="161"/>
        <v>Moderate Risk</v>
      </c>
      <c r="G3451" t="s">
        <v>3</v>
      </c>
      <c r="H3451" t="s">
        <v>4</v>
      </c>
      <c r="I3451" t="s">
        <v>9</v>
      </c>
      <c r="J3451">
        <v>102.89</v>
      </c>
      <c r="K3451">
        <v>26.4</v>
      </c>
      <c r="L3451" t="s">
        <v>11</v>
      </c>
      <c r="M3451">
        <v>0</v>
      </c>
      <c r="N3451" t="str">
        <f t="shared" si="159"/>
        <v>60+</v>
      </c>
      <c r="O3451" t="str">
        <f t="shared" si="160"/>
        <v>Overweight</v>
      </c>
    </row>
    <row r="3452" spans="1:15" x14ac:dyDescent="0.3">
      <c r="A3452">
        <v>60088</v>
      </c>
      <c r="B3452" t="s">
        <v>2</v>
      </c>
      <c r="C3452">
        <v>49</v>
      </c>
      <c r="D3452">
        <v>1</v>
      </c>
      <c r="E3452">
        <v>0</v>
      </c>
      <c r="F3452" t="str">
        <f t="shared" si="161"/>
        <v>Lower Risk</v>
      </c>
      <c r="G3452" t="s">
        <v>3</v>
      </c>
      <c r="H3452" t="s">
        <v>8</v>
      </c>
      <c r="I3452" t="s">
        <v>9</v>
      </c>
      <c r="J3452">
        <v>92.26</v>
      </c>
      <c r="K3452">
        <v>33.1</v>
      </c>
      <c r="L3452" t="s">
        <v>6</v>
      </c>
      <c r="M3452">
        <v>0</v>
      </c>
      <c r="N3452" t="str">
        <f t="shared" si="159"/>
        <v>40–59</v>
      </c>
      <c r="O3452" t="str">
        <f t="shared" si="160"/>
        <v>Obese</v>
      </c>
    </row>
    <row r="3453" spans="1:15" x14ac:dyDescent="0.3">
      <c r="A3453">
        <v>14912</v>
      </c>
      <c r="B3453" t="s">
        <v>7</v>
      </c>
      <c r="C3453">
        <v>42</v>
      </c>
      <c r="D3453">
        <v>0</v>
      </c>
      <c r="E3453">
        <v>0</v>
      </c>
      <c r="F3453" t="str">
        <f t="shared" si="161"/>
        <v>Lower Risk</v>
      </c>
      <c r="G3453" t="s">
        <v>3</v>
      </c>
      <c r="H3453" t="s">
        <v>4</v>
      </c>
      <c r="I3453" t="s">
        <v>9</v>
      </c>
      <c r="J3453">
        <v>80</v>
      </c>
      <c r="K3453">
        <v>27.5</v>
      </c>
      <c r="L3453" t="s">
        <v>11</v>
      </c>
      <c r="M3453">
        <v>0</v>
      </c>
      <c r="N3453" t="str">
        <f t="shared" si="159"/>
        <v>40–59</v>
      </c>
      <c r="O3453" t="str">
        <f t="shared" si="160"/>
        <v>Overweight</v>
      </c>
    </row>
    <row r="3454" spans="1:15" x14ac:dyDescent="0.3">
      <c r="A3454">
        <v>49939</v>
      </c>
      <c r="B3454" t="s">
        <v>7</v>
      </c>
      <c r="C3454">
        <v>54</v>
      </c>
      <c r="D3454">
        <v>0</v>
      </c>
      <c r="E3454">
        <v>0</v>
      </c>
      <c r="F3454" t="str">
        <f t="shared" si="161"/>
        <v>Lower Risk</v>
      </c>
      <c r="G3454" t="s">
        <v>3</v>
      </c>
      <c r="H3454" t="s">
        <v>8</v>
      </c>
      <c r="I3454" t="s">
        <v>5</v>
      </c>
      <c r="J3454">
        <v>56.75</v>
      </c>
      <c r="K3454">
        <v>26.9</v>
      </c>
      <c r="L3454" t="s">
        <v>11</v>
      </c>
      <c r="M3454">
        <v>0</v>
      </c>
      <c r="N3454" t="str">
        <f t="shared" si="159"/>
        <v>40–59</v>
      </c>
      <c r="O3454" t="str">
        <f t="shared" si="160"/>
        <v>Overweight</v>
      </c>
    </row>
    <row r="3455" spans="1:15" x14ac:dyDescent="0.3">
      <c r="A3455">
        <v>64534</v>
      </c>
      <c r="B3455" t="s">
        <v>7</v>
      </c>
      <c r="C3455">
        <v>25</v>
      </c>
      <c r="D3455">
        <v>0</v>
      </c>
      <c r="E3455">
        <v>0</v>
      </c>
      <c r="F3455" t="str">
        <f t="shared" si="161"/>
        <v>Lower Risk</v>
      </c>
      <c r="G3455" t="s">
        <v>3</v>
      </c>
      <c r="H3455" t="s">
        <v>4</v>
      </c>
      <c r="I3455" t="s">
        <v>5</v>
      </c>
      <c r="J3455">
        <v>104.66</v>
      </c>
      <c r="K3455">
        <v>23.9</v>
      </c>
      <c r="L3455" t="s">
        <v>11</v>
      </c>
      <c r="M3455">
        <v>0</v>
      </c>
      <c r="N3455" t="str">
        <f t="shared" si="159"/>
        <v>Under 40</v>
      </c>
      <c r="O3455" t="str">
        <f t="shared" si="160"/>
        <v>Normal</v>
      </c>
    </row>
    <row r="3456" spans="1:15" x14ac:dyDescent="0.3">
      <c r="A3456">
        <v>62914</v>
      </c>
      <c r="B3456" t="s">
        <v>2</v>
      </c>
      <c r="C3456">
        <v>62</v>
      </c>
      <c r="D3456">
        <v>0</v>
      </c>
      <c r="E3456">
        <v>0</v>
      </c>
      <c r="F3456" t="str">
        <f t="shared" si="161"/>
        <v>Moderate Risk</v>
      </c>
      <c r="G3456" t="s">
        <v>3</v>
      </c>
      <c r="H3456" t="s">
        <v>4</v>
      </c>
      <c r="I3456" t="s">
        <v>9</v>
      </c>
      <c r="J3456">
        <v>60.39</v>
      </c>
      <c r="K3456">
        <v>26.9</v>
      </c>
      <c r="L3456" t="s">
        <v>14</v>
      </c>
      <c r="M3456">
        <v>0</v>
      </c>
      <c r="N3456" t="str">
        <f t="shared" si="159"/>
        <v>60+</v>
      </c>
      <c r="O3456" t="str">
        <f t="shared" si="160"/>
        <v>Overweight</v>
      </c>
    </row>
    <row r="3457" spans="1:15" x14ac:dyDescent="0.3">
      <c r="A3457">
        <v>4297</v>
      </c>
      <c r="B3457" t="s">
        <v>2</v>
      </c>
      <c r="C3457">
        <v>75</v>
      </c>
      <c r="D3457">
        <v>0</v>
      </c>
      <c r="E3457">
        <v>0</v>
      </c>
      <c r="F3457" t="str">
        <f t="shared" si="161"/>
        <v>Moderate Risk</v>
      </c>
      <c r="G3457" t="s">
        <v>3</v>
      </c>
      <c r="H3457" t="s">
        <v>15</v>
      </c>
      <c r="I3457" t="s">
        <v>5</v>
      </c>
      <c r="J3457">
        <v>223.14</v>
      </c>
      <c r="K3457">
        <v>27.8</v>
      </c>
      <c r="L3457" t="s">
        <v>11</v>
      </c>
      <c r="M3457">
        <v>0</v>
      </c>
      <c r="N3457" t="str">
        <f t="shared" si="159"/>
        <v>60+</v>
      </c>
      <c r="O3457" t="str">
        <f t="shared" si="160"/>
        <v>Overweight</v>
      </c>
    </row>
    <row r="3458" spans="1:15" x14ac:dyDescent="0.3">
      <c r="A3458">
        <v>20399</v>
      </c>
      <c r="B3458" t="s">
        <v>7</v>
      </c>
      <c r="C3458">
        <v>72</v>
      </c>
      <c r="D3458">
        <v>1</v>
      </c>
      <c r="E3458">
        <v>0</v>
      </c>
      <c r="F3458" t="str">
        <f t="shared" si="161"/>
        <v>High Risk</v>
      </c>
      <c r="G3458" t="s">
        <v>3</v>
      </c>
      <c r="H3458" t="s">
        <v>4</v>
      </c>
      <c r="I3458" t="s">
        <v>5</v>
      </c>
      <c r="J3458">
        <v>105.51</v>
      </c>
      <c r="K3458">
        <v>32.700000000000003</v>
      </c>
      <c r="L3458" t="s">
        <v>11</v>
      </c>
      <c r="M3458">
        <v>0</v>
      </c>
      <c r="N3458" t="str">
        <f t="shared" ref="N3458:N3521" si="162">IF(C3458&lt;40,"Under 40",IF(C3458&lt;60,"40–59","60+"))</f>
        <v>60+</v>
      </c>
      <c r="O3458" t="str">
        <f t="shared" ref="O3458:O3521" si="163">IF(K3458="N/A","Unknown",
IF(K3458="","Unknown",
IF(K3458&lt;18.5,"Underweight",
IF(K3458&lt;25,"Normal",
IF(K3458&lt;30,"Overweight","Obese")))))</f>
        <v>Obese</v>
      </c>
    </row>
    <row r="3459" spans="1:15" x14ac:dyDescent="0.3">
      <c r="A3459">
        <v>1112</v>
      </c>
      <c r="B3459" t="s">
        <v>7</v>
      </c>
      <c r="C3459">
        <v>14</v>
      </c>
      <c r="D3459">
        <v>0</v>
      </c>
      <c r="E3459">
        <v>0</v>
      </c>
      <c r="F3459" t="str">
        <f t="shared" ref="F3459:F3522" si="164">IF(C3459&gt;=60,
IF(OR(D3459=1,E3459=1),"High Risk","Moderate Risk"),
"Lower Risk")</f>
        <v>Lower Risk</v>
      </c>
      <c r="G3459" t="s">
        <v>13</v>
      </c>
      <c r="H3459" t="s">
        <v>4</v>
      </c>
      <c r="I3459" t="s">
        <v>5</v>
      </c>
      <c r="J3459">
        <v>83.42</v>
      </c>
      <c r="K3459">
        <v>28.7</v>
      </c>
      <c r="L3459" t="s">
        <v>11</v>
      </c>
      <c r="M3459">
        <v>0</v>
      </c>
      <c r="N3459" t="str">
        <f t="shared" si="162"/>
        <v>Under 40</v>
      </c>
      <c r="O3459" t="str">
        <f t="shared" si="163"/>
        <v>Overweight</v>
      </c>
    </row>
    <row r="3460" spans="1:15" x14ac:dyDescent="0.3">
      <c r="A3460">
        <v>13276</v>
      </c>
      <c r="B3460" t="s">
        <v>7</v>
      </c>
      <c r="C3460">
        <v>38</v>
      </c>
      <c r="D3460">
        <v>0</v>
      </c>
      <c r="E3460">
        <v>0</v>
      </c>
      <c r="F3460" t="str">
        <f t="shared" si="164"/>
        <v>Lower Risk</v>
      </c>
      <c r="G3460" t="s">
        <v>3</v>
      </c>
      <c r="H3460" t="s">
        <v>4</v>
      </c>
      <c r="I3460" t="s">
        <v>5</v>
      </c>
      <c r="J3460">
        <v>71.06</v>
      </c>
      <c r="K3460">
        <v>22.6</v>
      </c>
      <c r="L3460" t="s">
        <v>14</v>
      </c>
      <c r="M3460">
        <v>0</v>
      </c>
      <c r="N3460" t="str">
        <f t="shared" si="162"/>
        <v>Under 40</v>
      </c>
      <c r="O3460" t="str">
        <f t="shared" si="163"/>
        <v>Normal</v>
      </c>
    </row>
    <row r="3461" spans="1:15" x14ac:dyDescent="0.3">
      <c r="A3461">
        <v>1260</v>
      </c>
      <c r="B3461" t="s">
        <v>2</v>
      </c>
      <c r="C3461">
        <v>59</v>
      </c>
      <c r="D3461">
        <v>0</v>
      </c>
      <c r="E3461">
        <v>0</v>
      </c>
      <c r="F3461" t="str">
        <f t="shared" si="164"/>
        <v>Lower Risk</v>
      </c>
      <c r="G3461" t="s">
        <v>3</v>
      </c>
      <c r="H3461" t="s">
        <v>15</v>
      </c>
      <c r="I3461" t="s">
        <v>5</v>
      </c>
      <c r="J3461">
        <v>101.24</v>
      </c>
      <c r="K3461">
        <v>26.5</v>
      </c>
      <c r="L3461" t="s">
        <v>11</v>
      </c>
      <c r="M3461">
        <v>0</v>
      </c>
      <c r="N3461" t="str">
        <f t="shared" si="162"/>
        <v>40–59</v>
      </c>
      <c r="O3461" t="str">
        <f t="shared" si="163"/>
        <v>Overweight</v>
      </c>
    </row>
    <row r="3462" spans="1:15" x14ac:dyDescent="0.3">
      <c r="A3462">
        <v>40509</v>
      </c>
      <c r="B3462" t="s">
        <v>7</v>
      </c>
      <c r="C3462">
        <v>23</v>
      </c>
      <c r="D3462">
        <v>0</v>
      </c>
      <c r="E3462">
        <v>0</v>
      </c>
      <c r="F3462" t="str">
        <f t="shared" si="164"/>
        <v>Lower Risk</v>
      </c>
      <c r="G3462" t="s">
        <v>13</v>
      </c>
      <c r="H3462" t="s">
        <v>4</v>
      </c>
      <c r="I3462" t="s">
        <v>5</v>
      </c>
      <c r="J3462">
        <v>91.19</v>
      </c>
      <c r="K3462">
        <v>28.3</v>
      </c>
      <c r="L3462" t="s">
        <v>11</v>
      </c>
      <c r="M3462">
        <v>0</v>
      </c>
      <c r="N3462" t="str">
        <f t="shared" si="162"/>
        <v>Under 40</v>
      </c>
      <c r="O3462" t="str">
        <f t="shared" si="163"/>
        <v>Overweight</v>
      </c>
    </row>
    <row r="3463" spans="1:15" x14ac:dyDescent="0.3">
      <c r="A3463">
        <v>15241</v>
      </c>
      <c r="B3463" t="s">
        <v>7</v>
      </c>
      <c r="C3463">
        <v>63</v>
      </c>
      <c r="D3463">
        <v>1</v>
      </c>
      <c r="E3463">
        <v>1</v>
      </c>
      <c r="F3463" t="str">
        <f t="shared" si="164"/>
        <v>High Risk</v>
      </c>
      <c r="G3463" t="s">
        <v>13</v>
      </c>
      <c r="H3463" t="s">
        <v>15</v>
      </c>
      <c r="I3463" t="s">
        <v>5</v>
      </c>
      <c r="J3463">
        <v>174.43</v>
      </c>
      <c r="K3463">
        <v>24.3</v>
      </c>
      <c r="L3463" t="s">
        <v>11</v>
      </c>
      <c r="M3463">
        <v>0</v>
      </c>
      <c r="N3463" t="str">
        <f t="shared" si="162"/>
        <v>60+</v>
      </c>
      <c r="O3463" t="str">
        <f t="shared" si="163"/>
        <v>Normal</v>
      </c>
    </row>
    <row r="3464" spans="1:15" x14ac:dyDescent="0.3">
      <c r="A3464">
        <v>31344</v>
      </c>
      <c r="B3464" t="s">
        <v>2</v>
      </c>
      <c r="C3464">
        <v>82</v>
      </c>
      <c r="D3464">
        <v>0</v>
      </c>
      <c r="E3464">
        <v>0</v>
      </c>
      <c r="F3464" t="str">
        <f t="shared" si="164"/>
        <v>Moderate Risk</v>
      </c>
      <c r="G3464" t="s">
        <v>3</v>
      </c>
      <c r="H3464" t="s">
        <v>8</v>
      </c>
      <c r="I3464" t="s">
        <v>5</v>
      </c>
      <c r="J3464">
        <v>214.51</v>
      </c>
      <c r="K3464">
        <v>24</v>
      </c>
      <c r="L3464" t="s">
        <v>6</v>
      </c>
      <c r="M3464">
        <v>0</v>
      </c>
      <c r="N3464" t="str">
        <f t="shared" si="162"/>
        <v>60+</v>
      </c>
      <c r="O3464" t="str">
        <f t="shared" si="163"/>
        <v>Normal</v>
      </c>
    </row>
    <row r="3465" spans="1:15" x14ac:dyDescent="0.3">
      <c r="A3465">
        <v>55169</v>
      </c>
      <c r="B3465" t="s">
        <v>2</v>
      </c>
      <c r="C3465">
        <v>34</v>
      </c>
      <c r="D3465">
        <v>0</v>
      </c>
      <c r="E3465">
        <v>0</v>
      </c>
      <c r="F3465" t="str">
        <f t="shared" si="164"/>
        <v>Lower Risk</v>
      </c>
      <c r="G3465" t="s">
        <v>3</v>
      </c>
      <c r="H3465" t="s">
        <v>4</v>
      </c>
      <c r="I3465" t="s">
        <v>9</v>
      </c>
      <c r="J3465">
        <v>72.64</v>
      </c>
      <c r="K3465">
        <v>32.4</v>
      </c>
      <c r="L3465" t="s">
        <v>11</v>
      </c>
      <c r="M3465">
        <v>0</v>
      </c>
      <c r="N3465" t="str">
        <f t="shared" si="162"/>
        <v>Under 40</v>
      </c>
      <c r="O3465" t="str">
        <f t="shared" si="163"/>
        <v>Obese</v>
      </c>
    </row>
    <row r="3466" spans="1:15" x14ac:dyDescent="0.3">
      <c r="A3466">
        <v>55740</v>
      </c>
      <c r="B3466" t="s">
        <v>7</v>
      </c>
      <c r="C3466">
        <v>8</v>
      </c>
      <c r="D3466">
        <v>0</v>
      </c>
      <c r="E3466">
        <v>0</v>
      </c>
      <c r="F3466" t="str">
        <f t="shared" si="164"/>
        <v>Lower Risk</v>
      </c>
      <c r="G3466" t="s">
        <v>13</v>
      </c>
      <c r="H3466" t="s">
        <v>16</v>
      </c>
      <c r="I3466" t="s">
        <v>5</v>
      </c>
      <c r="J3466">
        <v>62.69</v>
      </c>
      <c r="K3466">
        <v>28.7</v>
      </c>
      <c r="L3466" t="s">
        <v>14</v>
      </c>
      <c r="M3466">
        <v>0</v>
      </c>
      <c r="N3466" t="str">
        <f t="shared" si="162"/>
        <v>Under 40</v>
      </c>
      <c r="O3466" t="str">
        <f t="shared" si="163"/>
        <v>Overweight</v>
      </c>
    </row>
    <row r="3467" spans="1:15" x14ac:dyDescent="0.3">
      <c r="A3467">
        <v>62513</v>
      </c>
      <c r="B3467" t="s">
        <v>7</v>
      </c>
      <c r="C3467">
        <v>28</v>
      </c>
      <c r="D3467">
        <v>0</v>
      </c>
      <c r="E3467">
        <v>0</v>
      </c>
      <c r="F3467" t="str">
        <f t="shared" si="164"/>
        <v>Lower Risk</v>
      </c>
      <c r="G3467" t="s">
        <v>3</v>
      </c>
      <c r="H3467" t="s">
        <v>4</v>
      </c>
      <c r="I3467" t="s">
        <v>9</v>
      </c>
      <c r="J3467">
        <v>141.16</v>
      </c>
      <c r="K3467">
        <v>36.700000000000003</v>
      </c>
      <c r="L3467" t="s">
        <v>11</v>
      </c>
      <c r="M3467">
        <v>0</v>
      </c>
      <c r="N3467" t="str">
        <f t="shared" si="162"/>
        <v>Under 40</v>
      </c>
      <c r="O3467" t="str">
        <f t="shared" si="163"/>
        <v>Obese</v>
      </c>
    </row>
    <row r="3468" spans="1:15" x14ac:dyDescent="0.3">
      <c r="A3468">
        <v>18040</v>
      </c>
      <c r="B3468" t="s">
        <v>7</v>
      </c>
      <c r="C3468">
        <v>49</v>
      </c>
      <c r="D3468">
        <v>0</v>
      </c>
      <c r="E3468">
        <v>0</v>
      </c>
      <c r="F3468" t="str">
        <f t="shared" si="164"/>
        <v>Lower Risk</v>
      </c>
      <c r="G3468" t="s">
        <v>3</v>
      </c>
      <c r="H3468" t="s">
        <v>15</v>
      </c>
      <c r="I3468" t="s">
        <v>9</v>
      </c>
      <c r="J3468">
        <v>89.61</v>
      </c>
      <c r="K3468">
        <v>27.7</v>
      </c>
      <c r="L3468" t="s">
        <v>11</v>
      </c>
      <c r="M3468">
        <v>0</v>
      </c>
      <c r="N3468" t="str">
        <f t="shared" si="162"/>
        <v>40–59</v>
      </c>
      <c r="O3468" t="str">
        <f t="shared" si="163"/>
        <v>Overweight</v>
      </c>
    </row>
    <row r="3469" spans="1:15" x14ac:dyDescent="0.3">
      <c r="A3469">
        <v>10374</v>
      </c>
      <c r="B3469" t="s">
        <v>7</v>
      </c>
      <c r="C3469">
        <v>24</v>
      </c>
      <c r="D3469">
        <v>0</v>
      </c>
      <c r="E3469">
        <v>0</v>
      </c>
      <c r="F3469" t="str">
        <f t="shared" si="164"/>
        <v>Lower Risk</v>
      </c>
      <c r="G3469" t="s">
        <v>3</v>
      </c>
      <c r="H3469" t="s">
        <v>4</v>
      </c>
      <c r="I3469" t="s">
        <v>9</v>
      </c>
      <c r="J3469">
        <v>76.42</v>
      </c>
      <c r="K3469">
        <v>24.8</v>
      </c>
      <c r="L3469" t="s">
        <v>12</v>
      </c>
      <c r="M3469">
        <v>0</v>
      </c>
      <c r="N3469" t="str">
        <f t="shared" si="162"/>
        <v>Under 40</v>
      </c>
      <c r="O3469" t="str">
        <f t="shared" si="163"/>
        <v>Normal</v>
      </c>
    </row>
    <row r="3470" spans="1:15" x14ac:dyDescent="0.3">
      <c r="A3470">
        <v>37209</v>
      </c>
      <c r="B3470" t="s">
        <v>2</v>
      </c>
      <c r="C3470">
        <v>17</v>
      </c>
      <c r="D3470">
        <v>0</v>
      </c>
      <c r="E3470">
        <v>0</v>
      </c>
      <c r="F3470" t="str">
        <f t="shared" si="164"/>
        <v>Lower Risk</v>
      </c>
      <c r="G3470" t="s">
        <v>13</v>
      </c>
      <c r="H3470" t="s">
        <v>17</v>
      </c>
      <c r="I3470" t="s">
        <v>9</v>
      </c>
      <c r="J3470">
        <v>124.38</v>
      </c>
      <c r="K3470">
        <v>31.2</v>
      </c>
      <c r="L3470" t="s">
        <v>11</v>
      </c>
      <c r="M3470">
        <v>0</v>
      </c>
      <c r="N3470" t="str">
        <f t="shared" si="162"/>
        <v>Under 40</v>
      </c>
      <c r="O3470" t="str">
        <f t="shared" si="163"/>
        <v>Obese</v>
      </c>
    </row>
    <row r="3471" spans="1:15" x14ac:dyDescent="0.3">
      <c r="A3471">
        <v>62306</v>
      </c>
      <c r="B3471" t="s">
        <v>7</v>
      </c>
      <c r="C3471">
        <v>69</v>
      </c>
      <c r="D3471">
        <v>1</v>
      </c>
      <c r="E3471">
        <v>0</v>
      </c>
      <c r="F3471" t="str">
        <f t="shared" si="164"/>
        <v>High Risk</v>
      </c>
      <c r="G3471" t="s">
        <v>3</v>
      </c>
      <c r="H3471" t="s">
        <v>8</v>
      </c>
      <c r="I3471" t="s">
        <v>5</v>
      </c>
      <c r="J3471">
        <v>111.81</v>
      </c>
      <c r="K3471">
        <v>26.1</v>
      </c>
      <c r="L3471" t="s">
        <v>6</v>
      </c>
      <c r="M3471">
        <v>0</v>
      </c>
      <c r="N3471" t="str">
        <f t="shared" si="162"/>
        <v>60+</v>
      </c>
      <c r="O3471" t="str">
        <f t="shared" si="163"/>
        <v>Overweight</v>
      </c>
    </row>
    <row r="3472" spans="1:15" x14ac:dyDescent="0.3">
      <c r="A3472">
        <v>54101</v>
      </c>
      <c r="B3472" t="s">
        <v>7</v>
      </c>
      <c r="C3472">
        <v>58</v>
      </c>
      <c r="D3472">
        <v>0</v>
      </c>
      <c r="E3472">
        <v>0</v>
      </c>
      <c r="F3472" t="str">
        <f t="shared" si="164"/>
        <v>Lower Risk</v>
      </c>
      <c r="G3472" t="s">
        <v>3</v>
      </c>
      <c r="H3472" t="s">
        <v>8</v>
      </c>
      <c r="I3472" t="s">
        <v>9</v>
      </c>
      <c r="J3472">
        <v>57.57</v>
      </c>
      <c r="K3472">
        <v>26.8</v>
      </c>
      <c r="L3472" t="s">
        <v>14</v>
      </c>
      <c r="M3472">
        <v>0</v>
      </c>
      <c r="N3472" t="str">
        <f t="shared" si="162"/>
        <v>40–59</v>
      </c>
      <c r="O3472" t="str">
        <f t="shared" si="163"/>
        <v>Overweight</v>
      </c>
    </row>
    <row r="3473" spans="1:15" x14ac:dyDescent="0.3">
      <c r="A3473">
        <v>12259</v>
      </c>
      <c r="B3473" t="s">
        <v>2</v>
      </c>
      <c r="C3473">
        <v>50</v>
      </c>
      <c r="D3473">
        <v>0</v>
      </c>
      <c r="E3473">
        <v>0</v>
      </c>
      <c r="F3473" t="str">
        <f t="shared" si="164"/>
        <v>Lower Risk</v>
      </c>
      <c r="G3473" t="s">
        <v>3</v>
      </c>
      <c r="H3473" t="s">
        <v>4</v>
      </c>
      <c r="I3473" t="s">
        <v>5</v>
      </c>
      <c r="J3473">
        <v>77.819999999999993</v>
      </c>
      <c r="K3473">
        <v>26.7</v>
      </c>
      <c r="L3473" t="s">
        <v>6</v>
      </c>
      <c r="M3473">
        <v>0</v>
      </c>
      <c r="N3473" t="str">
        <f t="shared" si="162"/>
        <v>40–59</v>
      </c>
      <c r="O3473" t="str">
        <f t="shared" si="163"/>
        <v>Overweight</v>
      </c>
    </row>
    <row r="3474" spans="1:15" x14ac:dyDescent="0.3">
      <c r="A3474">
        <v>37634</v>
      </c>
      <c r="B3474" t="s">
        <v>2</v>
      </c>
      <c r="C3474">
        <v>5</v>
      </c>
      <c r="D3474">
        <v>0</v>
      </c>
      <c r="E3474">
        <v>0</v>
      </c>
      <c r="F3474" t="str">
        <f t="shared" si="164"/>
        <v>Lower Risk</v>
      </c>
      <c r="G3474" t="s">
        <v>13</v>
      </c>
      <c r="H3474" t="s">
        <v>16</v>
      </c>
      <c r="I3474" t="s">
        <v>5</v>
      </c>
      <c r="J3474">
        <v>60.09</v>
      </c>
      <c r="K3474">
        <v>19.600000000000001</v>
      </c>
      <c r="L3474" t="s">
        <v>14</v>
      </c>
      <c r="M3474">
        <v>0</v>
      </c>
      <c r="N3474" t="str">
        <f t="shared" si="162"/>
        <v>Under 40</v>
      </c>
      <c r="O3474" t="str">
        <f t="shared" si="163"/>
        <v>Normal</v>
      </c>
    </row>
    <row r="3475" spans="1:15" x14ac:dyDescent="0.3">
      <c r="A3475">
        <v>22548</v>
      </c>
      <c r="B3475" t="s">
        <v>7</v>
      </c>
      <c r="C3475">
        <v>34</v>
      </c>
      <c r="D3475">
        <v>0</v>
      </c>
      <c r="E3475">
        <v>0</v>
      </c>
      <c r="F3475" t="str">
        <f t="shared" si="164"/>
        <v>Lower Risk</v>
      </c>
      <c r="G3475" t="s">
        <v>3</v>
      </c>
      <c r="H3475" t="s">
        <v>4</v>
      </c>
      <c r="I3475" t="s">
        <v>5</v>
      </c>
      <c r="J3475">
        <v>91.02</v>
      </c>
      <c r="K3475">
        <v>25.8</v>
      </c>
      <c r="L3475" t="s">
        <v>11</v>
      </c>
      <c r="M3475">
        <v>0</v>
      </c>
      <c r="N3475" t="str">
        <f t="shared" si="162"/>
        <v>Under 40</v>
      </c>
      <c r="O3475" t="str">
        <f t="shared" si="163"/>
        <v>Overweight</v>
      </c>
    </row>
    <row r="3476" spans="1:15" x14ac:dyDescent="0.3">
      <c r="A3476">
        <v>65407</v>
      </c>
      <c r="B3476" t="s">
        <v>7</v>
      </c>
      <c r="C3476">
        <v>64</v>
      </c>
      <c r="D3476">
        <v>0</v>
      </c>
      <c r="E3476">
        <v>0</v>
      </c>
      <c r="F3476" t="str">
        <f t="shared" si="164"/>
        <v>Moderate Risk</v>
      </c>
      <c r="G3476" t="s">
        <v>3</v>
      </c>
      <c r="H3476" t="s">
        <v>8</v>
      </c>
      <c r="I3476" t="s">
        <v>9</v>
      </c>
      <c r="J3476">
        <v>65.459999999999994</v>
      </c>
      <c r="K3476">
        <v>32.5</v>
      </c>
      <c r="L3476" t="s">
        <v>6</v>
      </c>
      <c r="M3476">
        <v>0</v>
      </c>
      <c r="N3476" t="str">
        <f t="shared" si="162"/>
        <v>60+</v>
      </c>
      <c r="O3476" t="str">
        <f t="shared" si="163"/>
        <v>Obese</v>
      </c>
    </row>
    <row r="3477" spans="1:15" x14ac:dyDescent="0.3">
      <c r="A3477">
        <v>50723</v>
      </c>
      <c r="B3477" t="s">
        <v>2</v>
      </c>
      <c r="C3477">
        <v>47</v>
      </c>
      <c r="D3477">
        <v>0</v>
      </c>
      <c r="E3477">
        <v>0</v>
      </c>
      <c r="F3477" t="str">
        <f t="shared" si="164"/>
        <v>Lower Risk</v>
      </c>
      <c r="G3477" t="s">
        <v>3</v>
      </c>
      <c r="H3477" t="s">
        <v>4</v>
      </c>
      <c r="I3477" t="s">
        <v>9</v>
      </c>
      <c r="J3477">
        <v>131.19</v>
      </c>
      <c r="K3477">
        <v>28.3</v>
      </c>
      <c r="L3477" t="s">
        <v>12</v>
      </c>
      <c r="M3477">
        <v>0</v>
      </c>
      <c r="N3477" t="str">
        <f t="shared" si="162"/>
        <v>40–59</v>
      </c>
      <c r="O3477" t="str">
        <f t="shared" si="163"/>
        <v>Overweight</v>
      </c>
    </row>
    <row r="3478" spans="1:15" x14ac:dyDescent="0.3">
      <c r="A3478">
        <v>20890</v>
      </c>
      <c r="B3478" t="s">
        <v>7</v>
      </c>
      <c r="C3478">
        <v>61</v>
      </c>
      <c r="D3478">
        <v>0</v>
      </c>
      <c r="E3478">
        <v>0</v>
      </c>
      <c r="F3478" t="str">
        <f t="shared" si="164"/>
        <v>Moderate Risk</v>
      </c>
      <c r="G3478" t="s">
        <v>3</v>
      </c>
      <c r="H3478" t="s">
        <v>4</v>
      </c>
      <c r="I3478" t="s">
        <v>9</v>
      </c>
      <c r="J3478">
        <v>79.89</v>
      </c>
      <c r="K3478">
        <v>24.5</v>
      </c>
      <c r="L3478" t="s">
        <v>12</v>
      </c>
      <c r="M3478">
        <v>0</v>
      </c>
      <c r="N3478" t="str">
        <f t="shared" si="162"/>
        <v>60+</v>
      </c>
      <c r="O3478" t="str">
        <f t="shared" si="163"/>
        <v>Normal</v>
      </c>
    </row>
    <row r="3479" spans="1:15" x14ac:dyDescent="0.3">
      <c r="A3479">
        <v>52472</v>
      </c>
      <c r="B3479" t="s">
        <v>2</v>
      </c>
      <c r="C3479">
        <v>14</v>
      </c>
      <c r="D3479">
        <v>0</v>
      </c>
      <c r="E3479">
        <v>0</v>
      </c>
      <c r="F3479" t="str">
        <f t="shared" si="164"/>
        <v>Lower Risk</v>
      </c>
      <c r="G3479" t="s">
        <v>13</v>
      </c>
      <c r="H3479" t="s">
        <v>16</v>
      </c>
      <c r="I3479" t="s">
        <v>5</v>
      </c>
      <c r="J3479">
        <v>74.540000000000006</v>
      </c>
      <c r="K3479">
        <v>25.2</v>
      </c>
      <c r="L3479" t="s">
        <v>14</v>
      </c>
      <c r="M3479">
        <v>0</v>
      </c>
      <c r="N3479" t="str">
        <f t="shared" si="162"/>
        <v>Under 40</v>
      </c>
      <c r="O3479" t="str">
        <f t="shared" si="163"/>
        <v>Overweight</v>
      </c>
    </row>
    <row r="3480" spans="1:15" x14ac:dyDescent="0.3">
      <c r="A3480">
        <v>42859</v>
      </c>
      <c r="B3480" t="s">
        <v>7</v>
      </c>
      <c r="C3480">
        <v>57</v>
      </c>
      <c r="D3480">
        <v>0</v>
      </c>
      <c r="E3480">
        <v>0</v>
      </c>
      <c r="F3480" t="str">
        <f t="shared" si="164"/>
        <v>Lower Risk</v>
      </c>
      <c r="G3480" t="s">
        <v>3</v>
      </c>
      <c r="H3480" t="s">
        <v>4</v>
      </c>
      <c r="I3480" t="s">
        <v>5</v>
      </c>
      <c r="J3480">
        <v>231.31</v>
      </c>
      <c r="K3480">
        <v>32.299999999999997</v>
      </c>
      <c r="L3480" t="s">
        <v>11</v>
      </c>
      <c r="M3480">
        <v>0</v>
      </c>
      <c r="N3480" t="str">
        <f t="shared" si="162"/>
        <v>40–59</v>
      </c>
      <c r="O3480" t="str">
        <f t="shared" si="163"/>
        <v>Obese</v>
      </c>
    </row>
    <row r="3481" spans="1:15" x14ac:dyDescent="0.3">
      <c r="A3481">
        <v>3167</v>
      </c>
      <c r="B3481" t="s">
        <v>2</v>
      </c>
      <c r="C3481">
        <v>53</v>
      </c>
      <c r="D3481">
        <v>0</v>
      </c>
      <c r="E3481">
        <v>1</v>
      </c>
      <c r="F3481" t="str">
        <f t="shared" si="164"/>
        <v>Lower Risk</v>
      </c>
      <c r="G3481" t="s">
        <v>3</v>
      </c>
      <c r="H3481" t="s">
        <v>4</v>
      </c>
      <c r="I3481" t="s">
        <v>5</v>
      </c>
      <c r="J3481">
        <v>91.57</v>
      </c>
      <c r="K3481">
        <v>30.1</v>
      </c>
      <c r="L3481" t="s">
        <v>6</v>
      </c>
      <c r="M3481">
        <v>0</v>
      </c>
      <c r="N3481" t="str">
        <f t="shared" si="162"/>
        <v>40–59</v>
      </c>
      <c r="O3481" t="str">
        <f t="shared" si="163"/>
        <v>Obese</v>
      </c>
    </row>
    <row r="3482" spans="1:15" x14ac:dyDescent="0.3">
      <c r="A3482">
        <v>56469</v>
      </c>
      <c r="B3482" t="s">
        <v>2</v>
      </c>
      <c r="C3482">
        <v>67</v>
      </c>
      <c r="D3482">
        <v>0</v>
      </c>
      <c r="E3482">
        <v>0</v>
      </c>
      <c r="F3482" t="str">
        <f t="shared" si="164"/>
        <v>Moderate Risk</v>
      </c>
      <c r="G3482" t="s">
        <v>3</v>
      </c>
      <c r="H3482" t="s">
        <v>4</v>
      </c>
      <c r="I3482" t="s">
        <v>5</v>
      </c>
      <c r="J3482">
        <v>238.78</v>
      </c>
      <c r="K3482">
        <v>35.700000000000003</v>
      </c>
      <c r="L3482" t="s">
        <v>6</v>
      </c>
      <c r="M3482">
        <v>0</v>
      </c>
      <c r="N3482" t="str">
        <f t="shared" si="162"/>
        <v>60+</v>
      </c>
      <c r="O3482" t="str">
        <f t="shared" si="163"/>
        <v>Obese</v>
      </c>
    </row>
    <row r="3483" spans="1:15" x14ac:dyDescent="0.3">
      <c r="A3483">
        <v>23851</v>
      </c>
      <c r="B3483" t="s">
        <v>7</v>
      </c>
      <c r="C3483">
        <v>57</v>
      </c>
      <c r="D3483">
        <v>0</v>
      </c>
      <c r="E3483">
        <v>0</v>
      </c>
      <c r="F3483" t="str">
        <f t="shared" si="164"/>
        <v>Lower Risk</v>
      </c>
      <c r="G3483" t="s">
        <v>13</v>
      </c>
      <c r="H3483" t="s">
        <v>4</v>
      </c>
      <c r="I3483" t="s">
        <v>9</v>
      </c>
      <c r="J3483">
        <v>87.18</v>
      </c>
      <c r="K3483">
        <v>20</v>
      </c>
      <c r="L3483" t="s">
        <v>6</v>
      </c>
      <c r="M3483">
        <v>0</v>
      </c>
      <c r="N3483" t="str">
        <f t="shared" si="162"/>
        <v>40–59</v>
      </c>
      <c r="O3483" t="str">
        <f t="shared" si="163"/>
        <v>Normal</v>
      </c>
    </row>
    <row r="3484" spans="1:15" x14ac:dyDescent="0.3">
      <c r="A3484">
        <v>30571</v>
      </c>
      <c r="B3484" t="s">
        <v>7</v>
      </c>
      <c r="C3484">
        <v>38</v>
      </c>
      <c r="D3484">
        <v>0</v>
      </c>
      <c r="E3484">
        <v>0</v>
      </c>
      <c r="F3484" t="str">
        <f t="shared" si="164"/>
        <v>Lower Risk</v>
      </c>
      <c r="G3484" t="s">
        <v>3</v>
      </c>
      <c r="H3484" t="s">
        <v>15</v>
      </c>
      <c r="I3484" t="s">
        <v>9</v>
      </c>
      <c r="J3484">
        <v>78.94</v>
      </c>
      <c r="K3484">
        <v>23.5</v>
      </c>
      <c r="L3484" t="s">
        <v>14</v>
      </c>
      <c r="M3484">
        <v>0</v>
      </c>
      <c r="N3484" t="str">
        <f t="shared" si="162"/>
        <v>Under 40</v>
      </c>
      <c r="O3484" t="str">
        <f t="shared" si="163"/>
        <v>Normal</v>
      </c>
    </row>
    <row r="3485" spans="1:15" x14ac:dyDescent="0.3">
      <c r="A3485">
        <v>67786</v>
      </c>
      <c r="B3485" t="s">
        <v>7</v>
      </c>
      <c r="C3485">
        <v>13</v>
      </c>
      <c r="D3485">
        <v>0</v>
      </c>
      <c r="E3485">
        <v>0</v>
      </c>
      <c r="F3485" t="str">
        <f t="shared" si="164"/>
        <v>Lower Risk</v>
      </c>
      <c r="G3485" t="s">
        <v>13</v>
      </c>
      <c r="H3485" t="s">
        <v>16</v>
      </c>
      <c r="I3485" t="s">
        <v>9</v>
      </c>
      <c r="J3485">
        <v>69.010000000000005</v>
      </c>
      <c r="K3485">
        <v>23.4</v>
      </c>
      <c r="L3485" t="s">
        <v>14</v>
      </c>
      <c r="M3485">
        <v>0</v>
      </c>
      <c r="N3485" t="str">
        <f t="shared" si="162"/>
        <v>Under 40</v>
      </c>
      <c r="O3485" t="str">
        <f t="shared" si="163"/>
        <v>Normal</v>
      </c>
    </row>
    <row r="3486" spans="1:15" x14ac:dyDescent="0.3">
      <c r="A3486">
        <v>41404</v>
      </c>
      <c r="B3486" t="s">
        <v>7</v>
      </c>
      <c r="C3486">
        <v>37</v>
      </c>
      <c r="D3486">
        <v>0</v>
      </c>
      <c r="E3486">
        <v>0</v>
      </c>
      <c r="F3486" t="str">
        <f t="shared" si="164"/>
        <v>Lower Risk</v>
      </c>
      <c r="G3486" t="s">
        <v>3</v>
      </c>
      <c r="H3486" t="s">
        <v>4</v>
      </c>
      <c r="I3486" t="s">
        <v>9</v>
      </c>
      <c r="J3486">
        <v>110.28</v>
      </c>
      <c r="K3486">
        <v>22.3</v>
      </c>
      <c r="L3486" t="s">
        <v>11</v>
      </c>
      <c r="M3486">
        <v>0</v>
      </c>
      <c r="N3486" t="str">
        <f t="shared" si="162"/>
        <v>Under 40</v>
      </c>
      <c r="O3486" t="str">
        <f t="shared" si="163"/>
        <v>Normal</v>
      </c>
    </row>
    <row r="3487" spans="1:15" x14ac:dyDescent="0.3">
      <c r="A3487">
        <v>33960</v>
      </c>
      <c r="B3487" t="s">
        <v>2</v>
      </c>
      <c r="C3487">
        <v>39</v>
      </c>
      <c r="D3487">
        <v>1</v>
      </c>
      <c r="E3487">
        <v>0</v>
      </c>
      <c r="F3487" t="str">
        <f t="shared" si="164"/>
        <v>Lower Risk</v>
      </c>
      <c r="G3487" t="s">
        <v>3</v>
      </c>
      <c r="H3487" t="s">
        <v>8</v>
      </c>
      <c r="I3487" t="s">
        <v>5</v>
      </c>
      <c r="J3487">
        <v>71.66</v>
      </c>
      <c r="K3487">
        <v>28.7</v>
      </c>
      <c r="L3487" t="s">
        <v>11</v>
      </c>
      <c r="M3487">
        <v>0</v>
      </c>
      <c r="N3487" t="str">
        <f t="shared" si="162"/>
        <v>Under 40</v>
      </c>
      <c r="O3487" t="str">
        <f t="shared" si="163"/>
        <v>Overweight</v>
      </c>
    </row>
    <row r="3488" spans="1:15" x14ac:dyDescent="0.3">
      <c r="A3488">
        <v>70833</v>
      </c>
      <c r="B3488" t="s">
        <v>7</v>
      </c>
      <c r="C3488">
        <v>13</v>
      </c>
      <c r="D3488">
        <v>0</v>
      </c>
      <c r="E3488">
        <v>0</v>
      </c>
      <c r="F3488" t="str">
        <f t="shared" si="164"/>
        <v>Lower Risk</v>
      </c>
      <c r="G3488" t="s">
        <v>13</v>
      </c>
      <c r="H3488" t="s">
        <v>4</v>
      </c>
      <c r="I3488" t="s">
        <v>5</v>
      </c>
      <c r="J3488">
        <v>62.57</v>
      </c>
      <c r="K3488">
        <v>20.9</v>
      </c>
      <c r="L3488" t="s">
        <v>14</v>
      </c>
      <c r="M3488">
        <v>0</v>
      </c>
      <c r="N3488" t="str">
        <f t="shared" si="162"/>
        <v>Under 40</v>
      </c>
      <c r="O3488" t="str">
        <f t="shared" si="163"/>
        <v>Normal</v>
      </c>
    </row>
    <row r="3489" spans="1:15" x14ac:dyDescent="0.3">
      <c r="A3489">
        <v>65731</v>
      </c>
      <c r="B3489" t="s">
        <v>2</v>
      </c>
      <c r="C3489">
        <v>57</v>
      </c>
      <c r="D3489">
        <v>0</v>
      </c>
      <c r="E3489">
        <v>0</v>
      </c>
      <c r="F3489" t="str">
        <f t="shared" si="164"/>
        <v>Lower Risk</v>
      </c>
      <c r="G3489" t="s">
        <v>3</v>
      </c>
      <c r="H3489" t="s">
        <v>8</v>
      </c>
      <c r="I3489" t="s">
        <v>5</v>
      </c>
      <c r="J3489">
        <v>83.64</v>
      </c>
      <c r="K3489">
        <v>29.4</v>
      </c>
      <c r="L3489" t="s">
        <v>12</v>
      </c>
      <c r="M3489">
        <v>0</v>
      </c>
      <c r="N3489" t="str">
        <f t="shared" si="162"/>
        <v>40–59</v>
      </c>
      <c r="O3489" t="str">
        <f t="shared" si="163"/>
        <v>Overweight</v>
      </c>
    </row>
    <row r="3490" spans="1:15" x14ac:dyDescent="0.3">
      <c r="A3490">
        <v>57968</v>
      </c>
      <c r="B3490" t="s">
        <v>7</v>
      </c>
      <c r="C3490">
        <v>11</v>
      </c>
      <c r="D3490">
        <v>0</v>
      </c>
      <c r="E3490">
        <v>0</v>
      </c>
      <c r="F3490" t="str">
        <f t="shared" si="164"/>
        <v>Lower Risk</v>
      </c>
      <c r="G3490" t="s">
        <v>13</v>
      </c>
      <c r="H3490" t="s">
        <v>16</v>
      </c>
      <c r="I3490" t="s">
        <v>5</v>
      </c>
      <c r="J3490">
        <v>107.18</v>
      </c>
      <c r="K3490">
        <v>27.6</v>
      </c>
      <c r="L3490" t="s">
        <v>14</v>
      </c>
      <c r="M3490">
        <v>0</v>
      </c>
      <c r="N3490" t="str">
        <f t="shared" si="162"/>
        <v>Under 40</v>
      </c>
      <c r="O3490" t="str">
        <f t="shared" si="163"/>
        <v>Overweight</v>
      </c>
    </row>
    <row r="3491" spans="1:15" x14ac:dyDescent="0.3">
      <c r="A3491">
        <v>57539</v>
      </c>
      <c r="B3491" t="s">
        <v>7</v>
      </c>
      <c r="C3491">
        <v>68</v>
      </c>
      <c r="D3491">
        <v>0</v>
      </c>
      <c r="E3491">
        <v>0</v>
      </c>
      <c r="F3491" t="str">
        <f t="shared" si="164"/>
        <v>Moderate Risk</v>
      </c>
      <c r="G3491" t="s">
        <v>3</v>
      </c>
      <c r="H3491" t="s">
        <v>4</v>
      </c>
      <c r="I3491" t="s">
        <v>9</v>
      </c>
      <c r="J3491">
        <v>233.59</v>
      </c>
      <c r="K3491">
        <v>43.9</v>
      </c>
      <c r="L3491" t="s">
        <v>11</v>
      </c>
      <c r="M3491">
        <v>0</v>
      </c>
      <c r="N3491" t="str">
        <f t="shared" si="162"/>
        <v>60+</v>
      </c>
      <c r="O3491" t="str">
        <f t="shared" si="163"/>
        <v>Obese</v>
      </c>
    </row>
    <row r="3492" spans="1:15" x14ac:dyDescent="0.3">
      <c r="A3492">
        <v>17745</v>
      </c>
      <c r="B3492" t="s">
        <v>2</v>
      </c>
      <c r="C3492">
        <v>79</v>
      </c>
      <c r="D3492">
        <v>1</v>
      </c>
      <c r="E3492">
        <v>0</v>
      </c>
      <c r="F3492" t="str">
        <f t="shared" si="164"/>
        <v>High Risk</v>
      </c>
      <c r="G3492" t="s">
        <v>3</v>
      </c>
      <c r="H3492" t="s">
        <v>8</v>
      </c>
      <c r="I3492" t="s">
        <v>5</v>
      </c>
      <c r="J3492">
        <v>84.88</v>
      </c>
      <c r="K3492">
        <v>28.7</v>
      </c>
      <c r="L3492" t="s">
        <v>6</v>
      </c>
      <c r="M3492">
        <v>0</v>
      </c>
      <c r="N3492" t="str">
        <f t="shared" si="162"/>
        <v>60+</v>
      </c>
      <c r="O3492" t="str">
        <f t="shared" si="163"/>
        <v>Overweight</v>
      </c>
    </row>
    <row r="3493" spans="1:15" x14ac:dyDescent="0.3">
      <c r="A3493">
        <v>33252</v>
      </c>
      <c r="B3493" t="s">
        <v>7</v>
      </c>
      <c r="C3493">
        <v>24</v>
      </c>
      <c r="D3493">
        <v>0</v>
      </c>
      <c r="E3493">
        <v>0</v>
      </c>
      <c r="F3493" t="str">
        <f t="shared" si="164"/>
        <v>Lower Risk</v>
      </c>
      <c r="G3493" t="s">
        <v>13</v>
      </c>
      <c r="H3493" t="s">
        <v>4</v>
      </c>
      <c r="I3493" t="s">
        <v>9</v>
      </c>
      <c r="J3493">
        <v>97.95</v>
      </c>
      <c r="K3493">
        <v>34.700000000000003</v>
      </c>
      <c r="L3493" t="s">
        <v>14</v>
      </c>
      <c r="M3493">
        <v>0</v>
      </c>
      <c r="N3493" t="str">
        <f t="shared" si="162"/>
        <v>Under 40</v>
      </c>
      <c r="O3493" t="str">
        <f t="shared" si="163"/>
        <v>Obese</v>
      </c>
    </row>
    <row r="3494" spans="1:15" x14ac:dyDescent="0.3">
      <c r="A3494">
        <v>69789</v>
      </c>
      <c r="B3494" t="s">
        <v>7</v>
      </c>
      <c r="C3494">
        <v>44</v>
      </c>
      <c r="D3494">
        <v>0</v>
      </c>
      <c r="E3494">
        <v>0</v>
      </c>
      <c r="F3494" t="str">
        <f t="shared" si="164"/>
        <v>Lower Risk</v>
      </c>
      <c r="G3494" t="s">
        <v>3</v>
      </c>
      <c r="H3494" t="s">
        <v>4</v>
      </c>
      <c r="I3494" t="s">
        <v>9</v>
      </c>
      <c r="J3494">
        <v>58.19</v>
      </c>
      <c r="K3494">
        <v>37.1</v>
      </c>
      <c r="L3494" t="s">
        <v>14</v>
      </c>
      <c r="M3494">
        <v>0</v>
      </c>
      <c r="N3494" t="str">
        <f t="shared" si="162"/>
        <v>40–59</v>
      </c>
      <c r="O3494" t="str">
        <f t="shared" si="163"/>
        <v>Obese</v>
      </c>
    </row>
    <row r="3495" spans="1:15" x14ac:dyDescent="0.3">
      <c r="A3495">
        <v>40076</v>
      </c>
      <c r="B3495" t="s">
        <v>7</v>
      </c>
      <c r="C3495">
        <v>46</v>
      </c>
      <c r="D3495">
        <v>0</v>
      </c>
      <c r="E3495">
        <v>0</v>
      </c>
      <c r="F3495" t="str">
        <f t="shared" si="164"/>
        <v>Lower Risk</v>
      </c>
      <c r="G3495" t="s">
        <v>3</v>
      </c>
      <c r="H3495" t="s">
        <v>4</v>
      </c>
      <c r="I3495" t="s">
        <v>9</v>
      </c>
      <c r="J3495">
        <v>70.11</v>
      </c>
      <c r="K3495">
        <v>24.2</v>
      </c>
      <c r="L3495" t="s">
        <v>11</v>
      </c>
      <c r="M3495">
        <v>0</v>
      </c>
      <c r="N3495" t="str">
        <f t="shared" si="162"/>
        <v>40–59</v>
      </c>
      <c r="O3495" t="str">
        <f t="shared" si="163"/>
        <v>Normal</v>
      </c>
    </row>
    <row r="3496" spans="1:15" x14ac:dyDescent="0.3">
      <c r="A3496">
        <v>10323</v>
      </c>
      <c r="B3496" t="s">
        <v>7</v>
      </c>
      <c r="C3496">
        <v>66</v>
      </c>
      <c r="D3496">
        <v>0</v>
      </c>
      <c r="E3496">
        <v>0</v>
      </c>
      <c r="F3496" t="str">
        <f t="shared" si="164"/>
        <v>Moderate Risk</v>
      </c>
      <c r="G3496" t="s">
        <v>3</v>
      </c>
      <c r="H3496" t="s">
        <v>4</v>
      </c>
      <c r="I3496" t="s">
        <v>5</v>
      </c>
      <c r="J3496">
        <v>112.77</v>
      </c>
      <c r="K3496">
        <v>22.7</v>
      </c>
      <c r="L3496" t="s">
        <v>12</v>
      </c>
      <c r="M3496">
        <v>0</v>
      </c>
      <c r="N3496" t="str">
        <f t="shared" si="162"/>
        <v>60+</v>
      </c>
      <c r="O3496" t="str">
        <f t="shared" si="163"/>
        <v>Normal</v>
      </c>
    </row>
    <row r="3497" spans="1:15" x14ac:dyDescent="0.3">
      <c r="A3497">
        <v>23514</v>
      </c>
      <c r="B3497" t="s">
        <v>7</v>
      </c>
      <c r="C3497">
        <v>61</v>
      </c>
      <c r="D3497">
        <v>0</v>
      </c>
      <c r="E3497">
        <v>0</v>
      </c>
      <c r="F3497" t="str">
        <f t="shared" si="164"/>
        <v>Moderate Risk</v>
      </c>
      <c r="G3497" t="s">
        <v>3</v>
      </c>
      <c r="H3497" t="s">
        <v>8</v>
      </c>
      <c r="I3497" t="s">
        <v>5</v>
      </c>
      <c r="J3497">
        <v>75.459999999999994</v>
      </c>
      <c r="K3497">
        <v>29.3</v>
      </c>
      <c r="L3497" t="s">
        <v>6</v>
      </c>
      <c r="M3497">
        <v>0</v>
      </c>
      <c r="N3497" t="str">
        <f t="shared" si="162"/>
        <v>60+</v>
      </c>
      <c r="O3497" t="str">
        <f t="shared" si="163"/>
        <v>Overweight</v>
      </c>
    </row>
    <row r="3498" spans="1:15" x14ac:dyDescent="0.3">
      <c r="A3498">
        <v>37395</v>
      </c>
      <c r="B3498" t="s">
        <v>7</v>
      </c>
      <c r="C3498">
        <v>16</v>
      </c>
      <c r="D3498">
        <v>0</v>
      </c>
      <c r="E3498">
        <v>0</v>
      </c>
      <c r="F3498" t="str">
        <f t="shared" si="164"/>
        <v>Lower Risk</v>
      </c>
      <c r="G3498" t="s">
        <v>13</v>
      </c>
      <c r="H3498" t="s">
        <v>4</v>
      </c>
      <c r="I3498" t="s">
        <v>5</v>
      </c>
      <c r="J3498">
        <v>63.63</v>
      </c>
      <c r="K3498">
        <v>20</v>
      </c>
      <c r="L3498" t="s">
        <v>12</v>
      </c>
      <c r="M3498">
        <v>0</v>
      </c>
      <c r="N3498" t="str">
        <f t="shared" si="162"/>
        <v>Under 40</v>
      </c>
      <c r="O3498" t="str">
        <f t="shared" si="163"/>
        <v>Normal</v>
      </c>
    </row>
    <row r="3499" spans="1:15" x14ac:dyDescent="0.3">
      <c r="A3499">
        <v>8240</v>
      </c>
      <c r="B3499" t="s">
        <v>7</v>
      </c>
      <c r="C3499">
        <v>37</v>
      </c>
      <c r="D3499">
        <v>0</v>
      </c>
      <c r="E3499">
        <v>0</v>
      </c>
      <c r="F3499" t="str">
        <f t="shared" si="164"/>
        <v>Lower Risk</v>
      </c>
      <c r="G3499" t="s">
        <v>3</v>
      </c>
      <c r="H3499" t="s">
        <v>4</v>
      </c>
      <c r="I3499" t="s">
        <v>5</v>
      </c>
      <c r="J3499">
        <v>100.22</v>
      </c>
      <c r="K3499">
        <v>22.7</v>
      </c>
      <c r="L3499" t="s">
        <v>12</v>
      </c>
      <c r="M3499">
        <v>0</v>
      </c>
      <c r="N3499" t="str">
        <f t="shared" si="162"/>
        <v>Under 40</v>
      </c>
      <c r="O3499" t="str">
        <f t="shared" si="163"/>
        <v>Normal</v>
      </c>
    </row>
    <row r="3500" spans="1:15" x14ac:dyDescent="0.3">
      <c r="A3500">
        <v>9620</v>
      </c>
      <c r="B3500" t="s">
        <v>7</v>
      </c>
      <c r="C3500">
        <v>43</v>
      </c>
      <c r="D3500">
        <v>0</v>
      </c>
      <c r="E3500">
        <v>0</v>
      </c>
      <c r="F3500" t="str">
        <f t="shared" si="164"/>
        <v>Lower Risk</v>
      </c>
      <c r="G3500" t="s">
        <v>3</v>
      </c>
      <c r="H3500" t="s">
        <v>15</v>
      </c>
      <c r="I3500" t="s">
        <v>9</v>
      </c>
      <c r="J3500">
        <v>81.77</v>
      </c>
      <c r="K3500">
        <v>25.4</v>
      </c>
      <c r="L3500" t="s">
        <v>11</v>
      </c>
      <c r="M3500">
        <v>0</v>
      </c>
      <c r="N3500" t="str">
        <f t="shared" si="162"/>
        <v>40–59</v>
      </c>
      <c r="O3500" t="str">
        <f t="shared" si="163"/>
        <v>Overweight</v>
      </c>
    </row>
    <row r="3501" spans="1:15" x14ac:dyDescent="0.3">
      <c r="A3501">
        <v>7092</v>
      </c>
      <c r="B3501" t="s">
        <v>7</v>
      </c>
      <c r="C3501">
        <v>27</v>
      </c>
      <c r="D3501">
        <v>0</v>
      </c>
      <c r="E3501">
        <v>0</v>
      </c>
      <c r="F3501" t="str">
        <f t="shared" si="164"/>
        <v>Lower Risk</v>
      </c>
      <c r="G3501" t="s">
        <v>3</v>
      </c>
      <c r="H3501" t="s">
        <v>4</v>
      </c>
      <c r="I3501" t="s">
        <v>9</v>
      </c>
      <c r="J3501">
        <v>94.25</v>
      </c>
      <c r="K3501">
        <v>37.6</v>
      </c>
      <c r="L3501" t="s">
        <v>11</v>
      </c>
      <c r="M3501">
        <v>0</v>
      </c>
      <c r="N3501" t="str">
        <f t="shared" si="162"/>
        <v>Under 40</v>
      </c>
      <c r="O3501" t="str">
        <f t="shared" si="163"/>
        <v>Obese</v>
      </c>
    </row>
    <row r="3502" spans="1:15" x14ac:dyDescent="0.3">
      <c r="A3502">
        <v>50216</v>
      </c>
      <c r="B3502" t="s">
        <v>2</v>
      </c>
      <c r="C3502">
        <v>44</v>
      </c>
      <c r="D3502">
        <v>1</v>
      </c>
      <c r="E3502">
        <v>0</v>
      </c>
      <c r="F3502" t="str">
        <f t="shared" si="164"/>
        <v>Lower Risk</v>
      </c>
      <c r="G3502" t="s">
        <v>3</v>
      </c>
      <c r="H3502" t="s">
        <v>8</v>
      </c>
      <c r="I3502" t="s">
        <v>9</v>
      </c>
      <c r="J3502">
        <v>188.13</v>
      </c>
      <c r="K3502">
        <v>44.7</v>
      </c>
      <c r="L3502" t="s">
        <v>6</v>
      </c>
      <c r="M3502">
        <v>0</v>
      </c>
      <c r="N3502" t="str">
        <f t="shared" si="162"/>
        <v>40–59</v>
      </c>
      <c r="O3502" t="str">
        <f t="shared" si="163"/>
        <v>Obese</v>
      </c>
    </row>
    <row r="3503" spans="1:15" x14ac:dyDescent="0.3">
      <c r="A3503">
        <v>59506</v>
      </c>
      <c r="B3503" t="s">
        <v>2</v>
      </c>
      <c r="C3503">
        <v>14</v>
      </c>
      <c r="D3503">
        <v>0</v>
      </c>
      <c r="E3503">
        <v>0</v>
      </c>
      <c r="F3503" t="str">
        <f t="shared" si="164"/>
        <v>Lower Risk</v>
      </c>
      <c r="G3503" t="s">
        <v>13</v>
      </c>
      <c r="H3503" t="s">
        <v>4</v>
      </c>
      <c r="I3503" t="s">
        <v>9</v>
      </c>
      <c r="J3503">
        <v>164.7</v>
      </c>
      <c r="K3503">
        <v>26.3</v>
      </c>
      <c r="L3503" t="s">
        <v>14</v>
      </c>
      <c r="M3503">
        <v>0</v>
      </c>
      <c r="N3503" t="str">
        <f t="shared" si="162"/>
        <v>Under 40</v>
      </c>
      <c r="O3503" t="str">
        <f t="shared" si="163"/>
        <v>Overweight</v>
      </c>
    </row>
    <row r="3504" spans="1:15" x14ac:dyDescent="0.3">
      <c r="A3504">
        <v>43397</v>
      </c>
      <c r="B3504" t="s">
        <v>2</v>
      </c>
      <c r="C3504">
        <v>81</v>
      </c>
      <c r="D3504">
        <v>0</v>
      </c>
      <c r="E3504">
        <v>1</v>
      </c>
      <c r="F3504" t="str">
        <f t="shared" si="164"/>
        <v>High Risk</v>
      </c>
      <c r="G3504" t="s">
        <v>3</v>
      </c>
      <c r="H3504" t="s">
        <v>8</v>
      </c>
      <c r="I3504" t="s">
        <v>9</v>
      </c>
      <c r="J3504">
        <v>68.27</v>
      </c>
      <c r="K3504">
        <v>25</v>
      </c>
      <c r="L3504" t="s">
        <v>14</v>
      </c>
      <c r="M3504">
        <v>0</v>
      </c>
      <c r="N3504" t="str">
        <f t="shared" si="162"/>
        <v>60+</v>
      </c>
      <c r="O3504" t="str">
        <f t="shared" si="163"/>
        <v>Overweight</v>
      </c>
    </row>
    <row r="3505" spans="1:15" x14ac:dyDescent="0.3">
      <c r="A3505">
        <v>62384</v>
      </c>
      <c r="B3505" t="s">
        <v>2</v>
      </c>
      <c r="C3505">
        <v>52</v>
      </c>
      <c r="D3505">
        <v>0</v>
      </c>
      <c r="E3505">
        <v>1</v>
      </c>
      <c r="F3505" t="str">
        <f t="shared" si="164"/>
        <v>Lower Risk</v>
      </c>
      <c r="G3505" t="s">
        <v>13</v>
      </c>
      <c r="H3505" t="s">
        <v>8</v>
      </c>
      <c r="I3505" t="s">
        <v>9</v>
      </c>
      <c r="J3505">
        <v>79.81</v>
      </c>
      <c r="K3505" t="s">
        <v>10</v>
      </c>
      <c r="L3505" t="s">
        <v>6</v>
      </c>
      <c r="M3505">
        <v>0</v>
      </c>
      <c r="N3505" t="str">
        <f t="shared" si="162"/>
        <v>40–59</v>
      </c>
      <c r="O3505" t="str">
        <f t="shared" si="163"/>
        <v>Unknown</v>
      </c>
    </row>
    <row r="3506" spans="1:15" x14ac:dyDescent="0.3">
      <c r="A3506">
        <v>10651</v>
      </c>
      <c r="B3506" t="s">
        <v>2</v>
      </c>
      <c r="C3506">
        <v>54</v>
      </c>
      <c r="D3506">
        <v>1</v>
      </c>
      <c r="E3506">
        <v>0</v>
      </c>
      <c r="F3506" t="str">
        <f t="shared" si="164"/>
        <v>Lower Risk</v>
      </c>
      <c r="G3506" t="s">
        <v>3</v>
      </c>
      <c r="H3506" t="s">
        <v>15</v>
      </c>
      <c r="I3506" t="s">
        <v>9</v>
      </c>
      <c r="J3506">
        <v>100.12</v>
      </c>
      <c r="K3506">
        <v>32.299999999999997</v>
      </c>
      <c r="L3506" t="s">
        <v>6</v>
      </c>
      <c r="M3506">
        <v>0</v>
      </c>
      <c r="N3506" t="str">
        <f t="shared" si="162"/>
        <v>40–59</v>
      </c>
      <c r="O3506" t="str">
        <f t="shared" si="163"/>
        <v>Obese</v>
      </c>
    </row>
    <row r="3507" spans="1:15" x14ac:dyDescent="0.3">
      <c r="A3507">
        <v>69750</v>
      </c>
      <c r="B3507" t="s">
        <v>7</v>
      </c>
      <c r="C3507">
        <v>77</v>
      </c>
      <c r="D3507">
        <v>0</v>
      </c>
      <c r="E3507">
        <v>0</v>
      </c>
      <c r="F3507" t="str">
        <f t="shared" si="164"/>
        <v>Moderate Risk</v>
      </c>
      <c r="G3507" t="s">
        <v>3</v>
      </c>
      <c r="H3507" t="s">
        <v>8</v>
      </c>
      <c r="I3507" t="s">
        <v>5</v>
      </c>
      <c r="J3507">
        <v>151.22999999999999</v>
      </c>
      <c r="K3507">
        <v>24.9</v>
      </c>
      <c r="L3507" t="s">
        <v>11</v>
      </c>
      <c r="M3507">
        <v>0</v>
      </c>
      <c r="N3507" t="str">
        <f t="shared" si="162"/>
        <v>60+</v>
      </c>
      <c r="O3507" t="str">
        <f t="shared" si="163"/>
        <v>Normal</v>
      </c>
    </row>
    <row r="3508" spans="1:15" x14ac:dyDescent="0.3">
      <c r="A3508">
        <v>55455</v>
      </c>
      <c r="B3508" t="s">
        <v>2</v>
      </c>
      <c r="C3508">
        <v>27</v>
      </c>
      <c r="D3508">
        <v>0</v>
      </c>
      <c r="E3508">
        <v>0</v>
      </c>
      <c r="F3508" t="str">
        <f t="shared" si="164"/>
        <v>Lower Risk</v>
      </c>
      <c r="G3508" t="s">
        <v>13</v>
      </c>
      <c r="H3508" t="s">
        <v>4</v>
      </c>
      <c r="I3508" t="s">
        <v>9</v>
      </c>
      <c r="J3508">
        <v>112.41</v>
      </c>
      <c r="K3508">
        <v>33.700000000000003</v>
      </c>
      <c r="L3508" t="s">
        <v>11</v>
      </c>
      <c r="M3508">
        <v>0</v>
      </c>
      <c r="N3508" t="str">
        <f t="shared" si="162"/>
        <v>Under 40</v>
      </c>
      <c r="O3508" t="str">
        <f t="shared" si="163"/>
        <v>Obese</v>
      </c>
    </row>
    <row r="3509" spans="1:15" x14ac:dyDescent="0.3">
      <c r="A3509">
        <v>34230</v>
      </c>
      <c r="B3509" t="s">
        <v>7</v>
      </c>
      <c r="C3509">
        <v>35</v>
      </c>
      <c r="D3509">
        <v>0</v>
      </c>
      <c r="E3509">
        <v>0</v>
      </c>
      <c r="F3509" t="str">
        <f t="shared" si="164"/>
        <v>Lower Risk</v>
      </c>
      <c r="G3509" t="s">
        <v>3</v>
      </c>
      <c r="H3509" t="s">
        <v>8</v>
      </c>
      <c r="I3509" t="s">
        <v>5</v>
      </c>
      <c r="J3509">
        <v>205.97</v>
      </c>
      <c r="K3509">
        <v>26.6</v>
      </c>
      <c r="L3509" t="s">
        <v>6</v>
      </c>
      <c r="M3509">
        <v>0</v>
      </c>
      <c r="N3509" t="str">
        <f t="shared" si="162"/>
        <v>Under 40</v>
      </c>
      <c r="O3509" t="str">
        <f t="shared" si="163"/>
        <v>Overweight</v>
      </c>
    </row>
    <row r="3510" spans="1:15" x14ac:dyDescent="0.3">
      <c r="A3510">
        <v>65154</v>
      </c>
      <c r="B3510" t="s">
        <v>7</v>
      </c>
      <c r="C3510">
        <v>30</v>
      </c>
      <c r="D3510">
        <v>0</v>
      </c>
      <c r="E3510">
        <v>0</v>
      </c>
      <c r="F3510" t="str">
        <f t="shared" si="164"/>
        <v>Lower Risk</v>
      </c>
      <c r="G3510" t="s">
        <v>3</v>
      </c>
      <c r="H3510" t="s">
        <v>4</v>
      </c>
      <c r="I3510" t="s">
        <v>5</v>
      </c>
      <c r="J3510">
        <v>112.19</v>
      </c>
      <c r="K3510">
        <v>53.4</v>
      </c>
      <c r="L3510" t="s">
        <v>11</v>
      </c>
      <c r="M3510">
        <v>0</v>
      </c>
      <c r="N3510" t="str">
        <f t="shared" si="162"/>
        <v>Under 40</v>
      </c>
      <c r="O3510" t="str">
        <f t="shared" si="163"/>
        <v>Obese</v>
      </c>
    </row>
    <row r="3511" spans="1:15" x14ac:dyDescent="0.3">
      <c r="A3511">
        <v>36298</v>
      </c>
      <c r="B3511" t="s">
        <v>7</v>
      </c>
      <c r="C3511">
        <v>48</v>
      </c>
      <c r="D3511">
        <v>0</v>
      </c>
      <c r="E3511">
        <v>0</v>
      </c>
      <c r="F3511" t="str">
        <f t="shared" si="164"/>
        <v>Lower Risk</v>
      </c>
      <c r="G3511" t="s">
        <v>3</v>
      </c>
      <c r="H3511" t="s">
        <v>8</v>
      </c>
      <c r="I3511" t="s">
        <v>9</v>
      </c>
      <c r="J3511">
        <v>71.930000000000007</v>
      </c>
      <c r="K3511">
        <v>41.7</v>
      </c>
      <c r="L3511" t="s">
        <v>11</v>
      </c>
      <c r="M3511">
        <v>0</v>
      </c>
      <c r="N3511" t="str">
        <f t="shared" si="162"/>
        <v>40–59</v>
      </c>
      <c r="O3511" t="str">
        <f t="shared" si="163"/>
        <v>Obese</v>
      </c>
    </row>
    <row r="3512" spans="1:15" x14ac:dyDescent="0.3">
      <c r="A3512">
        <v>13171</v>
      </c>
      <c r="B3512" t="s">
        <v>7</v>
      </c>
      <c r="C3512">
        <v>15</v>
      </c>
      <c r="D3512">
        <v>0</v>
      </c>
      <c r="E3512">
        <v>0</v>
      </c>
      <c r="F3512" t="str">
        <f t="shared" si="164"/>
        <v>Lower Risk</v>
      </c>
      <c r="G3512" t="s">
        <v>13</v>
      </c>
      <c r="H3512" t="s">
        <v>16</v>
      </c>
      <c r="I3512" t="s">
        <v>5</v>
      </c>
      <c r="J3512">
        <v>190.89</v>
      </c>
      <c r="K3512">
        <v>22</v>
      </c>
      <c r="L3512" t="s">
        <v>11</v>
      </c>
      <c r="M3512">
        <v>0</v>
      </c>
      <c r="N3512" t="str">
        <f t="shared" si="162"/>
        <v>Under 40</v>
      </c>
      <c r="O3512" t="str">
        <f t="shared" si="163"/>
        <v>Normal</v>
      </c>
    </row>
    <row r="3513" spans="1:15" x14ac:dyDescent="0.3">
      <c r="A3513">
        <v>62983</v>
      </c>
      <c r="B3513" t="s">
        <v>7</v>
      </c>
      <c r="C3513">
        <v>26</v>
      </c>
      <c r="D3513">
        <v>0</v>
      </c>
      <c r="E3513">
        <v>0</v>
      </c>
      <c r="F3513" t="str">
        <f t="shared" si="164"/>
        <v>Lower Risk</v>
      </c>
      <c r="G3513" t="s">
        <v>3</v>
      </c>
      <c r="H3513" t="s">
        <v>4</v>
      </c>
      <c r="I3513" t="s">
        <v>5</v>
      </c>
      <c r="J3513">
        <v>138.02000000000001</v>
      </c>
      <c r="K3513">
        <v>20.3</v>
      </c>
      <c r="L3513" t="s">
        <v>12</v>
      </c>
      <c r="M3513">
        <v>0</v>
      </c>
      <c r="N3513" t="str">
        <f t="shared" si="162"/>
        <v>Under 40</v>
      </c>
      <c r="O3513" t="str">
        <f t="shared" si="163"/>
        <v>Normal</v>
      </c>
    </row>
    <row r="3514" spans="1:15" x14ac:dyDescent="0.3">
      <c r="A3514">
        <v>44834</v>
      </c>
      <c r="B3514" t="s">
        <v>7</v>
      </c>
      <c r="C3514">
        <v>38</v>
      </c>
      <c r="D3514">
        <v>0</v>
      </c>
      <c r="E3514">
        <v>0</v>
      </c>
      <c r="F3514" t="str">
        <f t="shared" si="164"/>
        <v>Lower Risk</v>
      </c>
      <c r="G3514" t="s">
        <v>3</v>
      </c>
      <c r="H3514" t="s">
        <v>4</v>
      </c>
      <c r="I3514" t="s">
        <v>9</v>
      </c>
      <c r="J3514">
        <v>66.16</v>
      </c>
      <c r="K3514">
        <v>42.7</v>
      </c>
      <c r="L3514" t="s">
        <v>14</v>
      </c>
      <c r="M3514">
        <v>0</v>
      </c>
      <c r="N3514" t="str">
        <f t="shared" si="162"/>
        <v>Under 40</v>
      </c>
      <c r="O3514" t="str">
        <f t="shared" si="163"/>
        <v>Obese</v>
      </c>
    </row>
    <row r="3515" spans="1:15" x14ac:dyDescent="0.3">
      <c r="A3515">
        <v>67411</v>
      </c>
      <c r="B3515" t="s">
        <v>2</v>
      </c>
      <c r="C3515">
        <v>29</v>
      </c>
      <c r="D3515">
        <v>0</v>
      </c>
      <c r="E3515">
        <v>0</v>
      </c>
      <c r="F3515" t="str">
        <f t="shared" si="164"/>
        <v>Lower Risk</v>
      </c>
      <c r="G3515" t="s">
        <v>13</v>
      </c>
      <c r="H3515" t="s">
        <v>4</v>
      </c>
      <c r="I3515" t="s">
        <v>9</v>
      </c>
      <c r="J3515">
        <v>105.73</v>
      </c>
      <c r="K3515">
        <v>28.2</v>
      </c>
      <c r="L3515" t="s">
        <v>12</v>
      </c>
      <c r="M3515">
        <v>0</v>
      </c>
      <c r="N3515" t="str">
        <f t="shared" si="162"/>
        <v>Under 40</v>
      </c>
      <c r="O3515" t="str">
        <f t="shared" si="163"/>
        <v>Overweight</v>
      </c>
    </row>
    <row r="3516" spans="1:15" x14ac:dyDescent="0.3">
      <c r="A3516">
        <v>5455</v>
      </c>
      <c r="B3516" t="s">
        <v>2</v>
      </c>
      <c r="C3516">
        <v>49</v>
      </c>
      <c r="D3516">
        <v>0</v>
      </c>
      <c r="E3516">
        <v>0</v>
      </c>
      <c r="F3516" t="str">
        <f t="shared" si="164"/>
        <v>Lower Risk</v>
      </c>
      <c r="G3516" t="s">
        <v>3</v>
      </c>
      <c r="H3516" t="s">
        <v>4</v>
      </c>
      <c r="I3516" t="s">
        <v>9</v>
      </c>
      <c r="J3516">
        <v>78.34</v>
      </c>
      <c r="K3516">
        <v>32.5</v>
      </c>
      <c r="L3516" t="s">
        <v>14</v>
      </c>
      <c r="M3516">
        <v>0</v>
      </c>
      <c r="N3516" t="str">
        <f t="shared" si="162"/>
        <v>40–59</v>
      </c>
      <c r="O3516" t="str">
        <f t="shared" si="163"/>
        <v>Obese</v>
      </c>
    </row>
    <row r="3517" spans="1:15" x14ac:dyDescent="0.3">
      <c r="A3517">
        <v>49267</v>
      </c>
      <c r="B3517" t="s">
        <v>7</v>
      </c>
      <c r="C3517">
        <v>55</v>
      </c>
      <c r="D3517">
        <v>0</v>
      </c>
      <c r="E3517">
        <v>0</v>
      </c>
      <c r="F3517" t="str">
        <f t="shared" si="164"/>
        <v>Lower Risk</v>
      </c>
      <c r="G3517" t="s">
        <v>3</v>
      </c>
      <c r="H3517" t="s">
        <v>4</v>
      </c>
      <c r="I3517" t="s">
        <v>5</v>
      </c>
      <c r="J3517">
        <v>102.1</v>
      </c>
      <c r="K3517">
        <v>22.5</v>
      </c>
      <c r="L3517" t="s">
        <v>6</v>
      </c>
      <c r="M3517">
        <v>0</v>
      </c>
      <c r="N3517" t="str">
        <f t="shared" si="162"/>
        <v>40–59</v>
      </c>
      <c r="O3517" t="str">
        <f t="shared" si="163"/>
        <v>Normal</v>
      </c>
    </row>
    <row r="3518" spans="1:15" x14ac:dyDescent="0.3">
      <c r="A3518">
        <v>60464</v>
      </c>
      <c r="B3518" t="s">
        <v>2</v>
      </c>
      <c r="C3518">
        <v>52</v>
      </c>
      <c r="D3518">
        <v>0</v>
      </c>
      <c r="E3518">
        <v>0</v>
      </c>
      <c r="F3518" t="str">
        <f t="shared" si="164"/>
        <v>Lower Risk</v>
      </c>
      <c r="G3518" t="s">
        <v>3</v>
      </c>
      <c r="H3518" t="s">
        <v>4</v>
      </c>
      <c r="I3518" t="s">
        <v>5</v>
      </c>
      <c r="J3518">
        <v>97.37</v>
      </c>
      <c r="K3518">
        <v>26.5</v>
      </c>
      <c r="L3518" t="s">
        <v>12</v>
      </c>
      <c r="M3518">
        <v>0</v>
      </c>
      <c r="N3518" t="str">
        <f t="shared" si="162"/>
        <v>40–59</v>
      </c>
      <c r="O3518" t="str">
        <f t="shared" si="163"/>
        <v>Overweight</v>
      </c>
    </row>
    <row r="3519" spans="1:15" x14ac:dyDescent="0.3">
      <c r="A3519">
        <v>56286</v>
      </c>
      <c r="B3519" t="s">
        <v>2</v>
      </c>
      <c r="C3519">
        <v>49</v>
      </c>
      <c r="D3519">
        <v>0</v>
      </c>
      <c r="E3519">
        <v>0</v>
      </c>
      <c r="F3519" t="str">
        <f t="shared" si="164"/>
        <v>Lower Risk</v>
      </c>
      <c r="G3519" t="s">
        <v>3</v>
      </c>
      <c r="H3519" t="s">
        <v>4</v>
      </c>
      <c r="I3519" t="s">
        <v>5</v>
      </c>
      <c r="J3519">
        <v>193.87</v>
      </c>
      <c r="K3519">
        <v>41</v>
      </c>
      <c r="L3519" t="s">
        <v>14</v>
      </c>
      <c r="M3519">
        <v>0</v>
      </c>
      <c r="N3519" t="str">
        <f t="shared" si="162"/>
        <v>40–59</v>
      </c>
      <c r="O3519" t="str">
        <f t="shared" si="163"/>
        <v>Obese</v>
      </c>
    </row>
    <row r="3520" spans="1:15" x14ac:dyDescent="0.3">
      <c r="A3520">
        <v>5223</v>
      </c>
      <c r="B3520" t="s">
        <v>7</v>
      </c>
      <c r="C3520">
        <v>21</v>
      </c>
      <c r="D3520">
        <v>0</v>
      </c>
      <c r="E3520">
        <v>0</v>
      </c>
      <c r="F3520" t="str">
        <f t="shared" si="164"/>
        <v>Lower Risk</v>
      </c>
      <c r="G3520" t="s">
        <v>13</v>
      </c>
      <c r="H3520" t="s">
        <v>4</v>
      </c>
      <c r="I3520" t="s">
        <v>9</v>
      </c>
      <c r="J3520">
        <v>78.319999999999993</v>
      </c>
      <c r="K3520">
        <v>27</v>
      </c>
      <c r="L3520" t="s">
        <v>14</v>
      </c>
      <c r="M3520">
        <v>0</v>
      </c>
      <c r="N3520" t="str">
        <f t="shared" si="162"/>
        <v>Under 40</v>
      </c>
      <c r="O3520" t="str">
        <f t="shared" si="163"/>
        <v>Overweight</v>
      </c>
    </row>
    <row r="3521" spans="1:15" x14ac:dyDescent="0.3">
      <c r="A3521">
        <v>53302</v>
      </c>
      <c r="B3521" t="s">
        <v>7</v>
      </c>
      <c r="C3521">
        <v>24</v>
      </c>
      <c r="D3521">
        <v>0</v>
      </c>
      <c r="E3521">
        <v>0</v>
      </c>
      <c r="F3521" t="str">
        <f t="shared" si="164"/>
        <v>Lower Risk</v>
      </c>
      <c r="G3521" t="s">
        <v>3</v>
      </c>
      <c r="H3521" t="s">
        <v>4</v>
      </c>
      <c r="I3521" t="s">
        <v>9</v>
      </c>
      <c r="J3521">
        <v>130</v>
      </c>
      <c r="K3521">
        <v>25.9</v>
      </c>
      <c r="L3521" t="s">
        <v>6</v>
      </c>
      <c r="M3521">
        <v>0</v>
      </c>
      <c r="N3521" t="str">
        <f t="shared" si="162"/>
        <v>Under 40</v>
      </c>
      <c r="O3521" t="str">
        <f t="shared" si="163"/>
        <v>Overweight</v>
      </c>
    </row>
    <row r="3522" spans="1:15" x14ac:dyDescent="0.3">
      <c r="A3522">
        <v>59309</v>
      </c>
      <c r="B3522" t="s">
        <v>2</v>
      </c>
      <c r="C3522">
        <v>18</v>
      </c>
      <c r="D3522">
        <v>0</v>
      </c>
      <c r="E3522">
        <v>0</v>
      </c>
      <c r="F3522" t="str">
        <f t="shared" si="164"/>
        <v>Lower Risk</v>
      </c>
      <c r="G3522" t="s">
        <v>13</v>
      </c>
      <c r="H3522" t="s">
        <v>8</v>
      </c>
      <c r="I3522" t="s">
        <v>5</v>
      </c>
      <c r="J3522">
        <v>74</v>
      </c>
      <c r="K3522">
        <v>23.7</v>
      </c>
      <c r="L3522" t="s">
        <v>14</v>
      </c>
      <c r="M3522">
        <v>0</v>
      </c>
      <c r="N3522" t="str">
        <f t="shared" ref="N3522:N3585" si="165">IF(C3522&lt;40,"Under 40",IF(C3522&lt;60,"40–59","60+"))</f>
        <v>Under 40</v>
      </c>
      <c r="O3522" t="str">
        <f t="shared" ref="O3522:O3585" si="166">IF(K3522="N/A","Unknown",
IF(K3522="","Unknown",
IF(K3522&lt;18.5,"Underweight",
IF(K3522&lt;25,"Normal",
IF(K3522&lt;30,"Overweight","Obese")))))</f>
        <v>Normal</v>
      </c>
    </row>
    <row r="3523" spans="1:15" x14ac:dyDescent="0.3">
      <c r="A3523">
        <v>69824</v>
      </c>
      <c r="B3523" t="s">
        <v>2</v>
      </c>
      <c r="C3523">
        <v>52</v>
      </c>
      <c r="D3523">
        <v>0</v>
      </c>
      <c r="E3523">
        <v>0</v>
      </c>
      <c r="F3523" t="str">
        <f t="shared" ref="F3523:F3586" si="167">IF(C3523&gt;=60,
IF(OR(D3523=1,E3523=1),"High Risk","Moderate Risk"),
"Lower Risk")</f>
        <v>Lower Risk</v>
      </c>
      <c r="G3523" t="s">
        <v>3</v>
      </c>
      <c r="H3523" t="s">
        <v>4</v>
      </c>
      <c r="I3523" t="s">
        <v>9</v>
      </c>
      <c r="J3523">
        <v>111.04</v>
      </c>
      <c r="K3523">
        <v>30</v>
      </c>
      <c r="L3523" t="s">
        <v>11</v>
      </c>
      <c r="M3523">
        <v>0</v>
      </c>
      <c r="N3523" t="str">
        <f t="shared" si="165"/>
        <v>40–59</v>
      </c>
      <c r="O3523" t="str">
        <f t="shared" si="166"/>
        <v>Obese</v>
      </c>
    </row>
    <row r="3524" spans="1:15" x14ac:dyDescent="0.3">
      <c r="A3524">
        <v>13173</v>
      </c>
      <c r="B3524" t="s">
        <v>2</v>
      </c>
      <c r="C3524">
        <v>70</v>
      </c>
      <c r="D3524">
        <v>1</v>
      </c>
      <c r="E3524">
        <v>0</v>
      </c>
      <c r="F3524" t="str">
        <f t="shared" si="167"/>
        <v>High Risk</v>
      </c>
      <c r="G3524" t="s">
        <v>3</v>
      </c>
      <c r="H3524" t="s">
        <v>4</v>
      </c>
      <c r="I3524" t="s">
        <v>5</v>
      </c>
      <c r="J3524">
        <v>214.77</v>
      </c>
      <c r="K3524">
        <v>15</v>
      </c>
      <c r="L3524" t="s">
        <v>6</v>
      </c>
      <c r="M3524">
        <v>0</v>
      </c>
      <c r="N3524" t="str">
        <f t="shared" si="165"/>
        <v>60+</v>
      </c>
      <c r="O3524" t="str">
        <f t="shared" si="166"/>
        <v>Underweight</v>
      </c>
    </row>
    <row r="3525" spans="1:15" x14ac:dyDescent="0.3">
      <c r="A3525">
        <v>52579</v>
      </c>
      <c r="B3525" t="s">
        <v>7</v>
      </c>
      <c r="C3525">
        <v>51</v>
      </c>
      <c r="D3525">
        <v>0</v>
      </c>
      <c r="E3525">
        <v>0</v>
      </c>
      <c r="F3525" t="str">
        <f t="shared" si="167"/>
        <v>Lower Risk</v>
      </c>
      <c r="G3525" t="s">
        <v>3</v>
      </c>
      <c r="H3525" t="s">
        <v>8</v>
      </c>
      <c r="I3525" t="s">
        <v>9</v>
      </c>
      <c r="J3525">
        <v>97.25</v>
      </c>
      <c r="K3525">
        <v>21.5</v>
      </c>
      <c r="L3525" t="s">
        <v>11</v>
      </c>
      <c r="M3525">
        <v>0</v>
      </c>
      <c r="N3525" t="str">
        <f t="shared" si="165"/>
        <v>40–59</v>
      </c>
      <c r="O3525" t="str">
        <f t="shared" si="166"/>
        <v>Normal</v>
      </c>
    </row>
    <row r="3526" spans="1:15" x14ac:dyDescent="0.3">
      <c r="A3526">
        <v>59451</v>
      </c>
      <c r="B3526" t="s">
        <v>2</v>
      </c>
      <c r="C3526">
        <v>58</v>
      </c>
      <c r="D3526">
        <v>0</v>
      </c>
      <c r="E3526">
        <v>0</v>
      </c>
      <c r="F3526" t="str">
        <f t="shared" si="167"/>
        <v>Lower Risk</v>
      </c>
      <c r="G3526" t="s">
        <v>3</v>
      </c>
      <c r="H3526" t="s">
        <v>4</v>
      </c>
      <c r="I3526" t="s">
        <v>5</v>
      </c>
      <c r="J3526">
        <v>79.95</v>
      </c>
      <c r="K3526">
        <v>25.9</v>
      </c>
      <c r="L3526" t="s">
        <v>11</v>
      </c>
      <c r="M3526">
        <v>0</v>
      </c>
      <c r="N3526" t="str">
        <f t="shared" si="165"/>
        <v>40–59</v>
      </c>
      <c r="O3526" t="str">
        <f t="shared" si="166"/>
        <v>Overweight</v>
      </c>
    </row>
    <row r="3527" spans="1:15" x14ac:dyDescent="0.3">
      <c r="A3527">
        <v>56875</v>
      </c>
      <c r="B3527" t="s">
        <v>7</v>
      </c>
      <c r="C3527">
        <v>46</v>
      </c>
      <c r="D3527">
        <v>0</v>
      </c>
      <c r="E3527">
        <v>0</v>
      </c>
      <c r="F3527" t="str">
        <f t="shared" si="167"/>
        <v>Lower Risk</v>
      </c>
      <c r="G3527" t="s">
        <v>3</v>
      </c>
      <c r="H3527" t="s">
        <v>15</v>
      </c>
      <c r="I3527" t="s">
        <v>5</v>
      </c>
      <c r="J3527">
        <v>162.24</v>
      </c>
      <c r="K3527">
        <v>24.3</v>
      </c>
      <c r="L3527" t="s">
        <v>12</v>
      </c>
      <c r="M3527">
        <v>0</v>
      </c>
      <c r="N3527" t="str">
        <f t="shared" si="165"/>
        <v>40–59</v>
      </c>
      <c r="O3527" t="str">
        <f t="shared" si="166"/>
        <v>Normal</v>
      </c>
    </row>
    <row r="3528" spans="1:15" x14ac:dyDescent="0.3">
      <c r="A3528">
        <v>16774</v>
      </c>
      <c r="B3528" t="s">
        <v>7</v>
      </c>
      <c r="C3528">
        <v>79</v>
      </c>
      <c r="D3528">
        <v>0</v>
      </c>
      <c r="E3528">
        <v>0</v>
      </c>
      <c r="F3528" t="str">
        <f t="shared" si="167"/>
        <v>Moderate Risk</v>
      </c>
      <c r="G3528" t="s">
        <v>13</v>
      </c>
      <c r="H3528" t="s">
        <v>8</v>
      </c>
      <c r="I3528" t="s">
        <v>5</v>
      </c>
      <c r="J3528">
        <v>74.36</v>
      </c>
      <c r="K3528">
        <v>39.200000000000003</v>
      </c>
      <c r="L3528" t="s">
        <v>14</v>
      </c>
      <c r="M3528">
        <v>0</v>
      </c>
      <c r="N3528" t="str">
        <f t="shared" si="165"/>
        <v>60+</v>
      </c>
      <c r="O3528" t="str">
        <f t="shared" si="166"/>
        <v>Obese</v>
      </c>
    </row>
    <row r="3529" spans="1:15" x14ac:dyDescent="0.3">
      <c r="A3529">
        <v>61672</v>
      </c>
      <c r="B3529" t="s">
        <v>7</v>
      </c>
      <c r="C3529">
        <v>11</v>
      </c>
      <c r="D3529">
        <v>0</v>
      </c>
      <c r="E3529">
        <v>0</v>
      </c>
      <c r="F3529" t="str">
        <f t="shared" si="167"/>
        <v>Lower Risk</v>
      </c>
      <c r="G3529" t="s">
        <v>13</v>
      </c>
      <c r="H3529" t="s">
        <v>16</v>
      </c>
      <c r="I3529" t="s">
        <v>5</v>
      </c>
      <c r="J3529">
        <v>69.680000000000007</v>
      </c>
      <c r="K3529">
        <v>14.4</v>
      </c>
      <c r="L3529" t="s">
        <v>14</v>
      </c>
      <c r="M3529">
        <v>0</v>
      </c>
      <c r="N3529" t="str">
        <f t="shared" si="165"/>
        <v>Under 40</v>
      </c>
      <c r="O3529" t="str">
        <f t="shared" si="166"/>
        <v>Underweight</v>
      </c>
    </row>
    <row r="3530" spans="1:15" x14ac:dyDescent="0.3">
      <c r="A3530">
        <v>25811</v>
      </c>
      <c r="B3530" t="s">
        <v>7</v>
      </c>
      <c r="C3530">
        <v>61</v>
      </c>
      <c r="D3530">
        <v>0</v>
      </c>
      <c r="E3530">
        <v>0</v>
      </c>
      <c r="F3530" t="str">
        <f t="shared" si="167"/>
        <v>Moderate Risk</v>
      </c>
      <c r="G3530" t="s">
        <v>3</v>
      </c>
      <c r="H3530" t="s">
        <v>4</v>
      </c>
      <c r="I3530" t="s">
        <v>5</v>
      </c>
      <c r="J3530">
        <v>98.35</v>
      </c>
      <c r="K3530">
        <v>26.6</v>
      </c>
      <c r="L3530" t="s">
        <v>11</v>
      </c>
      <c r="M3530">
        <v>0</v>
      </c>
      <c r="N3530" t="str">
        <f t="shared" si="165"/>
        <v>60+</v>
      </c>
      <c r="O3530" t="str">
        <f t="shared" si="166"/>
        <v>Overweight</v>
      </c>
    </row>
    <row r="3531" spans="1:15" x14ac:dyDescent="0.3">
      <c r="A3531">
        <v>7780</v>
      </c>
      <c r="B3531" t="s">
        <v>2</v>
      </c>
      <c r="C3531">
        <v>51</v>
      </c>
      <c r="D3531">
        <v>0</v>
      </c>
      <c r="E3531">
        <v>0</v>
      </c>
      <c r="F3531" t="str">
        <f t="shared" si="167"/>
        <v>Lower Risk</v>
      </c>
      <c r="G3531" t="s">
        <v>3</v>
      </c>
      <c r="H3531" t="s">
        <v>8</v>
      </c>
      <c r="I3531" t="s">
        <v>5</v>
      </c>
      <c r="J3531">
        <v>75.73</v>
      </c>
      <c r="K3531">
        <v>30.7</v>
      </c>
      <c r="L3531" t="s">
        <v>11</v>
      </c>
      <c r="M3531">
        <v>0</v>
      </c>
      <c r="N3531" t="str">
        <f t="shared" si="165"/>
        <v>40–59</v>
      </c>
      <c r="O3531" t="str">
        <f t="shared" si="166"/>
        <v>Obese</v>
      </c>
    </row>
    <row r="3532" spans="1:15" x14ac:dyDescent="0.3">
      <c r="A3532">
        <v>58149</v>
      </c>
      <c r="B3532" t="s">
        <v>7</v>
      </c>
      <c r="C3532">
        <v>21</v>
      </c>
      <c r="D3532">
        <v>0</v>
      </c>
      <c r="E3532">
        <v>0</v>
      </c>
      <c r="F3532" t="str">
        <f t="shared" si="167"/>
        <v>Lower Risk</v>
      </c>
      <c r="G3532" t="s">
        <v>13</v>
      </c>
      <c r="H3532" t="s">
        <v>4</v>
      </c>
      <c r="I3532" t="s">
        <v>9</v>
      </c>
      <c r="J3532">
        <v>85.86</v>
      </c>
      <c r="K3532">
        <v>35.4</v>
      </c>
      <c r="L3532" t="s">
        <v>14</v>
      </c>
      <c r="M3532">
        <v>0</v>
      </c>
      <c r="N3532" t="str">
        <f t="shared" si="165"/>
        <v>Under 40</v>
      </c>
      <c r="O3532" t="str">
        <f t="shared" si="166"/>
        <v>Obese</v>
      </c>
    </row>
    <row r="3533" spans="1:15" x14ac:dyDescent="0.3">
      <c r="A3533">
        <v>38742</v>
      </c>
      <c r="B3533" t="s">
        <v>7</v>
      </c>
      <c r="C3533">
        <v>71</v>
      </c>
      <c r="D3533">
        <v>0</v>
      </c>
      <c r="E3533">
        <v>0</v>
      </c>
      <c r="F3533" t="str">
        <f t="shared" si="167"/>
        <v>Moderate Risk</v>
      </c>
      <c r="G3533" t="s">
        <v>3</v>
      </c>
      <c r="H3533" t="s">
        <v>4</v>
      </c>
      <c r="I3533" t="s">
        <v>5</v>
      </c>
      <c r="J3533">
        <v>80.34</v>
      </c>
      <c r="K3533">
        <v>29.2</v>
      </c>
      <c r="L3533" t="s">
        <v>11</v>
      </c>
      <c r="M3533">
        <v>0</v>
      </c>
      <c r="N3533" t="str">
        <f t="shared" si="165"/>
        <v>60+</v>
      </c>
      <c r="O3533" t="str">
        <f t="shared" si="166"/>
        <v>Overweight</v>
      </c>
    </row>
    <row r="3534" spans="1:15" x14ac:dyDescent="0.3">
      <c r="A3534">
        <v>29613</v>
      </c>
      <c r="B3534" t="s">
        <v>7</v>
      </c>
      <c r="C3534">
        <v>13</v>
      </c>
      <c r="D3534">
        <v>0</v>
      </c>
      <c r="E3534">
        <v>0</v>
      </c>
      <c r="F3534" t="str">
        <f t="shared" si="167"/>
        <v>Lower Risk</v>
      </c>
      <c r="G3534" t="s">
        <v>13</v>
      </c>
      <c r="H3534" t="s">
        <v>4</v>
      </c>
      <c r="I3534" t="s">
        <v>9</v>
      </c>
      <c r="J3534">
        <v>73.760000000000005</v>
      </c>
      <c r="K3534">
        <v>26.7</v>
      </c>
      <c r="L3534" t="s">
        <v>14</v>
      </c>
      <c r="M3534">
        <v>0</v>
      </c>
      <c r="N3534" t="str">
        <f t="shared" si="165"/>
        <v>Under 40</v>
      </c>
      <c r="O3534" t="str">
        <f t="shared" si="166"/>
        <v>Overweight</v>
      </c>
    </row>
    <row r="3535" spans="1:15" x14ac:dyDescent="0.3">
      <c r="A3535">
        <v>20655</v>
      </c>
      <c r="B3535" t="s">
        <v>2</v>
      </c>
      <c r="C3535">
        <v>16</v>
      </c>
      <c r="D3535">
        <v>0</v>
      </c>
      <c r="E3535">
        <v>0</v>
      </c>
      <c r="F3535" t="str">
        <f t="shared" si="167"/>
        <v>Lower Risk</v>
      </c>
      <c r="G3535" t="s">
        <v>13</v>
      </c>
      <c r="H3535" t="s">
        <v>4</v>
      </c>
      <c r="I3535" t="s">
        <v>9</v>
      </c>
      <c r="J3535">
        <v>94.96</v>
      </c>
      <c r="K3535">
        <v>21.5</v>
      </c>
      <c r="L3535" t="s">
        <v>11</v>
      </c>
      <c r="M3535">
        <v>0</v>
      </c>
      <c r="N3535" t="str">
        <f t="shared" si="165"/>
        <v>Under 40</v>
      </c>
      <c r="O3535" t="str">
        <f t="shared" si="166"/>
        <v>Normal</v>
      </c>
    </row>
    <row r="3536" spans="1:15" x14ac:dyDescent="0.3">
      <c r="A3536">
        <v>53897</v>
      </c>
      <c r="B3536" t="s">
        <v>7</v>
      </c>
      <c r="C3536">
        <v>61</v>
      </c>
      <c r="D3536">
        <v>0</v>
      </c>
      <c r="E3536">
        <v>0</v>
      </c>
      <c r="F3536" t="str">
        <f t="shared" si="167"/>
        <v>Moderate Risk</v>
      </c>
      <c r="G3536" t="s">
        <v>3</v>
      </c>
      <c r="H3536" t="s">
        <v>4</v>
      </c>
      <c r="I3536" t="s">
        <v>5</v>
      </c>
      <c r="J3536">
        <v>108.18</v>
      </c>
      <c r="K3536">
        <v>19.100000000000001</v>
      </c>
      <c r="L3536" t="s">
        <v>11</v>
      </c>
      <c r="M3536">
        <v>0</v>
      </c>
      <c r="N3536" t="str">
        <f t="shared" si="165"/>
        <v>60+</v>
      </c>
      <c r="O3536" t="str">
        <f t="shared" si="166"/>
        <v>Normal</v>
      </c>
    </row>
    <row r="3537" spans="1:15" x14ac:dyDescent="0.3">
      <c r="A3537">
        <v>29792</v>
      </c>
      <c r="B3537" t="s">
        <v>7</v>
      </c>
      <c r="C3537">
        <v>49</v>
      </c>
      <c r="D3537">
        <v>0</v>
      </c>
      <c r="E3537">
        <v>0</v>
      </c>
      <c r="F3537" t="str">
        <f t="shared" si="167"/>
        <v>Lower Risk</v>
      </c>
      <c r="G3537" t="s">
        <v>3</v>
      </c>
      <c r="H3537" t="s">
        <v>4</v>
      </c>
      <c r="I3537" t="s">
        <v>9</v>
      </c>
      <c r="J3537">
        <v>85.23</v>
      </c>
      <c r="K3537">
        <v>25.4</v>
      </c>
      <c r="L3537" t="s">
        <v>14</v>
      </c>
      <c r="M3537">
        <v>0</v>
      </c>
      <c r="N3537" t="str">
        <f t="shared" si="165"/>
        <v>40–59</v>
      </c>
      <c r="O3537" t="str">
        <f t="shared" si="166"/>
        <v>Overweight</v>
      </c>
    </row>
    <row r="3538" spans="1:15" x14ac:dyDescent="0.3">
      <c r="A3538">
        <v>15990</v>
      </c>
      <c r="B3538" t="s">
        <v>2</v>
      </c>
      <c r="C3538">
        <v>65</v>
      </c>
      <c r="D3538">
        <v>1</v>
      </c>
      <c r="E3538">
        <v>0</v>
      </c>
      <c r="F3538" t="str">
        <f t="shared" si="167"/>
        <v>High Risk</v>
      </c>
      <c r="G3538" t="s">
        <v>3</v>
      </c>
      <c r="H3538" t="s">
        <v>15</v>
      </c>
      <c r="I3538" t="s">
        <v>9</v>
      </c>
      <c r="J3538">
        <v>189.88</v>
      </c>
      <c r="K3538">
        <v>34</v>
      </c>
      <c r="L3538" t="s">
        <v>11</v>
      </c>
      <c r="M3538">
        <v>0</v>
      </c>
      <c r="N3538" t="str">
        <f t="shared" si="165"/>
        <v>60+</v>
      </c>
      <c r="O3538" t="str">
        <f t="shared" si="166"/>
        <v>Obese</v>
      </c>
    </row>
    <row r="3539" spans="1:15" x14ac:dyDescent="0.3">
      <c r="A3539">
        <v>45112</v>
      </c>
      <c r="B3539" t="s">
        <v>2</v>
      </c>
      <c r="C3539">
        <v>40</v>
      </c>
      <c r="D3539">
        <v>0</v>
      </c>
      <c r="E3539">
        <v>0</v>
      </c>
      <c r="F3539" t="str">
        <f t="shared" si="167"/>
        <v>Lower Risk</v>
      </c>
      <c r="G3539" t="s">
        <v>13</v>
      </c>
      <c r="H3539" t="s">
        <v>15</v>
      </c>
      <c r="I3539" t="s">
        <v>5</v>
      </c>
      <c r="J3539">
        <v>197.11</v>
      </c>
      <c r="K3539">
        <v>23.9</v>
      </c>
      <c r="L3539" t="s">
        <v>11</v>
      </c>
      <c r="M3539">
        <v>0</v>
      </c>
      <c r="N3539" t="str">
        <f t="shared" si="165"/>
        <v>40–59</v>
      </c>
      <c r="O3539" t="str">
        <f t="shared" si="166"/>
        <v>Normal</v>
      </c>
    </row>
    <row r="3540" spans="1:15" x14ac:dyDescent="0.3">
      <c r="A3540">
        <v>28385</v>
      </c>
      <c r="B3540" t="s">
        <v>7</v>
      </c>
      <c r="C3540">
        <v>44</v>
      </c>
      <c r="D3540">
        <v>0</v>
      </c>
      <c r="E3540">
        <v>0</v>
      </c>
      <c r="F3540" t="str">
        <f t="shared" si="167"/>
        <v>Lower Risk</v>
      </c>
      <c r="G3540" t="s">
        <v>3</v>
      </c>
      <c r="H3540" t="s">
        <v>4</v>
      </c>
      <c r="I3540" t="s">
        <v>9</v>
      </c>
      <c r="J3540">
        <v>100.08</v>
      </c>
      <c r="K3540">
        <v>20.9</v>
      </c>
      <c r="L3540" t="s">
        <v>12</v>
      </c>
      <c r="M3540">
        <v>0</v>
      </c>
      <c r="N3540" t="str">
        <f t="shared" si="165"/>
        <v>40–59</v>
      </c>
      <c r="O3540" t="str">
        <f t="shared" si="166"/>
        <v>Normal</v>
      </c>
    </row>
    <row r="3541" spans="1:15" x14ac:dyDescent="0.3">
      <c r="A3541">
        <v>63423</v>
      </c>
      <c r="B3541" t="s">
        <v>2</v>
      </c>
      <c r="C3541">
        <v>11</v>
      </c>
      <c r="D3541">
        <v>0</v>
      </c>
      <c r="E3541">
        <v>0</v>
      </c>
      <c r="F3541" t="str">
        <f t="shared" si="167"/>
        <v>Lower Risk</v>
      </c>
      <c r="G3541" t="s">
        <v>13</v>
      </c>
      <c r="H3541" t="s">
        <v>16</v>
      </c>
      <c r="I3541" t="s">
        <v>9</v>
      </c>
      <c r="J3541">
        <v>68.62</v>
      </c>
      <c r="K3541">
        <v>18.2</v>
      </c>
      <c r="L3541" t="s">
        <v>14</v>
      </c>
      <c r="M3541">
        <v>0</v>
      </c>
      <c r="N3541" t="str">
        <f t="shared" si="165"/>
        <v>Under 40</v>
      </c>
      <c r="O3541" t="str">
        <f t="shared" si="166"/>
        <v>Underweight</v>
      </c>
    </row>
    <row r="3542" spans="1:15" x14ac:dyDescent="0.3">
      <c r="A3542">
        <v>187</v>
      </c>
      <c r="B3542" t="s">
        <v>7</v>
      </c>
      <c r="C3542">
        <v>20</v>
      </c>
      <c r="D3542">
        <v>0</v>
      </c>
      <c r="E3542">
        <v>0</v>
      </c>
      <c r="F3542" t="str">
        <f t="shared" si="167"/>
        <v>Lower Risk</v>
      </c>
      <c r="G3542" t="s">
        <v>13</v>
      </c>
      <c r="H3542" t="s">
        <v>4</v>
      </c>
      <c r="I3542" t="s">
        <v>9</v>
      </c>
      <c r="J3542">
        <v>84.07</v>
      </c>
      <c r="K3542">
        <v>27.6</v>
      </c>
      <c r="L3542" t="s">
        <v>12</v>
      </c>
      <c r="M3542">
        <v>0</v>
      </c>
      <c r="N3542" t="str">
        <f t="shared" si="165"/>
        <v>Under 40</v>
      </c>
      <c r="O3542" t="str">
        <f t="shared" si="166"/>
        <v>Overweight</v>
      </c>
    </row>
    <row r="3543" spans="1:15" x14ac:dyDescent="0.3">
      <c r="A3543">
        <v>18891</v>
      </c>
      <c r="B3543" t="s">
        <v>2</v>
      </c>
      <c r="C3543">
        <v>24</v>
      </c>
      <c r="D3543">
        <v>0</v>
      </c>
      <c r="E3543">
        <v>0</v>
      </c>
      <c r="F3543" t="str">
        <f t="shared" si="167"/>
        <v>Lower Risk</v>
      </c>
      <c r="G3543" t="s">
        <v>13</v>
      </c>
      <c r="H3543" t="s">
        <v>15</v>
      </c>
      <c r="I3543" t="s">
        <v>9</v>
      </c>
      <c r="J3543">
        <v>99.65</v>
      </c>
      <c r="K3543">
        <v>50.3</v>
      </c>
      <c r="L3543" t="s">
        <v>11</v>
      </c>
      <c r="M3543">
        <v>0</v>
      </c>
      <c r="N3543" t="str">
        <f t="shared" si="165"/>
        <v>Under 40</v>
      </c>
      <c r="O3543" t="str">
        <f t="shared" si="166"/>
        <v>Obese</v>
      </c>
    </row>
    <row r="3544" spans="1:15" x14ac:dyDescent="0.3">
      <c r="A3544">
        <v>34657</v>
      </c>
      <c r="B3544" t="s">
        <v>7</v>
      </c>
      <c r="C3544">
        <v>44</v>
      </c>
      <c r="D3544">
        <v>0</v>
      </c>
      <c r="E3544">
        <v>0</v>
      </c>
      <c r="F3544" t="str">
        <f t="shared" si="167"/>
        <v>Lower Risk</v>
      </c>
      <c r="G3544" t="s">
        <v>3</v>
      </c>
      <c r="H3544" t="s">
        <v>8</v>
      </c>
      <c r="I3544" t="s">
        <v>5</v>
      </c>
      <c r="J3544">
        <v>82.33</v>
      </c>
      <c r="K3544">
        <v>24.5</v>
      </c>
      <c r="L3544" t="s">
        <v>11</v>
      </c>
      <c r="M3544">
        <v>0</v>
      </c>
      <c r="N3544" t="str">
        <f t="shared" si="165"/>
        <v>40–59</v>
      </c>
      <c r="O3544" t="str">
        <f t="shared" si="166"/>
        <v>Normal</v>
      </c>
    </row>
    <row r="3545" spans="1:15" x14ac:dyDescent="0.3">
      <c r="A3545">
        <v>40546</v>
      </c>
      <c r="B3545" t="s">
        <v>2</v>
      </c>
      <c r="C3545">
        <v>5</v>
      </c>
      <c r="D3545">
        <v>0</v>
      </c>
      <c r="E3545">
        <v>0</v>
      </c>
      <c r="F3545" t="str">
        <f t="shared" si="167"/>
        <v>Lower Risk</v>
      </c>
      <c r="G3545" t="s">
        <v>13</v>
      </c>
      <c r="H3545" t="s">
        <v>16</v>
      </c>
      <c r="I3545" t="s">
        <v>5</v>
      </c>
      <c r="J3545">
        <v>94.49</v>
      </c>
      <c r="K3545">
        <v>16.600000000000001</v>
      </c>
      <c r="L3545" t="s">
        <v>14</v>
      </c>
      <c r="M3545">
        <v>0</v>
      </c>
      <c r="N3545" t="str">
        <f t="shared" si="165"/>
        <v>Under 40</v>
      </c>
      <c r="O3545" t="str">
        <f t="shared" si="166"/>
        <v>Underweight</v>
      </c>
    </row>
    <row r="3546" spans="1:15" x14ac:dyDescent="0.3">
      <c r="A3546">
        <v>56755</v>
      </c>
      <c r="B3546" t="s">
        <v>2</v>
      </c>
      <c r="C3546">
        <v>41</v>
      </c>
      <c r="D3546">
        <v>0</v>
      </c>
      <c r="E3546">
        <v>0</v>
      </c>
      <c r="F3546" t="str">
        <f t="shared" si="167"/>
        <v>Lower Risk</v>
      </c>
      <c r="G3546" t="s">
        <v>3</v>
      </c>
      <c r="H3546" t="s">
        <v>4</v>
      </c>
      <c r="I3546" t="s">
        <v>9</v>
      </c>
      <c r="J3546">
        <v>108.71</v>
      </c>
      <c r="K3546">
        <v>24</v>
      </c>
      <c r="L3546" t="s">
        <v>11</v>
      </c>
      <c r="M3546">
        <v>0</v>
      </c>
      <c r="N3546" t="str">
        <f t="shared" si="165"/>
        <v>40–59</v>
      </c>
      <c r="O3546" t="str">
        <f t="shared" si="166"/>
        <v>Normal</v>
      </c>
    </row>
    <row r="3547" spans="1:15" x14ac:dyDescent="0.3">
      <c r="A3547">
        <v>71097</v>
      </c>
      <c r="B3547" t="s">
        <v>7</v>
      </c>
      <c r="C3547">
        <v>23</v>
      </c>
      <c r="D3547">
        <v>0</v>
      </c>
      <c r="E3547">
        <v>0</v>
      </c>
      <c r="F3547" t="str">
        <f t="shared" si="167"/>
        <v>Lower Risk</v>
      </c>
      <c r="G3547" t="s">
        <v>13</v>
      </c>
      <c r="H3547" t="s">
        <v>4</v>
      </c>
      <c r="I3547" t="s">
        <v>5</v>
      </c>
      <c r="J3547">
        <v>64.94</v>
      </c>
      <c r="K3547">
        <v>18.8</v>
      </c>
      <c r="L3547" t="s">
        <v>11</v>
      </c>
      <c r="M3547">
        <v>0</v>
      </c>
      <c r="N3547" t="str">
        <f t="shared" si="165"/>
        <v>Under 40</v>
      </c>
      <c r="O3547" t="str">
        <f t="shared" si="166"/>
        <v>Normal</v>
      </c>
    </row>
    <row r="3548" spans="1:15" x14ac:dyDescent="0.3">
      <c r="A3548">
        <v>21025</v>
      </c>
      <c r="B3548" t="s">
        <v>7</v>
      </c>
      <c r="C3548">
        <v>7</v>
      </c>
      <c r="D3548">
        <v>0</v>
      </c>
      <c r="E3548">
        <v>0</v>
      </c>
      <c r="F3548" t="str">
        <f t="shared" si="167"/>
        <v>Lower Risk</v>
      </c>
      <c r="G3548" t="s">
        <v>13</v>
      </c>
      <c r="H3548" t="s">
        <v>16</v>
      </c>
      <c r="I3548" t="s">
        <v>5</v>
      </c>
      <c r="J3548">
        <v>98.22</v>
      </c>
      <c r="K3548">
        <v>34</v>
      </c>
      <c r="L3548" t="s">
        <v>14</v>
      </c>
      <c r="M3548">
        <v>0</v>
      </c>
      <c r="N3548" t="str">
        <f t="shared" si="165"/>
        <v>Under 40</v>
      </c>
      <c r="O3548" t="str">
        <f t="shared" si="166"/>
        <v>Obese</v>
      </c>
    </row>
    <row r="3549" spans="1:15" x14ac:dyDescent="0.3">
      <c r="A3549">
        <v>69020</v>
      </c>
      <c r="B3549" t="s">
        <v>7</v>
      </c>
      <c r="C3549">
        <v>74</v>
      </c>
      <c r="D3549">
        <v>0</v>
      </c>
      <c r="E3549">
        <v>0</v>
      </c>
      <c r="F3549" t="str">
        <f t="shared" si="167"/>
        <v>Moderate Risk</v>
      </c>
      <c r="G3549" t="s">
        <v>3</v>
      </c>
      <c r="H3549" t="s">
        <v>4</v>
      </c>
      <c r="I3549" t="s">
        <v>5</v>
      </c>
      <c r="J3549">
        <v>83.5</v>
      </c>
      <c r="K3549">
        <v>25.8</v>
      </c>
      <c r="L3549" t="s">
        <v>11</v>
      </c>
      <c r="M3549">
        <v>0</v>
      </c>
      <c r="N3549" t="str">
        <f t="shared" si="165"/>
        <v>60+</v>
      </c>
      <c r="O3549" t="str">
        <f t="shared" si="166"/>
        <v>Overweight</v>
      </c>
    </row>
    <row r="3550" spans="1:15" x14ac:dyDescent="0.3">
      <c r="A3550">
        <v>48883</v>
      </c>
      <c r="B3550" t="s">
        <v>2</v>
      </c>
      <c r="C3550">
        <v>61</v>
      </c>
      <c r="D3550">
        <v>0</v>
      </c>
      <c r="E3550">
        <v>0</v>
      </c>
      <c r="F3550" t="str">
        <f t="shared" si="167"/>
        <v>Moderate Risk</v>
      </c>
      <c r="G3550" t="s">
        <v>3</v>
      </c>
      <c r="H3550" t="s">
        <v>15</v>
      </c>
      <c r="I3550" t="s">
        <v>9</v>
      </c>
      <c r="J3550">
        <v>192.47</v>
      </c>
      <c r="K3550">
        <v>30.3</v>
      </c>
      <c r="L3550" t="s">
        <v>11</v>
      </c>
      <c r="M3550">
        <v>0</v>
      </c>
      <c r="N3550" t="str">
        <f t="shared" si="165"/>
        <v>60+</v>
      </c>
      <c r="O3550" t="str">
        <f t="shared" si="166"/>
        <v>Obese</v>
      </c>
    </row>
    <row r="3551" spans="1:15" x14ac:dyDescent="0.3">
      <c r="A3551">
        <v>71297</v>
      </c>
      <c r="B3551" t="s">
        <v>7</v>
      </c>
      <c r="C3551">
        <v>80</v>
      </c>
      <c r="D3551">
        <v>1</v>
      </c>
      <c r="E3551">
        <v>0</v>
      </c>
      <c r="F3551" t="str">
        <f t="shared" si="167"/>
        <v>High Risk</v>
      </c>
      <c r="G3551" t="s">
        <v>3</v>
      </c>
      <c r="H3551" t="s">
        <v>4</v>
      </c>
      <c r="I3551" t="s">
        <v>5</v>
      </c>
      <c r="J3551">
        <v>125.89</v>
      </c>
      <c r="K3551">
        <v>28.9</v>
      </c>
      <c r="L3551" t="s">
        <v>12</v>
      </c>
      <c r="M3551">
        <v>0</v>
      </c>
      <c r="N3551" t="str">
        <f t="shared" si="165"/>
        <v>60+</v>
      </c>
      <c r="O3551" t="str">
        <f t="shared" si="166"/>
        <v>Overweight</v>
      </c>
    </row>
    <row r="3552" spans="1:15" x14ac:dyDescent="0.3">
      <c r="A3552">
        <v>52216</v>
      </c>
      <c r="B3552" t="s">
        <v>7</v>
      </c>
      <c r="C3552">
        <v>35</v>
      </c>
      <c r="D3552">
        <v>0</v>
      </c>
      <c r="E3552">
        <v>0</v>
      </c>
      <c r="F3552" t="str">
        <f t="shared" si="167"/>
        <v>Lower Risk</v>
      </c>
      <c r="G3552" t="s">
        <v>3</v>
      </c>
      <c r="H3552" t="s">
        <v>4</v>
      </c>
      <c r="I3552" t="s">
        <v>5</v>
      </c>
      <c r="J3552">
        <v>87.72</v>
      </c>
      <c r="K3552">
        <v>21.3</v>
      </c>
      <c r="L3552" t="s">
        <v>11</v>
      </c>
      <c r="M3552">
        <v>0</v>
      </c>
      <c r="N3552" t="str">
        <f t="shared" si="165"/>
        <v>Under 40</v>
      </c>
      <c r="O3552" t="str">
        <f t="shared" si="166"/>
        <v>Normal</v>
      </c>
    </row>
    <row r="3553" spans="1:15" x14ac:dyDescent="0.3">
      <c r="A3553">
        <v>20421</v>
      </c>
      <c r="B3553" t="s">
        <v>7</v>
      </c>
      <c r="C3553">
        <v>43</v>
      </c>
      <c r="D3553">
        <v>0</v>
      </c>
      <c r="E3553">
        <v>0</v>
      </c>
      <c r="F3553" t="str">
        <f t="shared" si="167"/>
        <v>Lower Risk</v>
      </c>
      <c r="G3553" t="s">
        <v>3</v>
      </c>
      <c r="H3553" t="s">
        <v>4</v>
      </c>
      <c r="I3553" t="s">
        <v>9</v>
      </c>
      <c r="J3553">
        <v>68.94</v>
      </c>
      <c r="K3553">
        <v>26.8</v>
      </c>
      <c r="L3553" t="s">
        <v>11</v>
      </c>
      <c r="M3553">
        <v>0</v>
      </c>
      <c r="N3553" t="str">
        <f t="shared" si="165"/>
        <v>40–59</v>
      </c>
      <c r="O3553" t="str">
        <f t="shared" si="166"/>
        <v>Overweight</v>
      </c>
    </row>
    <row r="3554" spans="1:15" x14ac:dyDescent="0.3">
      <c r="A3554">
        <v>36896</v>
      </c>
      <c r="B3554" t="s">
        <v>2</v>
      </c>
      <c r="C3554">
        <v>25</v>
      </c>
      <c r="D3554">
        <v>0</v>
      </c>
      <c r="E3554">
        <v>0</v>
      </c>
      <c r="F3554" t="str">
        <f t="shared" si="167"/>
        <v>Lower Risk</v>
      </c>
      <c r="G3554" t="s">
        <v>3</v>
      </c>
      <c r="H3554" t="s">
        <v>4</v>
      </c>
      <c r="I3554" t="s">
        <v>9</v>
      </c>
      <c r="J3554">
        <v>66.510000000000005</v>
      </c>
      <c r="K3554">
        <v>29.2</v>
      </c>
      <c r="L3554" t="s">
        <v>14</v>
      </c>
      <c r="M3554">
        <v>0</v>
      </c>
      <c r="N3554" t="str">
        <f t="shared" si="165"/>
        <v>Under 40</v>
      </c>
      <c r="O3554" t="str">
        <f t="shared" si="166"/>
        <v>Overweight</v>
      </c>
    </row>
    <row r="3555" spans="1:15" x14ac:dyDescent="0.3">
      <c r="A3555">
        <v>23535</v>
      </c>
      <c r="B3555" t="s">
        <v>2</v>
      </c>
      <c r="C3555">
        <v>72</v>
      </c>
      <c r="D3555">
        <v>0</v>
      </c>
      <c r="E3555">
        <v>1</v>
      </c>
      <c r="F3555" t="str">
        <f t="shared" si="167"/>
        <v>High Risk</v>
      </c>
      <c r="G3555" t="s">
        <v>3</v>
      </c>
      <c r="H3555" t="s">
        <v>8</v>
      </c>
      <c r="I3555" t="s">
        <v>5</v>
      </c>
      <c r="J3555">
        <v>85.82</v>
      </c>
      <c r="K3555">
        <v>25</v>
      </c>
      <c r="L3555" t="s">
        <v>6</v>
      </c>
      <c r="M3555">
        <v>0</v>
      </c>
      <c r="N3555" t="str">
        <f t="shared" si="165"/>
        <v>60+</v>
      </c>
      <c r="O3555" t="str">
        <f t="shared" si="166"/>
        <v>Overweight</v>
      </c>
    </row>
    <row r="3556" spans="1:15" x14ac:dyDescent="0.3">
      <c r="A3556">
        <v>1323</v>
      </c>
      <c r="B3556" t="s">
        <v>7</v>
      </c>
      <c r="C3556">
        <v>45</v>
      </c>
      <c r="D3556">
        <v>0</v>
      </c>
      <c r="E3556">
        <v>0</v>
      </c>
      <c r="F3556" t="str">
        <f t="shared" si="167"/>
        <v>Lower Risk</v>
      </c>
      <c r="G3556" t="s">
        <v>3</v>
      </c>
      <c r="H3556" t="s">
        <v>4</v>
      </c>
      <c r="I3556" t="s">
        <v>9</v>
      </c>
      <c r="J3556">
        <v>87.47</v>
      </c>
      <c r="K3556">
        <v>21.5</v>
      </c>
      <c r="L3556" t="s">
        <v>11</v>
      </c>
      <c r="M3556">
        <v>0</v>
      </c>
      <c r="N3556" t="str">
        <f t="shared" si="165"/>
        <v>40–59</v>
      </c>
      <c r="O3556" t="str">
        <f t="shared" si="166"/>
        <v>Normal</v>
      </c>
    </row>
    <row r="3557" spans="1:15" x14ac:dyDescent="0.3">
      <c r="A3557">
        <v>47309</v>
      </c>
      <c r="B3557" t="s">
        <v>2</v>
      </c>
      <c r="C3557">
        <v>9</v>
      </c>
      <c r="D3557">
        <v>0</v>
      </c>
      <c r="E3557">
        <v>0</v>
      </c>
      <c r="F3557" t="str">
        <f t="shared" si="167"/>
        <v>Lower Risk</v>
      </c>
      <c r="G3557" t="s">
        <v>13</v>
      </c>
      <c r="H3557" t="s">
        <v>16</v>
      </c>
      <c r="I3557" t="s">
        <v>5</v>
      </c>
      <c r="J3557">
        <v>87.74</v>
      </c>
      <c r="K3557">
        <v>17.100000000000001</v>
      </c>
      <c r="L3557" t="s">
        <v>14</v>
      </c>
      <c r="M3557">
        <v>0</v>
      </c>
      <c r="N3557" t="str">
        <f t="shared" si="165"/>
        <v>Under 40</v>
      </c>
      <c r="O3557" t="str">
        <f t="shared" si="166"/>
        <v>Underweight</v>
      </c>
    </row>
    <row r="3558" spans="1:15" x14ac:dyDescent="0.3">
      <c r="A3558">
        <v>34161</v>
      </c>
      <c r="B3558" t="s">
        <v>2</v>
      </c>
      <c r="C3558">
        <v>33</v>
      </c>
      <c r="D3558">
        <v>1</v>
      </c>
      <c r="E3558">
        <v>0</v>
      </c>
      <c r="F3558" t="str">
        <f t="shared" si="167"/>
        <v>Lower Risk</v>
      </c>
      <c r="G3558" t="s">
        <v>3</v>
      </c>
      <c r="H3558" t="s">
        <v>4</v>
      </c>
      <c r="I3558" t="s">
        <v>9</v>
      </c>
      <c r="J3558">
        <v>85.12</v>
      </c>
      <c r="K3558">
        <v>32.5</v>
      </c>
      <c r="L3558" t="s">
        <v>11</v>
      </c>
      <c r="M3558">
        <v>0</v>
      </c>
      <c r="N3558" t="str">
        <f t="shared" si="165"/>
        <v>Under 40</v>
      </c>
      <c r="O3558" t="str">
        <f t="shared" si="166"/>
        <v>Obese</v>
      </c>
    </row>
    <row r="3559" spans="1:15" x14ac:dyDescent="0.3">
      <c r="A3559">
        <v>57405</v>
      </c>
      <c r="B3559" t="s">
        <v>2</v>
      </c>
      <c r="C3559">
        <v>53</v>
      </c>
      <c r="D3559">
        <v>0</v>
      </c>
      <c r="E3559">
        <v>0</v>
      </c>
      <c r="F3559" t="str">
        <f t="shared" si="167"/>
        <v>Lower Risk</v>
      </c>
      <c r="G3559" t="s">
        <v>3</v>
      </c>
      <c r="H3559" t="s">
        <v>8</v>
      </c>
      <c r="I3559" t="s">
        <v>5</v>
      </c>
      <c r="J3559">
        <v>103.37</v>
      </c>
      <c r="K3559">
        <v>26.9</v>
      </c>
      <c r="L3559" t="s">
        <v>6</v>
      </c>
      <c r="M3559">
        <v>0</v>
      </c>
      <c r="N3559" t="str">
        <f t="shared" si="165"/>
        <v>40–59</v>
      </c>
      <c r="O3559" t="str">
        <f t="shared" si="166"/>
        <v>Overweight</v>
      </c>
    </row>
    <row r="3560" spans="1:15" x14ac:dyDescent="0.3">
      <c r="A3560">
        <v>15824</v>
      </c>
      <c r="B3560" t="s">
        <v>7</v>
      </c>
      <c r="C3560">
        <v>67</v>
      </c>
      <c r="D3560">
        <v>0</v>
      </c>
      <c r="E3560">
        <v>0</v>
      </c>
      <c r="F3560" t="str">
        <f t="shared" si="167"/>
        <v>Moderate Risk</v>
      </c>
      <c r="G3560" t="s">
        <v>3</v>
      </c>
      <c r="H3560" t="s">
        <v>4</v>
      </c>
      <c r="I3560" t="s">
        <v>9</v>
      </c>
      <c r="J3560">
        <v>81.680000000000007</v>
      </c>
      <c r="K3560">
        <v>30.4</v>
      </c>
      <c r="L3560" t="s">
        <v>11</v>
      </c>
      <c r="M3560">
        <v>0</v>
      </c>
      <c r="N3560" t="str">
        <f t="shared" si="165"/>
        <v>60+</v>
      </c>
      <c r="O3560" t="str">
        <f t="shared" si="166"/>
        <v>Obese</v>
      </c>
    </row>
    <row r="3561" spans="1:15" x14ac:dyDescent="0.3">
      <c r="A3561">
        <v>32103</v>
      </c>
      <c r="B3561" t="s">
        <v>2</v>
      </c>
      <c r="C3561">
        <v>59</v>
      </c>
      <c r="D3561">
        <v>0</v>
      </c>
      <c r="E3561">
        <v>0</v>
      </c>
      <c r="F3561" t="str">
        <f t="shared" si="167"/>
        <v>Lower Risk</v>
      </c>
      <c r="G3561" t="s">
        <v>3</v>
      </c>
      <c r="H3561" t="s">
        <v>8</v>
      </c>
      <c r="I3561" t="s">
        <v>5</v>
      </c>
      <c r="J3561">
        <v>76.510000000000005</v>
      </c>
      <c r="K3561">
        <v>29.8</v>
      </c>
      <c r="L3561" t="s">
        <v>11</v>
      </c>
      <c r="M3561">
        <v>0</v>
      </c>
      <c r="N3561" t="str">
        <f t="shared" si="165"/>
        <v>40–59</v>
      </c>
      <c r="O3561" t="str">
        <f t="shared" si="166"/>
        <v>Overweight</v>
      </c>
    </row>
    <row r="3562" spans="1:15" x14ac:dyDescent="0.3">
      <c r="A3562">
        <v>18205</v>
      </c>
      <c r="B3562" t="s">
        <v>7</v>
      </c>
      <c r="C3562">
        <v>1.32</v>
      </c>
      <c r="D3562">
        <v>0</v>
      </c>
      <c r="E3562">
        <v>0</v>
      </c>
      <c r="F3562" t="str">
        <f t="shared" si="167"/>
        <v>Lower Risk</v>
      </c>
      <c r="G3562" t="s">
        <v>13</v>
      </c>
      <c r="H3562" t="s">
        <v>16</v>
      </c>
      <c r="I3562" t="s">
        <v>9</v>
      </c>
      <c r="J3562">
        <v>110.17</v>
      </c>
      <c r="K3562">
        <v>20.3</v>
      </c>
      <c r="L3562" t="s">
        <v>14</v>
      </c>
      <c r="M3562">
        <v>0</v>
      </c>
      <c r="N3562" t="str">
        <f t="shared" si="165"/>
        <v>Under 40</v>
      </c>
      <c r="O3562" t="str">
        <f t="shared" si="166"/>
        <v>Normal</v>
      </c>
    </row>
    <row r="3563" spans="1:15" x14ac:dyDescent="0.3">
      <c r="A3563">
        <v>71420</v>
      </c>
      <c r="B3563" t="s">
        <v>2</v>
      </c>
      <c r="C3563">
        <v>27</v>
      </c>
      <c r="D3563">
        <v>0</v>
      </c>
      <c r="E3563">
        <v>0</v>
      </c>
      <c r="F3563" t="str">
        <f t="shared" si="167"/>
        <v>Lower Risk</v>
      </c>
      <c r="G3563" t="s">
        <v>13</v>
      </c>
      <c r="H3563" t="s">
        <v>15</v>
      </c>
      <c r="I3563" t="s">
        <v>9</v>
      </c>
      <c r="J3563">
        <v>65.12</v>
      </c>
      <c r="K3563">
        <v>41.1</v>
      </c>
      <c r="L3563" t="s">
        <v>12</v>
      </c>
      <c r="M3563">
        <v>0</v>
      </c>
      <c r="N3563" t="str">
        <f t="shared" si="165"/>
        <v>Under 40</v>
      </c>
      <c r="O3563" t="str">
        <f t="shared" si="166"/>
        <v>Obese</v>
      </c>
    </row>
    <row r="3564" spans="1:15" x14ac:dyDescent="0.3">
      <c r="A3564">
        <v>298</v>
      </c>
      <c r="B3564" t="s">
        <v>7</v>
      </c>
      <c r="C3564">
        <v>41</v>
      </c>
      <c r="D3564">
        <v>0</v>
      </c>
      <c r="E3564">
        <v>0</v>
      </c>
      <c r="F3564" t="str">
        <f t="shared" si="167"/>
        <v>Lower Risk</v>
      </c>
      <c r="G3564" t="s">
        <v>3</v>
      </c>
      <c r="H3564" t="s">
        <v>8</v>
      </c>
      <c r="I3564" t="s">
        <v>9</v>
      </c>
      <c r="J3564">
        <v>76.66</v>
      </c>
      <c r="K3564" t="s">
        <v>10</v>
      </c>
      <c r="L3564" t="s">
        <v>14</v>
      </c>
      <c r="M3564">
        <v>0</v>
      </c>
      <c r="N3564" t="str">
        <f t="shared" si="165"/>
        <v>40–59</v>
      </c>
      <c r="O3564" t="str">
        <f t="shared" si="166"/>
        <v>Unknown</v>
      </c>
    </row>
    <row r="3565" spans="1:15" x14ac:dyDescent="0.3">
      <c r="A3565">
        <v>15136</v>
      </c>
      <c r="B3565" t="s">
        <v>2</v>
      </c>
      <c r="C3565">
        <v>64</v>
      </c>
      <c r="D3565">
        <v>0</v>
      </c>
      <c r="E3565">
        <v>1</v>
      </c>
      <c r="F3565" t="str">
        <f t="shared" si="167"/>
        <v>High Risk</v>
      </c>
      <c r="G3565" t="s">
        <v>3</v>
      </c>
      <c r="H3565" t="s">
        <v>4</v>
      </c>
      <c r="I3565" t="s">
        <v>9</v>
      </c>
      <c r="J3565">
        <v>109.88</v>
      </c>
      <c r="K3565">
        <v>33.9</v>
      </c>
      <c r="L3565" t="s">
        <v>14</v>
      </c>
      <c r="M3565">
        <v>0</v>
      </c>
      <c r="N3565" t="str">
        <f t="shared" si="165"/>
        <v>60+</v>
      </c>
      <c r="O3565" t="str">
        <f t="shared" si="166"/>
        <v>Obese</v>
      </c>
    </row>
    <row r="3566" spans="1:15" x14ac:dyDescent="0.3">
      <c r="A3566">
        <v>9879</v>
      </c>
      <c r="B3566" t="s">
        <v>7</v>
      </c>
      <c r="C3566">
        <v>55</v>
      </c>
      <c r="D3566">
        <v>0</v>
      </c>
      <c r="E3566">
        <v>1</v>
      </c>
      <c r="F3566" t="str">
        <f t="shared" si="167"/>
        <v>Lower Risk</v>
      </c>
      <c r="G3566" t="s">
        <v>3</v>
      </c>
      <c r="H3566" t="s">
        <v>4</v>
      </c>
      <c r="I3566" t="s">
        <v>5</v>
      </c>
      <c r="J3566">
        <v>199.38</v>
      </c>
      <c r="K3566">
        <v>39</v>
      </c>
      <c r="L3566" t="s">
        <v>14</v>
      </c>
      <c r="M3566">
        <v>0</v>
      </c>
      <c r="N3566" t="str">
        <f t="shared" si="165"/>
        <v>40–59</v>
      </c>
      <c r="O3566" t="str">
        <f t="shared" si="166"/>
        <v>Obese</v>
      </c>
    </row>
    <row r="3567" spans="1:15" x14ac:dyDescent="0.3">
      <c r="A3567">
        <v>68302</v>
      </c>
      <c r="B3567" t="s">
        <v>7</v>
      </c>
      <c r="C3567">
        <v>40</v>
      </c>
      <c r="D3567">
        <v>0</v>
      </c>
      <c r="E3567">
        <v>0</v>
      </c>
      <c r="F3567" t="str">
        <f t="shared" si="167"/>
        <v>Lower Risk</v>
      </c>
      <c r="G3567" t="s">
        <v>3</v>
      </c>
      <c r="H3567" t="s">
        <v>4</v>
      </c>
      <c r="I3567" t="s">
        <v>5</v>
      </c>
      <c r="J3567">
        <v>65.77</v>
      </c>
      <c r="K3567">
        <v>31.2</v>
      </c>
      <c r="L3567" t="s">
        <v>11</v>
      </c>
      <c r="M3567">
        <v>0</v>
      </c>
      <c r="N3567" t="str">
        <f t="shared" si="165"/>
        <v>40–59</v>
      </c>
      <c r="O3567" t="str">
        <f t="shared" si="166"/>
        <v>Obese</v>
      </c>
    </row>
    <row r="3568" spans="1:15" x14ac:dyDescent="0.3">
      <c r="A3568">
        <v>65507</v>
      </c>
      <c r="B3568" t="s">
        <v>2</v>
      </c>
      <c r="C3568">
        <v>33</v>
      </c>
      <c r="D3568">
        <v>0</v>
      </c>
      <c r="E3568">
        <v>0</v>
      </c>
      <c r="F3568" t="str">
        <f t="shared" si="167"/>
        <v>Lower Risk</v>
      </c>
      <c r="G3568" t="s">
        <v>3</v>
      </c>
      <c r="H3568" t="s">
        <v>4</v>
      </c>
      <c r="I3568" t="s">
        <v>9</v>
      </c>
      <c r="J3568">
        <v>55.72</v>
      </c>
      <c r="K3568">
        <v>38.200000000000003</v>
      </c>
      <c r="L3568" t="s">
        <v>11</v>
      </c>
      <c r="M3568">
        <v>0</v>
      </c>
      <c r="N3568" t="str">
        <f t="shared" si="165"/>
        <v>Under 40</v>
      </c>
      <c r="O3568" t="str">
        <f t="shared" si="166"/>
        <v>Obese</v>
      </c>
    </row>
    <row r="3569" spans="1:15" x14ac:dyDescent="0.3">
      <c r="A3569">
        <v>63949</v>
      </c>
      <c r="B3569" t="s">
        <v>7</v>
      </c>
      <c r="C3569">
        <v>33</v>
      </c>
      <c r="D3569">
        <v>0</v>
      </c>
      <c r="E3569">
        <v>0</v>
      </c>
      <c r="F3569" t="str">
        <f t="shared" si="167"/>
        <v>Lower Risk</v>
      </c>
      <c r="G3569" t="s">
        <v>3</v>
      </c>
      <c r="H3569" t="s">
        <v>15</v>
      </c>
      <c r="I3569" t="s">
        <v>5</v>
      </c>
      <c r="J3569">
        <v>75.67</v>
      </c>
      <c r="K3569">
        <v>44.7</v>
      </c>
      <c r="L3569" t="s">
        <v>11</v>
      </c>
      <c r="M3569">
        <v>0</v>
      </c>
      <c r="N3569" t="str">
        <f t="shared" si="165"/>
        <v>Under 40</v>
      </c>
      <c r="O3569" t="str">
        <f t="shared" si="166"/>
        <v>Obese</v>
      </c>
    </row>
    <row r="3570" spans="1:15" x14ac:dyDescent="0.3">
      <c r="A3570">
        <v>62475</v>
      </c>
      <c r="B3570" t="s">
        <v>2</v>
      </c>
      <c r="C3570">
        <v>39</v>
      </c>
      <c r="D3570">
        <v>1</v>
      </c>
      <c r="E3570">
        <v>0</v>
      </c>
      <c r="F3570" t="str">
        <f t="shared" si="167"/>
        <v>Lower Risk</v>
      </c>
      <c r="G3570" t="s">
        <v>3</v>
      </c>
      <c r="H3570" t="s">
        <v>4</v>
      </c>
      <c r="I3570" t="s">
        <v>9</v>
      </c>
      <c r="J3570">
        <v>88.18</v>
      </c>
      <c r="K3570">
        <v>33.5</v>
      </c>
      <c r="L3570" t="s">
        <v>12</v>
      </c>
      <c r="M3570">
        <v>0</v>
      </c>
      <c r="N3570" t="str">
        <f t="shared" si="165"/>
        <v>Under 40</v>
      </c>
      <c r="O3570" t="str">
        <f t="shared" si="166"/>
        <v>Obese</v>
      </c>
    </row>
    <row r="3571" spans="1:15" x14ac:dyDescent="0.3">
      <c r="A3571">
        <v>35648</v>
      </c>
      <c r="B3571" t="s">
        <v>7</v>
      </c>
      <c r="C3571">
        <v>74</v>
      </c>
      <c r="D3571">
        <v>0</v>
      </c>
      <c r="E3571">
        <v>0</v>
      </c>
      <c r="F3571" t="str">
        <f t="shared" si="167"/>
        <v>Moderate Risk</v>
      </c>
      <c r="G3571" t="s">
        <v>3</v>
      </c>
      <c r="H3571" t="s">
        <v>8</v>
      </c>
      <c r="I3571" t="s">
        <v>9</v>
      </c>
      <c r="J3571">
        <v>95.94</v>
      </c>
      <c r="K3571">
        <v>27</v>
      </c>
      <c r="L3571" t="s">
        <v>11</v>
      </c>
      <c r="M3571">
        <v>0</v>
      </c>
      <c r="N3571" t="str">
        <f t="shared" si="165"/>
        <v>60+</v>
      </c>
      <c r="O3571" t="str">
        <f t="shared" si="166"/>
        <v>Overweight</v>
      </c>
    </row>
    <row r="3572" spans="1:15" x14ac:dyDescent="0.3">
      <c r="A3572">
        <v>72276</v>
      </c>
      <c r="B3572" t="s">
        <v>2</v>
      </c>
      <c r="C3572">
        <v>38</v>
      </c>
      <c r="D3572">
        <v>0</v>
      </c>
      <c r="E3572">
        <v>0</v>
      </c>
      <c r="F3572" t="str">
        <f t="shared" si="167"/>
        <v>Lower Risk</v>
      </c>
      <c r="G3572" t="s">
        <v>3</v>
      </c>
      <c r="H3572" t="s">
        <v>4</v>
      </c>
      <c r="I3572" t="s">
        <v>5</v>
      </c>
      <c r="J3572">
        <v>86.93</v>
      </c>
      <c r="K3572">
        <v>31.1</v>
      </c>
      <c r="L3572" t="s">
        <v>11</v>
      </c>
      <c r="M3572">
        <v>0</v>
      </c>
      <c r="N3572" t="str">
        <f t="shared" si="165"/>
        <v>Under 40</v>
      </c>
      <c r="O3572" t="str">
        <f t="shared" si="166"/>
        <v>Obese</v>
      </c>
    </row>
    <row r="3573" spans="1:15" x14ac:dyDescent="0.3">
      <c r="A3573">
        <v>49661</v>
      </c>
      <c r="B3573" t="s">
        <v>2</v>
      </c>
      <c r="C3573">
        <v>53</v>
      </c>
      <c r="D3573">
        <v>0</v>
      </c>
      <c r="E3573">
        <v>0</v>
      </c>
      <c r="F3573" t="str">
        <f t="shared" si="167"/>
        <v>Lower Risk</v>
      </c>
      <c r="G3573" t="s">
        <v>3</v>
      </c>
      <c r="H3573" t="s">
        <v>15</v>
      </c>
      <c r="I3573" t="s">
        <v>5</v>
      </c>
      <c r="J3573">
        <v>85.17</v>
      </c>
      <c r="K3573">
        <v>29.2</v>
      </c>
      <c r="L3573" t="s">
        <v>11</v>
      </c>
      <c r="M3573">
        <v>0</v>
      </c>
      <c r="N3573" t="str">
        <f t="shared" si="165"/>
        <v>40–59</v>
      </c>
      <c r="O3573" t="str">
        <f t="shared" si="166"/>
        <v>Overweight</v>
      </c>
    </row>
    <row r="3574" spans="1:15" x14ac:dyDescent="0.3">
      <c r="A3574">
        <v>31590</v>
      </c>
      <c r="B3574" t="s">
        <v>2</v>
      </c>
      <c r="C3574">
        <v>22</v>
      </c>
      <c r="D3574">
        <v>0</v>
      </c>
      <c r="E3574">
        <v>0</v>
      </c>
      <c r="F3574" t="str">
        <f t="shared" si="167"/>
        <v>Lower Risk</v>
      </c>
      <c r="G3574" t="s">
        <v>13</v>
      </c>
      <c r="H3574" t="s">
        <v>4</v>
      </c>
      <c r="I3574" t="s">
        <v>5</v>
      </c>
      <c r="J3574">
        <v>111.1</v>
      </c>
      <c r="K3574">
        <v>26.6</v>
      </c>
      <c r="L3574" t="s">
        <v>11</v>
      </c>
      <c r="M3574">
        <v>0</v>
      </c>
      <c r="N3574" t="str">
        <f t="shared" si="165"/>
        <v>Under 40</v>
      </c>
      <c r="O3574" t="str">
        <f t="shared" si="166"/>
        <v>Overweight</v>
      </c>
    </row>
    <row r="3575" spans="1:15" x14ac:dyDescent="0.3">
      <c r="A3575">
        <v>8584</v>
      </c>
      <c r="B3575" t="s">
        <v>7</v>
      </c>
      <c r="C3575">
        <v>5</v>
      </c>
      <c r="D3575">
        <v>0</v>
      </c>
      <c r="E3575">
        <v>0</v>
      </c>
      <c r="F3575" t="str">
        <f t="shared" si="167"/>
        <v>Lower Risk</v>
      </c>
      <c r="G3575" t="s">
        <v>13</v>
      </c>
      <c r="H3575" t="s">
        <v>16</v>
      </c>
      <c r="I3575" t="s">
        <v>9</v>
      </c>
      <c r="J3575">
        <v>92</v>
      </c>
      <c r="K3575">
        <v>17.899999999999999</v>
      </c>
      <c r="L3575" t="s">
        <v>14</v>
      </c>
      <c r="M3575">
        <v>0</v>
      </c>
      <c r="N3575" t="str">
        <f t="shared" si="165"/>
        <v>Under 40</v>
      </c>
      <c r="O3575" t="str">
        <f t="shared" si="166"/>
        <v>Underweight</v>
      </c>
    </row>
    <row r="3576" spans="1:15" x14ac:dyDescent="0.3">
      <c r="A3576">
        <v>7964</v>
      </c>
      <c r="B3576" t="s">
        <v>2</v>
      </c>
      <c r="C3576">
        <v>24</v>
      </c>
      <c r="D3576">
        <v>0</v>
      </c>
      <c r="E3576">
        <v>0</v>
      </c>
      <c r="F3576" t="str">
        <f t="shared" si="167"/>
        <v>Lower Risk</v>
      </c>
      <c r="G3576" t="s">
        <v>13</v>
      </c>
      <c r="H3576" t="s">
        <v>4</v>
      </c>
      <c r="I3576" t="s">
        <v>5</v>
      </c>
      <c r="J3576">
        <v>97.47</v>
      </c>
      <c r="K3576">
        <v>24.2</v>
      </c>
      <c r="L3576" t="s">
        <v>6</v>
      </c>
      <c r="M3576">
        <v>0</v>
      </c>
      <c r="N3576" t="str">
        <f t="shared" si="165"/>
        <v>Under 40</v>
      </c>
      <c r="O3576" t="str">
        <f t="shared" si="166"/>
        <v>Normal</v>
      </c>
    </row>
    <row r="3577" spans="1:15" x14ac:dyDescent="0.3">
      <c r="A3577">
        <v>25130</v>
      </c>
      <c r="B3577" t="s">
        <v>7</v>
      </c>
      <c r="C3577">
        <v>27</v>
      </c>
      <c r="D3577">
        <v>0</v>
      </c>
      <c r="E3577">
        <v>0</v>
      </c>
      <c r="F3577" t="str">
        <f t="shared" si="167"/>
        <v>Lower Risk</v>
      </c>
      <c r="G3577" t="s">
        <v>3</v>
      </c>
      <c r="H3577" t="s">
        <v>4</v>
      </c>
      <c r="I3577" t="s">
        <v>5</v>
      </c>
      <c r="J3577">
        <v>79.209999999999994</v>
      </c>
      <c r="K3577">
        <v>19.5</v>
      </c>
      <c r="L3577" t="s">
        <v>14</v>
      </c>
      <c r="M3577">
        <v>0</v>
      </c>
      <c r="N3577" t="str">
        <f t="shared" si="165"/>
        <v>Under 40</v>
      </c>
      <c r="O3577" t="str">
        <f t="shared" si="166"/>
        <v>Normal</v>
      </c>
    </row>
    <row r="3578" spans="1:15" x14ac:dyDescent="0.3">
      <c r="A3578">
        <v>3531</v>
      </c>
      <c r="B3578" t="s">
        <v>2</v>
      </c>
      <c r="C3578">
        <v>41</v>
      </c>
      <c r="D3578">
        <v>0</v>
      </c>
      <c r="E3578">
        <v>0</v>
      </c>
      <c r="F3578" t="str">
        <f t="shared" si="167"/>
        <v>Lower Risk</v>
      </c>
      <c r="G3578" t="s">
        <v>3</v>
      </c>
      <c r="H3578" t="s">
        <v>4</v>
      </c>
      <c r="I3578" t="s">
        <v>9</v>
      </c>
      <c r="J3578">
        <v>83.97</v>
      </c>
      <c r="K3578">
        <v>28.5</v>
      </c>
      <c r="L3578" t="s">
        <v>6</v>
      </c>
      <c r="M3578">
        <v>0</v>
      </c>
      <c r="N3578" t="str">
        <f t="shared" si="165"/>
        <v>40–59</v>
      </c>
      <c r="O3578" t="str">
        <f t="shared" si="166"/>
        <v>Overweight</v>
      </c>
    </row>
    <row r="3579" spans="1:15" x14ac:dyDescent="0.3">
      <c r="A3579">
        <v>6529</v>
      </c>
      <c r="B3579" t="s">
        <v>7</v>
      </c>
      <c r="C3579">
        <v>20</v>
      </c>
      <c r="D3579">
        <v>0</v>
      </c>
      <c r="E3579">
        <v>0</v>
      </c>
      <c r="F3579" t="str">
        <f t="shared" si="167"/>
        <v>Lower Risk</v>
      </c>
      <c r="G3579" t="s">
        <v>13</v>
      </c>
      <c r="H3579" t="s">
        <v>4</v>
      </c>
      <c r="I3579" t="s">
        <v>5</v>
      </c>
      <c r="J3579">
        <v>98.55</v>
      </c>
      <c r="K3579">
        <v>21.3</v>
      </c>
      <c r="L3579" t="s">
        <v>11</v>
      </c>
      <c r="M3579">
        <v>0</v>
      </c>
      <c r="N3579" t="str">
        <f t="shared" si="165"/>
        <v>Under 40</v>
      </c>
      <c r="O3579" t="str">
        <f t="shared" si="166"/>
        <v>Normal</v>
      </c>
    </row>
    <row r="3580" spans="1:15" x14ac:dyDescent="0.3">
      <c r="A3580">
        <v>22272</v>
      </c>
      <c r="B3580" t="s">
        <v>7</v>
      </c>
      <c r="C3580">
        <v>71</v>
      </c>
      <c r="D3580">
        <v>1</v>
      </c>
      <c r="E3580">
        <v>0</v>
      </c>
      <c r="F3580" t="str">
        <f t="shared" si="167"/>
        <v>High Risk</v>
      </c>
      <c r="G3580" t="s">
        <v>3</v>
      </c>
      <c r="H3580" t="s">
        <v>4</v>
      </c>
      <c r="I3580" t="s">
        <v>9</v>
      </c>
      <c r="J3580">
        <v>202.98</v>
      </c>
      <c r="K3580">
        <v>41.3</v>
      </c>
      <c r="L3580" t="s">
        <v>11</v>
      </c>
      <c r="M3580">
        <v>0</v>
      </c>
      <c r="N3580" t="str">
        <f t="shared" si="165"/>
        <v>60+</v>
      </c>
      <c r="O3580" t="str">
        <f t="shared" si="166"/>
        <v>Obese</v>
      </c>
    </row>
    <row r="3581" spans="1:15" x14ac:dyDescent="0.3">
      <c r="A3581">
        <v>40702</v>
      </c>
      <c r="B3581" t="s">
        <v>7</v>
      </c>
      <c r="C3581">
        <v>65</v>
      </c>
      <c r="D3581">
        <v>0</v>
      </c>
      <c r="E3581">
        <v>0</v>
      </c>
      <c r="F3581" t="str">
        <f t="shared" si="167"/>
        <v>Moderate Risk</v>
      </c>
      <c r="G3581" t="s">
        <v>13</v>
      </c>
      <c r="H3581" t="s">
        <v>15</v>
      </c>
      <c r="I3581" t="s">
        <v>5</v>
      </c>
      <c r="J3581">
        <v>60.7</v>
      </c>
      <c r="K3581">
        <v>31.3</v>
      </c>
      <c r="L3581" t="s">
        <v>11</v>
      </c>
      <c r="M3581">
        <v>0</v>
      </c>
      <c r="N3581" t="str">
        <f t="shared" si="165"/>
        <v>60+</v>
      </c>
      <c r="O3581" t="str">
        <f t="shared" si="166"/>
        <v>Obese</v>
      </c>
    </row>
    <row r="3582" spans="1:15" x14ac:dyDescent="0.3">
      <c r="A3582">
        <v>1656</v>
      </c>
      <c r="B3582" t="s">
        <v>2</v>
      </c>
      <c r="C3582">
        <v>38</v>
      </c>
      <c r="D3582">
        <v>0</v>
      </c>
      <c r="E3582">
        <v>0</v>
      </c>
      <c r="F3582" t="str">
        <f t="shared" si="167"/>
        <v>Lower Risk</v>
      </c>
      <c r="G3582" t="s">
        <v>3</v>
      </c>
      <c r="H3582" t="s">
        <v>4</v>
      </c>
      <c r="I3582" t="s">
        <v>5</v>
      </c>
      <c r="J3582">
        <v>92.22</v>
      </c>
      <c r="K3582">
        <v>40.799999999999997</v>
      </c>
      <c r="L3582" t="s">
        <v>11</v>
      </c>
      <c r="M3582">
        <v>0</v>
      </c>
      <c r="N3582" t="str">
        <f t="shared" si="165"/>
        <v>Under 40</v>
      </c>
      <c r="O3582" t="str">
        <f t="shared" si="166"/>
        <v>Obese</v>
      </c>
    </row>
    <row r="3583" spans="1:15" x14ac:dyDescent="0.3">
      <c r="A3583">
        <v>51988</v>
      </c>
      <c r="B3583" t="s">
        <v>7</v>
      </c>
      <c r="C3583">
        <v>25</v>
      </c>
      <c r="D3583">
        <v>0</v>
      </c>
      <c r="E3583">
        <v>0</v>
      </c>
      <c r="F3583" t="str">
        <f t="shared" si="167"/>
        <v>Lower Risk</v>
      </c>
      <c r="G3583" t="s">
        <v>3</v>
      </c>
      <c r="H3583" t="s">
        <v>4</v>
      </c>
      <c r="I3583" t="s">
        <v>9</v>
      </c>
      <c r="J3583">
        <v>79.94</v>
      </c>
      <c r="K3583">
        <v>36.6</v>
      </c>
      <c r="L3583" t="s">
        <v>14</v>
      </c>
      <c r="M3583">
        <v>0</v>
      </c>
      <c r="N3583" t="str">
        <f t="shared" si="165"/>
        <v>Under 40</v>
      </c>
      <c r="O3583" t="str">
        <f t="shared" si="166"/>
        <v>Obese</v>
      </c>
    </row>
    <row r="3584" spans="1:15" x14ac:dyDescent="0.3">
      <c r="A3584">
        <v>48323</v>
      </c>
      <c r="B3584" t="s">
        <v>2</v>
      </c>
      <c r="C3584">
        <v>53</v>
      </c>
      <c r="D3584">
        <v>0</v>
      </c>
      <c r="E3584">
        <v>0</v>
      </c>
      <c r="F3584" t="str">
        <f t="shared" si="167"/>
        <v>Lower Risk</v>
      </c>
      <c r="G3584" t="s">
        <v>3</v>
      </c>
      <c r="H3584" t="s">
        <v>15</v>
      </c>
      <c r="I3584" t="s">
        <v>9</v>
      </c>
      <c r="J3584">
        <v>83.68</v>
      </c>
      <c r="K3584">
        <v>26.7</v>
      </c>
      <c r="L3584" t="s">
        <v>14</v>
      </c>
      <c r="M3584">
        <v>0</v>
      </c>
      <c r="N3584" t="str">
        <f t="shared" si="165"/>
        <v>40–59</v>
      </c>
      <c r="O3584" t="str">
        <f t="shared" si="166"/>
        <v>Overweight</v>
      </c>
    </row>
    <row r="3585" spans="1:15" x14ac:dyDescent="0.3">
      <c r="A3585">
        <v>35155</v>
      </c>
      <c r="B3585" t="s">
        <v>7</v>
      </c>
      <c r="C3585">
        <v>50</v>
      </c>
      <c r="D3585">
        <v>0</v>
      </c>
      <c r="E3585">
        <v>0</v>
      </c>
      <c r="F3585" t="str">
        <f t="shared" si="167"/>
        <v>Lower Risk</v>
      </c>
      <c r="G3585" t="s">
        <v>3</v>
      </c>
      <c r="H3585" t="s">
        <v>8</v>
      </c>
      <c r="I3585" t="s">
        <v>5</v>
      </c>
      <c r="J3585">
        <v>69.92</v>
      </c>
      <c r="K3585">
        <v>18.7</v>
      </c>
      <c r="L3585" t="s">
        <v>6</v>
      </c>
      <c r="M3585">
        <v>0</v>
      </c>
      <c r="N3585" t="str">
        <f t="shared" si="165"/>
        <v>40–59</v>
      </c>
      <c r="O3585" t="str">
        <f t="shared" si="166"/>
        <v>Normal</v>
      </c>
    </row>
    <row r="3586" spans="1:15" x14ac:dyDescent="0.3">
      <c r="A3586">
        <v>46314</v>
      </c>
      <c r="B3586" t="s">
        <v>7</v>
      </c>
      <c r="C3586">
        <v>1.24</v>
      </c>
      <c r="D3586">
        <v>0</v>
      </c>
      <c r="E3586">
        <v>0</v>
      </c>
      <c r="F3586" t="str">
        <f t="shared" si="167"/>
        <v>Lower Risk</v>
      </c>
      <c r="G3586" t="s">
        <v>13</v>
      </c>
      <c r="H3586" t="s">
        <v>16</v>
      </c>
      <c r="I3586" t="s">
        <v>9</v>
      </c>
      <c r="J3586">
        <v>136.96</v>
      </c>
      <c r="K3586">
        <v>15.2</v>
      </c>
      <c r="L3586" t="s">
        <v>14</v>
      </c>
      <c r="M3586">
        <v>0</v>
      </c>
      <c r="N3586" t="str">
        <f t="shared" ref="N3586:N3649" si="168">IF(C3586&lt;40,"Under 40",IF(C3586&lt;60,"40–59","60+"))</f>
        <v>Under 40</v>
      </c>
      <c r="O3586" t="str">
        <f t="shared" ref="O3586:O3649" si="169">IF(K3586="N/A","Unknown",
IF(K3586="","Unknown",
IF(K3586&lt;18.5,"Underweight",
IF(K3586&lt;25,"Normal",
IF(K3586&lt;30,"Overweight","Obese")))))</f>
        <v>Underweight</v>
      </c>
    </row>
    <row r="3587" spans="1:15" x14ac:dyDescent="0.3">
      <c r="A3587">
        <v>12906</v>
      </c>
      <c r="B3587" t="s">
        <v>7</v>
      </c>
      <c r="C3587">
        <v>55</v>
      </c>
      <c r="D3587">
        <v>0</v>
      </c>
      <c r="E3587">
        <v>0</v>
      </c>
      <c r="F3587" t="str">
        <f t="shared" ref="F3587:F3650" si="170">IF(C3587&gt;=60,
IF(OR(D3587=1,E3587=1),"High Risk","Moderate Risk"),
"Lower Risk")</f>
        <v>Lower Risk</v>
      </c>
      <c r="G3587" t="s">
        <v>3</v>
      </c>
      <c r="H3587" t="s">
        <v>8</v>
      </c>
      <c r="I3587" t="s">
        <v>9</v>
      </c>
      <c r="J3587">
        <v>95.32</v>
      </c>
      <c r="K3587">
        <v>26.8</v>
      </c>
      <c r="L3587" t="s">
        <v>11</v>
      </c>
      <c r="M3587">
        <v>0</v>
      </c>
      <c r="N3587" t="str">
        <f t="shared" si="168"/>
        <v>40–59</v>
      </c>
      <c r="O3587" t="str">
        <f t="shared" si="169"/>
        <v>Overweight</v>
      </c>
    </row>
    <row r="3588" spans="1:15" x14ac:dyDescent="0.3">
      <c r="A3588">
        <v>24961</v>
      </c>
      <c r="B3588" t="s">
        <v>7</v>
      </c>
      <c r="C3588">
        <v>38</v>
      </c>
      <c r="D3588">
        <v>0</v>
      </c>
      <c r="E3588">
        <v>0</v>
      </c>
      <c r="F3588" t="str">
        <f t="shared" si="170"/>
        <v>Lower Risk</v>
      </c>
      <c r="G3588" t="s">
        <v>3</v>
      </c>
      <c r="H3588" t="s">
        <v>4</v>
      </c>
      <c r="I3588" t="s">
        <v>9</v>
      </c>
      <c r="J3588">
        <v>107.78</v>
      </c>
      <c r="K3588">
        <v>25.1</v>
      </c>
      <c r="L3588" t="s">
        <v>11</v>
      </c>
      <c r="M3588">
        <v>0</v>
      </c>
      <c r="N3588" t="str">
        <f t="shared" si="168"/>
        <v>Under 40</v>
      </c>
      <c r="O3588" t="str">
        <f t="shared" si="169"/>
        <v>Overweight</v>
      </c>
    </row>
    <row r="3589" spans="1:15" x14ac:dyDescent="0.3">
      <c r="A3589">
        <v>14000</v>
      </c>
      <c r="B3589" t="s">
        <v>7</v>
      </c>
      <c r="C3589">
        <v>72</v>
      </c>
      <c r="D3589">
        <v>1</v>
      </c>
      <c r="E3589">
        <v>1</v>
      </c>
      <c r="F3589" t="str">
        <f t="shared" si="170"/>
        <v>High Risk</v>
      </c>
      <c r="G3589" t="s">
        <v>3</v>
      </c>
      <c r="H3589" t="s">
        <v>4</v>
      </c>
      <c r="I3589" t="s">
        <v>5</v>
      </c>
      <c r="J3589">
        <v>198.32</v>
      </c>
      <c r="K3589">
        <v>31.3</v>
      </c>
      <c r="L3589" t="s">
        <v>6</v>
      </c>
      <c r="M3589">
        <v>0</v>
      </c>
      <c r="N3589" t="str">
        <f t="shared" si="168"/>
        <v>60+</v>
      </c>
      <c r="O3589" t="str">
        <f t="shared" si="169"/>
        <v>Obese</v>
      </c>
    </row>
    <row r="3590" spans="1:15" x14ac:dyDescent="0.3">
      <c r="A3590">
        <v>23047</v>
      </c>
      <c r="B3590" t="s">
        <v>2</v>
      </c>
      <c r="C3590">
        <v>43</v>
      </c>
      <c r="D3590">
        <v>0</v>
      </c>
      <c r="E3590">
        <v>0</v>
      </c>
      <c r="F3590" t="str">
        <f t="shared" si="170"/>
        <v>Lower Risk</v>
      </c>
      <c r="G3590" t="s">
        <v>3</v>
      </c>
      <c r="H3590" t="s">
        <v>4</v>
      </c>
      <c r="I3590" t="s">
        <v>5</v>
      </c>
      <c r="J3590">
        <v>100.16</v>
      </c>
      <c r="K3590">
        <v>59.7</v>
      </c>
      <c r="L3590" t="s">
        <v>11</v>
      </c>
      <c r="M3590">
        <v>0</v>
      </c>
      <c r="N3590" t="str">
        <f t="shared" si="168"/>
        <v>40–59</v>
      </c>
      <c r="O3590" t="str">
        <f t="shared" si="169"/>
        <v>Obese</v>
      </c>
    </row>
    <row r="3591" spans="1:15" x14ac:dyDescent="0.3">
      <c r="A3591">
        <v>6827</v>
      </c>
      <c r="B3591" t="s">
        <v>2</v>
      </c>
      <c r="C3591">
        <v>30</v>
      </c>
      <c r="D3591">
        <v>0</v>
      </c>
      <c r="E3591">
        <v>0</v>
      </c>
      <c r="F3591" t="str">
        <f t="shared" si="170"/>
        <v>Lower Risk</v>
      </c>
      <c r="G3591" t="s">
        <v>3</v>
      </c>
      <c r="H3591" t="s">
        <v>4</v>
      </c>
      <c r="I3591" t="s">
        <v>5</v>
      </c>
      <c r="J3591">
        <v>96.02</v>
      </c>
      <c r="K3591">
        <v>29.8</v>
      </c>
      <c r="L3591" t="s">
        <v>11</v>
      </c>
      <c r="M3591">
        <v>0</v>
      </c>
      <c r="N3591" t="str">
        <f t="shared" si="168"/>
        <v>Under 40</v>
      </c>
      <c r="O3591" t="str">
        <f t="shared" si="169"/>
        <v>Overweight</v>
      </c>
    </row>
    <row r="3592" spans="1:15" x14ac:dyDescent="0.3">
      <c r="A3592">
        <v>44656</v>
      </c>
      <c r="B3592" t="s">
        <v>7</v>
      </c>
      <c r="C3592">
        <v>69</v>
      </c>
      <c r="D3592">
        <v>1</v>
      </c>
      <c r="E3592">
        <v>0</v>
      </c>
      <c r="F3592" t="str">
        <f t="shared" si="170"/>
        <v>High Risk</v>
      </c>
      <c r="G3592" t="s">
        <v>3</v>
      </c>
      <c r="H3592" t="s">
        <v>4</v>
      </c>
      <c r="I3592" t="s">
        <v>9</v>
      </c>
      <c r="J3592">
        <v>112.69</v>
      </c>
      <c r="K3592">
        <v>33.5</v>
      </c>
      <c r="L3592" t="s">
        <v>6</v>
      </c>
      <c r="M3592">
        <v>0</v>
      </c>
      <c r="N3592" t="str">
        <f t="shared" si="168"/>
        <v>60+</v>
      </c>
      <c r="O3592" t="str">
        <f t="shared" si="169"/>
        <v>Obese</v>
      </c>
    </row>
    <row r="3593" spans="1:15" x14ac:dyDescent="0.3">
      <c r="A3593">
        <v>59801</v>
      </c>
      <c r="B3593" t="s">
        <v>7</v>
      </c>
      <c r="C3593">
        <v>61</v>
      </c>
      <c r="D3593">
        <v>0</v>
      </c>
      <c r="E3593">
        <v>0</v>
      </c>
      <c r="F3593" t="str">
        <f t="shared" si="170"/>
        <v>Moderate Risk</v>
      </c>
      <c r="G3593" t="s">
        <v>3</v>
      </c>
      <c r="H3593" t="s">
        <v>4</v>
      </c>
      <c r="I3593" t="s">
        <v>5</v>
      </c>
      <c r="J3593">
        <v>60.61</v>
      </c>
      <c r="K3593">
        <v>24.5</v>
      </c>
      <c r="L3593" t="s">
        <v>11</v>
      </c>
      <c r="M3593">
        <v>0</v>
      </c>
      <c r="N3593" t="str">
        <f t="shared" si="168"/>
        <v>60+</v>
      </c>
      <c r="O3593" t="str">
        <f t="shared" si="169"/>
        <v>Normal</v>
      </c>
    </row>
    <row r="3594" spans="1:15" x14ac:dyDescent="0.3">
      <c r="A3594">
        <v>51073</v>
      </c>
      <c r="B3594" t="s">
        <v>7</v>
      </c>
      <c r="C3594">
        <v>34</v>
      </c>
      <c r="D3594">
        <v>0</v>
      </c>
      <c r="E3594">
        <v>0</v>
      </c>
      <c r="F3594" t="str">
        <f t="shared" si="170"/>
        <v>Lower Risk</v>
      </c>
      <c r="G3594" t="s">
        <v>3</v>
      </c>
      <c r="H3594" t="s">
        <v>8</v>
      </c>
      <c r="I3594" t="s">
        <v>5</v>
      </c>
      <c r="J3594">
        <v>79.77</v>
      </c>
      <c r="K3594">
        <v>33.6</v>
      </c>
      <c r="L3594" t="s">
        <v>11</v>
      </c>
      <c r="M3594">
        <v>0</v>
      </c>
      <c r="N3594" t="str">
        <f t="shared" si="168"/>
        <v>Under 40</v>
      </c>
      <c r="O3594" t="str">
        <f t="shared" si="169"/>
        <v>Obese</v>
      </c>
    </row>
    <row r="3595" spans="1:15" x14ac:dyDescent="0.3">
      <c r="A3595">
        <v>34966</v>
      </c>
      <c r="B3595" t="s">
        <v>7</v>
      </c>
      <c r="C3595">
        <v>43</v>
      </c>
      <c r="D3595">
        <v>0</v>
      </c>
      <c r="E3595">
        <v>0</v>
      </c>
      <c r="F3595" t="str">
        <f t="shared" si="170"/>
        <v>Lower Risk</v>
      </c>
      <c r="G3595" t="s">
        <v>3</v>
      </c>
      <c r="H3595" t="s">
        <v>8</v>
      </c>
      <c r="I3595" t="s">
        <v>5</v>
      </c>
      <c r="J3595">
        <v>87.41</v>
      </c>
      <c r="K3595">
        <v>39.700000000000003</v>
      </c>
      <c r="L3595" t="s">
        <v>6</v>
      </c>
      <c r="M3595">
        <v>0</v>
      </c>
      <c r="N3595" t="str">
        <f t="shared" si="168"/>
        <v>40–59</v>
      </c>
      <c r="O3595" t="str">
        <f t="shared" si="169"/>
        <v>Obese</v>
      </c>
    </row>
    <row r="3596" spans="1:15" x14ac:dyDescent="0.3">
      <c r="A3596">
        <v>41122</v>
      </c>
      <c r="B3596" t="s">
        <v>7</v>
      </c>
      <c r="C3596">
        <v>62</v>
      </c>
      <c r="D3596">
        <v>0</v>
      </c>
      <c r="E3596">
        <v>0</v>
      </c>
      <c r="F3596" t="str">
        <f t="shared" si="170"/>
        <v>Moderate Risk</v>
      </c>
      <c r="G3596" t="s">
        <v>3</v>
      </c>
      <c r="H3596" t="s">
        <v>4</v>
      </c>
      <c r="I3596" t="s">
        <v>9</v>
      </c>
      <c r="J3596">
        <v>226.38</v>
      </c>
      <c r="K3596">
        <v>47.4</v>
      </c>
      <c r="L3596" t="s">
        <v>11</v>
      </c>
      <c r="M3596">
        <v>0</v>
      </c>
      <c r="N3596" t="str">
        <f t="shared" si="168"/>
        <v>60+</v>
      </c>
      <c r="O3596" t="str">
        <f t="shared" si="169"/>
        <v>Obese</v>
      </c>
    </row>
    <row r="3597" spans="1:15" x14ac:dyDescent="0.3">
      <c r="A3597">
        <v>4449</v>
      </c>
      <c r="B3597" t="s">
        <v>2</v>
      </c>
      <c r="C3597">
        <v>48</v>
      </c>
      <c r="D3597">
        <v>0</v>
      </c>
      <c r="E3597">
        <v>0</v>
      </c>
      <c r="F3597" t="str">
        <f t="shared" si="170"/>
        <v>Lower Risk</v>
      </c>
      <c r="G3597" t="s">
        <v>3</v>
      </c>
      <c r="H3597" t="s">
        <v>15</v>
      </c>
      <c r="I3597" t="s">
        <v>9</v>
      </c>
      <c r="J3597">
        <v>124.64</v>
      </c>
      <c r="K3597">
        <v>26.4</v>
      </c>
      <c r="L3597" t="s">
        <v>12</v>
      </c>
      <c r="M3597">
        <v>0</v>
      </c>
      <c r="N3597" t="str">
        <f t="shared" si="168"/>
        <v>40–59</v>
      </c>
      <c r="O3597" t="str">
        <f t="shared" si="169"/>
        <v>Overweight</v>
      </c>
    </row>
    <row r="3598" spans="1:15" x14ac:dyDescent="0.3">
      <c r="A3598">
        <v>54726</v>
      </c>
      <c r="B3598" t="s">
        <v>7</v>
      </c>
      <c r="C3598">
        <v>37</v>
      </c>
      <c r="D3598">
        <v>0</v>
      </c>
      <c r="E3598">
        <v>0</v>
      </c>
      <c r="F3598" t="str">
        <f t="shared" si="170"/>
        <v>Lower Risk</v>
      </c>
      <c r="G3598" t="s">
        <v>3</v>
      </c>
      <c r="H3598" t="s">
        <v>4</v>
      </c>
      <c r="I3598" t="s">
        <v>5</v>
      </c>
      <c r="J3598">
        <v>69.42</v>
      </c>
      <c r="K3598">
        <v>33</v>
      </c>
      <c r="L3598" t="s">
        <v>11</v>
      </c>
      <c r="M3598">
        <v>0</v>
      </c>
      <c r="N3598" t="str">
        <f t="shared" si="168"/>
        <v>Under 40</v>
      </c>
      <c r="O3598" t="str">
        <f t="shared" si="169"/>
        <v>Obese</v>
      </c>
    </row>
    <row r="3599" spans="1:15" x14ac:dyDescent="0.3">
      <c r="A3599">
        <v>1772</v>
      </c>
      <c r="B3599" t="s">
        <v>7</v>
      </c>
      <c r="C3599">
        <v>64</v>
      </c>
      <c r="D3599">
        <v>0</v>
      </c>
      <c r="E3599">
        <v>0</v>
      </c>
      <c r="F3599" t="str">
        <f t="shared" si="170"/>
        <v>Moderate Risk</v>
      </c>
      <c r="G3599" t="s">
        <v>3</v>
      </c>
      <c r="H3599" t="s">
        <v>15</v>
      </c>
      <c r="I3599" t="s">
        <v>5</v>
      </c>
      <c r="J3599">
        <v>77.680000000000007</v>
      </c>
      <c r="K3599">
        <v>31.4</v>
      </c>
      <c r="L3599" t="s">
        <v>11</v>
      </c>
      <c r="M3599">
        <v>0</v>
      </c>
      <c r="N3599" t="str">
        <f t="shared" si="168"/>
        <v>60+</v>
      </c>
      <c r="O3599" t="str">
        <f t="shared" si="169"/>
        <v>Obese</v>
      </c>
    </row>
    <row r="3600" spans="1:15" x14ac:dyDescent="0.3">
      <c r="A3600">
        <v>4850</v>
      </c>
      <c r="B3600" t="s">
        <v>2</v>
      </c>
      <c r="C3600">
        <v>51</v>
      </c>
      <c r="D3600">
        <v>0</v>
      </c>
      <c r="E3600">
        <v>0</v>
      </c>
      <c r="F3600" t="str">
        <f t="shared" si="170"/>
        <v>Lower Risk</v>
      </c>
      <c r="G3600" t="s">
        <v>3</v>
      </c>
      <c r="H3600" t="s">
        <v>4</v>
      </c>
      <c r="I3600" t="s">
        <v>9</v>
      </c>
      <c r="J3600">
        <v>112.79</v>
      </c>
      <c r="K3600">
        <v>27.2</v>
      </c>
      <c r="L3600" t="s">
        <v>11</v>
      </c>
      <c r="M3600">
        <v>0</v>
      </c>
      <c r="N3600" t="str">
        <f t="shared" si="168"/>
        <v>40–59</v>
      </c>
      <c r="O3600" t="str">
        <f t="shared" si="169"/>
        <v>Overweight</v>
      </c>
    </row>
    <row r="3601" spans="1:15" x14ac:dyDescent="0.3">
      <c r="A3601">
        <v>44886</v>
      </c>
      <c r="B3601" t="s">
        <v>2</v>
      </c>
      <c r="C3601">
        <v>69</v>
      </c>
      <c r="D3601">
        <v>1</v>
      </c>
      <c r="E3601">
        <v>0</v>
      </c>
      <c r="F3601" t="str">
        <f t="shared" si="170"/>
        <v>High Risk</v>
      </c>
      <c r="G3601" t="s">
        <v>3</v>
      </c>
      <c r="H3601" t="s">
        <v>8</v>
      </c>
      <c r="I3601" t="s">
        <v>9</v>
      </c>
      <c r="J3601">
        <v>236.79</v>
      </c>
      <c r="K3601">
        <v>35.700000000000003</v>
      </c>
      <c r="L3601" t="s">
        <v>6</v>
      </c>
      <c r="M3601">
        <v>0</v>
      </c>
      <c r="N3601" t="str">
        <f t="shared" si="168"/>
        <v>60+</v>
      </c>
      <c r="O3601" t="str">
        <f t="shared" si="169"/>
        <v>Obese</v>
      </c>
    </row>
    <row r="3602" spans="1:15" x14ac:dyDescent="0.3">
      <c r="A3602">
        <v>26076</v>
      </c>
      <c r="B3602" t="s">
        <v>7</v>
      </c>
      <c r="C3602">
        <v>75</v>
      </c>
      <c r="D3602">
        <v>1</v>
      </c>
      <c r="E3602">
        <v>0</v>
      </c>
      <c r="F3602" t="str">
        <f t="shared" si="170"/>
        <v>High Risk</v>
      </c>
      <c r="G3602" t="s">
        <v>3</v>
      </c>
      <c r="H3602" t="s">
        <v>8</v>
      </c>
      <c r="I3602" t="s">
        <v>9</v>
      </c>
      <c r="J3602">
        <v>219.82</v>
      </c>
      <c r="K3602">
        <v>29.5</v>
      </c>
      <c r="L3602" t="s">
        <v>6</v>
      </c>
      <c r="M3602">
        <v>0</v>
      </c>
      <c r="N3602" t="str">
        <f t="shared" si="168"/>
        <v>60+</v>
      </c>
      <c r="O3602" t="str">
        <f t="shared" si="169"/>
        <v>Overweight</v>
      </c>
    </row>
    <row r="3603" spans="1:15" x14ac:dyDescent="0.3">
      <c r="A3603">
        <v>54962</v>
      </c>
      <c r="B3603" t="s">
        <v>7</v>
      </c>
      <c r="C3603">
        <v>27</v>
      </c>
      <c r="D3603">
        <v>0</v>
      </c>
      <c r="E3603">
        <v>0</v>
      </c>
      <c r="F3603" t="str">
        <f t="shared" si="170"/>
        <v>Lower Risk</v>
      </c>
      <c r="G3603" t="s">
        <v>13</v>
      </c>
      <c r="H3603" t="s">
        <v>4</v>
      </c>
      <c r="I3603" t="s">
        <v>5</v>
      </c>
      <c r="J3603">
        <v>82.05</v>
      </c>
      <c r="K3603">
        <v>21</v>
      </c>
      <c r="L3603" t="s">
        <v>14</v>
      </c>
      <c r="M3603">
        <v>0</v>
      </c>
      <c r="N3603" t="str">
        <f t="shared" si="168"/>
        <v>Under 40</v>
      </c>
      <c r="O3603" t="str">
        <f t="shared" si="169"/>
        <v>Normal</v>
      </c>
    </row>
    <row r="3604" spans="1:15" x14ac:dyDescent="0.3">
      <c r="A3604">
        <v>1116</v>
      </c>
      <c r="B3604" t="s">
        <v>7</v>
      </c>
      <c r="C3604">
        <v>49</v>
      </c>
      <c r="D3604">
        <v>0</v>
      </c>
      <c r="E3604">
        <v>0</v>
      </c>
      <c r="F3604" t="str">
        <f t="shared" si="170"/>
        <v>Lower Risk</v>
      </c>
      <c r="G3604" t="s">
        <v>13</v>
      </c>
      <c r="H3604" t="s">
        <v>15</v>
      </c>
      <c r="I3604" t="s">
        <v>9</v>
      </c>
      <c r="J3604">
        <v>104.08</v>
      </c>
      <c r="K3604">
        <v>26.6</v>
      </c>
      <c r="L3604" t="s">
        <v>11</v>
      </c>
      <c r="M3604">
        <v>0</v>
      </c>
      <c r="N3604" t="str">
        <f t="shared" si="168"/>
        <v>40–59</v>
      </c>
      <c r="O3604" t="str">
        <f t="shared" si="169"/>
        <v>Overweight</v>
      </c>
    </row>
    <row r="3605" spans="1:15" x14ac:dyDescent="0.3">
      <c r="A3605">
        <v>28247</v>
      </c>
      <c r="B3605" t="s">
        <v>2</v>
      </c>
      <c r="C3605">
        <v>82</v>
      </c>
      <c r="D3605">
        <v>0</v>
      </c>
      <c r="E3605">
        <v>0</v>
      </c>
      <c r="F3605" t="str">
        <f t="shared" si="170"/>
        <v>Moderate Risk</v>
      </c>
      <c r="G3605" t="s">
        <v>13</v>
      </c>
      <c r="H3605" t="s">
        <v>8</v>
      </c>
      <c r="I3605" t="s">
        <v>5</v>
      </c>
      <c r="J3605">
        <v>101.57</v>
      </c>
      <c r="K3605">
        <v>24.3</v>
      </c>
      <c r="L3605" t="s">
        <v>12</v>
      </c>
      <c r="M3605">
        <v>0</v>
      </c>
      <c r="N3605" t="str">
        <f t="shared" si="168"/>
        <v>60+</v>
      </c>
      <c r="O3605" t="str">
        <f t="shared" si="169"/>
        <v>Normal</v>
      </c>
    </row>
    <row r="3606" spans="1:15" x14ac:dyDescent="0.3">
      <c r="A3606">
        <v>39563</v>
      </c>
      <c r="B3606" t="s">
        <v>7</v>
      </c>
      <c r="C3606">
        <v>36</v>
      </c>
      <c r="D3606">
        <v>0</v>
      </c>
      <c r="E3606">
        <v>0</v>
      </c>
      <c r="F3606" t="str">
        <f t="shared" si="170"/>
        <v>Lower Risk</v>
      </c>
      <c r="G3606" t="s">
        <v>3</v>
      </c>
      <c r="H3606" t="s">
        <v>4</v>
      </c>
      <c r="I3606" t="s">
        <v>9</v>
      </c>
      <c r="J3606">
        <v>71.319999999999993</v>
      </c>
      <c r="K3606">
        <v>43.9</v>
      </c>
      <c r="L3606" t="s">
        <v>12</v>
      </c>
      <c r="M3606">
        <v>0</v>
      </c>
      <c r="N3606" t="str">
        <f t="shared" si="168"/>
        <v>Under 40</v>
      </c>
      <c r="O3606" t="str">
        <f t="shared" si="169"/>
        <v>Obese</v>
      </c>
    </row>
    <row r="3607" spans="1:15" x14ac:dyDescent="0.3">
      <c r="A3607">
        <v>49553</v>
      </c>
      <c r="B3607" t="s">
        <v>2</v>
      </c>
      <c r="C3607">
        <v>1.88</v>
      </c>
      <c r="D3607">
        <v>0</v>
      </c>
      <c r="E3607">
        <v>0</v>
      </c>
      <c r="F3607" t="str">
        <f t="shared" si="170"/>
        <v>Lower Risk</v>
      </c>
      <c r="G3607" t="s">
        <v>13</v>
      </c>
      <c r="H3607" t="s">
        <v>16</v>
      </c>
      <c r="I3607" t="s">
        <v>9</v>
      </c>
      <c r="J3607">
        <v>143.97</v>
      </c>
      <c r="K3607" t="s">
        <v>10</v>
      </c>
      <c r="L3607" t="s">
        <v>14</v>
      </c>
      <c r="M3607">
        <v>0</v>
      </c>
      <c r="N3607" t="str">
        <f t="shared" si="168"/>
        <v>Under 40</v>
      </c>
      <c r="O3607" t="str">
        <f t="shared" si="169"/>
        <v>Unknown</v>
      </c>
    </row>
    <row r="3608" spans="1:15" x14ac:dyDescent="0.3">
      <c r="A3608">
        <v>14872</v>
      </c>
      <c r="B3608" t="s">
        <v>2</v>
      </c>
      <c r="C3608">
        <v>45</v>
      </c>
      <c r="D3608">
        <v>1</v>
      </c>
      <c r="E3608">
        <v>0</v>
      </c>
      <c r="F3608" t="str">
        <f t="shared" si="170"/>
        <v>Lower Risk</v>
      </c>
      <c r="G3608" t="s">
        <v>3</v>
      </c>
      <c r="H3608" t="s">
        <v>8</v>
      </c>
      <c r="I3608" t="s">
        <v>9</v>
      </c>
      <c r="J3608">
        <v>239.19</v>
      </c>
      <c r="K3608">
        <v>52.5</v>
      </c>
      <c r="L3608" t="s">
        <v>14</v>
      </c>
      <c r="M3608">
        <v>0</v>
      </c>
      <c r="N3608" t="str">
        <f t="shared" si="168"/>
        <v>40–59</v>
      </c>
      <c r="O3608" t="str">
        <f t="shared" si="169"/>
        <v>Obese</v>
      </c>
    </row>
    <row r="3609" spans="1:15" x14ac:dyDescent="0.3">
      <c r="A3609">
        <v>57598</v>
      </c>
      <c r="B3609" t="s">
        <v>7</v>
      </c>
      <c r="C3609">
        <v>64</v>
      </c>
      <c r="D3609">
        <v>0</v>
      </c>
      <c r="E3609">
        <v>0</v>
      </c>
      <c r="F3609" t="str">
        <f t="shared" si="170"/>
        <v>Moderate Risk</v>
      </c>
      <c r="G3609" t="s">
        <v>3</v>
      </c>
      <c r="H3609" t="s">
        <v>4</v>
      </c>
      <c r="I3609" t="s">
        <v>9</v>
      </c>
      <c r="J3609">
        <v>78.45</v>
      </c>
      <c r="K3609">
        <v>27</v>
      </c>
      <c r="L3609" t="s">
        <v>6</v>
      </c>
      <c r="M3609">
        <v>0</v>
      </c>
      <c r="N3609" t="str">
        <f t="shared" si="168"/>
        <v>60+</v>
      </c>
      <c r="O3609" t="str">
        <f t="shared" si="169"/>
        <v>Overweight</v>
      </c>
    </row>
    <row r="3610" spans="1:15" x14ac:dyDescent="0.3">
      <c r="A3610">
        <v>70022</v>
      </c>
      <c r="B3610" t="s">
        <v>2</v>
      </c>
      <c r="C3610">
        <v>32</v>
      </c>
      <c r="D3610">
        <v>0</v>
      </c>
      <c r="E3610">
        <v>0</v>
      </c>
      <c r="F3610" t="str">
        <f t="shared" si="170"/>
        <v>Lower Risk</v>
      </c>
      <c r="G3610" t="s">
        <v>13</v>
      </c>
      <c r="H3610" t="s">
        <v>4</v>
      </c>
      <c r="I3610" t="s">
        <v>9</v>
      </c>
      <c r="J3610">
        <v>61.11</v>
      </c>
      <c r="K3610">
        <v>32.700000000000003</v>
      </c>
      <c r="L3610" t="s">
        <v>11</v>
      </c>
      <c r="M3610">
        <v>0</v>
      </c>
      <c r="N3610" t="str">
        <f t="shared" si="168"/>
        <v>Under 40</v>
      </c>
      <c r="O3610" t="str">
        <f t="shared" si="169"/>
        <v>Obese</v>
      </c>
    </row>
    <row r="3611" spans="1:15" x14ac:dyDescent="0.3">
      <c r="A3611">
        <v>70365</v>
      </c>
      <c r="B3611" t="s">
        <v>7</v>
      </c>
      <c r="C3611">
        <v>15</v>
      </c>
      <c r="D3611">
        <v>0</v>
      </c>
      <c r="E3611">
        <v>0</v>
      </c>
      <c r="F3611" t="str">
        <f t="shared" si="170"/>
        <v>Lower Risk</v>
      </c>
      <c r="G3611" t="s">
        <v>13</v>
      </c>
      <c r="H3611" t="s">
        <v>4</v>
      </c>
      <c r="I3611" t="s">
        <v>5</v>
      </c>
      <c r="J3611">
        <v>87.29</v>
      </c>
      <c r="K3611">
        <v>29.4</v>
      </c>
      <c r="L3611" t="s">
        <v>14</v>
      </c>
      <c r="M3611">
        <v>0</v>
      </c>
      <c r="N3611" t="str">
        <f t="shared" si="168"/>
        <v>Under 40</v>
      </c>
      <c r="O3611" t="str">
        <f t="shared" si="169"/>
        <v>Overweight</v>
      </c>
    </row>
    <row r="3612" spans="1:15" x14ac:dyDescent="0.3">
      <c r="A3612">
        <v>57219</v>
      </c>
      <c r="B3612" t="s">
        <v>7</v>
      </c>
      <c r="C3612">
        <v>1.64</v>
      </c>
      <c r="D3612">
        <v>0</v>
      </c>
      <c r="E3612">
        <v>0</v>
      </c>
      <c r="F3612" t="str">
        <f t="shared" si="170"/>
        <v>Lower Risk</v>
      </c>
      <c r="G3612" t="s">
        <v>13</v>
      </c>
      <c r="H3612" t="s">
        <v>16</v>
      </c>
      <c r="I3612" t="s">
        <v>9</v>
      </c>
      <c r="J3612">
        <v>82.49</v>
      </c>
      <c r="K3612">
        <v>15.1</v>
      </c>
      <c r="L3612" t="s">
        <v>14</v>
      </c>
      <c r="M3612">
        <v>0</v>
      </c>
      <c r="N3612" t="str">
        <f t="shared" si="168"/>
        <v>Under 40</v>
      </c>
      <c r="O3612" t="str">
        <f t="shared" si="169"/>
        <v>Underweight</v>
      </c>
    </row>
    <row r="3613" spans="1:15" x14ac:dyDescent="0.3">
      <c r="A3613">
        <v>28344</v>
      </c>
      <c r="B3613" t="s">
        <v>2</v>
      </c>
      <c r="C3613">
        <v>34</v>
      </c>
      <c r="D3613">
        <v>0</v>
      </c>
      <c r="E3613">
        <v>0</v>
      </c>
      <c r="F3613" t="str">
        <f t="shared" si="170"/>
        <v>Lower Risk</v>
      </c>
      <c r="G3613" t="s">
        <v>3</v>
      </c>
      <c r="H3613" t="s">
        <v>4</v>
      </c>
      <c r="I3613" t="s">
        <v>5</v>
      </c>
      <c r="J3613">
        <v>83.15</v>
      </c>
      <c r="K3613">
        <v>32.1</v>
      </c>
      <c r="L3613" t="s">
        <v>14</v>
      </c>
      <c r="M3613">
        <v>0</v>
      </c>
      <c r="N3613" t="str">
        <f t="shared" si="168"/>
        <v>Under 40</v>
      </c>
      <c r="O3613" t="str">
        <f t="shared" si="169"/>
        <v>Obese</v>
      </c>
    </row>
    <row r="3614" spans="1:15" x14ac:dyDescent="0.3">
      <c r="A3614">
        <v>50785</v>
      </c>
      <c r="B3614" t="s">
        <v>2</v>
      </c>
      <c r="C3614">
        <v>17</v>
      </c>
      <c r="D3614">
        <v>0</v>
      </c>
      <c r="E3614">
        <v>0</v>
      </c>
      <c r="F3614" t="str">
        <f t="shared" si="170"/>
        <v>Lower Risk</v>
      </c>
      <c r="G3614" t="s">
        <v>13</v>
      </c>
      <c r="H3614" t="s">
        <v>4</v>
      </c>
      <c r="I3614" t="s">
        <v>9</v>
      </c>
      <c r="J3614">
        <v>83.26</v>
      </c>
      <c r="K3614">
        <v>32.9</v>
      </c>
      <c r="L3614" t="s">
        <v>11</v>
      </c>
      <c r="M3614">
        <v>0</v>
      </c>
      <c r="N3614" t="str">
        <f t="shared" si="168"/>
        <v>Under 40</v>
      </c>
      <c r="O3614" t="str">
        <f t="shared" si="169"/>
        <v>Obese</v>
      </c>
    </row>
    <row r="3615" spans="1:15" x14ac:dyDescent="0.3">
      <c r="A3615">
        <v>17251</v>
      </c>
      <c r="B3615" t="s">
        <v>7</v>
      </c>
      <c r="C3615">
        <v>76</v>
      </c>
      <c r="D3615">
        <v>1</v>
      </c>
      <c r="E3615">
        <v>0</v>
      </c>
      <c r="F3615" t="str">
        <f t="shared" si="170"/>
        <v>High Risk</v>
      </c>
      <c r="G3615" t="s">
        <v>3</v>
      </c>
      <c r="H3615" t="s">
        <v>8</v>
      </c>
      <c r="I3615" t="s">
        <v>5</v>
      </c>
      <c r="J3615">
        <v>78.7</v>
      </c>
      <c r="K3615">
        <v>27.6</v>
      </c>
      <c r="L3615" t="s">
        <v>6</v>
      </c>
      <c r="M3615">
        <v>0</v>
      </c>
      <c r="N3615" t="str">
        <f t="shared" si="168"/>
        <v>60+</v>
      </c>
      <c r="O3615" t="str">
        <f t="shared" si="169"/>
        <v>Overweight</v>
      </c>
    </row>
    <row r="3616" spans="1:15" x14ac:dyDescent="0.3">
      <c r="A3616">
        <v>48459</v>
      </c>
      <c r="B3616" t="s">
        <v>2</v>
      </c>
      <c r="C3616">
        <v>61</v>
      </c>
      <c r="D3616">
        <v>0</v>
      </c>
      <c r="E3616">
        <v>0</v>
      </c>
      <c r="F3616" t="str">
        <f t="shared" si="170"/>
        <v>Moderate Risk</v>
      </c>
      <c r="G3616" t="s">
        <v>3</v>
      </c>
      <c r="H3616" t="s">
        <v>8</v>
      </c>
      <c r="I3616" t="s">
        <v>5</v>
      </c>
      <c r="J3616">
        <v>111.94</v>
      </c>
      <c r="K3616">
        <v>26.5</v>
      </c>
      <c r="L3616" t="s">
        <v>12</v>
      </c>
      <c r="M3616">
        <v>0</v>
      </c>
      <c r="N3616" t="str">
        <f t="shared" si="168"/>
        <v>60+</v>
      </c>
      <c r="O3616" t="str">
        <f t="shared" si="169"/>
        <v>Overweight</v>
      </c>
    </row>
    <row r="3617" spans="1:15" x14ac:dyDescent="0.3">
      <c r="A3617">
        <v>68843</v>
      </c>
      <c r="B3617" t="s">
        <v>2</v>
      </c>
      <c r="C3617">
        <v>30</v>
      </c>
      <c r="D3617">
        <v>0</v>
      </c>
      <c r="E3617">
        <v>0</v>
      </c>
      <c r="F3617" t="str">
        <f t="shared" si="170"/>
        <v>Lower Risk</v>
      </c>
      <c r="G3617" t="s">
        <v>3</v>
      </c>
      <c r="H3617" t="s">
        <v>4</v>
      </c>
      <c r="I3617" t="s">
        <v>9</v>
      </c>
      <c r="J3617">
        <v>104.77</v>
      </c>
      <c r="K3617">
        <v>19.2</v>
      </c>
      <c r="L3617" t="s">
        <v>12</v>
      </c>
      <c r="M3617">
        <v>0</v>
      </c>
      <c r="N3617" t="str">
        <f t="shared" si="168"/>
        <v>Under 40</v>
      </c>
      <c r="O3617" t="str">
        <f t="shared" si="169"/>
        <v>Normal</v>
      </c>
    </row>
    <row r="3618" spans="1:15" x14ac:dyDescent="0.3">
      <c r="A3618">
        <v>27523</v>
      </c>
      <c r="B3618" t="s">
        <v>7</v>
      </c>
      <c r="C3618">
        <v>18</v>
      </c>
      <c r="D3618">
        <v>0</v>
      </c>
      <c r="E3618">
        <v>0</v>
      </c>
      <c r="F3618" t="str">
        <f t="shared" si="170"/>
        <v>Lower Risk</v>
      </c>
      <c r="G3618" t="s">
        <v>13</v>
      </c>
      <c r="H3618" t="s">
        <v>4</v>
      </c>
      <c r="I3618" t="s">
        <v>5</v>
      </c>
      <c r="J3618">
        <v>104.26</v>
      </c>
      <c r="K3618">
        <v>25.9</v>
      </c>
      <c r="L3618" t="s">
        <v>14</v>
      </c>
      <c r="M3618">
        <v>0</v>
      </c>
      <c r="N3618" t="str">
        <f t="shared" si="168"/>
        <v>Under 40</v>
      </c>
      <c r="O3618" t="str">
        <f t="shared" si="169"/>
        <v>Overweight</v>
      </c>
    </row>
    <row r="3619" spans="1:15" x14ac:dyDescent="0.3">
      <c r="A3619">
        <v>61651</v>
      </c>
      <c r="B3619" t="s">
        <v>2</v>
      </c>
      <c r="C3619">
        <v>48</v>
      </c>
      <c r="D3619">
        <v>0</v>
      </c>
      <c r="E3619">
        <v>0</v>
      </c>
      <c r="F3619" t="str">
        <f t="shared" si="170"/>
        <v>Lower Risk</v>
      </c>
      <c r="G3619" t="s">
        <v>3</v>
      </c>
      <c r="H3619" t="s">
        <v>4</v>
      </c>
      <c r="I3619" t="s">
        <v>9</v>
      </c>
      <c r="J3619">
        <v>113.84</v>
      </c>
      <c r="K3619">
        <v>21.9</v>
      </c>
      <c r="L3619" t="s">
        <v>11</v>
      </c>
      <c r="M3619">
        <v>0</v>
      </c>
      <c r="N3619" t="str">
        <f t="shared" si="168"/>
        <v>40–59</v>
      </c>
      <c r="O3619" t="str">
        <f t="shared" si="169"/>
        <v>Normal</v>
      </c>
    </row>
    <row r="3620" spans="1:15" x14ac:dyDescent="0.3">
      <c r="A3620">
        <v>22877</v>
      </c>
      <c r="B3620" t="s">
        <v>2</v>
      </c>
      <c r="C3620">
        <v>0.16</v>
      </c>
      <c r="D3620">
        <v>0</v>
      </c>
      <c r="E3620">
        <v>0</v>
      </c>
      <c r="F3620" t="str">
        <f t="shared" si="170"/>
        <v>Lower Risk</v>
      </c>
      <c r="G3620" t="s">
        <v>13</v>
      </c>
      <c r="H3620" t="s">
        <v>16</v>
      </c>
      <c r="I3620" t="s">
        <v>5</v>
      </c>
      <c r="J3620">
        <v>114.71</v>
      </c>
      <c r="K3620">
        <v>17.399999999999999</v>
      </c>
      <c r="L3620" t="s">
        <v>14</v>
      </c>
      <c r="M3620">
        <v>0</v>
      </c>
      <c r="N3620" t="str">
        <f t="shared" si="168"/>
        <v>Under 40</v>
      </c>
      <c r="O3620" t="str">
        <f t="shared" si="169"/>
        <v>Underweight</v>
      </c>
    </row>
    <row r="3621" spans="1:15" x14ac:dyDescent="0.3">
      <c r="A3621">
        <v>52859</v>
      </c>
      <c r="B3621" t="s">
        <v>7</v>
      </c>
      <c r="C3621">
        <v>4</v>
      </c>
      <c r="D3621">
        <v>0</v>
      </c>
      <c r="E3621">
        <v>0</v>
      </c>
      <c r="F3621" t="str">
        <f t="shared" si="170"/>
        <v>Lower Risk</v>
      </c>
      <c r="G3621" t="s">
        <v>13</v>
      </c>
      <c r="H3621" t="s">
        <v>16</v>
      </c>
      <c r="I3621" t="s">
        <v>5</v>
      </c>
      <c r="J3621">
        <v>61.54</v>
      </c>
      <c r="K3621">
        <v>13.2</v>
      </c>
      <c r="L3621" t="s">
        <v>14</v>
      </c>
      <c r="M3621">
        <v>0</v>
      </c>
      <c r="N3621" t="str">
        <f t="shared" si="168"/>
        <v>Under 40</v>
      </c>
      <c r="O3621" t="str">
        <f t="shared" si="169"/>
        <v>Underweight</v>
      </c>
    </row>
    <row r="3622" spans="1:15" x14ac:dyDescent="0.3">
      <c r="A3622">
        <v>55631</v>
      </c>
      <c r="B3622" t="s">
        <v>2</v>
      </c>
      <c r="C3622">
        <v>38</v>
      </c>
      <c r="D3622">
        <v>0</v>
      </c>
      <c r="E3622">
        <v>0</v>
      </c>
      <c r="F3622" t="str">
        <f t="shared" si="170"/>
        <v>Lower Risk</v>
      </c>
      <c r="G3622" t="s">
        <v>3</v>
      </c>
      <c r="H3622" t="s">
        <v>4</v>
      </c>
      <c r="I3622" t="s">
        <v>9</v>
      </c>
      <c r="J3622">
        <v>133.62</v>
      </c>
      <c r="K3622">
        <v>25.2</v>
      </c>
      <c r="L3622" t="s">
        <v>11</v>
      </c>
      <c r="M3622">
        <v>0</v>
      </c>
      <c r="N3622" t="str">
        <f t="shared" si="168"/>
        <v>Under 40</v>
      </c>
      <c r="O3622" t="str">
        <f t="shared" si="169"/>
        <v>Overweight</v>
      </c>
    </row>
    <row r="3623" spans="1:15" x14ac:dyDescent="0.3">
      <c r="A3623">
        <v>7003</v>
      </c>
      <c r="B3623" t="s">
        <v>7</v>
      </c>
      <c r="C3623">
        <v>27</v>
      </c>
      <c r="D3623">
        <v>0</v>
      </c>
      <c r="E3623">
        <v>0</v>
      </c>
      <c r="F3623" t="str">
        <f t="shared" si="170"/>
        <v>Lower Risk</v>
      </c>
      <c r="G3623" t="s">
        <v>3</v>
      </c>
      <c r="H3623" t="s">
        <v>4</v>
      </c>
      <c r="I3623" t="s">
        <v>9</v>
      </c>
      <c r="J3623">
        <v>111.96</v>
      </c>
      <c r="K3623">
        <v>28.2</v>
      </c>
      <c r="L3623" t="s">
        <v>11</v>
      </c>
      <c r="M3623">
        <v>0</v>
      </c>
      <c r="N3623" t="str">
        <f t="shared" si="168"/>
        <v>Under 40</v>
      </c>
      <c r="O3623" t="str">
        <f t="shared" si="169"/>
        <v>Overweight</v>
      </c>
    </row>
    <row r="3624" spans="1:15" x14ac:dyDescent="0.3">
      <c r="A3624">
        <v>68447</v>
      </c>
      <c r="B3624" t="s">
        <v>7</v>
      </c>
      <c r="C3624">
        <v>50</v>
      </c>
      <c r="D3624">
        <v>0</v>
      </c>
      <c r="E3624">
        <v>0</v>
      </c>
      <c r="F3624" t="str">
        <f t="shared" si="170"/>
        <v>Lower Risk</v>
      </c>
      <c r="G3624" t="s">
        <v>13</v>
      </c>
      <c r="H3624" t="s">
        <v>4</v>
      </c>
      <c r="I3624" t="s">
        <v>5</v>
      </c>
      <c r="J3624">
        <v>112.44</v>
      </c>
      <c r="K3624">
        <v>31.5</v>
      </c>
      <c r="L3624" t="s">
        <v>14</v>
      </c>
      <c r="M3624">
        <v>0</v>
      </c>
      <c r="N3624" t="str">
        <f t="shared" si="168"/>
        <v>40–59</v>
      </c>
      <c r="O3624" t="str">
        <f t="shared" si="169"/>
        <v>Obese</v>
      </c>
    </row>
    <row r="3625" spans="1:15" x14ac:dyDescent="0.3">
      <c r="A3625">
        <v>13817</v>
      </c>
      <c r="B3625" t="s">
        <v>2</v>
      </c>
      <c r="C3625">
        <v>19</v>
      </c>
      <c r="D3625">
        <v>0</v>
      </c>
      <c r="E3625">
        <v>0</v>
      </c>
      <c r="F3625" t="str">
        <f t="shared" si="170"/>
        <v>Lower Risk</v>
      </c>
      <c r="G3625" t="s">
        <v>13</v>
      </c>
      <c r="H3625" t="s">
        <v>4</v>
      </c>
      <c r="I3625" t="s">
        <v>5</v>
      </c>
      <c r="J3625">
        <v>123.61</v>
      </c>
      <c r="K3625">
        <v>25.2</v>
      </c>
      <c r="L3625" t="s">
        <v>14</v>
      </c>
      <c r="M3625">
        <v>0</v>
      </c>
      <c r="N3625" t="str">
        <f t="shared" si="168"/>
        <v>Under 40</v>
      </c>
      <c r="O3625" t="str">
        <f t="shared" si="169"/>
        <v>Overweight</v>
      </c>
    </row>
    <row r="3626" spans="1:15" x14ac:dyDescent="0.3">
      <c r="A3626">
        <v>12117</v>
      </c>
      <c r="B3626" t="s">
        <v>2</v>
      </c>
      <c r="C3626">
        <v>8</v>
      </c>
      <c r="D3626">
        <v>0</v>
      </c>
      <c r="E3626">
        <v>0</v>
      </c>
      <c r="F3626" t="str">
        <f t="shared" si="170"/>
        <v>Lower Risk</v>
      </c>
      <c r="G3626" t="s">
        <v>13</v>
      </c>
      <c r="H3626" t="s">
        <v>16</v>
      </c>
      <c r="I3626" t="s">
        <v>5</v>
      </c>
      <c r="J3626">
        <v>84.68</v>
      </c>
      <c r="K3626">
        <v>14.5</v>
      </c>
      <c r="L3626" t="s">
        <v>14</v>
      </c>
      <c r="M3626">
        <v>0</v>
      </c>
      <c r="N3626" t="str">
        <f t="shared" si="168"/>
        <v>Under 40</v>
      </c>
      <c r="O3626" t="str">
        <f t="shared" si="169"/>
        <v>Underweight</v>
      </c>
    </row>
    <row r="3627" spans="1:15" x14ac:dyDescent="0.3">
      <c r="A3627">
        <v>40210</v>
      </c>
      <c r="B3627" t="s">
        <v>2</v>
      </c>
      <c r="C3627">
        <v>78</v>
      </c>
      <c r="D3627">
        <v>0</v>
      </c>
      <c r="E3627">
        <v>1</v>
      </c>
      <c r="F3627" t="str">
        <f t="shared" si="170"/>
        <v>High Risk</v>
      </c>
      <c r="G3627" t="s">
        <v>3</v>
      </c>
      <c r="H3627" t="s">
        <v>8</v>
      </c>
      <c r="I3627" t="s">
        <v>9</v>
      </c>
      <c r="J3627">
        <v>206.62</v>
      </c>
      <c r="K3627">
        <v>28</v>
      </c>
      <c r="L3627" t="s">
        <v>6</v>
      </c>
      <c r="M3627">
        <v>0</v>
      </c>
      <c r="N3627" t="str">
        <f t="shared" si="168"/>
        <v>60+</v>
      </c>
      <c r="O3627" t="str">
        <f t="shared" si="169"/>
        <v>Overweight</v>
      </c>
    </row>
    <row r="3628" spans="1:15" x14ac:dyDescent="0.3">
      <c r="A3628">
        <v>23360</v>
      </c>
      <c r="B3628" t="s">
        <v>2</v>
      </c>
      <c r="C3628">
        <v>0.8</v>
      </c>
      <c r="D3628">
        <v>0</v>
      </c>
      <c r="E3628">
        <v>0</v>
      </c>
      <c r="F3628" t="str">
        <f t="shared" si="170"/>
        <v>Lower Risk</v>
      </c>
      <c r="G3628" t="s">
        <v>13</v>
      </c>
      <c r="H3628" t="s">
        <v>16</v>
      </c>
      <c r="I3628" t="s">
        <v>9</v>
      </c>
      <c r="J3628">
        <v>114.54</v>
      </c>
      <c r="K3628">
        <v>15.1</v>
      </c>
      <c r="L3628" t="s">
        <v>14</v>
      </c>
      <c r="M3628">
        <v>0</v>
      </c>
      <c r="N3628" t="str">
        <f t="shared" si="168"/>
        <v>Under 40</v>
      </c>
      <c r="O3628" t="str">
        <f t="shared" si="169"/>
        <v>Underweight</v>
      </c>
    </row>
    <row r="3629" spans="1:15" x14ac:dyDescent="0.3">
      <c r="A3629">
        <v>28447</v>
      </c>
      <c r="B3629" t="s">
        <v>7</v>
      </c>
      <c r="C3629">
        <v>53</v>
      </c>
      <c r="D3629">
        <v>1</v>
      </c>
      <c r="E3629">
        <v>0</v>
      </c>
      <c r="F3629" t="str">
        <f t="shared" si="170"/>
        <v>Lower Risk</v>
      </c>
      <c r="G3629" t="s">
        <v>3</v>
      </c>
      <c r="H3629" t="s">
        <v>4</v>
      </c>
      <c r="I3629" t="s">
        <v>9</v>
      </c>
      <c r="J3629">
        <v>216.88</v>
      </c>
      <c r="K3629">
        <v>31.4</v>
      </c>
      <c r="L3629" t="s">
        <v>12</v>
      </c>
      <c r="M3629">
        <v>0</v>
      </c>
      <c r="N3629" t="str">
        <f t="shared" si="168"/>
        <v>40–59</v>
      </c>
      <c r="O3629" t="str">
        <f t="shared" si="169"/>
        <v>Obese</v>
      </c>
    </row>
    <row r="3630" spans="1:15" x14ac:dyDescent="0.3">
      <c r="A3630">
        <v>72398</v>
      </c>
      <c r="B3630" t="s">
        <v>7</v>
      </c>
      <c r="C3630">
        <v>73</v>
      </c>
      <c r="D3630">
        <v>1</v>
      </c>
      <c r="E3630">
        <v>0</v>
      </c>
      <c r="F3630" t="str">
        <f t="shared" si="170"/>
        <v>High Risk</v>
      </c>
      <c r="G3630" t="s">
        <v>3</v>
      </c>
      <c r="H3630" t="s">
        <v>4</v>
      </c>
      <c r="I3630" t="s">
        <v>5</v>
      </c>
      <c r="J3630">
        <v>110.38</v>
      </c>
      <c r="K3630">
        <v>26.3</v>
      </c>
      <c r="L3630" t="s">
        <v>11</v>
      </c>
      <c r="M3630">
        <v>0</v>
      </c>
      <c r="N3630" t="str">
        <f t="shared" si="168"/>
        <v>60+</v>
      </c>
      <c r="O3630" t="str">
        <f t="shared" si="169"/>
        <v>Overweight</v>
      </c>
    </row>
    <row r="3631" spans="1:15" x14ac:dyDescent="0.3">
      <c r="A3631">
        <v>7859</v>
      </c>
      <c r="B3631" t="s">
        <v>2</v>
      </c>
      <c r="C3631">
        <v>34</v>
      </c>
      <c r="D3631">
        <v>0</v>
      </c>
      <c r="E3631">
        <v>0</v>
      </c>
      <c r="F3631" t="str">
        <f t="shared" si="170"/>
        <v>Lower Risk</v>
      </c>
      <c r="G3631" t="s">
        <v>3</v>
      </c>
      <c r="H3631" t="s">
        <v>4</v>
      </c>
      <c r="I3631" t="s">
        <v>5</v>
      </c>
      <c r="J3631">
        <v>99.23</v>
      </c>
      <c r="K3631" t="s">
        <v>10</v>
      </c>
      <c r="L3631" t="s">
        <v>12</v>
      </c>
      <c r="M3631">
        <v>0</v>
      </c>
      <c r="N3631" t="str">
        <f t="shared" si="168"/>
        <v>Under 40</v>
      </c>
      <c r="O3631" t="str">
        <f t="shared" si="169"/>
        <v>Unknown</v>
      </c>
    </row>
    <row r="3632" spans="1:15" x14ac:dyDescent="0.3">
      <c r="A3632">
        <v>20140</v>
      </c>
      <c r="B3632" t="s">
        <v>2</v>
      </c>
      <c r="C3632">
        <v>58</v>
      </c>
      <c r="D3632">
        <v>0</v>
      </c>
      <c r="E3632">
        <v>0</v>
      </c>
      <c r="F3632" t="str">
        <f t="shared" si="170"/>
        <v>Lower Risk</v>
      </c>
      <c r="G3632" t="s">
        <v>3</v>
      </c>
      <c r="H3632" t="s">
        <v>15</v>
      </c>
      <c r="I3632" t="s">
        <v>9</v>
      </c>
      <c r="J3632">
        <v>204.92</v>
      </c>
      <c r="K3632">
        <v>39.6</v>
      </c>
      <c r="L3632" t="s">
        <v>11</v>
      </c>
      <c r="M3632">
        <v>0</v>
      </c>
      <c r="N3632" t="str">
        <f t="shared" si="168"/>
        <v>40–59</v>
      </c>
      <c r="O3632" t="str">
        <f t="shared" si="169"/>
        <v>Obese</v>
      </c>
    </row>
    <row r="3633" spans="1:15" x14ac:dyDescent="0.3">
      <c r="A3633">
        <v>46903</v>
      </c>
      <c r="B3633" t="s">
        <v>7</v>
      </c>
      <c r="C3633">
        <v>62</v>
      </c>
      <c r="D3633">
        <v>0</v>
      </c>
      <c r="E3633">
        <v>0</v>
      </c>
      <c r="F3633" t="str">
        <f t="shared" si="170"/>
        <v>Moderate Risk</v>
      </c>
      <c r="G3633" t="s">
        <v>3</v>
      </c>
      <c r="H3633" t="s">
        <v>4</v>
      </c>
      <c r="I3633" t="s">
        <v>5</v>
      </c>
      <c r="J3633">
        <v>56.74</v>
      </c>
      <c r="K3633">
        <v>28.9</v>
      </c>
      <c r="L3633" t="s">
        <v>11</v>
      </c>
      <c r="M3633">
        <v>0</v>
      </c>
      <c r="N3633" t="str">
        <f t="shared" si="168"/>
        <v>60+</v>
      </c>
      <c r="O3633" t="str">
        <f t="shared" si="169"/>
        <v>Overweight</v>
      </c>
    </row>
    <row r="3634" spans="1:15" x14ac:dyDescent="0.3">
      <c r="A3634">
        <v>61333</v>
      </c>
      <c r="B3634" t="s">
        <v>7</v>
      </c>
      <c r="C3634">
        <v>78</v>
      </c>
      <c r="D3634">
        <v>0</v>
      </c>
      <c r="E3634">
        <v>0</v>
      </c>
      <c r="F3634" t="str">
        <f t="shared" si="170"/>
        <v>Moderate Risk</v>
      </c>
      <c r="G3634" t="s">
        <v>13</v>
      </c>
      <c r="H3634" t="s">
        <v>8</v>
      </c>
      <c r="I3634" t="s">
        <v>9</v>
      </c>
      <c r="J3634">
        <v>68.349999999999994</v>
      </c>
      <c r="K3634">
        <v>31.4</v>
      </c>
      <c r="L3634" t="s">
        <v>14</v>
      </c>
      <c r="M3634">
        <v>0</v>
      </c>
      <c r="N3634" t="str">
        <f t="shared" si="168"/>
        <v>60+</v>
      </c>
      <c r="O3634" t="str">
        <f t="shared" si="169"/>
        <v>Obese</v>
      </c>
    </row>
    <row r="3635" spans="1:15" x14ac:dyDescent="0.3">
      <c r="A3635">
        <v>7403</v>
      </c>
      <c r="B3635" t="s">
        <v>7</v>
      </c>
      <c r="C3635">
        <v>51</v>
      </c>
      <c r="D3635">
        <v>0</v>
      </c>
      <c r="E3635">
        <v>0</v>
      </c>
      <c r="F3635" t="str">
        <f t="shared" si="170"/>
        <v>Lower Risk</v>
      </c>
      <c r="G3635" t="s">
        <v>3</v>
      </c>
      <c r="H3635" t="s">
        <v>4</v>
      </c>
      <c r="I3635" t="s">
        <v>5</v>
      </c>
      <c r="J3635">
        <v>83.52</v>
      </c>
      <c r="K3635">
        <v>34.299999999999997</v>
      </c>
      <c r="L3635" t="s">
        <v>14</v>
      </c>
      <c r="M3635">
        <v>0</v>
      </c>
      <c r="N3635" t="str">
        <f t="shared" si="168"/>
        <v>40–59</v>
      </c>
      <c r="O3635" t="str">
        <f t="shared" si="169"/>
        <v>Obese</v>
      </c>
    </row>
    <row r="3636" spans="1:15" x14ac:dyDescent="0.3">
      <c r="A3636">
        <v>69370</v>
      </c>
      <c r="B3636" t="s">
        <v>2</v>
      </c>
      <c r="C3636">
        <v>78</v>
      </c>
      <c r="D3636">
        <v>0</v>
      </c>
      <c r="E3636">
        <v>0</v>
      </c>
      <c r="F3636" t="str">
        <f t="shared" si="170"/>
        <v>Moderate Risk</v>
      </c>
      <c r="G3636" t="s">
        <v>3</v>
      </c>
      <c r="H3636" t="s">
        <v>15</v>
      </c>
      <c r="I3636" t="s">
        <v>5</v>
      </c>
      <c r="J3636">
        <v>59.74</v>
      </c>
      <c r="K3636">
        <v>27</v>
      </c>
      <c r="L3636" t="s">
        <v>6</v>
      </c>
      <c r="M3636">
        <v>0</v>
      </c>
      <c r="N3636" t="str">
        <f t="shared" si="168"/>
        <v>60+</v>
      </c>
      <c r="O3636" t="str">
        <f t="shared" si="169"/>
        <v>Overweight</v>
      </c>
    </row>
    <row r="3637" spans="1:15" x14ac:dyDescent="0.3">
      <c r="A3637">
        <v>43549</v>
      </c>
      <c r="B3637" t="s">
        <v>7</v>
      </c>
      <c r="C3637">
        <v>40</v>
      </c>
      <c r="D3637">
        <v>1</v>
      </c>
      <c r="E3637">
        <v>0</v>
      </c>
      <c r="F3637" t="str">
        <f t="shared" si="170"/>
        <v>Lower Risk</v>
      </c>
      <c r="G3637" t="s">
        <v>3</v>
      </c>
      <c r="H3637" t="s">
        <v>4</v>
      </c>
      <c r="I3637" t="s">
        <v>9</v>
      </c>
      <c r="J3637">
        <v>81.59</v>
      </c>
      <c r="K3637">
        <v>27.2</v>
      </c>
      <c r="L3637" t="s">
        <v>11</v>
      </c>
      <c r="M3637">
        <v>0</v>
      </c>
      <c r="N3637" t="str">
        <f t="shared" si="168"/>
        <v>40–59</v>
      </c>
      <c r="O3637" t="str">
        <f t="shared" si="169"/>
        <v>Overweight</v>
      </c>
    </row>
    <row r="3638" spans="1:15" x14ac:dyDescent="0.3">
      <c r="A3638">
        <v>2903</v>
      </c>
      <c r="B3638" t="s">
        <v>7</v>
      </c>
      <c r="C3638">
        <v>35</v>
      </c>
      <c r="D3638">
        <v>0</v>
      </c>
      <c r="E3638">
        <v>0</v>
      </c>
      <c r="F3638" t="str">
        <f t="shared" si="170"/>
        <v>Lower Risk</v>
      </c>
      <c r="G3638" t="s">
        <v>13</v>
      </c>
      <c r="H3638" t="s">
        <v>4</v>
      </c>
      <c r="I3638" t="s">
        <v>9</v>
      </c>
      <c r="J3638">
        <v>123.83</v>
      </c>
      <c r="K3638">
        <v>23.8</v>
      </c>
      <c r="L3638" t="s">
        <v>11</v>
      </c>
      <c r="M3638">
        <v>0</v>
      </c>
      <c r="N3638" t="str">
        <f t="shared" si="168"/>
        <v>Under 40</v>
      </c>
      <c r="O3638" t="str">
        <f t="shared" si="169"/>
        <v>Normal</v>
      </c>
    </row>
    <row r="3639" spans="1:15" x14ac:dyDescent="0.3">
      <c r="A3639">
        <v>70268</v>
      </c>
      <c r="B3639" t="s">
        <v>2</v>
      </c>
      <c r="C3639">
        <v>82</v>
      </c>
      <c r="D3639">
        <v>0</v>
      </c>
      <c r="E3639">
        <v>0</v>
      </c>
      <c r="F3639" t="str">
        <f t="shared" si="170"/>
        <v>Moderate Risk</v>
      </c>
      <c r="G3639" t="s">
        <v>3</v>
      </c>
      <c r="H3639" t="s">
        <v>4</v>
      </c>
      <c r="I3639" t="s">
        <v>5</v>
      </c>
      <c r="J3639">
        <v>226.84</v>
      </c>
      <c r="K3639">
        <v>25.3</v>
      </c>
      <c r="L3639" t="s">
        <v>6</v>
      </c>
      <c r="M3639">
        <v>0</v>
      </c>
      <c r="N3639" t="str">
        <f t="shared" si="168"/>
        <v>60+</v>
      </c>
      <c r="O3639" t="str">
        <f t="shared" si="169"/>
        <v>Overweight</v>
      </c>
    </row>
    <row r="3640" spans="1:15" x14ac:dyDescent="0.3">
      <c r="A3640">
        <v>11003</v>
      </c>
      <c r="B3640" t="s">
        <v>7</v>
      </c>
      <c r="C3640">
        <v>46</v>
      </c>
      <c r="D3640">
        <v>0</v>
      </c>
      <c r="E3640">
        <v>0</v>
      </c>
      <c r="F3640" t="str">
        <f t="shared" si="170"/>
        <v>Lower Risk</v>
      </c>
      <c r="G3640" t="s">
        <v>3</v>
      </c>
      <c r="H3640" t="s">
        <v>8</v>
      </c>
      <c r="I3640" t="s">
        <v>9</v>
      </c>
      <c r="J3640">
        <v>93.2</v>
      </c>
      <c r="K3640">
        <v>32.6</v>
      </c>
      <c r="L3640" t="s">
        <v>14</v>
      </c>
      <c r="M3640">
        <v>0</v>
      </c>
      <c r="N3640" t="str">
        <f t="shared" si="168"/>
        <v>40–59</v>
      </c>
      <c r="O3640" t="str">
        <f t="shared" si="169"/>
        <v>Obese</v>
      </c>
    </row>
    <row r="3641" spans="1:15" x14ac:dyDescent="0.3">
      <c r="A3641">
        <v>61475</v>
      </c>
      <c r="B3641" t="s">
        <v>7</v>
      </c>
      <c r="C3641">
        <v>51</v>
      </c>
      <c r="D3641">
        <v>1</v>
      </c>
      <c r="E3641">
        <v>0</v>
      </c>
      <c r="F3641" t="str">
        <f t="shared" si="170"/>
        <v>Lower Risk</v>
      </c>
      <c r="G3641" t="s">
        <v>3</v>
      </c>
      <c r="H3641" t="s">
        <v>4</v>
      </c>
      <c r="I3641" t="s">
        <v>9</v>
      </c>
      <c r="J3641">
        <v>85.84</v>
      </c>
      <c r="K3641">
        <v>31.8</v>
      </c>
      <c r="L3641" t="s">
        <v>11</v>
      </c>
      <c r="M3641">
        <v>0</v>
      </c>
      <c r="N3641" t="str">
        <f t="shared" si="168"/>
        <v>40–59</v>
      </c>
      <c r="O3641" t="str">
        <f t="shared" si="169"/>
        <v>Obese</v>
      </c>
    </row>
    <row r="3642" spans="1:15" x14ac:dyDescent="0.3">
      <c r="A3642">
        <v>27608</v>
      </c>
      <c r="B3642" t="s">
        <v>7</v>
      </c>
      <c r="C3642">
        <v>53</v>
      </c>
      <c r="D3642">
        <v>0</v>
      </c>
      <c r="E3642">
        <v>0</v>
      </c>
      <c r="F3642" t="str">
        <f t="shared" si="170"/>
        <v>Lower Risk</v>
      </c>
      <c r="G3642" t="s">
        <v>3</v>
      </c>
      <c r="H3642" t="s">
        <v>15</v>
      </c>
      <c r="I3642" t="s">
        <v>5</v>
      </c>
      <c r="J3642">
        <v>74.64</v>
      </c>
      <c r="K3642">
        <v>22.4</v>
      </c>
      <c r="L3642" t="s">
        <v>14</v>
      </c>
      <c r="M3642">
        <v>0</v>
      </c>
      <c r="N3642" t="str">
        <f t="shared" si="168"/>
        <v>40–59</v>
      </c>
      <c r="O3642" t="str">
        <f t="shared" si="169"/>
        <v>Normal</v>
      </c>
    </row>
    <row r="3643" spans="1:15" x14ac:dyDescent="0.3">
      <c r="A3643">
        <v>9923</v>
      </c>
      <c r="B3643" t="s">
        <v>2</v>
      </c>
      <c r="C3643">
        <v>55</v>
      </c>
      <c r="D3643">
        <v>0</v>
      </c>
      <c r="E3643">
        <v>1</v>
      </c>
      <c r="F3643" t="str">
        <f t="shared" si="170"/>
        <v>Lower Risk</v>
      </c>
      <c r="G3643" t="s">
        <v>3</v>
      </c>
      <c r="H3643" t="s">
        <v>4</v>
      </c>
      <c r="I3643" t="s">
        <v>5</v>
      </c>
      <c r="J3643">
        <v>80.17</v>
      </c>
      <c r="K3643">
        <v>28</v>
      </c>
      <c r="L3643" t="s">
        <v>11</v>
      </c>
      <c r="M3643">
        <v>0</v>
      </c>
      <c r="N3643" t="str">
        <f t="shared" si="168"/>
        <v>40–59</v>
      </c>
      <c r="O3643" t="str">
        <f t="shared" si="169"/>
        <v>Overweight</v>
      </c>
    </row>
    <row r="3644" spans="1:15" x14ac:dyDescent="0.3">
      <c r="A3644">
        <v>28091</v>
      </c>
      <c r="B3644" t="s">
        <v>7</v>
      </c>
      <c r="C3644">
        <v>43</v>
      </c>
      <c r="D3644">
        <v>0</v>
      </c>
      <c r="E3644">
        <v>0</v>
      </c>
      <c r="F3644" t="str">
        <f t="shared" si="170"/>
        <v>Lower Risk</v>
      </c>
      <c r="G3644" t="s">
        <v>3</v>
      </c>
      <c r="H3644" t="s">
        <v>15</v>
      </c>
      <c r="I3644" t="s">
        <v>5</v>
      </c>
      <c r="J3644">
        <v>85.03</v>
      </c>
      <c r="K3644">
        <v>23.9</v>
      </c>
      <c r="L3644" t="s">
        <v>6</v>
      </c>
      <c r="M3644">
        <v>0</v>
      </c>
      <c r="N3644" t="str">
        <f t="shared" si="168"/>
        <v>40–59</v>
      </c>
      <c r="O3644" t="str">
        <f t="shared" si="169"/>
        <v>Normal</v>
      </c>
    </row>
    <row r="3645" spans="1:15" x14ac:dyDescent="0.3">
      <c r="A3645">
        <v>59749</v>
      </c>
      <c r="B3645" t="s">
        <v>2</v>
      </c>
      <c r="C3645">
        <v>81</v>
      </c>
      <c r="D3645">
        <v>0</v>
      </c>
      <c r="E3645">
        <v>0</v>
      </c>
      <c r="F3645" t="str">
        <f t="shared" si="170"/>
        <v>Moderate Risk</v>
      </c>
      <c r="G3645" t="s">
        <v>3</v>
      </c>
      <c r="H3645" t="s">
        <v>4</v>
      </c>
      <c r="I3645" t="s">
        <v>5</v>
      </c>
      <c r="J3645">
        <v>234.35</v>
      </c>
      <c r="K3645">
        <v>25.3</v>
      </c>
      <c r="L3645" t="s">
        <v>6</v>
      </c>
      <c r="M3645">
        <v>0</v>
      </c>
      <c r="N3645" t="str">
        <f t="shared" si="168"/>
        <v>60+</v>
      </c>
      <c r="O3645" t="str">
        <f t="shared" si="169"/>
        <v>Overweight</v>
      </c>
    </row>
    <row r="3646" spans="1:15" x14ac:dyDescent="0.3">
      <c r="A3646">
        <v>8719</v>
      </c>
      <c r="B3646" t="s">
        <v>2</v>
      </c>
      <c r="C3646">
        <v>12</v>
      </c>
      <c r="D3646">
        <v>0</v>
      </c>
      <c r="E3646">
        <v>0</v>
      </c>
      <c r="F3646" t="str">
        <f t="shared" si="170"/>
        <v>Lower Risk</v>
      </c>
      <c r="G3646" t="s">
        <v>13</v>
      </c>
      <c r="H3646" t="s">
        <v>16</v>
      </c>
      <c r="I3646" t="s">
        <v>5</v>
      </c>
      <c r="J3646">
        <v>116.25</v>
      </c>
      <c r="K3646">
        <v>16.399999999999999</v>
      </c>
      <c r="L3646" t="s">
        <v>6</v>
      </c>
      <c r="M3646">
        <v>0</v>
      </c>
      <c r="N3646" t="str">
        <f t="shared" si="168"/>
        <v>Under 40</v>
      </c>
      <c r="O3646" t="str">
        <f t="shared" si="169"/>
        <v>Underweight</v>
      </c>
    </row>
    <row r="3647" spans="1:15" x14ac:dyDescent="0.3">
      <c r="A3647">
        <v>58154</v>
      </c>
      <c r="B3647" t="s">
        <v>7</v>
      </c>
      <c r="C3647">
        <v>20</v>
      </c>
      <c r="D3647">
        <v>0</v>
      </c>
      <c r="E3647">
        <v>0</v>
      </c>
      <c r="F3647" t="str">
        <f t="shared" si="170"/>
        <v>Lower Risk</v>
      </c>
      <c r="G3647" t="s">
        <v>13</v>
      </c>
      <c r="H3647" t="s">
        <v>4</v>
      </c>
      <c r="I3647" t="s">
        <v>5</v>
      </c>
      <c r="J3647">
        <v>66.55</v>
      </c>
      <c r="K3647">
        <v>26.9</v>
      </c>
      <c r="L3647" t="s">
        <v>12</v>
      </c>
      <c r="M3647">
        <v>0</v>
      </c>
      <c r="N3647" t="str">
        <f t="shared" si="168"/>
        <v>Under 40</v>
      </c>
      <c r="O3647" t="str">
        <f t="shared" si="169"/>
        <v>Overweight</v>
      </c>
    </row>
    <row r="3648" spans="1:15" x14ac:dyDescent="0.3">
      <c r="A3648">
        <v>31712</v>
      </c>
      <c r="B3648" t="s">
        <v>7</v>
      </c>
      <c r="C3648">
        <v>53</v>
      </c>
      <c r="D3648">
        <v>0</v>
      </c>
      <c r="E3648">
        <v>0</v>
      </c>
      <c r="F3648" t="str">
        <f t="shared" si="170"/>
        <v>Lower Risk</v>
      </c>
      <c r="G3648" t="s">
        <v>3</v>
      </c>
      <c r="H3648" t="s">
        <v>4</v>
      </c>
      <c r="I3648" t="s">
        <v>5</v>
      </c>
      <c r="J3648">
        <v>88.38</v>
      </c>
      <c r="K3648">
        <v>25.4</v>
      </c>
      <c r="L3648" t="s">
        <v>11</v>
      </c>
      <c r="M3648">
        <v>0</v>
      </c>
      <c r="N3648" t="str">
        <f t="shared" si="168"/>
        <v>40–59</v>
      </c>
      <c r="O3648" t="str">
        <f t="shared" si="169"/>
        <v>Overweight</v>
      </c>
    </row>
    <row r="3649" spans="1:15" x14ac:dyDescent="0.3">
      <c r="A3649">
        <v>14249</v>
      </c>
      <c r="B3649" t="s">
        <v>7</v>
      </c>
      <c r="C3649">
        <v>1.32</v>
      </c>
      <c r="D3649">
        <v>0</v>
      </c>
      <c r="E3649">
        <v>0</v>
      </c>
      <c r="F3649" t="str">
        <f t="shared" si="170"/>
        <v>Lower Risk</v>
      </c>
      <c r="G3649" t="s">
        <v>13</v>
      </c>
      <c r="H3649" t="s">
        <v>16</v>
      </c>
      <c r="I3649" t="s">
        <v>5</v>
      </c>
      <c r="J3649">
        <v>81.05</v>
      </c>
      <c r="K3649">
        <v>18.7</v>
      </c>
      <c r="L3649" t="s">
        <v>14</v>
      </c>
      <c r="M3649">
        <v>0</v>
      </c>
      <c r="N3649" t="str">
        <f t="shared" si="168"/>
        <v>Under 40</v>
      </c>
      <c r="O3649" t="str">
        <f t="shared" si="169"/>
        <v>Normal</v>
      </c>
    </row>
    <row r="3650" spans="1:15" x14ac:dyDescent="0.3">
      <c r="A3650">
        <v>30693</v>
      </c>
      <c r="B3650" t="s">
        <v>7</v>
      </c>
      <c r="C3650">
        <v>22</v>
      </c>
      <c r="D3650">
        <v>0</v>
      </c>
      <c r="E3650">
        <v>0</v>
      </c>
      <c r="F3650" t="str">
        <f t="shared" si="170"/>
        <v>Lower Risk</v>
      </c>
      <c r="G3650" t="s">
        <v>13</v>
      </c>
      <c r="H3650" t="s">
        <v>4</v>
      </c>
      <c r="I3650" t="s">
        <v>5</v>
      </c>
      <c r="J3650">
        <v>68.400000000000006</v>
      </c>
      <c r="K3650">
        <v>37.5</v>
      </c>
      <c r="L3650" t="s">
        <v>11</v>
      </c>
      <c r="M3650">
        <v>0</v>
      </c>
      <c r="N3650" t="str">
        <f t="shared" ref="N3650:N3713" si="171">IF(C3650&lt;40,"Under 40",IF(C3650&lt;60,"40–59","60+"))</f>
        <v>Under 40</v>
      </c>
      <c r="O3650" t="str">
        <f t="shared" ref="O3650:O3713" si="172">IF(K3650="N/A","Unknown",
IF(K3650="","Unknown",
IF(K3650&lt;18.5,"Underweight",
IF(K3650&lt;25,"Normal",
IF(K3650&lt;30,"Overweight","Obese")))))</f>
        <v>Obese</v>
      </c>
    </row>
    <row r="3651" spans="1:15" x14ac:dyDescent="0.3">
      <c r="A3651">
        <v>18866</v>
      </c>
      <c r="B3651" t="s">
        <v>7</v>
      </c>
      <c r="C3651">
        <v>75</v>
      </c>
      <c r="D3651">
        <v>0</v>
      </c>
      <c r="E3651">
        <v>0</v>
      </c>
      <c r="F3651" t="str">
        <f t="shared" ref="F3651:F3714" si="173">IF(C3651&gt;=60,
IF(OR(D3651=1,E3651=1),"High Risk","Moderate Risk"),
"Lower Risk")</f>
        <v>Moderate Risk</v>
      </c>
      <c r="G3651" t="s">
        <v>3</v>
      </c>
      <c r="H3651" t="s">
        <v>8</v>
      </c>
      <c r="I3651" t="s">
        <v>5</v>
      </c>
      <c r="J3651">
        <v>96.95</v>
      </c>
      <c r="K3651">
        <v>41.4</v>
      </c>
      <c r="L3651" t="s">
        <v>11</v>
      </c>
      <c r="M3651">
        <v>0</v>
      </c>
      <c r="N3651" t="str">
        <f t="shared" si="171"/>
        <v>60+</v>
      </c>
      <c r="O3651" t="str">
        <f t="shared" si="172"/>
        <v>Obese</v>
      </c>
    </row>
    <row r="3652" spans="1:15" x14ac:dyDescent="0.3">
      <c r="A3652">
        <v>36909</v>
      </c>
      <c r="B3652" t="s">
        <v>7</v>
      </c>
      <c r="C3652">
        <v>66</v>
      </c>
      <c r="D3652">
        <v>0</v>
      </c>
      <c r="E3652">
        <v>0</v>
      </c>
      <c r="F3652" t="str">
        <f t="shared" si="173"/>
        <v>Moderate Risk</v>
      </c>
      <c r="G3652" t="s">
        <v>3</v>
      </c>
      <c r="H3652" t="s">
        <v>8</v>
      </c>
      <c r="I3652" t="s">
        <v>9</v>
      </c>
      <c r="J3652">
        <v>66.239999999999995</v>
      </c>
      <c r="K3652">
        <v>37.5</v>
      </c>
      <c r="L3652" t="s">
        <v>11</v>
      </c>
      <c r="M3652">
        <v>0</v>
      </c>
      <c r="N3652" t="str">
        <f t="shared" si="171"/>
        <v>60+</v>
      </c>
      <c r="O3652" t="str">
        <f t="shared" si="172"/>
        <v>Obese</v>
      </c>
    </row>
    <row r="3653" spans="1:15" x14ac:dyDescent="0.3">
      <c r="A3653">
        <v>63562</v>
      </c>
      <c r="B3653" t="s">
        <v>2</v>
      </c>
      <c r="C3653">
        <v>7</v>
      </c>
      <c r="D3653">
        <v>0</v>
      </c>
      <c r="E3653">
        <v>0</v>
      </c>
      <c r="F3653" t="str">
        <f t="shared" si="173"/>
        <v>Lower Risk</v>
      </c>
      <c r="G3653" t="s">
        <v>13</v>
      </c>
      <c r="H3653" t="s">
        <v>16</v>
      </c>
      <c r="I3653" t="s">
        <v>9</v>
      </c>
      <c r="J3653">
        <v>91.81</v>
      </c>
      <c r="K3653">
        <v>15.8</v>
      </c>
      <c r="L3653" t="s">
        <v>14</v>
      </c>
      <c r="M3653">
        <v>0</v>
      </c>
      <c r="N3653" t="str">
        <f t="shared" si="171"/>
        <v>Under 40</v>
      </c>
      <c r="O3653" t="str">
        <f t="shared" si="172"/>
        <v>Underweight</v>
      </c>
    </row>
    <row r="3654" spans="1:15" x14ac:dyDescent="0.3">
      <c r="A3654">
        <v>29352</v>
      </c>
      <c r="B3654" t="s">
        <v>7</v>
      </c>
      <c r="C3654">
        <v>26</v>
      </c>
      <c r="D3654">
        <v>0</v>
      </c>
      <c r="E3654">
        <v>0</v>
      </c>
      <c r="F3654" t="str">
        <f t="shared" si="173"/>
        <v>Lower Risk</v>
      </c>
      <c r="G3654" t="s">
        <v>13</v>
      </c>
      <c r="H3654" t="s">
        <v>4</v>
      </c>
      <c r="I3654" t="s">
        <v>5</v>
      </c>
      <c r="J3654">
        <v>84.86</v>
      </c>
      <c r="K3654">
        <v>37.6</v>
      </c>
      <c r="L3654" t="s">
        <v>11</v>
      </c>
      <c r="M3654">
        <v>0</v>
      </c>
      <c r="N3654" t="str">
        <f t="shared" si="171"/>
        <v>Under 40</v>
      </c>
      <c r="O3654" t="str">
        <f t="shared" si="172"/>
        <v>Obese</v>
      </c>
    </row>
    <row r="3655" spans="1:15" x14ac:dyDescent="0.3">
      <c r="A3655">
        <v>44024</v>
      </c>
      <c r="B3655" t="s">
        <v>7</v>
      </c>
      <c r="C3655">
        <v>14</v>
      </c>
      <c r="D3655">
        <v>0</v>
      </c>
      <c r="E3655">
        <v>0</v>
      </c>
      <c r="F3655" t="str">
        <f t="shared" si="173"/>
        <v>Lower Risk</v>
      </c>
      <c r="G3655" t="s">
        <v>13</v>
      </c>
      <c r="H3655" t="s">
        <v>4</v>
      </c>
      <c r="I3655" t="s">
        <v>9</v>
      </c>
      <c r="J3655">
        <v>118.88</v>
      </c>
      <c r="K3655">
        <v>30.5</v>
      </c>
      <c r="L3655" t="s">
        <v>11</v>
      </c>
      <c r="M3655">
        <v>0</v>
      </c>
      <c r="N3655" t="str">
        <f t="shared" si="171"/>
        <v>Under 40</v>
      </c>
      <c r="O3655" t="str">
        <f t="shared" si="172"/>
        <v>Obese</v>
      </c>
    </row>
    <row r="3656" spans="1:15" x14ac:dyDescent="0.3">
      <c r="A3656">
        <v>24068</v>
      </c>
      <c r="B3656" t="s">
        <v>7</v>
      </c>
      <c r="C3656">
        <v>32</v>
      </c>
      <c r="D3656">
        <v>0</v>
      </c>
      <c r="E3656">
        <v>0</v>
      </c>
      <c r="F3656" t="str">
        <f t="shared" si="173"/>
        <v>Lower Risk</v>
      </c>
      <c r="G3656" t="s">
        <v>3</v>
      </c>
      <c r="H3656" t="s">
        <v>4</v>
      </c>
      <c r="I3656" t="s">
        <v>5</v>
      </c>
      <c r="J3656">
        <v>85.91</v>
      </c>
      <c r="K3656">
        <v>22.1</v>
      </c>
      <c r="L3656" t="s">
        <v>14</v>
      </c>
      <c r="M3656">
        <v>0</v>
      </c>
      <c r="N3656" t="str">
        <f t="shared" si="171"/>
        <v>Under 40</v>
      </c>
      <c r="O3656" t="str">
        <f t="shared" si="172"/>
        <v>Normal</v>
      </c>
    </row>
    <row r="3657" spans="1:15" x14ac:dyDescent="0.3">
      <c r="A3657">
        <v>57602</v>
      </c>
      <c r="B3657" t="s">
        <v>2</v>
      </c>
      <c r="C3657">
        <v>6</v>
      </c>
      <c r="D3657">
        <v>0</v>
      </c>
      <c r="E3657">
        <v>0</v>
      </c>
      <c r="F3657" t="str">
        <f t="shared" si="173"/>
        <v>Lower Risk</v>
      </c>
      <c r="G3657" t="s">
        <v>13</v>
      </c>
      <c r="H3657" t="s">
        <v>16</v>
      </c>
      <c r="I3657" t="s">
        <v>9</v>
      </c>
      <c r="J3657">
        <v>115.4</v>
      </c>
      <c r="K3657">
        <v>19.2</v>
      </c>
      <c r="L3657" t="s">
        <v>14</v>
      </c>
      <c r="M3657">
        <v>0</v>
      </c>
      <c r="N3657" t="str">
        <f t="shared" si="171"/>
        <v>Under 40</v>
      </c>
      <c r="O3657" t="str">
        <f t="shared" si="172"/>
        <v>Normal</v>
      </c>
    </row>
    <row r="3658" spans="1:15" x14ac:dyDescent="0.3">
      <c r="A3658">
        <v>16536</v>
      </c>
      <c r="B3658" t="s">
        <v>7</v>
      </c>
      <c r="C3658">
        <v>42</v>
      </c>
      <c r="D3658">
        <v>0</v>
      </c>
      <c r="E3658">
        <v>0</v>
      </c>
      <c r="F3658" t="str">
        <f t="shared" si="173"/>
        <v>Lower Risk</v>
      </c>
      <c r="G3658" t="s">
        <v>3</v>
      </c>
      <c r="H3658" t="s">
        <v>8</v>
      </c>
      <c r="I3658" t="s">
        <v>9</v>
      </c>
      <c r="J3658">
        <v>75.34</v>
      </c>
      <c r="K3658">
        <v>38</v>
      </c>
      <c r="L3658" t="s">
        <v>11</v>
      </c>
      <c r="M3658">
        <v>0</v>
      </c>
      <c r="N3658" t="str">
        <f t="shared" si="171"/>
        <v>40–59</v>
      </c>
      <c r="O3658" t="str">
        <f t="shared" si="172"/>
        <v>Obese</v>
      </c>
    </row>
    <row r="3659" spans="1:15" x14ac:dyDescent="0.3">
      <c r="A3659">
        <v>6639</v>
      </c>
      <c r="B3659" t="s">
        <v>2</v>
      </c>
      <c r="C3659">
        <v>4</v>
      </c>
      <c r="D3659">
        <v>0</v>
      </c>
      <c r="E3659">
        <v>0</v>
      </c>
      <c r="F3659" t="str">
        <f t="shared" si="173"/>
        <v>Lower Risk</v>
      </c>
      <c r="G3659" t="s">
        <v>13</v>
      </c>
      <c r="H3659" t="s">
        <v>16</v>
      </c>
      <c r="I3659" t="s">
        <v>9</v>
      </c>
      <c r="J3659">
        <v>100.19</v>
      </c>
      <c r="K3659">
        <v>18.7</v>
      </c>
      <c r="L3659" t="s">
        <v>14</v>
      </c>
      <c r="M3659">
        <v>0</v>
      </c>
      <c r="N3659" t="str">
        <f t="shared" si="171"/>
        <v>Under 40</v>
      </c>
      <c r="O3659" t="str">
        <f t="shared" si="172"/>
        <v>Normal</v>
      </c>
    </row>
    <row r="3660" spans="1:15" x14ac:dyDescent="0.3">
      <c r="A3660">
        <v>6528</v>
      </c>
      <c r="B3660" t="s">
        <v>2</v>
      </c>
      <c r="C3660">
        <v>75</v>
      </c>
      <c r="D3660">
        <v>0</v>
      </c>
      <c r="E3660">
        <v>0</v>
      </c>
      <c r="F3660" t="str">
        <f t="shared" si="173"/>
        <v>Moderate Risk</v>
      </c>
      <c r="G3660" t="s">
        <v>3</v>
      </c>
      <c r="H3660" t="s">
        <v>15</v>
      </c>
      <c r="I3660" t="s">
        <v>5</v>
      </c>
      <c r="J3660">
        <v>200.73</v>
      </c>
      <c r="K3660">
        <v>25.7</v>
      </c>
      <c r="L3660" t="s">
        <v>6</v>
      </c>
      <c r="M3660">
        <v>0</v>
      </c>
      <c r="N3660" t="str">
        <f t="shared" si="171"/>
        <v>60+</v>
      </c>
      <c r="O3660" t="str">
        <f t="shared" si="172"/>
        <v>Overweight</v>
      </c>
    </row>
    <row r="3661" spans="1:15" x14ac:dyDescent="0.3">
      <c r="A3661">
        <v>42594</v>
      </c>
      <c r="B3661" t="s">
        <v>2</v>
      </c>
      <c r="C3661">
        <v>80</v>
      </c>
      <c r="D3661">
        <v>1</v>
      </c>
      <c r="E3661">
        <v>0</v>
      </c>
      <c r="F3661" t="str">
        <f t="shared" si="173"/>
        <v>High Risk</v>
      </c>
      <c r="G3661" t="s">
        <v>3</v>
      </c>
      <c r="H3661" t="s">
        <v>15</v>
      </c>
      <c r="I3661" t="s">
        <v>5</v>
      </c>
      <c r="J3661">
        <v>114.09</v>
      </c>
      <c r="K3661">
        <v>30.1</v>
      </c>
      <c r="L3661" t="s">
        <v>11</v>
      </c>
      <c r="M3661">
        <v>0</v>
      </c>
      <c r="N3661" t="str">
        <f t="shared" si="171"/>
        <v>60+</v>
      </c>
      <c r="O3661" t="str">
        <f t="shared" si="172"/>
        <v>Obese</v>
      </c>
    </row>
    <row r="3662" spans="1:15" x14ac:dyDescent="0.3">
      <c r="A3662">
        <v>59045</v>
      </c>
      <c r="B3662" t="s">
        <v>7</v>
      </c>
      <c r="C3662">
        <v>52</v>
      </c>
      <c r="D3662">
        <v>0</v>
      </c>
      <c r="E3662">
        <v>0</v>
      </c>
      <c r="F3662" t="str">
        <f t="shared" si="173"/>
        <v>Lower Risk</v>
      </c>
      <c r="G3662" t="s">
        <v>3</v>
      </c>
      <c r="H3662" t="s">
        <v>4</v>
      </c>
      <c r="I3662" t="s">
        <v>5</v>
      </c>
      <c r="J3662">
        <v>67.3</v>
      </c>
      <c r="K3662">
        <v>36.299999999999997</v>
      </c>
      <c r="L3662" t="s">
        <v>11</v>
      </c>
      <c r="M3662">
        <v>0</v>
      </c>
      <c r="N3662" t="str">
        <f t="shared" si="171"/>
        <v>40–59</v>
      </c>
      <c r="O3662" t="str">
        <f t="shared" si="172"/>
        <v>Obese</v>
      </c>
    </row>
    <row r="3663" spans="1:15" x14ac:dyDescent="0.3">
      <c r="A3663">
        <v>31608</v>
      </c>
      <c r="B3663" t="s">
        <v>2</v>
      </c>
      <c r="C3663">
        <v>11</v>
      </c>
      <c r="D3663">
        <v>0</v>
      </c>
      <c r="E3663">
        <v>0</v>
      </c>
      <c r="F3663" t="str">
        <f t="shared" si="173"/>
        <v>Lower Risk</v>
      </c>
      <c r="G3663" t="s">
        <v>13</v>
      </c>
      <c r="H3663" t="s">
        <v>16</v>
      </c>
      <c r="I3663" t="s">
        <v>9</v>
      </c>
      <c r="J3663">
        <v>96.91</v>
      </c>
      <c r="K3663">
        <v>20.399999999999999</v>
      </c>
      <c r="L3663" t="s">
        <v>14</v>
      </c>
      <c r="M3663">
        <v>0</v>
      </c>
      <c r="N3663" t="str">
        <f t="shared" si="171"/>
        <v>Under 40</v>
      </c>
      <c r="O3663" t="str">
        <f t="shared" si="172"/>
        <v>Normal</v>
      </c>
    </row>
    <row r="3664" spans="1:15" x14ac:dyDescent="0.3">
      <c r="A3664">
        <v>47949</v>
      </c>
      <c r="B3664" t="s">
        <v>2</v>
      </c>
      <c r="C3664">
        <v>14</v>
      </c>
      <c r="D3664">
        <v>0</v>
      </c>
      <c r="E3664">
        <v>0</v>
      </c>
      <c r="F3664" t="str">
        <f t="shared" si="173"/>
        <v>Lower Risk</v>
      </c>
      <c r="G3664" t="s">
        <v>13</v>
      </c>
      <c r="H3664" t="s">
        <v>16</v>
      </c>
      <c r="I3664" t="s">
        <v>9</v>
      </c>
      <c r="J3664">
        <v>116.2</v>
      </c>
      <c r="K3664">
        <v>20.9</v>
      </c>
      <c r="L3664" t="s">
        <v>14</v>
      </c>
      <c r="M3664">
        <v>0</v>
      </c>
      <c r="N3664" t="str">
        <f t="shared" si="171"/>
        <v>Under 40</v>
      </c>
      <c r="O3664" t="str">
        <f t="shared" si="172"/>
        <v>Normal</v>
      </c>
    </row>
    <row r="3665" spans="1:15" x14ac:dyDescent="0.3">
      <c r="A3665">
        <v>41362</v>
      </c>
      <c r="B3665" t="s">
        <v>7</v>
      </c>
      <c r="C3665">
        <v>74</v>
      </c>
      <c r="D3665">
        <v>0</v>
      </c>
      <c r="E3665">
        <v>0</v>
      </c>
      <c r="F3665" t="str">
        <f t="shared" si="173"/>
        <v>Moderate Risk</v>
      </c>
      <c r="G3665" t="s">
        <v>3</v>
      </c>
      <c r="H3665" t="s">
        <v>8</v>
      </c>
      <c r="I3665" t="s">
        <v>9</v>
      </c>
      <c r="J3665">
        <v>72.540000000000006</v>
      </c>
      <c r="K3665">
        <v>28.4</v>
      </c>
      <c r="L3665" t="s">
        <v>11</v>
      </c>
      <c r="M3665">
        <v>0</v>
      </c>
      <c r="N3665" t="str">
        <f t="shared" si="171"/>
        <v>60+</v>
      </c>
      <c r="O3665" t="str">
        <f t="shared" si="172"/>
        <v>Overweight</v>
      </c>
    </row>
    <row r="3666" spans="1:15" x14ac:dyDescent="0.3">
      <c r="A3666">
        <v>18187</v>
      </c>
      <c r="B3666" t="s">
        <v>2</v>
      </c>
      <c r="C3666">
        <v>58</v>
      </c>
      <c r="D3666">
        <v>0</v>
      </c>
      <c r="E3666">
        <v>0</v>
      </c>
      <c r="F3666" t="str">
        <f t="shared" si="173"/>
        <v>Lower Risk</v>
      </c>
      <c r="G3666" t="s">
        <v>3</v>
      </c>
      <c r="H3666" t="s">
        <v>4</v>
      </c>
      <c r="I3666" t="s">
        <v>9</v>
      </c>
      <c r="J3666">
        <v>96.01</v>
      </c>
      <c r="K3666">
        <v>33.799999999999997</v>
      </c>
      <c r="L3666" t="s">
        <v>14</v>
      </c>
      <c r="M3666">
        <v>0</v>
      </c>
      <c r="N3666" t="str">
        <f t="shared" si="171"/>
        <v>40–59</v>
      </c>
      <c r="O3666" t="str">
        <f t="shared" si="172"/>
        <v>Obese</v>
      </c>
    </row>
    <row r="3667" spans="1:15" x14ac:dyDescent="0.3">
      <c r="A3667">
        <v>8983</v>
      </c>
      <c r="B3667" t="s">
        <v>7</v>
      </c>
      <c r="C3667">
        <v>80</v>
      </c>
      <c r="D3667">
        <v>1</v>
      </c>
      <c r="E3667">
        <v>0</v>
      </c>
      <c r="F3667" t="str">
        <f t="shared" si="173"/>
        <v>High Risk</v>
      </c>
      <c r="G3667" t="s">
        <v>3</v>
      </c>
      <c r="H3667" t="s">
        <v>4</v>
      </c>
      <c r="I3667" t="s">
        <v>5</v>
      </c>
      <c r="J3667">
        <v>89.16</v>
      </c>
      <c r="K3667">
        <v>24</v>
      </c>
      <c r="L3667" t="s">
        <v>11</v>
      </c>
      <c r="M3667">
        <v>0</v>
      </c>
      <c r="N3667" t="str">
        <f t="shared" si="171"/>
        <v>60+</v>
      </c>
      <c r="O3667" t="str">
        <f t="shared" si="172"/>
        <v>Normal</v>
      </c>
    </row>
    <row r="3668" spans="1:15" x14ac:dyDescent="0.3">
      <c r="A3668">
        <v>20098</v>
      </c>
      <c r="B3668" t="s">
        <v>7</v>
      </c>
      <c r="C3668">
        <v>31</v>
      </c>
      <c r="D3668">
        <v>0</v>
      </c>
      <c r="E3668">
        <v>0</v>
      </c>
      <c r="F3668" t="str">
        <f t="shared" si="173"/>
        <v>Lower Risk</v>
      </c>
      <c r="G3668" t="s">
        <v>3</v>
      </c>
      <c r="H3668" t="s">
        <v>8</v>
      </c>
      <c r="I3668" t="s">
        <v>9</v>
      </c>
      <c r="J3668">
        <v>108.64</v>
      </c>
      <c r="K3668">
        <v>43.3</v>
      </c>
      <c r="L3668" t="s">
        <v>11</v>
      </c>
      <c r="M3668">
        <v>0</v>
      </c>
      <c r="N3668" t="str">
        <f t="shared" si="171"/>
        <v>Under 40</v>
      </c>
      <c r="O3668" t="str">
        <f t="shared" si="172"/>
        <v>Obese</v>
      </c>
    </row>
    <row r="3669" spans="1:15" x14ac:dyDescent="0.3">
      <c r="A3669">
        <v>3777</v>
      </c>
      <c r="B3669" t="s">
        <v>7</v>
      </c>
      <c r="C3669">
        <v>28</v>
      </c>
      <c r="D3669">
        <v>1</v>
      </c>
      <c r="E3669">
        <v>0</v>
      </c>
      <c r="F3669" t="str">
        <f t="shared" si="173"/>
        <v>Lower Risk</v>
      </c>
      <c r="G3669" t="s">
        <v>3</v>
      </c>
      <c r="H3669" t="s">
        <v>15</v>
      </c>
      <c r="I3669" t="s">
        <v>9</v>
      </c>
      <c r="J3669">
        <v>83.66</v>
      </c>
      <c r="K3669">
        <v>36.4</v>
      </c>
      <c r="L3669" t="s">
        <v>11</v>
      </c>
      <c r="M3669">
        <v>0</v>
      </c>
      <c r="N3669" t="str">
        <f t="shared" si="171"/>
        <v>Under 40</v>
      </c>
      <c r="O3669" t="str">
        <f t="shared" si="172"/>
        <v>Obese</v>
      </c>
    </row>
    <row r="3670" spans="1:15" x14ac:dyDescent="0.3">
      <c r="A3670">
        <v>11651</v>
      </c>
      <c r="B3670" t="s">
        <v>7</v>
      </c>
      <c r="C3670">
        <v>25</v>
      </c>
      <c r="D3670">
        <v>0</v>
      </c>
      <c r="E3670">
        <v>0</v>
      </c>
      <c r="F3670" t="str">
        <f t="shared" si="173"/>
        <v>Lower Risk</v>
      </c>
      <c r="G3670" t="s">
        <v>3</v>
      </c>
      <c r="H3670" t="s">
        <v>4</v>
      </c>
      <c r="I3670" t="s">
        <v>9</v>
      </c>
      <c r="J3670">
        <v>81.209999999999994</v>
      </c>
      <c r="K3670">
        <v>37.9</v>
      </c>
      <c r="L3670" t="s">
        <v>11</v>
      </c>
      <c r="M3670">
        <v>0</v>
      </c>
      <c r="N3670" t="str">
        <f t="shared" si="171"/>
        <v>Under 40</v>
      </c>
      <c r="O3670" t="str">
        <f t="shared" si="172"/>
        <v>Obese</v>
      </c>
    </row>
    <row r="3671" spans="1:15" x14ac:dyDescent="0.3">
      <c r="A3671">
        <v>28527</v>
      </c>
      <c r="B3671" t="s">
        <v>2</v>
      </c>
      <c r="C3671">
        <v>71</v>
      </c>
      <c r="D3671">
        <v>0</v>
      </c>
      <c r="E3671">
        <v>0</v>
      </c>
      <c r="F3671" t="str">
        <f t="shared" si="173"/>
        <v>Moderate Risk</v>
      </c>
      <c r="G3671" t="s">
        <v>13</v>
      </c>
      <c r="H3671" t="s">
        <v>4</v>
      </c>
      <c r="I3671" t="s">
        <v>5</v>
      </c>
      <c r="J3671">
        <v>86.96</v>
      </c>
      <c r="K3671">
        <v>32.6</v>
      </c>
      <c r="L3671" t="s">
        <v>11</v>
      </c>
      <c r="M3671">
        <v>0</v>
      </c>
      <c r="N3671" t="str">
        <f t="shared" si="171"/>
        <v>60+</v>
      </c>
      <c r="O3671" t="str">
        <f t="shared" si="172"/>
        <v>Obese</v>
      </c>
    </row>
    <row r="3672" spans="1:15" x14ac:dyDescent="0.3">
      <c r="A3672">
        <v>63282</v>
      </c>
      <c r="B3672" t="s">
        <v>7</v>
      </c>
      <c r="C3672">
        <v>51</v>
      </c>
      <c r="D3672">
        <v>0</v>
      </c>
      <c r="E3672">
        <v>0</v>
      </c>
      <c r="F3672" t="str">
        <f t="shared" si="173"/>
        <v>Lower Risk</v>
      </c>
      <c r="G3672" t="s">
        <v>3</v>
      </c>
      <c r="H3672" t="s">
        <v>15</v>
      </c>
      <c r="I3672" t="s">
        <v>9</v>
      </c>
      <c r="J3672">
        <v>92.95</v>
      </c>
      <c r="K3672">
        <v>23.9</v>
      </c>
      <c r="L3672" t="s">
        <v>11</v>
      </c>
      <c r="M3672">
        <v>0</v>
      </c>
      <c r="N3672" t="str">
        <f t="shared" si="171"/>
        <v>40–59</v>
      </c>
      <c r="O3672" t="str">
        <f t="shared" si="172"/>
        <v>Normal</v>
      </c>
    </row>
    <row r="3673" spans="1:15" x14ac:dyDescent="0.3">
      <c r="A3673">
        <v>37038</v>
      </c>
      <c r="B3673" t="s">
        <v>2</v>
      </c>
      <c r="C3673">
        <v>15</v>
      </c>
      <c r="D3673">
        <v>0</v>
      </c>
      <c r="E3673">
        <v>0</v>
      </c>
      <c r="F3673" t="str">
        <f t="shared" si="173"/>
        <v>Lower Risk</v>
      </c>
      <c r="G3673" t="s">
        <v>13</v>
      </c>
      <c r="H3673" t="s">
        <v>16</v>
      </c>
      <c r="I3673" t="s">
        <v>5</v>
      </c>
      <c r="J3673">
        <v>95.86</v>
      </c>
      <c r="K3673">
        <v>18.100000000000001</v>
      </c>
      <c r="L3673" t="s">
        <v>14</v>
      </c>
      <c r="M3673">
        <v>0</v>
      </c>
      <c r="N3673" t="str">
        <f t="shared" si="171"/>
        <v>Under 40</v>
      </c>
      <c r="O3673" t="str">
        <f t="shared" si="172"/>
        <v>Underweight</v>
      </c>
    </row>
    <row r="3674" spans="1:15" x14ac:dyDescent="0.3">
      <c r="A3674">
        <v>4528</v>
      </c>
      <c r="B3674" t="s">
        <v>2</v>
      </c>
      <c r="C3674">
        <v>45</v>
      </c>
      <c r="D3674">
        <v>1</v>
      </c>
      <c r="E3674">
        <v>0</v>
      </c>
      <c r="F3674" t="str">
        <f t="shared" si="173"/>
        <v>Lower Risk</v>
      </c>
      <c r="G3674" t="s">
        <v>13</v>
      </c>
      <c r="H3674" t="s">
        <v>4</v>
      </c>
      <c r="I3674" t="s">
        <v>9</v>
      </c>
      <c r="J3674">
        <v>85.52</v>
      </c>
      <c r="K3674">
        <v>36.4</v>
      </c>
      <c r="L3674" t="s">
        <v>11</v>
      </c>
      <c r="M3674">
        <v>0</v>
      </c>
      <c r="N3674" t="str">
        <f t="shared" si="171"/>
        <v>40–59</v>
      </c>
      <c r="O3674" t="str">
        <f t="shared" si="172"/>
        <v>Obese</v>
      </c>
    </row>
    <row r="3675" spans="1:15" x14ac:dyDescent="0.3">
      <c r="A3675">
        <v>41665</v>
      </c>
      <c r="B3675" t="s">
        <v>2</v>
      </c>
      <c r="C3675">
        <v>53</v>
      </c>
      <c r="D3675">
        <v>0</v>
      </c>
      <c r="E3675">
        <v>0</v>
      </c>
      <c r="F3675" t="str">
        <f t="shared" si="173"/>
        <v>Lower Risk</v>
      </c>
      <c r="G3675" t="s">
        <v>3</v>
      </c>
      <c r="H3675" t="s">
        <v>15</v>
      </c>
      <c r="I3675" t="s">
        <v>9</v>
      </c>
      <c r="J3675">
        <v>159.38999999999999</v>
      </c>
      <c r="K3675">
        <v>29.2</v>
      </c>
      <c r="L3675" t="s">
        <v>11</v>
      </c>
      <c r="M3675">
        <v>0</v>
      </c>
      <c r="N3675" t="str">
        <f t="shared" si="171"/>
        <v>40–59</v>
      </c>
      <c r="O3675" t="str">
        <f t="shared" si="172"/>
        <v>Overweight</v>
      </c>
    </row>
    <row r="3676" spans="1:15" x14ac:dyDescent="0.3">
      <c r="A3676">
        <v>26539</v>
      </c>
      <c r="B3676" t="s">
        <v>2</v>
      </c>
      <c r="C3676">
        <v>69</v>
      </c>
      <c r="D3676">
        <v>0</v>
      </c>
      <c r="E3676">
        <v>0</v>
      </c>
      <c r="F3676" t="str">
        <f t="shared" si="173"/>
        <v>Moderate Risk</v>
      </c>
      <c r="G3676" t="s">
        <v>3</v>
      </c>
      <c r="H3676" t="s">
        <v>8</v>
      </c>
      <c r="I3676" t="s">
        <v>5</v>
      </c>
      <c r="J3676">
        <v>202.51</v>
      </c>
      <c r="K3676">
        <v>30.8</v>
      </c>
      <c r="L3676" t="s">
        <v>6</v>
      </c>
      <c r="M3676">
        <v>0</v>
      </c>
      <c r="N3676" t="str">
        <f t="shared" si="171"/>
        <v>60+</v>
      </c>
      <c r="O3676" t="str">
        <f t="shared" si="172"/>
        <v>Obese</v>
      </c>
    </row>
    <row r="3677" spans="1:15" x14ac:dyDescent="0.3">
      <c r="A3677">
        <v>25325</v>
      </c>
      <c r="B3677" t="s">
        <v>7</v>
      </c>
      <c r="C3677">
        <v>42</v>
      </c>
      <c r="D3677">
        <v>0</v>
      </c>
      <c r="E3677">
        <v>0</v>
      </c>
      <c r="F3677" t="str">
        <f t="shared" si="173"/>
        <v>Lower Risk</v>
      </c>
      <c r="G3677" t="s">
        <v>3</v>
      </c>
      <c r="H3677" t="s">
        <v>4</v>
      </c>
      <c r="I3677" t="s">
        <v>9</v>
      </c>
      <c r="J3677">
        <v>82.24</v>
      </c>
      <c r="K3677">
        <v>23.8</v>
      </c>
      <c r="L3677" t="s">
        <v>6</v>
      </c>
      <c r="M3677">
        <v>0</v>
      </c>
      <c r="N3677" t="str">
        <f t="shared" si="171"/>
        <v>40–59</v>
      </c>
      <c r="O3677" t="str">
        <f t="shared" si="172"/>
        <v>Normal</v>
      </c>
    </row>
    <row r="3678" spans="1:15" x14ac:dyDescent="0.3">
      <c r="A3678">
        <v>69462</v>
      </c>
      <c r="B3678" t="s">
        <v>7</v>
      </c>
      <c r="C3678">
        <v>4</v>
      </c>
      <c r="D3678">
        <v>0</v>
      </c>
      <c r="E3678">
        <v>0</v>
      </c>
      <c r="F3678" t="str">
        <f t="shared" si="173"/>
        <v>Lower Risk</v>
      </c>
      <c r="G3678" t="s">
        <v>13</v>
      </c>
      <c r="H3678" t="s">
        <v>16</v>
      </c>
      <c r="I3678" t="s">
        <v>9</v>
      </c>
      <c r="J3678">
        <v>109.81</v>
      </c>
      <c r="K3678">
        <v>17.899999999999999</v>
      </c>
      <c r="L3678" t="s">
        <v>14</v>
      </c>
      <c r="M3678">
        <v>0</v>
      </c>
      <c r="N3678" t="str">
        <f t="shared" si="171"/>
        <v>Under 40</v>
      </c>
      <c r="O3678" t="str">
        <f t="shared" si="172"/>
        <v>Underweight</v>
      </c>
    </row>
    <row r="3679" spans="1:15" x14ac:dyDescent="0.3">
      <c r="A3679">
        <v>29816</v>
      </c>
      <c r="B3679" t="s">
        <v>2</v>
      </c>
      <c r="C3679">
        <v>64</v>
      </c>
      <c r="D3679">
        <v>1</v>
      </c>
      <c r="E3679">
        <v>0</v>
      </c>
      <c r="F3679" t="str">
        <f t="shared" si="173"/>
        <v>High Risk</v>
      </c>
      <c r="G3679" t="s">
        <v>3</v>
      </c>
      <c r="H3679" t="s">
        <v>4</v>
      </c>
      <c r="I3679" t="s">
        <v>9</v>
      </c>
      <c r="J3679">
        <v>91.85</v>
      </c>
      <c r="K3679">
        <v>31.8</v>
      </c>
      <c r="L3679" t="s">
        <v>6</v>
      </c>
      <c r="M3679">
        <v>0</v>
      </c>
      <c r="N3679" t="str">
        <f t="shared" si="171"/>
        <v>60+</v>
      </c>
      <c r="O3679" t="str">
        <f t="shared" si="172"/>
        <v>Obese</v>
      </c>
    </row>
    <row r="3680" spans="1:15" x14ac:dyDescent="0.3">
      <c r="A3680">
        <v>47784</v>
      </c>
      <c r="B3680" t="s">
        <v>7</v>
      </c>
      <c r="C3680">
        <v>5</v>
      </c>
      <c r="D3680">
        <v>0</v>
      </c>
      <c r="E3680">
        <v>0</v>
      </c>
      <c r="F3680" t="str">
        <f t="shared" si="173"/>
        <v>Lower Risk</v>
      </c>
      <c r="G3680" t="s">
        <v>13</v>
      </c>
      <c r="H3680" t="s">
        <v>16</v>
      </c>
      <c r="I3680" t="s">
        <v>9</v>
      </c>
      <c r="J3680">
        <v>123.49</v>
      </c>
      <c r="K3680">
        <v>19.5</v>
      </c>
      <c r="L3680" t="s">
        <v>14</v>
      </c>
      <c r="M3680">
        <v>0</v>
      </c>
      <c r="N3680" t="str">
        <f t="shared" si="171"/>
        <v>Under 40</v>
      </c>
      <c r="O3680" t="str">
        <f t="shared" si="172"/>
        <v>Normal</v>
      </c>
    </row>
    <row r="3681" spans="1:15" x14ac:dyDescent="0.3">
      <c r="A3681">
        <v>18181</v>
      </c>
      <c r="B3681" t="s">
        <v>2</v>
      </c>
      <c r="C3681">
        <v>44</v>
      </c>
      <c r="D3681">
        <v>0</v>
      </c>
      <c r="E3681">
        <v>0</v>
      </c>
      <c r="F3681" t="str">
        <f t="shared" si="173"/>
        <v>Lower Risk</v>
      </c>
      <c r="G3681" t="s">
        <v>3</v>
      </c>
      <c r="H3681" t="s">
        <v>4</v>
      </c>
      <c r="I3681" t="s">
        <v>9</v>
      </c>
      <c r="J3681">
        <v>105.49</v>
      </c>
      <c r="K3681">
        <v>31.5</v>
      </c>
      <c r="L3681" t="s">
        <v>12</v>
      </c>
      <c r="M3681">
        <v>0</v>
      </c>
      <c r="N3681" t="str">
        <f t="shared" si="171"/>
        <v>40–59</v>
      </c>
      <c r="O3681" t="str">
        <f t="shared" si="172"/>
        <v>Obese</v>
      </c>
    </row>
    <row r="3682" spans="1:15" x14ac:dyDescent="0.3">
      <c r="A3682">
        <v>8614</v>
      </c>
      <c r="B3682" t="s">
        <v>2</v>
      </c>
      <c r="C3682">
        <v>78</v>
      </c>
      <c r="D3682">
        <v>0</v>
      </c>
      <c r="E3682">
        <v>1</v>
      </c>
      <c r="F3682" t="str">
        <f t="shared" si="173"/>
        <v>High Risk</v>
      </c>
      <c r="G3682" t="s">
        <v>3</v>
      </c>
      <c r="H3682" t="s">
        <v>8</v>
      </c>
      <c r="I3682" t="s">
        <v>5</v>
      </c>
      <c r="J3682">
        <v>101.53</v>
      </c>
      <c r="K3682">
        <v>24.1</v>
      </c>
      <c r="L3682" t="s">
        <v>6</v>
      </c>
      <c r="M3682">
        <v>0</v>
      </c>
      <c r="N3682" t="str">
        <f t="shared" si="171"/>
        <v>60+</v>
      </c>
      <c r="O3682" t="str">
        <f t="shared" si="172"/>
        <v>Normal</v>
      </c>
    </row>
    <row r="3683" spans="1:15" x14ac:dyDescent="0.3">
      <c r="A3683">
        <v>347</v>
      </c>
      <c r="B3683" t="s">
        <v>7</v>
      </c>
      <c r="C3683">
        <v>16</v>
      </c>
      <c r="D3683">
        <v>0</v>
      </c>
      <c r="E3683">
        <v>0</v>
      </c>
      <c r="F3683" t="str">
        <f t="shared" si="173"/>
        <v>Lower Risk</v>
      </c>
      <c r="G3683" t="s">
        <v>13</v>
      </c>
      <c r="H3683" t="s">
        <v>4</v>
      </c>
      <c r="I3683" t="s">
        <v>5</v>
      </c>
      <c r="J3683">
        <v>89.45</v>
      </c>
      <c r="K3683" t="s">
        <v>10</v>
      </c>
      <c r="L3683" t="s">
        <v>14</v>
      </c>
      <c r="M3683">
        <v>0</v>
      </c>
      <c r="N3683" t="str">
        <f t="shared" si="171"/>
        <v>Under 40</v>
      </c>
      <c r="O3683" t="str">
        <f t="shared" si="172"/>
        <v>Unknown</v>
      </c>
    </row>
    <row r="3684" spans="1:15" x14ac:dyDescent="0.3">
      <c r="A3684">
        <v>61336</v>
      </c>
      <c r="B3684" t="s">
        <v>7</v>
      </c>
      <c r="C3684">
        <v>69</v>
      </c>
      <c r="D3684">
        <v>0</v>
      </c>
      <c r="E3684">
        <v>0</v>
      </c>
      <c r="F3684" t="str">
        <f t="shared" si="173"/>
        <v>Moderate Risk</v>
      </c>
      <c r="G3684" t="s">
        <v>3</v>
      </c>
      <c r="H3684" t="s">
        <v>8</v>
      </c>
      <c r="I3684" t="s">
        <v>5</v>
      </c>
      <c r="J3684">
        <v>126.04</v>
      </c>
      <c r="K3684">
        <v>35.9</v>
      </c>
      <c r="L3684" t="s">
        <v>11</v>
      </c>
      <c r="M3684">
        <v>0</v>
      </c>
      <c r="N3684" t="str">
        <f t="shared" si="171"/>
        <v>60+</v>
      </c>
      <c r="O3684" t="str">
        <f t="shared" si="172"/>
        <v>Obese</v>
      </c>
    </row>
    <row r="3685" spans="1:15" x14ac:dyDescent="0.3">
      <c r="A3685">
        <v>27647</v>
      </c>
      <c r="B3685" t="s">
        <v>2</v>
      </c>
      <c r="C3685">
        <v>80</v>
      </c>
      <c r="D3685">
        <v>0</v>
      </c>
      <c r="E3685">
        <v>1</v>
      </c>
      <c r="F3685" t="str">
        <f t="shared" si="173"/>
        <v>High Risk</v>
      </c>
      <c r="G3685" t="s">
        <v>3</v>
      </c>
      <c r="H3685" t="s">
        <v>8</v>
      </c>
      <c r="I3685" t="s">
        <v>9</v>
      </c>
      <c r="J3685">
        <v>95.49</v>
      </c>
      <c r="K3685">
        <v>31.6</v>
      </c>
      <c r="L3685" t="s">
        <v>14</v>
      </c>
      <c r="M3685">
        <v>0</v>
      </c>
      <c r="N3685" t="str">
        <f t="shared" si="171"/>
        <v>60+</v>
      </c>
      <c r="O3685" t="str">
        <f t="shared" si="172"/>
        <v>Obese</v>
      </c>
    </row>
    <row r="3686" spans="1:15" x14ac:dyDescent="0.3">
      <c r="A3686">
        <v>25676</v>
      </c>
      <c r="B3686" t="s">
        <v>7</v>
      </c>
      <c r="C3686">
        <v>7</v>
      </c>
      <c r="D3686">
        <v>0</v>
      </c>
      <c r="E3686">
        <v>0</v>
      </c>
      <c r="F3686" t="str">
        <f t="shared" si="173"/>
        <v>Lower Risk</v>
      </c>
      <c r="G3686" t="s">
        <v>13</v>
      </c>
      <c r="H3686" t="s">
        <v>16</v>
      </c>
      <c r="I3686" t="s">
        <v>9</v>
      </c>
      <c r="J3686">
        <v>89.38</v>
      </c>
      <c r="K3686">
        <v>19</v>
      </c>
      <c r="L3686" t="s">
        <v>14</v>
      </c>
      <c r="M3686">
        <v>0</v>
      </c>
      <c r="N3686" t="str">
        <f t="shared" si="171"/>
        <v>Under 40</v>
      </c>
      <c r="O3686" t="str">
        <f t="shared" si="172"/>
        <v>Normal</v>
      </c>
    </row>
    <row r="3687" spans="1:15" x14ac:dyDescent="0.3">
      <c r="A3687">
        <v>65894</v>
      </c>
      <c r="B3687" t="s">
        <v>7</v>
      </c>
      <c r="C3687">
        <v>2</v>
      </c>
      <c r="D3687">
        <v>0</v>
      </c>
      <c r="E3687">
        <v>0</v>
      </c>
      <c r="F3687" t="str">
        <f t="shared" si="173"/>
        <v>Lower Risk</v>
      </c>
      <c r="G3687" t="s">
        <v>13</v>
      </c>
      <c r="H3687" t="s">
        <v>16</v>
      </c>
      <c r="I3687" t="s">
        <v>5</v>
      </c>
      <c r="J3687">
        <v>82.3</v>
      </c>
      <c r="K3687">
        <v>18.8</v>
      </c>
      <c r="L3687" t="s">
        <v>14</v>
      </c>
      <c r="M3687">
        <v>0</v>
      </c>
      <c r="N3687" t="str">
        <f t="shared" si="171"/>
        <v>Under 40</v>
      </c>
      <c r="O3687" t="str">
        <f t="shared" si="172"/>
        <v>Normal</v>
      </c>
    </row>
    <row r="3688" spans="1:15" x14ac:dyDescent="0.3">
      <c r="A3688">
        <v>2291</v>
      </c>
      <c r="B3688" t="s">
        <v>7</v>
      </c>
      <c r="C3688">
        <v>80</v>
      </c>
      <c r="D3688">
        <v>1</v>
      </c>
      <c r="E3688">
        <v>0</v>
      </c>
      <c r="F3688" t="str">
        <f t="shared" si="173"/>
        <v>High Risk</v>
      </c>
      <c r="G3688" t="s">
        <v>3</v>
      </c>
      <c r="H3688" t="s">
        <v>8</v>
      </c>
      <c r="I3688" t="s">
        <v>5</v>
      </c>
      <c r="J3688">
        <v>218</v>
      </c>
      <c r="K3688">
        <v>33.5</v>
      </c>
      <c r="L3688" t="s">
        <v>14</v>
      </c>
      <c r="M3688">
        <v>0</v>
      </c>
      <c r="N3688" t="str">
        <f t="shared" si="171"/>
        <v>60+</v>
      </c>
      <c r="O3688" t="str">
        <f t="shared" si="172"/>
        <v>Obese</v>
      </c>
    </row>
    <row r="3689" spans="1:15" x14ac:dyDescent="0.3">
      <c r="A3689">
        <v>25630</v>
      </c>
      <c r="B3689" t="s">
        <v>7</v>
      </c>
      <c r="C3689">
        <v>69</v>
      </c>
      <c r="D3689">
        <v>0</v>
      </c>
      <c r="E3689">
        <v>0</v>
      </c>
      <c r="F3689" t="str">
        <f t="shared" si="173"/>
        <v>Moderate Risk</v>
      </c>
      <c r="G3689" t="s">
        <v>3</v>
      </c>
      <c r="H3689" t="s">
        <v>8</v>
      </c>
      <c r="I3689" t="s">
        <v>5</v>
      </c>
      <c r="J3689">
        <v>79.7</v>
      </c>
      <c r="K3689">
        <v>25</v>
      </c>
      <c r="L3689" t="s">
        <v>11</v>
      </c>
      <c r="M3689">
        <v>0</v>
      </c>
      <c r="N3689" t="str">
        <f t="shared" si="171"/>
        <v>60+</v>
      </c>
      <c r="O3689" t="str">
        <f t="shared" si="172"/>
        <v>Overweight</v>
      </c>
    </row>
    <row r="3690" spans="1:15" x14ac:dyDescent="0.3">
      <c r="A3690">
        <v>38575</v>
      </c>
      <c r="B3690" t="s">
        <v>2</v>
      </c>
      <c r="C3690">
        <v>58</v>
      </c>
      <c r="D3690">
        <v>1</v>
      </c>
      <c r="E3690">
        <v>0</v>
      </c>
      <c r="F3690" t="str">
        <f t="shared" si="173"/>
        <v>Lower Risk</v>
      </c>
      <c r="G3690" t="s">
        <v>3</v>
      </c>
      <c r="H3690" t="s">
        <v>8</v>
      </c>
      <c r="I3690" t="s">
        <v>9</v>
      </c>
      <c r="J3690">
        <v>209.15</v>
      </c>
      <c r="K3690">
        <v>52.9</v>
      </c>
      <c r="L3690" t="s">
        <v>6</v>
      </c>
      <c r="M3690">
        <v>0</v>
      </c>
      <c r="N3690" t="str">
        <f t="shared" si="171"/>
        <v>40–59</v>
      </c>
      <c r="O3690" t="str">
        <f t="shared" si="172"/>
        <v>Obese</v>
      </c>
    </row>
    <row r="3691" spans="1:15" x14ac:dyDescent="0.3">
      <c r="A3691">
        <v>29326</v>
      </c>
      <c r="B3691" t="s">
        <v>7</v>
      </c>
      <c r="C3691">
        <v>75</v>
      </c>
      <c r="D3691">
        <v>0</v>
      </c>
      <c r="E3691">
        <v>0</v>
      </c>
      <c r="F3691" t="str">
        <f t="shared" si="173"/>
        <v>Moderate Risk</v>
      </c>
      <c r="G3691" t="s">
        <v>3</v>
      </c>
      <c r="H3691" t="s">
        <v>8</v>
      </c>
      <c r="I3691" t="s">
        <v>9</v>
      </c>
      <c r="J3691">
        <v>70.22</v>
      </c>
      <c r="K3691">
        <v>24.8</v>
      </c>
      <c r="L3691" t="s">
        <v>6</v>
      </c>
      <c r="M3691">
        <v>0</v>
      </c>
      <c r="N3691" t="str">
        <f t="shared" si="171"/>
        <v>60+</v>
      </c>
      <c r="O3691" t="str">
        <f t="shared" si="172"/>
        <v>Normal</v>
      </c>
    </row>
    <row r="3692" spans="1:15" x14ac:dyDescent="0.3">
      <c r="A3692">
        <v>59292</v>
      </c>
      <c r="B3692" t="s">
        <v>7</v>
      </c>
      <c r="C3692">
        <v>60</v>
      </c>
      <c r="D3692">
        <v>0</v>
      </c>
      <c r="E3692">
        <v>0</v>
      </c>
      <c r="F3692" t="str">
        <f t="shared" si="173"/>
        <v>Moderate Risk</v>
      </c>
      <c r="G3692" t="s">
        <v>3</v>
      </c>
      <c r="H3692" t="s">
        <v>8</v>
      </c>
      <c r="I3692" t="s">
        <v>9</v>
      </c>
      <c r="J3692">
        <v>83.57</v>
      </c>
      <c r="K3692">
        <v>24.5</v>
      </c>
      <c r="L3692" t="s">
        <v>11</v>
      </c>
      <c r="M3692">
        <v>0</v>
      </c>
      <c r="N3692" t="str">
        <f t="shared" si="171"/>
        <v>60+</v>
      </c>
      <c r="O3692" t="str">
        <f t="shared" si="172"/>
        <v>Normal</v>
      </c>
    </row>
    <row r="3693" spans="1:15" x14ac:dyDescent="0.3">
      <c r="A3693">
        <v>52051</v>
      </c>
      <c r="B3693" t="s">
        <v>7</v>
      </c>
      <c r="C3693">
        <v>75</v>
      </c>
      <c r="D3693">
        <v>0</v>
      </c>
      <c r="E3693">
        <v>0</v>
      </c>
      <c r="F3693" t="str">
        <f t="shared" si="173"/>
        <v>Moderate Risk</v>
      </c>
      <c r="G3693" t="s">
        <v>3</v>
      </c>
      <c r="H3693" t="s">
        <v>8</v>
      </c>
      <c r="I3693" t="s">
        <v>5</v>
      </c>
      <c r="J3693">
        <v>60.6</v>
      </c>
      <c r="K3693">
        <v>40.4</v>
      </c>
      <c r="L3693" t="s">
        <v>12</v>
      </c>
      <c r="M3693">
        <v>0</v>
      </c>
      <c r="N3693" t="str">
        <f t="shared" si="171"/>
        <v>60+</v>
      </c>
      <c r="O3693" t="str">
        <f t="shared" si="172"/>
        <v>Obese</v>
      </c>
    </row>
    <row r="3694" spans="1:15" x14ac:dyDescent="0.3">
      <c r="A3694">
        <v>64508</v>
      </c>
      <c r="B3694" t="s">
        <v>7</v>
      </c>
      <c r="C3694">
        <v>10</v>
      </c>
      <c r="D3694">
        <v>0</v>
      </c>
      <c r="E3694">
        <v>0</v>
      </c>
      <c r="F3694" t="str">
        <f t="shared" si="173"/>
        <v>Lower Risk</v>
      </c>
      <c r="G3694" t="s">
        <v>13</v>
      </c>
      <c r="H3694" t="s">
        <v>16</v>
      </c>
      <c r="I3694" t="s">
        <v>5</v>
      </c>
      <c r="J3694">
        <v>97.24</v>
      </c>
      <c r="K3694">
        <v>20.2</v>
      </c>
      <c r="L3694" t="s">
        <v>14</v>
      </c>
      <c r="M3694">
        <v>0</v>
      </c>
      <c r="N3694" t="str">
        <f t="shared" si="171"/>
        <v>Under 40</v>
      </c>
      <c r="O3694" t="str">
        <f t="shared" si="172"/>
        <v>Normal</v>
      </c>
    </row>
    <row r="3695" spans="1:15" x14ac:dyDescent="0.3">
      <c r="A3695">
        <v>36593</v>
      </c>
      <c r="B3695" t="s">
        <v>2</v>
      </c>
      <c r="C3695">
        <v>38</v>
      </c>
      <c r="D3695">
        <v>0</v>
      </c>
      <c r="E3695">
        <v>0</v>
      </c>
      <c r="F3695" t="str">
        <f t="shared" si="173"/>
        <v>Lower Risk</v>
      </c>
      <c r="G3695" t="s">
        <v>13</v>
      </c>
      <c r="H3695" t="s">
        <v>4</v>
      </c>
      <c r="I3695" t="s">
        <v>9</v>
      </c>
      <c r="J3695">
        <v>162.72</v>
      </c>
      <c r="K3695">
        <v>31.9</v>
      </c>
      <c r="L3695" t="s">
        <v>12</v>
      </c>
      <c r="M3695">
        <v>0</v>
      </c>
      <c r="N3695" t="str">
        <f t="shared" si="171"/>
        <v>Under 40</v>
      </c>
      <c r="O3695" t="str">
        <f t="shared" si="172"/>
        <v>Obese</v>
      </c>
    </row>
    <row r="3696" spans="1:15" x14ac:dyDescent="0.3">
      <c r="A3696">
        <v>39834</v>
      </c>
      <c r="B3696" t="s">
        <v>2</v>
      </c>
      <c r="C3696">
        <v>28</v>
      </c>
      <c r="D3696">
        <v>0</v>
      </c>
      <c r="E3696">
        <v>0</v>
      </c>
      <c r="F3696" t="str">
        <f t="shared" si="173"/>
        <v>Lower Risk</v>
      </c>
      <c r="G3696" t="s">
        <v>13</v>
      </c>
      <c r="H3696" t="s">
        <v>4</v>
      </c>
      <c r="I3696" t="s">
        <v>5</v>
      </c>
      <c r="J3696">
        <v>73.27</v>
      </c>
      <c r="K3696">
        <v>25.4</v>
      </c>
      <c r="L3696" t="s">
        <v>12</v>
      </c>
      <c r="M3696">
        <v>0</v>
      </c>
      <c r="N3696" t="str">
        <f t="shared" si="171"/>
        <v>Under 40</v>
      </c>
      <c r="O3696" t="str">
        <f t="shared" si="172"/>
        <v>Overweight</v>
      </c>
    </row>
    <row r="3697" spans="1:15" x14ac:dyDescent="0.3">
      <c r="A3697">
        <v>54111</v>
      </c>
      <c r="B3697" t="s">
        <v>7</v>
      </c>
      <c r="C3697">
        <v>3</v>
      </c>
      <c r="D3697">
        <v>0</v>
      </c>
      <c r="E3697">
        <v>0</v>
      </c>
      <c r="F3697" t="str">
        <f t="shared" si="173"/>
        <v>Lower Risk</v>
      </c>
      <c r="G3697" t="s">
        <v>13</v>
      </c>
      <c r="H3697" t="s">
        <v>16</v>
      </c>
      <c r="I3697" t="s">
        <v>5</v>
      </c>
      <c r="J3697">
        <v>92.62</v>
      </c>
      <c r="K3697">
        <v>15.4</v>
      </c>
      <c r="L3697" t="s">
        <v>14</v>
      </c>
      <c r="M3697">
        <v>0</v>
      </c>
      <c r="N3697" t="str">
        <f t="shared" si="171"/>
        <v>Under 40</v>
      </c>
      <c r="O3697" t="str">
        <f t="shared" si="172"/>
        <v>Underweight</v>
      </c>
    </row>
    <row r="3698" spans="1:15" x14ac:dyDescent="0.3">
      <c r="A3698">
        <v>53476</v>
      </c>
      <c r="B3698" t="s">
        <v>7</v>
      </c>
      <c r="C3698">
        <v>31</v>
      </c>
      <c r="D3698">
        <v>0</v>
      </c>
      <c r="E3698">
        <v>0</v>
      </c>
      <c r="F3698" t="str">
        <f t="shared" si="173"/>
        <v>Lower Risk</v>
      </c>
      <c r="G3698" t="s">
        <v>3</v>
      </c>
      <c r="H3698" t="s">
        <v>4</v>
      </c>
      <c r="I3698" t="s">
        <v>5</v>
      </c>
      <c r="J3698">
        <v>90</v>
      </c>
      <c r="K3698">
        <v>38.6</v>
      </c>
      <c r="L3698" t="s">
        <v>11</v>
      </c>
      <c r="M3698">
        <v>0</v>
      </c>
      <c r="N3698" t="str">
        <f t="shared" si="171"/>
        <v>Under 40</v>
      </c>
      <c r="O3698" t="str">
        <f t="shared" si="172"/>
        <v>Obese</v>
      </c>
    </row>
    <row r="3699" spans="1:15" x14ac:dyDescent="0.3">
      <c r="A3699">
        <v>479</v>
      </c>
      <c r="B3699" t="s">
        <v>7</v>
      </c>
      <c r="C3699">
        <v>59</v>
      </c>
      <c r="D3699">
        <v>1</v>
      </c>
      <c r="E3699">
        <v>0</v>
      </c>
      <c r="F3699" t="str">
        <f t="shared" si="173"/>
        <v>Lower Risk</v>
      </c>
      <c r="G3699" t="s">
        <v>3</v>
      </c>
      <c r="H3699" t="s">
        <v>4</v>
      </c>
      <c r="I3699" t="s">
        <v>9</v>
      </c>
      <c r="J3699">
        <v>78.28</v>
      </c>
      <c r="K3699">
        <v>31</v>
      </c>
      <c r="L3699" t="s">
        <v>6</v>
      </c>
      <c r="M3699">
        <v>0</v>
      </c>
      <c r="N3699" t="str">
        <f t="shared" si="171"/>
        <v>40–59</v>
      </c>
      <c r="O3699" t="str">
        <f t="shared" si="172"/>
        <v>Obese</v>
      </c>
    </row>
    <row r="3700" spans="1:15" x14ac:dyDescent="0.3">
      <c r="A3700">
        <v>37237</v>
      </c>
      <c r="B3700" t="s">
        <v>7</v>
      </c>
      <c r="C3700">
        <v>31</v>
      </c>
      <c r="D3700">
        <v>0</v>
      </c>
      <c r="E3700">
        <v>0</v>
      </c>
      <c r="F3700" t="str">
        <f t="shared" si="173"/>
        <v>Lower Risk</v>
      </c>
      <c r="G3700" t="s">
        <v>13</v>
      </c>
      <c r="H3700" t="s">
        <v>4</v>
      </c>
      <c r="I3700" t="s">
        <v>9</v>
      </c>
      <c r="J3700">
        <v>87.81</v>
      </c>
      <c r="K3700">
        <v>26.4</v>
      </c>
      <c r="L3700" t="s">
        <v>12</v>
      </c>
      <c r="M3700">
        <v>0</v>
      </c>
      <c r="N3700" t="str">
        <f t="shared" si="171"/>
        <v>Under 40</v>
      </c>
      <c r="O3700" t="str">
        <f t="shared" si="172"/>
        <v>Overweight</v>
      </c>
    </row>
    <row r="3701" spans="1:15" x14ac:dyDescent="0.3">
      <c r="A3701">
        <v>5496</v>
      </c>
      <c r="B3701" t="s">
        <v>7</v>
      </c>
      <c r="C3701">
        <v>45</v>
      </c>
      <c r="D3701">
        <v>0</v>
      </c>
      <c r="E3701">
        <v>0</v>
      </c>
      <c r="F3701" t="str">
        <f t="shared" si="173"/>
        <v>Lower Risk</v>
      </c>
      <c r="G3701" t="s">
        <v>3</v>
      </c>
      <c r="H3701" t="s">
        <v>4</v>
      </c>
      <c r="I3701" t="s">
        <v>5</v>
      </c>
      <c r="J3701">
        <v>202.66</v>
      </c>
      <c r="K3701" t="s">
        <v>10</v>
      </c>
      <c r="L3701" t="s">
        <v>11</v>
      </c>
      <c r="M3701">
        <v>0</v>
      </c>
      <c r="N3701" t="str">
        <f t="shared" si="171"/>
        <v>40–59</v>
      </c>
      <c r="O3701" t="str">
        <f t="shared" si="172"/>
        <v>Unknown</v>
      </c>
    </row>
    <row r="3702" spans="1:15" x14ac:dyDescent="0.3">
      <c r="A3702">
        <v>56075</v>
      </c>
      <c r="B3702" t="s">
        <v>7</v>
      </c>
      <c r="C3702">
        <v>58</v>
      </c>
      <c r="D3702">
        <v>0</v>
      </c>
      <c r="E3702">
        <v>0</v>
      </c>
      <c r="F3702" t="str">
        <f t="shared" si="173"/>
        <v>Lower Risk</v>
      </c>
      <c r="G3702" t="s">
        <v>3</v>
      </c>
      <c r="H3702" t="s">
        <v>4</v>
      </c>
      <c r="I3702" t="s">
        <v>9</v>
      </c>
      <c r="J3702">
        <v>196.5</v>
      </c>
      <c r="K3702">
        <v>37.700000000000003</v>
      </c>
      <c r="L3702" t="s">
        <v>11</v>
      </c>
      <c r="M3702">
        <v>0</v>
      </c>
      <c r="N3702" t="str">
        <f t="shared" si="171"/>
        <v>40–59</v>
      </c>
      <c r="O3702" t="str">
        <f t="shared" si="172"/>
        <v>Obese</v>
      </c>
    </row>
    <row r="3703" spans="1:15" x14ac:dyDescent="0.3">
      <c r="A3703">
        <v>46130</v>
      </c>
      <c r="B3703" t="s">
        <v>7</v>
      </c>
      <c r="C3703">
        <v>57</v>
      </c>
      <c r="D3703">
        <v>0</v>
      </c>
      <c r="E3703">
        <v>0</v>
      </c>
      <c r="F3703" t="str">
        <f t="shared" si="173"/>
        <v>Lower Risk</v>
      </c>
      <c r="G3703" t="s">
        <v>3</v>
      </c>
      <c r="H3703" t="s">
        <v>8</v>
      </c>
      <c r="I3703" t="s">
        <v>5</v>
      </c>
      <c r="J3703">
        <v>142.31</v>
      </c>
      <c r="K3703">
        <v>35.200000000000003</v>
      </c>
      <c r="L3703" t="s">
        <v>12</v>
      </c>
      <c r="M3703">
        <v>0</v>
      </c>
      <c r="N3703" t="str">
        <f t="shared" si="171"/>
        <v>40–59</v>
      </c>
      <c r="O3703" t="str">
        <f t="shared" si="172"/>
        <v>Obese</v>
      </c>
    </row>
    <row r="3704" spans="1:15" x14ac:dyDescent="0.3">
      <c r="A3704">
        <v>7730</v>
      </c>
      <c r="B3704" t="s">
        <v>2</v>
      </c>
      <c r="C3704">
        <v>31</v>
      </c>
      <c r="D3704">
        <v>0</v>
      </c>
      <c r="E3704">
        <v>0</v>
      </c>
      <c r="F3704" t="str">
        <f t="shared" si="173"/>
        <v>Lower Risk</v>
      </c>
      <c r="G3704" t="s">
        <v>13</v>
      </c>
      <c r="H3704" t="s">
        <v>4</v>
      </c>
      <c r="I3704" t="s">
        <v>9</v>
      </c>
      <c r="J3704">
        <v>94.96</v>
      </c>
      <c r="K3704">
        <v>54.7</v>
      </c>
      <c r="L3704" t="s">
        <v>12</v>
      </c>
      <c r="M3704">
        <v>0</v>
      </c>
      <c r="N3704" t="str">
        <f t="shared" si="171"/>
        <v>Under 40</v>
      </c>
      <c r="O3704" t="str">
        <f t="shared" si="172"/>
        <v>Obese</v>
      </c>
    </row>
    <row r="3705" spans="1:15" x14ac:dyDescent="0.3">
      <c r="A3705">
        <v>12380</v>
      </c>
      <c r="B3705" t="s">
        <v>2</v>
      </c>
      <c r="C3705">
        <v>43</v>
      </c>
      <c r="D3705">
        <v>0</v>
      </c>
      <c r="E3705">
        <v>0</v>
      </c>
      <c r="F3705" t="str">
        <f t="shared" si="173"/>
        <v>Lower Risk</v>
      </c>
      <c r="G3705" t="s">
        <v>3</v>
      </c>
      <c r="H3705" t="s">
        <v>15</v>
      </c>
      <c r="I3705" t="s">
        <v>9</v>
      </c>
      <c r="J3705">
        <v>83.78</v>
      </c>
      <c r="K3705">
        <v>21.6</v>
      </c>
      <c r="L3705" t="s">
        <v>11</v>
      </c>
      <c r="M3705">
        <v>0</v>
      </c>
      <c r="N3705" t="str">
        <f t="shared" si="171"/>
        <v>40–59</v>
      </c>
      <c r="O3705" t="str">
        <f t="shared" si="172"/>
        <v>Normal</v>
      </c>
    </row>
    <row r="3706" spans="1:15" x14ac:dyDescent="0.3">
      <c r="A3706">
        <v>15324</v>
      </c>
      <c r="B3706" t="s">
        <v>7</v>
      </c>
      <c r="C3706">
        <v>40</v>
      </c>
      <c r="D3706">
        <v>0</v>
      </c>
      <c r="E3706">
        <v>0</v>
      </c>
      <c r="F3706" t="str">
        <f t="shared" si="173"/>
        <v>Lower Risk</v>
      </c>
      <c r="G3706" t="s">
        <v>13</v>
      </c>
      <c r="H3706" t="s">
        <v>4</v>
      </c>
      <c r="I3706" t="s">
        <v>5</v>
      </c>
      <c r="J3706">
        <v>86.1</v>
      </c>
      <c r="K3706">
        <v>23.9</v>
      </c>
      <c r="L3706" t="s">
        <v>14</v>
      </c>
      <c r="M3706">
        <v>0</v>
      </c>
      <c r="N3706" t="str">
        <f t="shared" si="171"/>
        <v>40–59</v>
      </c>
      <c r="O3706" t="str">
        <f t="shared" si="172"/>
        <v>Normal</v>
      </c>
    </row>
    <row r="3707" spans="1:15" x14ac:dyDescent="0.3">
      <c r="A3707">
        <v>11658</v>
      </c>
      <c r="B3707" t="s">
        <v>2</v>
      </c>
      <c r="C3707">
        <v>1.08</v>
      </c>
      <c r="D3707">
        <v>0</v>
      </c>
      <c r="E3707">
        <v>0</v>
      </c>
      <c r="F3707" t="str">
        <f t="shared" si="173"/>
        <v>Lower Risk</v>
      </c>
      <c r="G3707" t="s">
        <v>13</v>
      </c>
      <c r="H3707" t="s">
        <v>16</v>
      </c>
      <c r="I3707" t="s">
        <v>9</v>
      </c>
      <c r="J3707">
        <v>74.5</v>
      </c>
      <c r="K3707" t="s">
        <v>10</v>
      </c>
      <c r="L3707" t="s">
        <v>14</v>
      </c>
      <c r="M3707">
        <v>0</v>
      </c>
      <c r="N3707" t="str">
        <f t="shared" si="171"/>
        <v>Under 40</v>
      </c>
      <c r="O3707" t="str">
        <f t="shared" si="172"/>
        <v>Unknown</v>
      </c>
    </row>
    <row r="3708" spans="1:15" x14ac:dyDescent="0.3">
      <c r="A3708">
        <v>22778</v>
      </c>
      <c r="B3708" t="s">
        <v>2</v>
      </c>
      <c r="C3708">
        <v>34</v>
      </c>
      <c r="D3708">
        <v>0</v>
      </c>
      <c r="E3708">
        <v>0</v>
      </c>
      <c r="F3708" t="str">
        <f t="shared" si="173"/>
        <v>Lower Risk</v>
      </c>
      <c r="G3708" t="s">
        <v>3</v>
      </c>
      <c r="H3708" t="s">
        <v>4</v>
      </c>
      <c r="I3708" t="s">
        <v>5</v>
      </c>
      <c r="J3708">
        <v>66.959999999999994</v>
      </c>
      <c r="K3708">
        <v>26.1</v>
      </c>
      <c r="L3708" t="s">
        <v>11</v>
      </c>
      <c r="M3708">
        <v>0</v>
      </c>
      <c r="N3708" t="str">
        <f t="shared" si="171"/>
        <v>Under 40</v>
      </c>
      <c r="O3708" t="str">
        <f t="shared" si="172"/>
        <v>Overweight</v>
      </c>
    </row>
    <row r="3709" spans="1:15" x14ac:dyDescent="0.3">
      <c r="A3709">
        <v>4128</v>
      </c>
      <c r="B3709" t="s">
        <v>7</v>
      </c>
      <c r="C3709">
        <v>55</v>
      </c>
      <c r="D3709">
        <v>0</v>
      </c>
      <c r="E3709">
        <v>0</v>
      </c>
      <c r="F3709" t="str">
        <f t="shared" si="173"/>
        <v>Lower Risk</v>
      </c>
      <c r="G3709" t="s">
        <v>3</v>
      </c>
      <c r="H3709" t="s">
        <v>4</v>
      </c>
      <c r="I3709" t="s">
        <v>9</v>
      </c>
      <c r="J3709">
        <v>76.7</v>
      </c>
      <c r="K3709">
        <v>39.700000000000003</v>
      </c>
      <c r="L3709" t="s">
        <v>6</v>
      </c>
      <c r="M3709">
        <v>0</v>
      </c>
      <c r="N3709" t="str">
        <f t="shared" si="171"/>
        <v>40–59</v>
      </c>
      <c r="O3709" t="str">
        <f t="shared" si="172"/>
        <v>Obese</v>
      </c>
    </row>
    <row r="3710" spans="1:15" x14ac:dyDescent="0.3">
      <c r="A3710">
        <v>36825</v>
      </c>
      <c r="B3710" t="s">
        <v>7</v>
      </c>
      <c r="C3710">
        <v>39</v>
      </c>
      <c r="D3710">
        <v>0</v>
      </c>
      <c r="E3710">
        <v>0</v>
      </c>
      <c r="F3710" t="str">
        <f t="shared" si="173"/>
        <v>Lower Risk</v>
      </c>
      <c r="G3710" t="s">
        <v>3</v>
      </c>
      <c r="H3710" t="s">
        <v>4</v>
      </c>
      <c r="I3710" t="s">
        <v>9</v>
      </c>
      <c r="J3710">
        <v>103.12</v>
      </c>
      <c r="K3710">
        <v>29.9</v>
      </c>
      <c r="L3710" t="s">
        <v>6</v>
      </c>
      <c r="M3710">
        <v>0</v>
      </c>
      <c r="N3710" t="str">
        <f t="shared" si="171"/>
        <v>Under 40</v>
      </c>
      <c r="O3710" t="str">
        <f t="shared" si="172"/>
        <v>Overweight</v>
      </c>
    </row>
    <row r="3711" spans="1:15" x14ac:dyDescent="0.3">
      <c r="A3711">
        <v>1454</v>
      </c>
      <c r="B3711" t="s">
        <v>7</v>
      </c>
      <c r="C3711">
        <v>42</v>
      </c>
      <c r="D3711">
        <v>0</v>
      </c>
      <c r="E3711">
        <v>0</v>
      </c>
      <c r="F3711" t="str">
        <f t="shared" si="173"/>
        <v>Lower Risk</v>
      </c>
      <c r="G3711" t="s">
        <v>13</v>
      </c>
      <c r="H3711" t="s">
        <v>4</v>
      </c>
      <c r="I3711" t="s">
        <v>5</v>
      </c>
      <c r="J3711">
        <v>84.03</v>
      </c>
      <c r="K3711">
        <v>31.4</v>
      </c>
      <c r="L3711" t="s">
        <v>11</v>
      </c>
      <c r="M3711">
        <v>0</v>
      </c>
      <c r="N3711" t="str">
        <f t="shared" si="171"/>
        <v>40–59</v>
      </c>
      <c r="O3711" t="str">
        <f t="shared" si="172"/>
        <v>Obese</v>
      </c>
    </row>
    <row r="3712" spans="1:15" x14ac:dyDescent="0.3">
      <c r="A3712">
        <v>12674</v>
      </c>
      <c r="B3712" t="s">
        <v>2</v>
      </c>
      <c r="C3712">
        <v>44</v>
      </c>
      <c r="D3712">
        <v>0</v>
      </c>
      <c r="E3712">
        <v>0</v>
      </c>
      <c r="F3712" t="str">
        <f t="shared" si="173"/>
        <v>Lower Risk</v>
      </c>
      <c r="G3712" t="s">
        <v>3</v>
      </c>
      <c r="H3712" t="s">
        <v>4</v>
      </c>
      <c r="I3712" t="s">
        <v>9</v>
      </c>
      <c r="J3712">
        <v>74.150000000000006</v>
      </c>
      <c r="K3712">
        <v>34.5</v>
      </c>
      <c r="L3712" t="s">
        <v>6</v>
      </c>
      <c r="M3712">
        <v>0</v>
      </c>
      <c r="N3712" t="str">
        <f t="shared" si="171"/>
        <v>40–59</v>
      </c>
      <c r="O3712" t="str">
        <f t="shared" si="172"/>
        <v>Obese</v>
      </c>
    </row>
    <row r="3713" spans="1:15" x14ac:dyDescent="0.3">
      <c r="A3713">
        <v>55375</v>
      </c>
      <c r="B3713" t="s">
        <v>2</v>
      </c>
      <c r="C3713">
        <v>69</v>
      </c>
      <c r="D3713">
        <v>1</v>
      </c>
      <c r="E3713">
        <v>0</v>
      </c>
      <c r="F3713" t="str">
        <f t="shared" si="173"/>
        <v>High Risk</v>
      </c>
      <c r="G3713" t="s">
        <v>3</v>
      </c>
      <c r="H3713" t="s">
        <v>4</v>
      </c>
      <c r="I3713" t="s">
        <v>9</v>
      </c>
      <c r="J3713">
        <v>73.290000000000006</v>
      </c>
      <c r="K3713">
        <v>29.4</v>
      </c>
      <c r="L3713" t="s">
        <v>11</v>
      </c>
      <c r="M3713">
        <v>0</v>
      </c>
      <c r="N3713" t="str">
        <f t="shared" si="171"/>
        <v>60+</v>
      </c>
      <c r="O3713" t="str">
        <f t="shared" si="172"/>
        <v>Overweight</v>
      </c>
    </row>
    <row r="3714" spans="1:15" x14ac:dyDescent="0.3">
      <c r="A3714">
        <v>3726</v>
      </c>
      <c r="B3714" t="s">
        <v>2</v>
      </c>
      <c r="C3714">
        <v>16</v>
      </c>
      <c r="D3714">
        <v>0</v>
      </c>
      <c r="E3714">
        <v>0</v>
      </c>
      <c r="F3714" t="str">
        <f t="shared" si="173"/>
        <v>Lower Risk</v>
      </c>
      <c r="G3714" t="s">
        <v>13</v>
      </c>
      <c r="H3714" t="s">
        <v>4</v>
      </c>
      <c r="I3714" t="s">
        <v>5</v>
      </c>
      <c r="J3714">
        <v>115.16</v>
      </c>
      <c r="K3714">
        <v>26.9</v>
      </c>
      <c r="L3714" t="s">
        <v>14</v>
      </c>
      <c r="M3714">
        <v>0</v>
      </c>
      <c r="N3714" t="str">
        <f t="shared" ref="N3714:N3777" si="174">IF(C3714&lt;40,"Under 40",IF(C3714&lt;60,"40–59","60+"))</f>
        <v>Under 40</v>
      </c>
      <c r="O3714" t="str">
        <f t="shared" ref="O3714:O3777" si="175">IF(K3714="N/A","Unknown",
IF(K3714="","Unknown",
IF(K3714&lt;18.5,"Underweight",
IF(K3714&lt;25,"Normal",
IF(K3714&lt;30,"Overweight","Obese")))))</f>
        <v>Overweight</v>
      </c>
    </row>
    <row r="3715" spans="1:15" x14ac:dyDescent="0.3">
      <c r="A3715">
        <v>48652</v>
      </c>
      <c r="B3715" t="s">
        <v>7</v>
      </c>
      <c r="C3715">
        <v>8</v>
      </c>
      <c r="D3715">
        <v>0</v>
      </c>
      <c r="E3715">
        <v>0</v>
      </c>
      <c r="F3715" t="str">
        <f t="shared" ref="F3715:F3778" si="176">IF(C3715&gt;=60,
IF(OR(D3715=1,E3715=1),"High Risk","Moderate Risk"),
"Lower Risk")</f>
        <v>Lower Risk</v>
      </c>
      <c r="G3715" t="s">
        <v>13</v>
      </c>
      <c r="H3715" t="s">
        <v>16</v>
      </c>
      <c r="I3715" t="s">
        <v>5</v>
      </c>
      <c r="J3715">
        <v>83.55</v>
      </c>
      <c r="K3715">
        <v>22.4</v>
      </c>
      <c r="L3715" t="s">
        <v>14</v>
      </c>
      <c r="M3715">
        <v>0</v>
      </c>
      <c r="N3715" t="str">
        <f t="shared" si="174"/>
        <v>Under 40</v>
      </c>
      <c r="O3715" t="str">
        <f t="shared" si="175"/>
        <v>Normal</v>
      </c>
    </row>
    <row r="3716" spans="1:15" x14ac:dyDescent="0.3">
      <c r="A3716">
        <v>68657</v>
      </c>
      <c r="B3716" t="s">
        <v>7</v>
      </c>
      <c r="C3716">
        <v>1.48</v>
      </c>
      <c r="D3716">
        <v>0</v>
      </c>
      <c r="E3716">
        <v>0</v>
      </c>
      <c r="F3716" t="str">
        <f t="shared" si="176"/>
        <v>Lower Risk</v>
      </c>
      <c r="G3716" t="s">
        <v>13</v>
      </c>
      <c r="H3716" t="s">
        <v>16</v>
      </c>
      <c r="I3716" t="s">
        <v>5</v>
      </c>
      <c r="J3716">
        <v>61.53</v>
      </c>
      <c r="K3716">
        <v>20.5</v>
      </c>
      <c r="L3716" t="s">
        <v>14</v>
      </c>
      <c r="M3716">
        <v>0</v>
      </c>
      <c r="N3716" t="str">
        <f t="shared" si="174"/>
        <v>Under 40</v>
      </c>
      <c r="O3716" t="str">
        <f t="shared" si="175"/>
        <v>Normal</v>
      </c>
    </row>
    <row r="3717" spans="1:15" x14ac:dyDescent="0.3">
      <c r="A3717">
        <v>17337</v>
      </c>
      <c r="B3717" t="s">
        <v>7</v>
      </c>
      <c r="C3717">
        <v>1.88</v>
      </c>
      <c r="D3717">
        <v>0</v>
      </c>
      <c r="E3717">
        <v>0</v>
      </c>
      <c r="F3717" t="str">
        <f t="shared" si="176"/>
        <v>Lower Risk</v>
      </c>
      <c r="G3717" t="s">
        <v>13</v>
      </c>
      <c r="H3717" t="s">
        <v>16</v>
      </c>
      <c r="I3717" t="s">
        <v>9</v>
      </c>
      <c r="J3717">
        <v>100.74</v>
      </c>
      <c r="K3717">
        <v>18.600000000000001</v>
      </c>
      <c r="L3717" t="s">
        <v>14</v>
      </c>
      <c r="M3717">
        <v>0</v>
      </c>
      <c r="N3717" t="str">
        <f t="shared" si="174"/>
        <v>Under 40</v>
      </c>
      <c r="O3717" t="str">
        <f t="shared" si="175"/>
        <v>Normal</v>
      </c>
    </row>
    <row r="3718" spans="1:15" x14ac:dyDescent="0.3">
      <c r="A3718">
        <v>44831</v>
      </c>
      <c r="B3718" t="s">
        <v>7</v>
      </c>
      <c r="C3718">
        <v>69</v>
      </c>
      <c r="D3718">
        <v>0</v>
      </c>
      <c r="E3718">
        <v>0</v>
      </c>
      <c r="F3718" t="str">
        <f t="shared" si="176"/>
        <v>Moderate Risk</v>
      </c>
      <c r="G3718" t="s">
        <v>13</v>
      </c>
      <c r="H3718" t="s">
        <v>4</v>
      </c>
      <c r="I3718" t="s">
        <v>5</v>
      </c>
      <c r="J3718">
        <v>59.31</v>
      </c>
      <c r="K3718">
        <v>31.4</v>
      </c>
      <c r="L3718" t="s">
        <v>12</v>
      </c>
      <c r="M3718">
        <v>0</v>
      </c>
      <c r="N3718" t="str">
        <f t="shared" si="174"/>
        <v>60+</v>
      </c>
      <c r="O3718" t="str">
        <f t="shared" si="175"/>
        <v>Obese</v>
      </c>
    </row>
    <row r="3719" spans="1:15" x14ac:dyDescent="0.3">
      <c r="A3719">
        <v>68420</v>
      </c>
      <c r="B3719" t="s">
        <v>7</v>
      </c>
      <c r="C3719">
        <v>13</v>
      </c>
      <c r="D3719">
        <v>0</v>
      </c>
      <c r="E3719">
        <v>0</v>
      </c>
      <c r="F3719" t="str">
        <f t="shared" si="176"/>
        <v>Lower Risk</v>
      </c>
      <c r="G3719" t="s">
        <v>13</v>
      </c>
      <c r="H3719" t="s">
        <v>16</v>
      </c>
      <c r="I3719" t="s">
        <v>5</v>
      </c>
      <c r="J3719">
        <v>63.22</v>
      </c>
      <c r="K3719">
        <v>18.5</v>
      </c>
      <c r="L3719" t="s">
        <v>6</v>
      </c>
      <c r="M3719">
        <v>0</v>
      </c>
      <c r="N3719" t="str">
        <f t="shared" si="174"/>
        <v>Under 40</v>
      </c>
      <c r="O3719" t="str">
        <f t="shared" si="175"/>
        <v>Normal</v>
      </c>
    </row>
    <row r="3720" spans="1:15" x14ac:dyDescent="0.3">
      <c r="A3720">
        <v>39632</v>
      </c>
      <c r="B3720" t="s">
        <v>7</v>
      </c>
      <c r="C3720">
        <v>53</v>
      </c>
      <c r="D3720">
        <v>0</v>
      </c>
      <c r="E3720">
        <v>0</v>
      </c>
      <c r="F3720" t="str">
        <f t="shared" si="176"/>
        <v>Lower Risk</v>
      </c>
      <c r="G3720" t="s">
        <v>3</v>
      </c>
      <c r="H3720" t="s">
        <v>4</v>
      </c>
      <c r="I3720" t="s">
        <v>5</v>
      </c>
      <c r="J3720">
        <v>209.5</v>
      </c>
      <c r="K3720">
        <v>41.8</v>
      </c>
      <c r="L3720" t="s">
        <v>11</v>
      </c>
      <c r="M3720">
        <v>0</v>
      </c>
      <c r="N3720" t="str">
        <f t="shared" si="174"/>
        <v>40–59</v>
      </c>
      <c r="O3720" t="str">
        <f t="shared" si="175"/>
        <v>Obese</v>
      </c>
    </row>
    <row r="3721" spans="1:15" x14ac:dyDescent="0.3">
      <c r="A3721">
        <v>49095</v>
      </c>
      <c r="B3721" t="s">
        <v>7</v>
      </c>
      <c r="C3721">
        <v>16</v>
      </c>
      <c r="D3721">
        <v>0</v>
      </c>
      <c r="E3721">
        <v>0</v>
      </c>
      <c r="F3721" t="str">
        <f t="shared" si="176"/>
        <v>Lower Risk</v>
      </c>
      <c r="G3721" t="s">
        <v>13</v>
      </c>
      <c r="H3721" t="s">
        <v>16</v>
      </c>
      <c r="I3721" t="s">
        <v>5</v>
      </c>
      <c r="J3721">
        <v>64.510000000000005</v>
      </c>
      <c r="K3721">
        <v>21.2</v>
      </c>
      <c r="L3721" t="s">
        <v>14</v>
      </c>
      <c r="M3721">
        <v>0</v>
      </c>
      <c r="N3721" t="str">
        <f t="shared" si="174"/>
        <v>Under 40</v>
      </c>
      <c r="O3721" t="str">
        <f t="shared" si="175"/>
        <v>Normal</v>
      </c>
    </row>
    <row r="3722" spans="1:15" x14ac:dyDescent="0.3">
      <c r="A3722">
        <v>46292</v>
      </c>
      <c r="B3722" t="s">
        <v>2</v>
      </c>
      <c r="C3722">
        <v>64</v>
      </c>
      <c r="D3722">
        <v>0</v>
      </c>
      <c r="E3722">
        <v>0</v>
      </c>
      <c r="F3722" t="str">
        <f t="shared" si="176"/>
        <v>Moderate Risk</v>
      </c>
      <c r="G3722" t="s">
        <v>3</v>
      </c>
      <c r="H3722" t="s">
        <v>4</v>
      </c>
      <c r="I3722" t="s">
        <v>9</v>
      </c>
      <c r="J3722">
        <v>90.07</v>
      </c>
      <c r="K3722">
        <v>28.6</v>
      </c>
      <c r="L3722" t="s">
        <v>11</v>
      </c>
      <c r="M3722">
        <v>0</v>
      </c>
      <c r="N3722" t="str">
        <f t="shared" si="174"/>
        <v>60+</v>
      </c>
      <c r="O3722" t="str">
        <f t="shared" si="175"/>
        <v>Overweight</v>
      </c>
    </row>
    <row r="3723" spans="1:15" x14ac:dyDescent="0.3">
      <c r="A3723">
        <v>43492</v>
      </c>
      <c r="B3723" t="s">
        <v>7</v>
      </c>
      <c r="C3723">
        <v>7</v>
      </c>
      <c r="D3723">
        <v>0</v>
      </c>
      <c r="E3723">
        <v>0</v>
      </c>
      <c r="F3723" t="str">
        <f t="shared" si="176"/>
        <v>Lower Risk</v>
      </c>
      <c r="G3723" t="s">
        <v>13</v>
      </c>
      <c r="H3723" t="s">
        <v>16</v>
      </c>
      <c r="I3723" t="s">
        <v>5</v>
      </c>
      <c r="J3723">
        <v>113.95</v>
      </c>
      <c r="K3723">
        <v>16</v>
      </c>
      <c r="L3723" t="s">
        <v>14</v>
      </c>
      <c r="M3723">
        <v>0</v>
      </c>
      <c r="N3723" t="str">
        <f t="shared" si="174"/>
        <v>Under 40</v>
      </c>
      <c r="O3723" t="str">
        <f t="shared" si="175"/>
        <v>Underweight</v>
      </c>
    </row>
    <row r="3724" spans="1:15" x14ac:dyDescent="0.3">
      <c r="A3724">
        <v>55766</v>
      </c>
      <c r="B3724" t="s">
        <v>2</v>
      </c>
      <c r="C3724">
        <v>41</v>
      </c>
      <c r="D3724">
        <v>0</v>
      </c>
      <c r="E3724">
        <v>0</v>
      </c>
      <c r="F3724" t="str">
        <f t="shared" si="176"/>
        <v>Lower Risk</v>
      </c>
      <c r="G3724" t="s">
        <v>3</v>
      </c>
      <c r="H3724" t="s">
        <v>4</v>
      </c>
      <c r="I3724" t="s">
        <v>9</v>
      </c>
      <c r="J3724">
        <v>119.32</v>
      </c>
      <c r="K3724">
        <v>30.6</v>
      </c>
      <c r="L3724" t="s">
        <v>14</v>
      </c>
      <c r="M3724">
        <v>0</v>
      </c>
      <c r="N3724" t="str">
        <f t="shared" si="174"/>
        <v>40–59</v>
      </c>
      <c r="O3724" t="str">
        <f t="shared" si="175"/>
        <v>Obese</v>
      </c>
    </row>
    <row r="3725" spans="1:15" x14ac:dyDescent="0.3">
      <c r="A3725">
        <v>17740</v>
      </c>
      <c r="B3725" t="s">
        <v>2</v>
      </c>
      <c r="C3725">
        <v>65</v>
      </c>
      <c r="D3725">
        <v>0</v>
      </c>
      <c r="E3725">
        <v>0</v>
      </c>
      <c r="F3725" t="str">
        <f t="shared" si="176"/>
        <v>Moderate Risk</v>
      </c>
      <c r="G3725" t="s">
        <v>3</v>
      </c>
      <c r="H3725" t="s">
        <v>4</v>
      </c>
      <c r="I3725" t="s">
        <v>9</v>
      </c>
      <c r="J3725">
        <v>99.12</v>
      </c>
      <c r="K3725">
        <v>29</v>
      </c>
      <c r="L3725" t="s">
        <v>6</v>
      </c>
      <c r="M3725">
        <v>0</v>
      </c>
      <c r="N3725" t="str">
        <f t="shared" si="174"/>
        <v>60+</v>
      </c>
      <c r="O3725" t="str">
        <f t="shared" si="175"/>
        <v>Overweight</v>
      </c>
    </row>
    <row r="3726" spans="1:15" x14ac:dyDescent="0.3">
      <c r="A3726">
        <v>64189</v>
      </c>
      <c r="B3726" t="s">
        <v>2</v>
      </c>
      <c r="C3726">
        <v>61</v>
      </c>
      <c r="D3726">
        <v>0</v>
      </c>
      <c r="E3726">
        <v>0</v>
      </c>
      <c r="F3726" t="str">
        <f t="shared" si="176"/>
        <v>Moderate Risk</v>
      </c>
      <c r="G3726" t="s">
        <v>3</v>
      </c>
      <c r="H3726" t="s">
        <v>8</v>
      </c>
      <c r="I3726" t="s">
        <v>9</v>
      </c>
      <c r="J3726">
        <v>152.84</v>
      </c>
      <c r="K3726">
        <v>28.6</v>
      </c>
      <c r="L3726" t="s">
        <v>14</v>
      </c>
      <c r="M3726">
        <v>0</v>
      </c>
      <c r="N3726" t="str">
        <f t="shared" si="174"/>
        <v>60+</v>
      </c>
      <c r="O3726" t="str">
        <f t="shared" si="175"/>
        <v>Overweight</v>
      </c>
    </row>
    <row r="3727" spans="1:15" x14ac:dyDescent="0.3">
      <c r="A3727">
        <v>24202</v>
      </c>
      <c r="B3727" t="s">
        <v>2</v>
      </c>
      <c r="C3727">
        <v>63</v>
      </c>
      <c r="D3727">
        <v>0</v>
      </c>
      <c r="E3727">
        <v>0</v>
      </c>
      <c r="F3727" t="str">
        <f t="shared" si="176"/>
        <v>Moderate Risk</v>
      </c>
      <c r="G3727" t="s">
        <v>3</v>
      </c>
      <c r="H3727" t="s">
        <v>4</v>
      </c>
      <c r="I3727" t="s">
        <v>9</v>
      </c>
      <c r="J3727">
        <v>78.23</v>
      </c>
      <c r="K3727">
        <v>34.799999999999997</v>
      </c>
      <c r="L3727" t="s">
        <v>11</v>
      </c>
      <c r="M3727">
        <v>0</v>
      </c>
      <c r="N3727" t="str">
        <f t="shared" si="174"/>
        <v>60+</v>
      </c>
      <c r="O3727" t="str">
        <f t="shared" si="175"/>
        <v>Obese</v>
      </c>
    </row>
    <row r="3728" spans="1:15" x14ac:dyDescent="0.3">
      <c r="A3728">
        <v>32514</v>
      </c>
      <c r="B3728" t="s">
        <v>2</v>
      </c>
      <c r="C3728">
        <v>1.8</v>
      </c>
      <c r="D3728">
        <v>0</v>
      </c>
      <c r="E3728">
        <v>0</v>
      </c>
      <c r="F3728" t="str">
        <f t="shared" si="176"/>
        <v>Lower Risk</v>
      </c>
      <c r="G3728" t="s">
        <v>13</v>
      </c>
      <c r="H3728" t="s">
        <v>16</v>
      </c>
      <c r="I3728" t="s">
        <v>5</v>
      </c>
      <c r="J3728">
        <v>68.8</v>
      </c>
      <c r="K3728" t="s">
        <v>10</v>
      </c>
      <c r="L3728" t="s">
        <v>14</v>
      </c>
      <c r="M3728">
        <v>0</v>
      </c>
      <c r="N3728" t="str">
        <f t="shared" si="174"/>
        <v>Under 40</v>
      </c>
      <c r="O3728" t="str">
        <f t="shared" si="175"/>
        <v>Unknown</v>
      </c>
    </row>
    <row r="3729" spans="1:15" x14ac:dyDescent="0.3">
      <c r="A3729">
        <v>9866</v>
      </c>
      <c r="B3729" t="s">
        <v>7</v>
      </c>
      <c r="C3729">
        <v>54</v>
      </c>
      <c r="D3729">
        <v>0</v>
      </c>
      <c r="E3729">
        <v>0</v>
      </c>
      <c r="F3729" t="str">
        <f t="shared" si="176"/>
        <v>Lower Risk</v>
      </c>
      <c r="G3729" t="s">
        <v>3</v>
      </c>
      <c r="H3729" t="s">
        <v>4</v>
      </c>
      <c r="I3729" t="s">
        <v>5</v>
      </c>
      <c r="J3729">
        <v>76.05</v>
      </c>
      <c r="K3729">
        <v>42</v>
      </c>
      <c r="L3729" t="s">
        <v>14</v>
      </c>
      <c r="M3729">
        <v>0</v>
      </c>
      <c r="N3729" t="str">
        <f t="shared" si="174"/>
        <v>40–59</v>
      </c>
      <c r="O3729" t="str">
        <f t="shared" si="175"/>
        <v>Obese</v>
      </c>
    </row>
    <row r="3730" spans="1:15" x14ac:dyDescent="0.3">
      <c r="A3730">
        <v>54816</v>
      </c>
      <c r="B3730" t="s">
        <v>7</v>
      </c>
      <c r="C3730">
        <v>14</v>
      </c>
      <c r="D3730">
        <v>0</v>
      </c>
      <c r="E3730">
        <v>0</v>
      </c>
      <c r="F3730" t="str">
        <f t="shared" si="176"/>
        <v>Lower Risk</v>
      </c>
      <c r="G3730" t="s">
        <v>13</v>
      </c>
      <c r="H3730" t="s">
        <v>16</v>
      </c>
      <c r="I3730" t="s">
        <v>9</v>
      </c>
      <c r="J3730">
        <v>116.49</v>
      </c>
      <c r="K3730">
        <v>30.3</v>
      </c>
      <c r="L3730" t="s">
        <v>11</v>
      </c>
      <c r="M3730">
        <v>0</v>
      </c>
      <c r="N3730" t="str">
        <f t="shared" si="174"/>
        <v>Under 40</v>
      </c>
      <c r="O3730" t="str">
        <f t="shared" si="175"/>
        <v>Obese</v>
      </c>
    </row>
    <row r="3731" spans="1:15" x14ac:dyDescent="0.3">
      <c r="A3731">
        <v>59880</v>
      </c>
      <c r="B3731" t="s">
        <v>2</v>
      </c>
      <c r="C3731">
        <v>45</v>
      </c>
      <c r="D3731">
        <v>0</v>
      </c>
      <c r="E3731">
        <v>0</v>
      </c>
      <c r="F3731" t="str">
        <f t="shared" si="176"/>
        <v>Lower Risk</v>
      </c>
      <c r="G3731" t="s">
        <v>3</v>
      </c>
      <c r="H3731" t="s">
        <v>4</v>
      </c>
      <c r="I3731" t="s">
        <v>9</v>
      </c>
      <c r="J3731">
        <v>99.91</v>
      </c>
      <c r="K3731">
        <v>30.9</v>
      </c>
      <c r="L3731" t="s">
        <v>14</v>
      </c>
      <c r="M3731">
        <v>0</v>
      </c>
      <c r="N3731" t="str">
        <f t="shared" si="174"/>
        <v>40–59</v>
      </c>
      <c r="O3731" t="str">
        <f t="shared" si="175"/>
        <v>Obese</v>
      </c>
    </row>
    <row r="3732" spans="1:15" x14ac:dyDescent="0.3">
      <c r="A3732">
        <v>20625</v>
      </c>
      <c r="B3732" t="s">
        <v>2</v>
      </c>
      <c r="C3732">
        <v>51</v>
      </c>
      <c r="D3732">
        <v>1</v>
      </c>
      <c r="E3732">
        <v>0</v>
      </c>
      <c r="F3732" t="str">
        <f t="shared" si="176"/>
        <v>Lower Risk</v>
      </c>
      <c r="G3732" t="s">
        <v>3</v>
      </c>
      <c r="H3732" t="s">
        <v>4</v>
      </c>
      <c r="I3732" t="s">
        <v>5</v>
      </c>
      <c r="J3732">
        <v>76.099999999999994</v>
      </c>
      <c r="K3732">
        <v>32.1</v>
      </c>
      <c r="L3732" t="s">
        <v>12</v>
      </c>
      <c r="M3732">
        <v>0</v>
      </c>
      <c r="N3732" t="str">
        <f t="shared" si="174"/>
        <v>40–59</v>
      </c>
      <c r="O3732" t="str">
        <f t="shared" si="175"/>
        <v>Obese</v>
      </c>
    </row>
    <row r="3733" spans="1:15" x14ac:dyDescent="0.3">
      <c r="A3733">
        <v>65969</v>
      </c>
      <c r="B3733" t="s">
        <v>2</v>
      </c>
      <c r="C3733">
        <v>8</v>
      </c>
      <c r="D3733">
        <v>0</v>
      </c>
      <c r="E3733">
        <v>0</v>
      </c>
      <c r="F3733" t="str">
        <f t="shared" si="176"/>
        <v>Lower Risk</v>
      </c>
      <c r="G3733" t="s">
        <v>13</v>
      </c>
      <c r="H3733" t="s">
        <v>16</v>
      </c>
      <c r="I3733" t="s">
        <v>9</v>
      </c>
      <c r="J3733">
        <v>121.99</v>
      </c>
      <c r="K3733">
        <v>19.600000000000001</v>
      </c>
      <c r="L3733" t="s">
        <v>14</v>
      </c>
      <c r="M3733">
        <v>0</v>
      </c>
      <c r="N3733" t="str">
        <f t="shared" si="174"/>
        <v>Under 40</v>
      </c>
      <c r="O3733" t="str">
        <f t="shared" si="175"/>
        <v>Normal</v>
      </c>
    </row>
    <row r="3734" spans="1:15" x14ac:dyDescent="0.3">
      <c r="A3734">
        <v>56923</v>
      </c>
      <c r="B3734" t="s">
        <v>2</v>
      </c>
      <c r="C3734">
        <v>52</v>
      </c>
      <c r="D3734">
        <v>1</v>
      </c>
      <c r="E3734">
        <v>0</v>
      </c>
      <c r="F3734" t="str">
        <f t="shared" si="176"/>
        <v>Lower Risk</v>
      </c>
      <c r="G3734" t="s">
        <v>3</v>
      </c>
      <c r="H3734" t="s">
        <v>4</v>
      </c>
      <c r="I3734" t="s">
        <v>9</v>
      </c>
      <c r="J3734">
        <v>116.21</v>
      </c>
      <c r="K3734">
        <v>32.799999999999997</v>
      </c>
      <c r="L3734" t="s">
        <v>12</v>
      </c>
      <c r="M3734">
        <v>0</v>
      </c>
      <c r="N3734" t="str">
        <f t="shared" si="174"/>
        <v>40–59</v>
      </c>
      <c r="O3734" t="str">
        <f t="shared" si="175"/>
        <v>Obese</v>
      </c>
    </row>
    <row r="3735" spans="1:15" x14ac:dyDescent="0.3">
      <c r="A3735">
        <v>44001</v>
      </c>
      <c r="B3735" t="s">
        <v>7</v>
      </c>
      <c r="C3735">
        <v>39</v>
      </c>
      <c r="D3735">
        <v>0</v>
      </c>
      <c r="E3735">
        <v>0</v>
      </c>
      <c r="F3735" t="str">
        <f t="shared" si="176"/>
        <v>Lower Risk</v>
      </c>
      <c r="G3735" t="s">
        <v>3</v>
      </c>
      <c r="H3735" t="s">
        <v>4</v>
      </c>
      <c r="I3735" t="s">
        <v>5</v>
      </c>
      <c r="J3735">
        <v>55.28</v>
      </c>
      <c r="K3735">
        <v>31.5</v>
      </c>
      <c r="L3735" t="s">
        <v>14</v>
      </c>
      <c r="M3735">
        <v>0</v>
      </c>
      <c r="N3735" t="str">
        <f t="shared" si="174"/>
        <v>Under 40</v>
      </c>
      <c r="O3735" t="str">
        <f t="shared" si="175"/>
        <v>Obese</v>
      </c>
    </row>
    <row r="3736" spans="1:15" x14ac:dyDescent="0.3">
      <c r="A3736">
        <v>51852</v>
      </c>
      <c r="B3736" t="s">
        <v>7</v>
      </c>
      <c r="C3736">
        <v>13</v>
      </c>
      <c r="D3736">
        <v>0</v>
      </c>
      <c r="E3736">
        <v>0</v>
      </c>
      <c r="F3736" t="str">
        <f t="shared" si="176"/>
        <v>Lower Risk</v>
      </c>
      <c r="G3736" t="s">
        <v>13</v>
      </c>
      <c r="H3736" t="s">
        <v>16</v>
      </c>
      <c r="I3736" t="s">
        <v>9</v>
      </c>
      <c r="J3736">
        <v>219.81</v>
      </c>
      <c r="K3736" t="s">
        <v>10</v>
      </c>
      <c r="L3736" t="s">
        <v>14</v>
      </c>
      <c r="M3736">
        <v>0</v>
      </c>
      <c r="N3736" t="str">
        <f t="shared" si="174"/>
        <v>Under 40</v>
      </c>
      <c r="O3736" t="str">
        <f t="shared" si="175"/>
        <v>Unknown</v>
      </c>
    </row>
    <row r="3737" spans="1:15" x14ac:dyDescent="0.3">
      <c r="A3737">
        <v>27176</v>
      </c>
      <c r="B3737" t="s">
        <v>7</v>
      </c>
      <c r="C3737">
        <v>69</v>
      </c>
      <c r="D3737">
        <v>0</v>
      </c>
      <c r="E3737">
        <v>0</v>
      </c>
      <c r="F3737" t="str">
        <f t="shared" si="176"/>
        <v>Moderate Risk</v>
      </c>
      <c r="G3737" t="s">
        <v>3</v>
      </c>
      <c r="H3737" t="s">
        <v>4</v>
      </c>
      <c r="I3737" t="s">
        <v>9</v>
      </c>
      <c r="J3737">
        <v>103.73</v>
      </c>
      <c r="K3737">
        <v>34.700000000000003</v>
      </c>
      <c r="L3737" t="s">
        <v>11</v>
      </c>
      <c r="M3737">
        <v>0</v>
      </c>
      <c r="N3737" t="str">
        <f t="shared" si="174"/>
        <v>60+</v>
      </c>
      <c r="O3737" t="str">
        <f t="shared" si="175"/>
        <v>Obese</v>
      </c>
    </row>
    <row r="3738" spans="1:15" x14ac:dyDescent="0.3">
      <c r="A3738">
        <v>70874</v>
      </c>
      <c r="B3738" t="s">
        <v>2</v>
      </c>
      <c r="C3738">
        <v>71</v>
      </c>
      <c r="D3738">
        <v>1</v>
      </c>
      <c r="E3738">
        <v>0</v>
      </c>
      <c r="F3738" t="str">
        <f t="shared" si="176"/>
        <v>High Risk</v>
      </c>
      <c r="G3738" t="s">
        <v>3</v>
      </c>
      <c r="H3738" t="s">
        <v>15</v>
      </c>
      <c r="I3738" t="s">
        <v>5</v>
      </c>
      <c r="J3738">
        <v>153.08000000000001</v>
      </c>
      <c r="K3738">
        <v>21.5</v>
      </c>
      <c r="L3738" t="s">
        <v>14</v>
      </c>
      <c r="M3738">
        <v>0</v>
      </c>
      <c r="N3738" t="str">
        <f t="shared" si="174"/>
        <v>60+</v>
      </c>
      <c r="O3738" t="str">
        <f t="shared" si="175"/>
        <v>Normal</v>
      </c>
    </row>
    <row r="3739" spans="1:15" x14ac:dyDescent="0.3">
      <c r="A3739">
        <v>34287</v>
      </c>
      <c r="B3739" t="s">
        <v>7</v>
      </c>
      <c r="C3739">
        <v>73</v>
      </c>
      <c r="D3739">
        <v>0</v>
      </c>
      <c r="E3739">
        <v>0</v>
      </c>
      <c r="F3739" t="str">
        <f t="shared" si="176"/>
        <v>Moderate Risk</v>
      </c>
      <c r="G3739" t="s">
        <v>3</v>
      </c>
      <c r="H3739" t="s">
        <v>8</v>
      </c>
      <c r="I3739" t="s">
        <v>9</v>
      </c>
      <c r="J3739">
        <v>98.69</v>
      </c>
      <c r="K3739">
        <v>27.6</v>
      </c>
      <c r="L3739" t="s">
        <v>14</v>
      </c>
      <c r="M3739">
        <v>0</v>
      </c>
      <c r="N3739" t="str">
        <f t="shared" si="174"/>
        <v>60+</v>
      </c>
      <c r="O3739" t="str">
        <f t="shared" si="175"/>
        <v>Overweight</v>
      </c>
    </row>
    <row r="3740" spans="1:15" x14ac:dyDescent="0.3">
      <c r="A3740">
        <v>23052</v>
      </c>
      <c r="B3740" t="s">
        <v>7</v>
      </c>
      <c r="C3740">
        <v>54</v>
      </c>
      <c r="D3740">
        <v>0</v>
      </c>
      <c r="E3740">
        <v>0</v>
      </c>
      <c r="F3740" t="str">
        <f t="shared" si="176"/>
        <v>Lower Risk</v>
      </c>
      <c r="G3740" t="s">
        <v>3</v>
      </c>
      <c r="H3740" t="s">
        <v>4</v>
      </c>
      <c r="I3740" t="s">
        <v>9</v>
      </c>
      <c r="J3740">
        <v>94.11</v>
      </c>
      <c r="K3740">
        <v>28.6</v>
      </c>
      <c r="L3740" t="s">
        <v>6</v>
      </c>
      <c r="M3740">
        <v>0</v>
      </c>
      <c r="N3740" t="str">
        <f t="shared" si="174"/>
        <v>40–59</v>
      </c>
      <c r="O3740" t="str">
        <f t="shared" si="175"/>
        <v>Overweight</v>
      </c>
    </row>
    <row r="3741" spans="1:15" x14ac:dyDescent="0.3">
      <c r="A3741">
        <v>67499</v>
      </c>
      <c r="B3741" t="s">
        <v>2</v>
      </c>
      <c r="C3741">
        <v>10</v>
      </c>
      <c r="D3741">
        <v>0</v>
      </c>
      <c r="E3741">
        <v>0</v>
      </c>
      <c r="F3741" t="str">
        <f t="shared" si="176"/>
        <v>Lower Risk</v>
      </c>
      <c r="G3741" t="s">
        <v>13</v>
      </c>
      <c r="H3741" t="s">
        <v>16</v>
      </c>
      <c r="I3741" t="s">
        <v>9</v>
      </c>
      <c r="J3741">
        <v>117.03</v>
      </c>
      <c r="K3741">
        <v>21.1</v>
      </c>
      <c r="L3741" t="s">
        <v>11</v>
      </c>
      <c r="M3741">
        <v>0</v>
      </c>
      <c r="N3741" t="str">
        <f t="shared" si="174"/>
        <v>Under 40</v>
      </c>
      <c r="O3741" t="str">
        <f t="shared" si="175"/>
        <v>Normal</v>
      </c>
    </row>
    <row r="3742" spans="1:15" x14ac:dyDescent="0.3">
      <c r="A3742">
        <v>5380</v>
      </c>
      <c r="B3742" t="s">
        <v>7</v>
      </c>
      <c r="C3742">
        <v>26</v>
      </c>
      <c r="D3742">
        <v>0</v>
      </c>
      <c r="E3742">
        <v>0</v>
      </c>
      <c r="F3742" t="str">
        <f t="shared" si="176"/>
        <v>Lower Risk</v>
      </c>
      <c r="G3742" t="s">
        <v>3</v>
      </c>
      <c r="H3742" t="s">
        <v>4</v>
      </c>
      <c r="I3742" t="s">
        <v>5</v>
      </c>
      <c r="J3742">
        <v>91.35</v>
      </c>
      <c r="K3742">
        <v>23.8</v>
      </c>
      <c r="L3742" t="s">
        <v>11</v>
      </c>
      <c r="M3742">
        <v>0</v>
      </c>
      <c r="N3742" t="str">
        <f t="shared" si="174"/>
        <v>Under 40</v>
      </c>
      <c r="O3742" t="str">
        <f t="shared" si="175"/>
        <v>Normal</v>
      </c>
    </row>
    <row r="3743" spans="1:15" x14ac:dyDescent="0.3">
      <c r="A3743">
        <v>20154</v>
      </c>
      <c r="B3743" t="s">
        <v>7</v>
      </c>
      <c r="C3743">
        <v>41</v>
      </c>
      <c r="D3743">
        <v>0</v>
      </c>
      <c r="E3743">
        <v>0</v>
      </c>
      <c r="F3743" t="str">
        <f t="shared" si="176"/>
        <v>Lower Risk</v>
      </c>
      <c r="G3743" t="s">
        <v>3</v>
      </c>
      <c r="H3743" t="s">
        <v>4</v>
      </c>
      <c r="I3743" t="s">
        <v>9</v>
      </c>
      <c r="J3743">
        <v>82.48</v>
      </c>
      <c r="K3743">
        <v>33.5</v>
      </c>
      <c r="L3743" t="s">
        <v>14</v>
      </c>
      <c r="M3743">
        <v>0</v>
      </c>
      <c r="N3743" t="str">
        <f t="shared" si="174"/>
        <v>40–59</v>
      </c>
      <c r="O3743" t="str">
        <f t="shared" si="175"/>
        <v>Obese</v>
      </c>
    </row>
    <row r="3744" spans="1:15" x14ac:dyDescent="0.3">
      <c r="A3744">
        <v>29546</v>
      </c>
      <c r="B3744" t="s">
        <v>2</v>
      </c>
      <c r="C3744">
        <v>71</v>
      </c>
      <c r="D3744">
        <v>0</v>
      </c>
      <c r="E3744">
        <v>0</v>
      </c>
      <c r="F3744" t="str">
        <f t="shared" si="176"/>
        <v>Moderate Risk</v>
      </c>
      <c r="G3744" t="s">
        <v>3</v>
      </c>
      <c r="H3744" t="s">
        <v>15</v>
      </c>
      <c r="I3744" t="s">
        <v>9</v>
      </c>
      <c r="J3744">
        <v>99.76</v>
      </c>
      <c r="K3744">
        <v>33.4</v>
      </c>
      <c r="L3744" t="s">
        <v>6</v>
      </c>
      <c r="M3744">
        <v>0</v>
      </c>
      <c r="N3744" t="str">
        <f t="shared" si="174"/>
        <v>60+</v>
      </c>
      <c r="O3744" t="str">
        <f t="shared" si="175"/>
        <v>Obese</v>
      </c>
    </row>
    <row r="3745" spans="1:15" x14ac:dyDescent="0.3">
      <c r="A3745">
        <v>3718</v>
      </c>
      <c r="B3745" t="s">
        <v>7</v>
      </c>
      <c r="C3745">
        <v>46</v>
      </c>
      <c r="D3745">
        <v>0</v>
      </c>
      <c r="E3745">
        <v>0</v>
      </c>
      <c r="F3745" t="str">
        <f t="shared" si="176"/>
        <v>Lower Risk</v>
      </c>
      <c r="G3745" t="s">
        <v>3</v>
      </c>
      <c r="H3745" t="s">
        <v>15</v>
      </c>
      <c r="I3745" t="s">
        <v>5</v>
      </c>
      <c r="J3745">
        <v>111.1</v>
      </c>
      <c r="K3745">
        <v>23.3</v>
      </c>
      <c r="L3745" t="s">
        <v>12</v>
      </c>
      <c r="M3745">
        <v>0</v>
      </c>
      <c r="N3745" t="str">
        <f t="shared" si="174"/>
        <v>40–59</v>
      </c>
      <c r="O3745" t="str">
        <f t="shared" si="175"/>
        <v>Normal</v>
      </c>
    </row>
    <row r="3746" spans="1:15" x14ac:dyDescent="0.3">
      <c r="A3746">
        <v>43734</v>
      </c>
      <c r="B3746" t="s">
        <v>2</v>
      </c>
      <c r="C3746">
        <v>15</v>
      </c>
      <c r="D3746">
        <v>0</v>
      </c>
      <c r="E3746">
        <v>0</v>
      </c>
      <c r="F3746" t="str">
        <f t="shared" si="176"/>
        <v>Lower Risk</v>
      </c>
      <c r="G3746" t="s">
        <v>13</v>
      </c>
      <c r="H3746" t="s">
        <v>4</v>
      </c>
      <c r="I3746" t="s">
        <v>9</v>
      </c>
      <c r="J3746">
        <v>122.25</v>
      </c>
      <c r="K3746">
        <v>21</v>
      </c>
      <c r="L3746" t="s">
        <v>11</v>
      </c>
      <c r="M3746">
        <v>0</v>
      </c>
      <c r="N3746" t="str">
        <f t="shared" si="174"/>
        <v>Under 40</v>
      </c>
      <c r="O3746" t="str">
        <f t="shared" si="175"/>
        <v>Normal</v>
      </c>
    </row>
    <row r="3747" spans="1:15" x14ac:dyDescent="0.3">
      <c r="A3747">
        <v>41917</v>
      </c>
      <c r="B3747" t="s">
        <v>7</v>
      </c>
      <c r="C3747">
        <v>29</v>
      </c>
      <c r="D3747">
        <v>0</v>
      </c>
      <c r="E3747">
        <v>0</v>
      </c>
      <c r="F3747" t="str">
        <f t="shared" si="176"/>
        <v>Lower Risk</v>
      </c>
      <c r="G3747" t="s">
        <v>13</v>
      </c>
      <c r="H3747" t="s">
        <v>4</v>
      </c>
      <c r="I3747" t="s">
        <v>5</v>
      </c>
      <c r="J3747">
        <v>84.19</v>
      </c>
      <c r="K3747">
        <v>21.2</v>
      </c>
      <c r="L3747" t="s">
        <v>11</v>
      </c>
      <c r="M3747">
        <v>0</v>
      </c>
      <c r="N3747" t="str">
        <f t="shared" si="174"/>
        <v>Under 40</v>
      </c>
      <c r="O3747" t="str">
        <f t="shared" si="175"/>
        <v>Normal</v>
      </c>
    </row>
    <row r="3748" spans="1:15" x14ac:dyDescent="0.3">
      <c r="A3748">
        <v>8050</v>
      </c>
      <c r="B3748" t="s">
        <v>2</v>
      </c>
      <c r="C3748">
        <v>8</v>
      </c>
      <c r="D3748">
        <v>0</v>
      </c>
      <c r="E3748">
        <v>0</v>
      </c>
      <c r="F3748" t="str">
        <f t="shared" si="176"/>
        <v>Lower Risk</v>
      </c>
      <c r="G3748" t="s">
        <v>13</v>
      </c>
      <c r="H3748" t="s">
        <v>16</v>
      </c>
      <c r="I3748" t="s">
        <v>5</v>
      </c>
      <c r="J3748">
        <v>84.6</v>
      </c>
      <c r="K3748">
        <v>18.399999999999999</v>
      </c>
      <c r="L3748" t="s">
        <v>14</v>
      </c>
      <c r="M3748">
        <v>0</v>
      </c>
      <c r="N3748" t="str">
        <f t="shared" si="174"/>
        <v>Under 40</v>
      </c>
      <c r="O3748" t="str">
        <f t="shared" si="175"/>
        <v>Underweight</v>
      </c>
    </row>
    <row r="3749" spans="1:15" x14ac:dyDescent="0.3">
      <c r="A3749">
        <v>44426</v>
      </c>
      <c r="B3749" t="s">
        <v>7</v>
      </c>
      <c r="C3749">
        <v>21</v>
      </c>
      <c r="D3749">
        <v>0</v>
      </c>
      <c r="E3749">
        <v>0</v>
      </c>
      <c r="F3749" t="str">
        <f t="shared" si="176"/>
        <v>Lower Risk</v>
      </c>
      <c r="G3749" t="s">
        <v>3</v>
      </c>
      <c r="H3749" t="s">
        <v>4</v>
      </c>
      <c r="I3749" t="s">
        <v>5</v>
      </c>
      <c r="J3749">
        <v>126.35</v>
      </c>
      <c r="K3749">
        <v>26.9</v>
      </c>
      <c r="L3749" t="s">
        <v>11</v>
      </c>
      <c r="M3749">
        <v>0</v>
      </c>
      <c r="N3749" t="str">
        <f t="shared" si="174"/>
        <v>Under 40</v>
      </c>
      <c r="O3749" t="str">
        <f t="shared" si="175"/>
        <v>Overweight</v>
      </c>
    </row>
    <row r="3750" spans="1:15" x14ac:dyDescent="0.3">
      <c r="A3750">
        <v>34700</v>
      </c>
      <c r="B3750" t="s">
        <v>7</v>
      </c>
      <c r="C3750">
        <v>56</v>
      </c>
      <c r="D3750">
        <v>1</v>
      </c>
      <c r="E3750">
        <v>0</v>
      </c>
      <c r="F3750" t="str">
        <f t="shared" si="176"/>
        <v>Lower Risk</v>
      </c>
      <c r="G3750" t="s">
        <v>13</v>
      </c>
      <c r="H3750" t="s">
        <v>8</v>
      </c>
      <c r="I3750" t="s">
        <v>5</v>
      </c>
      <c r="J3750">
        <v>87.5</v>
      </c>
      <c r="K3750">
        <v>20.2</v>
      </c>
      <c r="L3750" t="s">
        <v>6</v>
      </c>
      <c r="M3750">
        <v>0</v>
      </c>
      <c r="N3750" t="str">
        <f t="shared" si="174"/>
        <v>40–59</v>
      </c>
      <c r="O3750" t="str">
        <f t="shared" si="175"/>
        <v>Normal</v>
      </c>
    </row>
    <row r="3751" spans="1:15" x14ac:dyDescent="0.3">
      <c r="A3751">
        <v>70230</v>
      </c>
      <c r="B3751" t="s">
        <v>7</v>
      </c>
      <c r="C3751">
        <v>14</v>
      </c>
      <c r="D3751">
        <v>0</v>
      </c>
      <c r="E3751">
        <v>0</v>
      </c>
      <c r="F3751" t="str">
        <f t="shared" si="176"/>
        <v>Lower Risk</v>
      </c>
      <c r="G3751" t="s">
        <v>13</v>
      </c>
      <c r="H3751" t="s">
        <v>8</v>
      </c>
      <c r="I3751" t="s">
        <v>9</v>
      </c>
      <c r="J3751">
        <v>77.52</v>
      </c>
      <c r="K3751">
        <v>21.9</v>
      </c>
      <c r="L3751" t="s">
        <v>11</v>
      </c>
      <c r="M3751">
        <v>0</v>
      </c>
      <c r="N3751" t="str">
        <f t="shared" si="174"/>
        <v>Under 40</v>
      </c>
      <c r="O3751" t="str">
        <f t="shared" si="175"/>
        <v>Normal</v>
      </c>
    </row>
    <row r="3752" spans="1:15" x14ac:dyDescent="0.3">
      <c r="A3752">
        <v>68721</v>
      </c>
      <c r="B3752" t="s">
        <v>7</v>
      </c>
      <c r="C3752">
        <v>78</v>
      </c>
      <c r="D3752">
        <v>0</v>
      </c>
      <c r="E3752">
        <v>0</v>
      </c>
      <c r="F3752" t="str">
        <f t="shared" si="176"/>
        <v>Moderate Risk</v>
      </c>
      <c r="G3752" t="s">
        <v>3</v>
      </c>
      <c r="H3752" t="s">
        <v>4</v>
      </c>
      <c r="I3752" t="s">
        <v>9</v>
      </c>
      <c r="J3752">
        <v>133.13</v>
      </c>
      <c r="K3752">
        <v>24.2</v>
      </c>
      <c r="L3752" t="s">
        <v>14</v>
      </c>
      <c r="M3752">
        <v>0</v>
      </c>
      <c r="N3752" t="str">
        <f t="shared" si="174"/>
        <v>60+</v>
      </c>
      <c r="O3752" t="str">
        <f t="shared" si="175"/>
        <v>Normal</v>
      </c>
    </row>
    <row r="3753" spans="1:15" x14ac:dyDescent="0.3">
      <c r="A3753">
        <v>23170</v>
      </c>
      <c r="B3753" t="s">
        <v>7</v>
      </c>
      <c r="C3753">
        <v>36</v>
      </c>
      <c r="D3753">
        <v>0</v>
      </c>
      <c r="E3753">
        <v>0</v>
      </c>
      <c r="F3753" t="str">
        <f t="shared" si="176"/>
        <v>Lower Risk</v>
      </c>
      <c r="G3753" t="s">
        <v>13</v>
      </c>
      <c r="H3753" t="s">
        <v>4</v>
      </c>
      <c r="I3753" t="s">
        <v>5</v>
      </c>
      <c r="J3753">
        <v>96.1</v>
      </c>
      <c r="K3753">
        <v>29.6</v>
      </c>
      <c r="L3753" t="s">
        <v>11</v>
      </c>
      <c r="M3753">
        <v>0</v>
      </c>
      <c r="N3753" t="str">
        <f t="shared" si="174"/>
        <v>Under 40</v>
      </c>
      <c r="O3753" t="str">
        <f t="shared" si="175"/>
        <v>Overweight</v>
      </c>
    </row>
    <row r="3754" spans="1:15" x14ac:dyDescent="0.3">
      <c r="A3754">
        <v>5731</v>
      </c>
      <c r="B3754" t="s">
        <v>7</v>
      </c>
      <c r="C3754">
        <v>57</v>
      </c>
      <c r="D3754">
        <v>1</v>
      </c>
      <c r="E3754">
        <v>0</v>
      </c>
      <c r="F3754" t="str">
        <f t="shared" si="176"/>
        <v>Lower Risk</v>
      </c>
      <c r="G3754" t="s">
        <v>3</v>
      </c>
      <c r="H3754" t="s">
        <v>4</v>
      </c>
      <c r="I3754" t="s">
        <v>5</v>
      </c>
      <c r="J3754">
        <v>108.61</v>
      </c>
      <c r="K3754">
        <v>38.1</v>
      </c>
      <c r="L3754" t="s">
        <v>12</v>
      </c>
      <c r="M3754">
        <v>0</v>
      </c>
      <c r="N3754" t="str">
        <f t="shared" si="174"/>
        <v>40–59</v>
      </c>
      <c r="O3754" t="str">
        <f t="shared" si="175"/>
        <v>Obese</v>
      </c>
    </row>
    <row r="3755" spans="1:15" x14ac:dyDescent="0.3">
      <c r="A3755">
        <v>62791</v>
      </c>
      <c r="B3755" t="s">
        <v>2</v>
      </c>
      <c r="C3755">
        <v>79</v>
      </c>
      <c r="D3755">
        <v>1</v>
      </c>
      <c r="E3755">
        <v>1</v>
      </c>
      <c r="F3755" t="str">
        <f t="shared" si="176"/>
        <v>High Risk</v>
      </c>
      <c r="G3755" t="s">
        <v>3</v>
      </c>
      <c r="H3755" t="s">
        <v>8</v>
      </c>
      <c r="I3755" t="s">
        <v>9</v>
      </c>
      <c r="J3755">
        <v>205.23</v>
      </c>
      <c r="K3755">
        <v>22</v>
      </c>
      <c r="L3755" t="s">
        <v>11</v>
      </c>
      <c r="M3755">
        <v>0</v>
      </c>
      <c r="N3755" t="str">
        <f t="shared" si="174"/>
        <v>60+</v>
      </c>
      <c r="O3755" t="str">
        <f t="shared" si="175"/>
        <v>Normal</v>
      </c>
    </row>
    <row r="3756" spans="1:15" x14ac:dyDescent="0.3">
      <c r="A3756">
        <v>18943</v>
      </c>
      <c r="B3756" t="s">
        <v>2</v>
      </c>
      <c r="C3756">
        <v>26</v>
      </c>
      <c r="D3756">
        <v>0</v>
      </c>
      <c r="E3756">
        <v>0</v>
      </c>
      <c r="F3756" t="str">
        <f t="shared" si="176"/>
        <v>Lower Risk</v>
      </c>
      <c r="G3756" t="s">
        <v>13</v>
      </c>
      <c r="H3756" t="s">
        <v>15</v>
      </c>
      <c r="I3756" t="s">
        <v>9</v>
      </c>
      <c r="J3756">
        <v>76.739999999999995</v>
      </c>
      <c r="K3756">
        <v>29.8</v>
      </c>
      <c r="L3756" t="s">
        <v>14</v>
      </c>
      <c r="M3756">
        <v>0</v>
      </c>
      <c r="N3756" t="str">
        <f t="shared" si="174"/>
        <v>Under 40</v>
      </c>
      <c r="O3756" t="str">
        <f t="shared" si="175"/>
        <v>Overweight</v>
      </c>
    </row>
    <row r="3757" spans="1:15" x14ac:dyDescent="0.3">
      <c r="A3757">
        <v>45472</v>
      </c>
      <c r="B3757" t="s">
        <v>2</v>
      </c>
      <c r="C3757">
        <v>22</v>
      </c>
      <c r="D3757">
        <v>0</v>
      </c>
      <c r="E3757">
        <v>0</v>
      </c>
      <c r="F3757" t="str">
        <f t="shared" si="176"/>
        <v>Lower Risk</v>
      </c>
      <c r="G3757" t="s">
        <v>3</v>
      </c>
      <c r="H3757" t="s">
        <v>4</v>
      </c>
      <c r="I3757" t="s">
        <v>5</v>
      </c>
      <c r="J3757">
        <v>138.55000000000001</v>
      </c>
      <c r="K3757">
        <v>24</v>
      </c>
      <c r="L3757" t="s">
        <v>11</v>
      </c>
      <c r="M3757">
        <v>0</v>
      </c>
      <c r="N3757" t="str">
        <f t="shared" si="174"/>
        <v>Under 40</v>
      </c>
      <c r="O3757" t="str">
        <f t="shared" si="175"/>
        <v>Normal</v>
      </c>
    </row>
    <row r="3758" spans="1:15" x14ac:dyDescent="0.3">
      <c r="A3758">
        <v>3942</v>
      </c>
      <c r="B3758" t="s">
        <v>2</v>
      </c>
      <c r="C3758">
        <v>72</v>
      </c>
      <c r="D3758">
        <v>0</v>
      </c>
      <c r="E3758">
        <v>1</v>
      </c>
      <c r="F3758" t="str">
        <f t="shared" si="176"/>
        <v>High Risk</v>
      </c>
      <c r="G3758" t="s">
        <v>3</v>
      </c>
      <c r="H3758" t="s">
        <v>4</v>
      </c>
      <c r="I3758" t="s">
        <v>5</v>
      </c>
      <c r="J3758">
        <v>234.27</v>
      </c>
      <c r="K3758">
        <v>26.9</v>
      </c>
      <c r="L3758" t="s">
        <v>11</v>
      </c>
      <c r="M3758">
        <v>0</v>
      </c>
      <c r="N3758" t="str">
        <f t="shared" si="174"/>
        <v>60+</v>
      </c>
      <c r="O3758" t="str">
        <f t="shared" si="175"/>
        <v>Overweight</v>
      </c>
    </row>
    <row r="3759" spans="1:15" x14ac:dyDescent="0.3">
      <c r="A3759">
        <v>30201</v>
      </c>
      <c r="B3759" t="s">
        <v>7</v>
      </c>
      <c r="C3759">
        <v>54</v>
      </c>
      <c r="D3759">
        <v>0</v>
      </c>
      <c r="E3759">
        <v>0</v>
      </c>
      <c r="F3759" t="str">
        <f t="shared" si="176"/>
        <v>Lower Risk</v>
      </c>
      <c r="G3759" t="s">
        <v>3</v>
      </c>
      <c r="H3759" t="s">
        <v>4</v>
      </c>
      <c r="I3759" t="s">
        <v>5</v>
      </c>
      <c r="J3759">
        <v>75.16</v>
      </c>
      <c r="K3759">
        <v>38</v>
      </c>
      <c r="L3759" t="s">
        <v>11</v>
      </c>
      <c r="M3759">
        <v>0</v>
      </c>
      <c r="N3759" t="str">
        <f t="shared" si="174"/>
        <v>40–59</v>
      </c>
      <c r="O3759" t="str">
        <f t="shared" si="175"/>
        <v>Obese</v>
      </c>
    </row>
    <row r="3760" spans="1:15" x14ac:dyDescent="0.3">
      <c r="A3760">
        <v>38284</v>
      </c>
      <c r="B3760" t="s">
        <v>2</v>
      </c>
      <c r="C3760">
        <v>8</v>
      </c>
      <c r="D3760">
        <v>0</v>
      </c>
      <c r="E3760">
        <v>0</v>
      </c>
      <c r="F3760" t="str">
        <f t="shared" si="176"/>
        <v>Lower Risk</v>
      </c>
      <c r="G3760" t="s">
        <v>13</v>
      </c>
      <c r="H3760" t="s">
        <v>16</v>
      </c>
      <c r="I3760" t="s">
        <v>9</v>
      </c>
      <c r="J3760">
        <v>77.08</v>
      </c>
      <c r="K3760">
        <v>16.899999999999999</v>
      </c>
      <c r="L3760" t="s">
        <v>14</v>
      </c>
      <c r="M3760">
        <v>0</v>
      </c>
      <c r="N3760" t="str">
        <f t="shared" si="174"/>
        <v>Under 40</v>
      </c>
      <c r="O3760" t="str">
        <f t="shared" si="175"/>
        <v>Underweight</v>
      </c>
    </row>
    <row r="3761" spans="1:15" x14ac:dyDescent="0.3">
      <c r="A3761">
        <v>53552</v>
      </c>
      <c r="B3761" t="s">
        <v>7</v>
      </c>
      <c r="C3761">
        <v>62</v>
      </c>
      <c r="D3761">
        <v>0</v>
      </c>
      <c r="E3761">
        <v>0</v>
      </c>
      <c r="F3761" t="str">
        <f t="shared" si="176"/>
        <v>Moderate Risk</v>
      </c>
      <c r="G3761" t="s">
        <v>3</v>
      </c>
      <c r="H3761" t="s">
        <v>4</v>
      </c>
      <c r="I3761" t="s">
        <v>5</v>
      </c>
      <c r="J3761">
        <v>101.19</v>
      </c>
      <c r="K3761">
        <v>23.4</v>
      </c>
      <c r="L3761" t="s">
        <v>11</v>
      </c>
      <c r="M3761">
        <v>0</v>
      </c>
      <c r="N3761" t="str">
        <f t="shared" si="174"/>
        <v>60+</v>
      </c>
      <c r="O3761" t="str">
        <f t="shared" si="175"/>
        <v>Normal</v>
      </c>
    </row>
    <row r="3762" spans="1:15" x14ac:dyDescent="0.3">
      <c r="A3762">
        <v>59663</v>
      </c>
      <c r="B3762" t="s">
        <v>7</v>
      </c>
      <c r="C3762">
        <v>28</v>
      </c>
      <c r="D3762">
        <v>0</v>
      </c>
      <c r="E3762">
        <v>0</v>
      </c>
      <c r="F3762" t="str">
        <f t="shared" si="176"/>
        <v>Lower Risk</v>
      </c>
      <c r="G3762" t="s">
        <v>13</v>
      </c>
      <c r="H3762" t="s">
        <v>4</v>
      </c>
      <c r="I3762" t="s">
        <v>5</v>
      </c>
      <c r="J3762">
        <v>107.74</v>
      </c>
      <c r="K3762">
        <v>38.5</v>
      </c>
      <c r="L3762" t="s">
        <v>11</v>
      </c>
      <c r="M3762">
        <v>0</v>
      </c>
      <c r="N3762" t="str">
        <f t="shared" si="174"/>
        <v>Under 40</v>
      </c>
      <c r="O3762" t="str">
        <f t="shared" si="175"/>
        <v>Obese</v>
      </c>
    </row>
    <row r="3763" spans="1:15" x14ac:dyDescent="0.3">
      <c r="A3763">
        <v>68631</v>
      </c>
      <c r="B3763" t="s">
        <v>7</v>
      </c>
      <c r="C3763">
        <v>50</v>
      </c>
      <c r="D3763">
        <v>0</v>
      </c>
      <c r="E3763">
        <v>0</v>
      </c>
      <c r="F3763" t="str">
        <f t="shared" si="176"/>
        <v>Lower Risk</v>
      </c>
      <c r="G3763" t="s">
        <v>3</v>
      </c>
      <c r="H3763" t="s">
        <v>4</v>
      </c>
      <c r="I3763" t="s">
        <v>9</v>
      </c>
      <c r="J3763">
        <v>62.32</v>
      </c>
      <c r="K3763">
        <v>21.6</v>
      </c>
      <c r="L3763" t="s">
        <v>14</v>
      </c>
      <c r="M3763">
        <v>0</v>
      </c>
      <c r="N3763" t="str">
        <f t="shared" si="174"/>
        <v>40–59</v>
      </c>
      <c r="O3763" t="str">
        <f t="shared" si="175"/>
        <v>Normal</v>
      </c>
    </row>
    <row r="3764" spans="1:15" x14ac:dyDescent="0.3">
      <c r="A3764">
        <v>49900</v>
      </c>
      <c r="B3764" t="s">
        <v>2</v>
      </c>
      <c r="C3764">
        <v>7</v>
      </c>
      <c r="D3764">
        <v>0</v>
      </c>
      <c r="E3764">
        <v>0</v>
      </c>
      <c r="F3764" t="str">
        <f t="shared" si="176"/>
        <v>Lower Risk</v>
      </c>
      <c r="G3764" t="s">
        <v>13</v>
      </c>
      <c r="H3764" t="s">
        <v>16</v>
      </c>
      <c r="I3764" t="s">
        <v>5</v>
      </c>
      <c r="J3764">
        <v>56.32</v>
      </c>
      <c r="K3764">
        <v>15.9</v>
      </c>
      <c r="L3764" t="s">
        <v>14</v>
      </c>
      <c r="M3764">
        <v>0</v>
      </c>
      <c r="N3764" t="str">
        <f t="shared" si="174"/>
        <v>Under 40</v>
      </c>
      <c r="O3764" t="str">
        <f t="shared" si="175"/>
        <v>Underweight</v>
      </c>
    </row>
    <row r="3765" spans="1:15" x14ac:dyDescent="0.3">
      <c r="A3765">
        <v>18140</v>
      </c>
      <c r="B3765" t="s">
        <v>7</v>
      </c>
      <c r="C3765">
        <v>33</v>
      </c>
      <c r="D3765">
        <v>0</v>
      </c>
      <c r="E3765">
        <v>0</v>
      </c>
      <c r="F3765" t="str">
        <f t="shared" si="176"/>
        <v>Lower Risk</v>
      </c>
      <c r="G3765" t="s">
        <v>3</v>
      </c>
      <c r="H3765" t="s">
        <v>4</v>
      </c>
      <c r="I3765" t="s">
        <v>9</v>
      </c>
      <c r="J3765">
        <v>131.28</v>
      </c>
      <c r="K3765">
        <v>25.1</v>
      </c>
      <c r="L3765" t="s">
        <v>11</v>
      </c>
      <c r="M3765">
        <v>0</v>
      </c>
      <c r="N3765" t="str">
        <f t="shared" si="174"/>
        <v>Under 40</v>
      </c>
      <c r="O3765" t="str">
        <f t="shared" si="175"/>
        <v>Overweight</v>
      </c>
    </row>
    <row r="3766" spans="1:15" x14ac:dyDescent="0.3">
      <c r="A3766">
        <v>52340</v>
      </c>
      <c r="B3766" t="s">
        <v>2</v>
      </c>
      <c r="C3766">
        <v>55</v>
      </c>
      <c r="D3766">
        <v>0</v>
      </c>
      <c r="E3766">
        <v>0</v>
      </c>
      <c r="F3766" t="str">
        <f t="shared" si="176"/>
        <v>Lower Risk</v>
      </c>
      <c r="G3766" t="s">
        <v>3</v>
      </c>
      <c r="H3766" t="s">
        <v>4</v>
      </c>
      <c r="I3766" t="s">
        <v>5</v>
      </c>
      <c r="J3766">
        <v>67.02</v>
      </c>
      <c r="K3766">
        <v>41.1</v>
      </c>
      <c r="L3766" t="s">
        <v>12</v>
      </c>
      <c r="M3766">
        <v>0</v>
      </c>
      <c r="N3766" t="str">
        <f t="shared" si="174"/>
        <v>40–59</v>
      </c>
      <c r="O3766" t="str">
        <f t="shared" si="175"/>
        <v>Obese</v>
      </c>
    </row>
    <row r="3767" spans="1:15" x14ac:dyDescent="0.3">
      <c r="A3767">
        <v>2327</v>
      </c>
      <c r="B3767" t="s">
        <v>7</v>
      </c>
      <c r="C3767">
        <v>25</v>
      </c>
      <c r="D3767">
        <v>0</v>
      </c>
      <c r="E3767">
        <v>0</v>
      </c>
      <c r="F3767" t="str">
        <f t="shared" si="176"/>
        <v>Lower Risk</v>
      </c>
      <c r="G3767" t="s">
        <v>13</v>
      </c>
      <c r="H3767" t="s">
        <v>4</v>
      </c>
      <c r="I3767" t="s">
        <v>9</v>
      </c>
      <c r="J3767">
        <v>76.72</v>
      </c>
      <c r="K3767">
        <v>21.5</v>
      </c>
      <c r="L3767" t="s">
        <v>14</v>
      </c>
      <c r="M3767">
        <v>0</v>
      </c>
      <c r="N3767" t="str">
        <f t="shared" si="174"/>
        <v>Under 40</v>
      </c>
      <c r="O3767" t="str">
        <f t="shared" si="175"/>
        <v>Normal</v>
      </c>
    </row>
    <row r="3768" spans="1:15" x14ac:dyDescent="0.3">
      <c r="A3768">
        <v>55137</v>
      </c>
      <c r="B3768" t="s">
        <v>7</v>
      </c>
      <c r="C3768">
        <v>25</v>
      </c>
      <c r="D3768">
        <v>0</v>
      </c>
      <c r="E3768">
        <v>0</v>
      </c>
      <c r="F3768" t="str">
        <f t="shared" si="176"/>
        <v>Lower Risk</v>
      </c>
      <c r="G3768" t="s">
        <v>13</v>
      </c>
      <c r="H3768" t="s">
        <v>4</v>
      </c>
      <c r="I3768" t="s">
        <v>5</v>
      </c>
      <c r="J3768">
        <v>125.98</v>
      </c>
      <c r="K3768">
        <v>21</v>
      </c>
      <c r="L3768" t="s">
        <v>12</v>
      </c>
      <c r="M3768">
        <v>0</v>
      </c>
      <c r="N3768" t="str">
        <f t="shared" si="174"/>
        <v>Under 40</v>
      </c>
      <c r="O3768" t="str">
        <f t="shared" si="175"/>
        <v>Normal</v>
      </c>
    </row>
    <row r="3769" spans="1:15" x14ac:dyDescent="0.3">
      <c r="A3769">
        <v>458</v>
      </c>
      <c r="B3769" t="s">
        <v>7</v>
      </c>
      <c r="C3769">
        <v>37</v>
      </c>
      <c r="D3769">
        <v>0</v>
      </c>
      <c r="E3769">
        <v>0</v>
      </c>
      <c r="F3769" t="str">
        <f t="shared" si="176"/>
        <v>Lower Risk</v>
      </c>
      <c r="G3769" t="s">
        <v>3</v>
      </c>
      <c r="H3769" t="s">
        <v>15</v>
      </c>
      <c r="I3769" t="s">
        <v>5</v>
      </c>
      <c r="J3769">
        <v>72.09</v>
      </c>
      <c r="K3769">
        <v>24.1</v>
      </c>
      <c r="L3769" t="s">
        <v>12</v>
      </c>
      <c r="M3769">
        <v>0</v>
      </c>
      <c r="N3769" t="str">
        <f t="shared" si="174"/>
        <v>Under 40</v>
      </c>
      <c r="O3769" t="str">
        <f t="shared" si="175"/>
        <v>Normal</v>
      </c>
    </row>
    <row r="3770" spans="1:15" x14ac:dyDescent="0.3">
      <c r="A3770">
        <v>57044</v>
      </c>
      <c r="B3770" t="s">
        <v>2</v>
      </c>
      <c r="C3770">
        <v>58</v>
      </c>
      <c r="D3770">
        <v>0</v>
      </c>
      <c r="E3770">
        <v>0</v>
      </c>
      <c r="F3770" t="str">
        <f t="shared" si="176"/>
        <v>Lower Risk</v>
      </c>
      <c r="G3770" t="s">
        <v>3</v>
      </c>
      <c r="H3770" t="s">
        <v>4</v>
      </c>
      <c r="I3770" t="s">
        <v>5</v>
      </c>
      <c r="J3770">
        <v>88.05</v>
      </c>
      <c r="K3770">
        <v>30.6</v>
      </c>
      <c r="L3770" t="s">
        <v>14</v>
      </c>
      <c r="M3770">
        <v>0</v>
      </c>
      <c r="N3770" t="str">
        <f t="shared" si="174"/>
        <v>40–59</v>
      </c>
      <c r="O3770" t="str">
        <f t="shared" si="175"/>
        <v>Obese</v>
      </c>
    </row>
    <row r="3771" spans="1:15" x14ac:dyDescent="0.3">
      <c r="A3771">
        <v>71548</v>
      </c>
      <c r="B3771" t="s">
        <v>2</v>
      </c>
      <c r="C3771">
        <v>45</v>
      </c>
      <c r="D3771">
        <v>0</v>
      </c>
      <c r="E3771">
        <v>0</v>
      </c>
      <c r="F3771" t="str">
        <f t="shared" si="176"/>
        <v>Lower Risk</v>
      </c>
      <c r="G3771" t="s">
        <v>3</v>
      </c>
      <c r="H3771" t="s">
        <v>15</v>
      </c>
      <c r="I3771" t="s">
        <v>5</v>
      </c>
      <c r="J3771">
        <v>55.47</v>
      </c>
      <c r="K3771">
        <v>19.8</v>
      </c>
      <c r="L3771" t="s">
        <v>12</v>
      </c>
      <c r="M3771">
        <v>0</v>
      </c>
      <c r="N3771" t="str">
        <f t="shared" si="174"/>
        <v>40–59</v>
      </c>
      <c r="O3771" t="str">
        <f t="shared" si="175"/>
        <v>Normal</v>
      </c>
    </row>
    <row r="3772" spans="1:15" x14ac:dyDescent="0.3">
      <c r="A3772">
        <v>67438</v>
      </c>
      <c r="B3772" t="s">
        <v>7</v>
      </c>
      <c r="C3772">
        <v>60</v>
      </c>
      <c r="D3772">
        <v>0</v>
      </c>
      <c r="E3772">
        <v>0</v>
      </c>
      <c r="F3772" t="str">
        <f t="shared" si="176"/>
        <v>Moderate Risk</v>
      </c>
      <c r="G3772" t="s">
        <v>3</v>
      </c>
      <c r="H3772" t="s">
        <v>15</v>
      </c>
      <c r="I3772" t="s">
        <v>9</v>
      </c>
      <c r="J3772">
        <v>145.94</v>
      </c>
      <c r="K3772">
        <v>29.2</v>
      </c>
      <c r="L3772" t="s">
        <v>14</v>
      </c>
      <c r="M3772">
        <v>0</v>
      </c>
      <c r="N3772" t="str">
        <f t="shared" si="174"/>
        <v>60+</v>
      </c>
      <c r="O3772" t="str">
        <f t="shared" si="175"/>
        <v>Overweight</v>
      </c>
    </row>
    <row r="3773" spans="1:15" x14ac:dyDescent="0.3">
      <c r="A3773">
        <v>36524</v>
      </c>
      <c r="B3773" t="s">
        <v>2</v>
      </c>
      <c r="C3773">
        <v>66</v>
      </c>
      <c r="D3773">
        <v>0</v>
      </c>
      <c r="E3773">
        <v>1</v>
      </c>
      <c r="F3773" t="str">
        <f t="shared" si="176"/>
        <v>High Risk</v>
      </c>
      <c r="G3773" t="s">
        <v>3</v>
      </c>
      <c r="H3773" t="s">
        <v>4</v>
      </c>
      <c r="I3773" t="s">
        <v>9</v>
      </c>
      <c r="J3773">
        <v>239.21</v>
      </c>
      <c r="K3773">
        <v>33.700000000000003</v>
      </c>
      <c r="L3773" t="s">
        <v>6</v>
      </c>
      <c r="M3773">
        <v>0</v>
      </c>
      <c r="N3773" t="str">
        <f t="shared" si="174"/>
        <v>60+</v>
      </c>
      <c r="O3773" t="str">
        <f t="shared" si="175"/>
        <v>Obese</v>
      </c>
    </row>
    <row r="3774" spans="1:15" x14ac:dyDescent="0.3">
      <c r="A3774">
        <v>61827</v>
      </c>
      <c r="B3774" t="s">
        <v>2</v>
      </c>
      <c r="C3774">
        <v>80</v>
      </c>
      <c r="D3774">
        <v>0</v>
      </c>
      <c r="E3774">
        <v>0</v>
      </c>
      <c r="F3774" t="str">
        <f t="shared" si="176"/>
        <v>Moderate Risk</v>
      </c>
      <c r="G3774" t="s">
        <v>3</v>
      </c>
      <c r="H3774" t="s">
        <v>8</v>
      </c>
      <c r="I3774" t="s">
        <v>9</v>
      </c>
      <c r="J3774">
        <v>196.08</v>
      </c>
      <c r="K3774">
        <v>31</v>
      </c>
      <c r="L3774" t="s">
        <v>6</v>
      </c>
      <c r="M3774">
        <v>0</v>
      </c>
      <c r="N3774" t="str">
        <f t="shared" si="174"/>
        <v>60+</v>
      </c>
      <c r="O3774" t="str">
        <f t="shared" si="175"/>
        <v>Obese</v>
      </c>
    </row>
    <row r="3775" spans="1:15" x14ac:dyDescent="0.3">
      <c r="A3775">
        <v>31454</v>
      </c>
      <c r="B3775" t="s">
        <v>7</v>
      </c>
      <c r="C3775">
        <v>38</v>
      </c>
      <c r="D3775">
        <v>0</v>
      </c>
      <c r="E3775">
        <v>0</v>
      </c>
      <c r="F3775" t="str">
        <f t="shared" si="176"/>
        <v>Lower Risk</v>
      </c>
      <c r="G3775" t="s">
        <v>3</v>
      </c>
      <c r="H3775" t="s">
        <v>15</v>
      </c>
      <c r="I3775" t="s">
        <v>9</v>
      </c>
      <c r="J3775">
        <v>93.93</v>
      </c>
      <c r="K3775">
        <v>21.5</v>
      </c>
      <c r="L3775" t="s">
        <v>11</v>
      </c>
      <c r="M3775">
        <v>0</v>
      </c>
      <c r="N3775" t="str">
        <f t="shared" si="174"/>
        <v>Under 40</v>
      </c>
      <c r="O3775" t="str">
        <f t="shared" si="175"/>
        <v>Normal</v>
      </c>
    </row>
    <row r="3776" spans="1:15" x14ac:dyDescent="0.3">
      <c r="A3776">
        <v>15663</v>
      </c>
      <c r="B3776" t="s">
        <v>7</v>
      </c>
      <c r="C3776">
        <v>11</v>
      </c>
      <c r="D3776">
        <v>0</v>
      </c>
      <c r="E3776">
        <v>0</v>
      </c>
      <c r="F3776" t="str">
        <f t="shared" si="176"/>
        <v>Lower Risk</v>
      </c>
      <c r="G3776" t="s">
        <v>13</v>
      </c>
      <c r="H3776" t="s">
        <v>16</v>
      </c>
      <c r="I3776" t="s">
        <v>5</v>
      </c>
      <c r="J3776">
        <v>76.739999999999995</v>
      </c>
      <c r="K3776">
        <v>19.100000000000001</v>
      </c>
      <c r="L3776" t="s">
        <v>14</v>
      </c>
      <c r="M3776">
        <v>0</v>
      </c>
      <c r="N3776" t="str">
        <f t="shared" si="174"/>
        <v>Under 40</v>
      </c>
      <c r="O3776" t="str">
        <f t="shared" si="175"/>
        <v>Normal</v>
      </c>
    </row>
    <row r="3777" spans="1:15" x14ac:dyDescent="0.3">
      <c r="A3777">
        <v>4707</v>
      </c>
      <c r="B3777" t="s">
        <v>7</v>
      </c>
      <c r="C3777">
        <v>63</v>
      </c>
      <c r="D3777">
        <v>0</v>
      </c>
      <c r="E3777">
        <v>0</v>
      </c>
      <c r="F3777" t="str">
        <f t="shared" si="176"/>
        <v>Moderate Risk</v>
      </c>
      <c r="G3777" t="s">
        <v>3</v>
      </c>
      <c r="H3777" t="s">
        <v>4</v>
      </c>
      <c r="I3777" t="s">
        <v>5</v>
      </c>
      <c r="J3777">
        <v>83.74</v>
      </c>
      <c r="K3777">
        <v>21.4</v>
      </c>
      <c r="L3777" t="s">
        <v>14</v>
      </c>
      <c r="M3777">
        <v>0</v>
      </c>
      <c r="N3777" t="str">
        <f t="shared" si="174"/>
        <v>60+</v>
      </c>
      <c r="O3777" t="str">
        <f t="shared" si="175"/>
        <v>Normal</v>
      </c>
    </row>
    <row r="3778" spans="1:15" x14ac:dyDescent="0.3">
      <c r="A3778">
        <v>55885</v>
      </c>
      <c r="B3778" t="s">
        <v>2</v>
      </c>
      <c r="C3778">
        <v>19</v>
      </c>
      <c r="D3778">
        <v>0</v>
      </c>
      <c r="E3778">
        <v>0</v>
      </c>
      <c r="F3778" t="str">
        <f t="shared" si="176"/>
        <v>Lower Risk</v>
      </c>
      <c r="G3778" t="s">
        <v>13</v>
      </c>
      <c r="H3778" t="s">
        <v>4</v>
      </c>
      <c r="I3778" t="s">
        <v>5</v>
      </c>
      <c r="J3778">
        <v>119.58</v>
      </c>
      <c r="K3778">
        <v>24.8</v>
      </c>
      <c r="L3778" t="s">
        <v>14</v>
      </c>
      <c r="M3778">
        <v>0</v>
      </c>
      <c r="N3778" t="str">
        <f t="shared" ref="N3778:N3841" si="177">IF(C3778&lt;40,"Under 40",IF(C3778&lt;60,"40–59","60+"))</f>
        <v>Under 40</v>
      </c>
      <c r="O3778" t="str">
        <f t="shared" ref="O3778:O3841" si="178">IF(K3778="N/A","Unknown",
IF(K3778="","Unknown",
IF(K3778&lt;18.5,"Underweight",
IF(K3778&lt;25,"Normal",
IF(K3778&lt;30,"Overweight","Obese")))))</f>
        <v>Normal</v>
      </c>
    </row>
    <row r="3779" spans="1:15" x14ac:dyDescent="0.3">
      <c r="A3779">
        <v>47563</v>
      </c>
      <c r="B3779" t="s">
        <v>7</v>
      </c>
      <c r="C3779">
        <v>17</v>
      </c>
      <c r="D3779">
        <v>0</v>
      </c>
      <c r="E3779">
        <v>0</v>
      </c>
      <c r="F3779" t="str">
        <f t="shared" ref="F3779:F3842" si="179">IF(C3779&gt;=60,
IF(OR(D3779=1,E3779=1),"High Risk","Moderate Risk"),
"Lower Risk")</f>
        <v>Lower Risk</v>
      </c>
      <c r="G3779" t="s">
        <v>13</v>
      </c>
      <c r="H3779" t="s">
        <v>4</v>
      </c>
      <c r="I3779" t="s">
        <v>9</v>
      </c>
      <c r="J3779">
        <v>68.66</v>
      </c>
      <c r="K3779">
        <v>35.1</v>
      </c>
      <c r="L3779" t="s">
        <v>11</v>
      </c>
      <c r="M3779">
        <v>0</v>
      </c>
      <c r="N3779" t="str">
        <f t="shared" si="177"/>
        <v>Under 40</v>
      </c>
      <c r="O3779" t="str">
        <f t="shared" si="178"/>
        <v>Obese</v>
      </c>
    </row>
    <row r="3780" spans="1:15" x14ac:dyDescent="0.3">
      <c r="A3780">
        <v>63729</v>
      </c>
      <c r="B3780" t="s">
        <v>7</v>
      </c>
      <c r="C3780">
        <v>19</v>
      </c>
      <c r="D3780">
        <v>0</v>
      </c>
      <c r="E3780">
        <v>0</v>
      </c>
      <c r="F3780" t="str">
        <f t="shared" si="179"/>
        <v>Lower Risk</v>
      </c>
      <c r="G3780" t="s">
        <v>13</v>
      </c>
      <c r="H3780" t="s">
        <v>4</v>
      </c>
      <c r="I3780" t="s">
        <v>5</v>
      </c>
      <c r="J3780">
        <v>65.790000000000006</v>
      </c>
      <c r="K3780">
        <v>28.6</v>
      </c>
      <c r="L3780" t="s">
        <v>12</v>
      </c>
      <c r="M3780">
        <v>0</v>
      </c>
      <c r="N3780" t="str">
        <f t="shared" si="177"/>
        <v>Under 40</v>
      </c>
      <c r="O3780" t="str">
        <f t="shared" si="178"/>
        <v>Overweight</v>
      </c>
    </row>
    <row r="3781" spans="1:15" x14ac:dyDescent="0.3">
      <c r="A3781">
        <v>5286</v>
      </c>
      <c r="B3781" t="s">
        <v>7</v>
      </c>
      <c r="C3781">
        <v>40</v>
      </c>
      <c r="D3781">
        <v>0</v>
      </c>
      <c r="E3781">
        <v>0</v>
      </c>
      <c r="F3781" t="str">
        <f t="shared" si="179"/>
        <v>Lower Risk</v>
      </c>
      <c r="G3781" t="s">
        <v>3</v>
      </c>
      <c r="H3781" t="s">
        <v>15</v>
      </c>
      <c r="I3781" t="s">
        <v>5</v>
      </c>
      <c r="J3781">
        <v>176.38</v>
      </c>
      <c r="K3781">
        <v>35.700000000000003</v>
      </c>
      <c r="L3781" t="s">
        <v>11</v>
      </c>
      <c r="M3781">
        <v>0</v>
      </c>
      <c r="N3781" t="str">
        <f t="shared" si="177"/>
        <v>40–59</v>
      </c>
      <c r="O3781" t="str">
        <f t="shared" si="178"/>
        <v>Obese</v>
      </c>
    </row>
    <row r="3782" spans="1:15" x14ac:dyDescent="0.3">
      <c r="A3782">
        <v>29878</v>
      </c>
      <c r="B3782" t="s">
        <v>2</v>
      </c>
      <c r="C3782">
        <v>49</v>
      </c>
      <c r="D3782">
        <v>0</v>
      </c>
      <c r="E3782">
        <v>0</v>
      </c>
      <c r="F3782" t="str">
        <f t="shared" si="179"/>
        <v>Lower Risk</v>
      </c>
      <c r="G3782" t="s">
        <v>3</v>
      </c>
      <c r="H3782" t="s">
        <v>4</v>
      </c>
      <c r="I3782" t="s">
        <v>5</v>
      </c>
      <c r="J3782">
        <v>175.74</v>
      </c>
      <c r="K3782">
        <v>45.4</v>
      </c>
      <c r="L3782" t="s">
        <v>14</v>
      </c>
      <c r="M3782">
        <v>0</v>
      </c>
      <c r="N3782" t="str">
        <f t="shared" si="177"/>
        <v>40–59</v>
      </c>
      <c r="O3782" t="str">
        <f t="shared" si="178"/>
        <v>Obese</v>
      </c>
    </row>
    <row r="3783" spans="1:15" x14ac:dyDescent="0.3">
      <c r="A3783">
        <v>42628</v>
      </c>
      <c r="B3783" t="s">
        <v>7</v>
      </c>
      <c r="C3783">
        <v>69</v>
      </c>
      <c r="D3783">
        <v>0</v>
      </c>
      <c r="E3783">
        <v>1</v>
      </c>
      <c r="F3783" t="str">
        <f t="shared" si="179"/>
        <v>High Risk</v>
      </c>
      <c r="G3783" t="s">
        <v>13</v>
      </c>
      <c r="H3783" t="s">
        <v>4</v>
      </c>
      <c r="I3783" t="s">
        <v>5</v>
      </c>
      <c r="J3783">
        <v>193.45</v>
      </c>
      <c r="K3783">
        <v>34.5</v>
      </c>
      <c r="L3783" t="s">
        <v>11</v>
      </c>
      <c r="M3783">
        <v>0</v>
      </c>
      <c r="N3783" t="str">
        <f t="shared" si="177"/>
        <v>60+</v>
      </c>
      <c r="O3783" t="str">
        <f t="shared" si="178"/>
        <v>Obese</v>
      </c>
    </row>
    <row r="3784" spans="1:15" x14ac:dyDescent="0.3">
      <c r="A3784">
        <v>5006</v>
      </c>
      <c r="B3784" t="s">
        <v>7</v>
      </c>
      <c r="C3784">
        <v>46</v>
      </c>
      <c r="D3784">
        <v>0</v>
      </c>
      <c r="E3784">
        <v>0</v>
      </c>
      <c r="F3784" t="str">
        <f t="shared" si="179"/>
        <v>Lower Risk</v>
      </c>
      <c r="G3784" t="s">
        <v>3</v>
      </c>
      <c r="H3784" t="s">
        <v>8</v>
      </c>
      <c r="I3784" t="s">
        <v>9</v>
      </c>
      <c r="J3784">
        <v>85.84</v>
      </c>
      <c r="K3784">
        <v>21.2</v>
      </c>
      <c r="L3784" t="s">
        <v>11</v>
      </c>
      <c r="M3784">
        <v>0</v>
      </c>
      <c r="N3784" t="str">
        <f t="shared" si="177"/>
        <v>40–59</v>
      </c>
      <c r="O3784" t="str">
        <f t="shared" si="178"/>
        <v>Normal</v>
      </c>
    </row>
    <row r="3785" spans="1:15" x14ac:dyDescent="0.3">
      <c r="A3785">
        <v>11250</v>
      </c>
      <c r="B3785" t="s">
        <v>2</v>
      </c>
      <c r="C3785">
        <v>78</v>
      </c>
      <c r="D3785">
        <v>0</v>
      </c>
      <c r="E3785">
        <v>0</v>
      </c>
      <c r="F3785" t="str">
        <f t="shared" si="179"/>
        <v>Moderate Risk</v>
      </c>
      <c r="G3785" t="s">
        <v>3</v>
      </c>
      <c r="H3785" t="s">
        <v>8</v>
      </c>
      <c r="I3785" t="s">
        <v>9</v>
      </c>
      <c r="J3785">
        <v>93.85</v>
      </c>
      <c r="K3785">
        <v>22.7</v>
      </c>
      <c r="L3785" t="s">
        <v>6</v>
      </c>
      <c r="M3785">
        <v>0</v>
      </c>
      <c r="N3785" t="str">
        <f t="shared" si="177"/>
        <v>60+</v>
      </c>
      <c r="O3785" t="str">
        <f t="shared" si="178"/>
        <v>Normal</v>
      </c>
    </row>
    <row r="3786" spans="1:15" x14ac:dyDescent="0.3">
      <c r="A3786">
        <v>41858</v>
      </c>
      <c r="B3786" t="s">
        <v>7</v>
      </c>
      <c r="C3786">
        <v>63</v>
      </c>
      <c r="D3786">
        <v>0</v>
      </c>
      <c r="E3786">
        <v>1</v>
      </c>
      <c r="F3786" t="str">
        <f t="shared" si="179"/>
        <v>High Risk</v>
      </c>
      <c r="G3786" t="s">
        <v>3</v>
      </c>
      <c r="H3786" t="s">
        <v>4</v>
      </c>
      <c r="I3786" t="s">
        <v>9</v>
      </c>
      <c r="J3786">
        <v>86.21</v>
      </c>
      <c r="K3786">
        <v>39.1</v>
      </c>
      <c r="L3786" t="s">
        <v>11</v>
      </c>
      <c r="M3786">
        <v>0</v>
      </c>
      <c r="N3786" t="str">
        <f t="shared" si="177"/>
        <v>60+</v>
      </c>
      <c r="O3786" t="str">
        <f t="shared" si="178"/>
        <v>Obese</v>
      </c>
    </row>
    <row r="3787" spans="1:15" x14ac:dyDescent="0.3">
      <c r="A3787">
        <v>15742</v>
      </c>
      <c r="B3787" t="s">
        <v>7</v>
      </c>
      <c r="C3787">
        <v>3</v>
      </c>
      <c r="D3787">
        <v>0</v>
      </c>
      <c r="E3787">
        <v>0</v>
      </c>
      <c r="F3787" t="str">
        <f t="shared" si="179"/>
        <v>Lower Risk</v>
      </c>
      <c r="G3787" t="s">
        <v>13</v>
      </c>
      <c r="H3787" t="s">
        <v>16</v>
      </c>
      <c r="I3787" t="s">
        <v>9</v>
      </c>
      <c r="J3787">
        <v>75.41</v>
      </c>
      <c r="K3787">
        <v>21.9</v>
      </c>
      <c r="L3787" t="s">
        <v>14</v>
      </c>
      <c r="M3787">
        <v>0</v>
      </c>
      <c r="N3787" t="str">
        <f t="shared" si="177"/>
        <v>Under 40</v>
      </c>
      <c r="O3787" t="str">
        <f t="shared" si="178"/>
        <v>Normal</v>
      </c>
    </row>
    <row r="3788" spans="1:15" x14ac:dyDescent="0.3">
      <c r="A3788">
        <v>27300</v>
      </c>
      <c r="B3788" t="s">
        <v>7</v>
      </c>
      <c r="C3788">
        <v>1.8</v>
      </c>
      <c r="D3788">
        <v>0</v>
      </c>
      <c r="E3788">
        <v>0</v>
      </c>
      <c r="F3788" t="str">
        <f t="shared" si="179"/>
        <v>Lower Risk</v>
      </c>
      <c r="G3788" t="s">
        <v>13</v>
      </c>
      <c r="H3788" t="s">
        <v>16</v>
      </c>
      <c r="I3788" t="s">
        <v>9</v>
      </c>
      <c r="J3788">
        <v>95.28</v>
      </c>
      <c r="K3788">
        <v>16.5</v>
      </c>
      <c r="L3788" t="s">
        <v>14</v>
      </c>
      <c r="M3788">
        <v>0</v>
      </c>
      <c r="N3788" t="str">
        <f t="shared" si="177"/>
        <v>Under 40</v>
      </c>
      <c r="O3788" t="str">
        <f t="shared" si="178"/>
        <v>Underweight</v>
      </c>
    </row>
    <row r="3789" spans="1:15" x14ac:dyDescent="0.3">
      <c r="A3789">
        <v>34965</v>
      </c>
      <c r="B3789" t="s">
        <v>7</v>
      </c>
      <c r="C3789">
        <v>18</v>
      </c>
      <c r="D3789">
        <v>0</v>
      </c>
      <c r="E3789">
        <v>0</v>
      </c>
      <c r="F3789" t="str">
        <f t="shared" si="179"/>
        <v>Lower Risk</v>
      </c>
      <c r="G3789" t="s">
        <v>13</v>
      </c>
      <c r="H3789" t="s">
        <v>4</v>
      </c>
      <c r="I3789" t="s">
        <v>5</v>
      </c>
      <c r="J3789">
        <v>95.87</v>
      </c>
      <c r="K3789">
        <v>23</v>
      </c>
      <c r="L3789" t="s">
        <v>11</v>
      </c>
      <c r="M3789">
        <v>0</v>
      </c>
      <c r="N3789" t="str">
        <f t="shared" si="177"/>
        <v>Under 40</v>
      </c>
      <c r="O3789" t="str">
        <f t="shared" si="178"/>
        <v>Normal</v>
      </c>
    </row>
    <row r="3790" spans="1:15" x14ac:dyDescent="0.3">
      <c r="A3790">
        <v>65748</v>
      </c>
      <c r="B3790" t="s">
        <v>7</v>
      </c>
      <c r="C3790">
        <v>46</v>
      </c>
      <c r="D3790">
        <v>0</v>
      </c>
      <c r="E3790">
        <v>0</v>
      </c>
      <c r="F3790" t="str">
        <f t="shared" si="179"/>
        <v>Lower Risk</v>
      </c>
      <c r="G3790" t="s">
        <v>3</v>
      </c>
      <c r="H3790" t="s">
        <v>4</v>
      </c>
      <c r="I3790" t="s">
        <v>5</v>
      </c>
      <c r="J3790">
        <v>180.45</v>
      </c>
      <c r="K3790">
        <v>22.5</v>
      </c>
      <c r="L3790" t="s">
        <v>11</v>
      </c>
      <c r="M3790">
        <v>0</v>
      </c>
      <c r="N3790" t="str">
        <f t="shared" si="177"/>
        <v>40–59</v>
      </c>
      <c r="O3790" t="str">
        <f t="shared" si="178"/>
        <v>Normal</v>
      </c>
    </row>
    <row r="3791" spans="1:15" x14ac:dyDescent="0.3">
      <c r="A3791">
        <v>44635</v>
      </c>
      <c r="B3791" t="s">
        <v>7</v>
      </c>
      <c r="C3791">
        <v>8</v>
      </c>
      <c r="D3791">
        <v>0</v>
      </c>
      <c r="E3791">
        <v>0</v>
      </c>
      <c r="F3791" t="str">
        <f t="shared" si="179"/>
        <v>Lower Risk</v>
      </c>
      <c r="G3791" t="s">
        <v>13</v>
      </c>
      <c r="H3791" t="s">
        <v>16</v>
      </c>
      <c r="I3791" t="s">
        <v>5</v>
      </c>
      <c r="J3791">
        <v>95.39</v>
      </c>
      <c r="K3791">
        <v>20.399999999999999</v>
      </c>
      <c r="L3791" t="s">
        <v>14</v>
      </c>
      <c r="M3791">
        <v>0</v>
      </c>
      <c r="N3791" t="str">
        <f t="shared" si="177"/>
        <v>Under 40</v>
      </c>
      <c r="O3791" t="str">
        <f t="shared" si="178"/>
        <v>Normal</v>
      </c>
    </row>
    <row r="3792" spans="1:15" x14ac:dyDescent="0.3">
      <c r="A3792">
        <v>72284</v>
      </c>
      <c r="B3792" t="s">
        <v>7</v>
      </c>
      <c r="C3792">
        <v>53</v>
      </c>
      <c r="D3792">
        <v>0</v>
      </c>
      <c r="E3792">
        <v>0</v>
      </c>
      <c r="F3792" t="str">
        <f t="shared" si="179"/>
        <v>Lower Risk</v>
      </c>
      <c r="G3792" t="s">
        <v>3</v>
      </c>
      <c r="H3792" t="s">
        <v>4</v>
      </c>
      <c r="I3792" t="s">
        <v>9</v>
      </c>
      <c r="J3792">
        <v>60.77</v>
      </c>
      <c r="K3792">
        <v>28.7</v>
      </c>
      <c r="L3792" t="s">
        <v>12</v>
      </c>
      <c r="M3792">
        <v>0</v>
      </c>
      <c r="N3792" t="str">
        <f t="shared" si="177"/>
        <v>40–59</v>
      </c>
      <c r="O3792" t="str">
        <f t="shared" si="178"/>
        <v>Overweight</v>
      </c>
    </row>
    <row r="3793" spans="1:15" x14ac:dyDescent="0.3">
      <c r="A3793">
        <v>20217</v>
      </c>
      <c r="B3793" t="s">
        <v>7</v>
      </c>
      <c r="C3793">
        <v>38</v>
      </c>
      <c r="D3793">
        <v>0</v>
      </c>
      <c r="E3793">
        <v>0</v>
      </c>
      <c r="F3793" t="str">
        <f t="shared" si="179"/>
        <v>Lower Risk</v>
      </c>
      <c r="G3793" t="s">
        <v>3</v>
      </c>
      <c r="H3793" t="s">
        <v>15</v>
      </c>
      <c r="I3793" t="s">
        <v>5</v>
      </c>
      <c r="J3793">
        <v>102.84</v>
      </c>
      <c r="K3793">
        <v>22.4</v>
      </c>
      <c r="L3793" t="s">
        <v>11</v>
      </c>
      <c r="M3793">
        <v>0</v>
      </c>
      <c r="N3793" t="str">
        <f t="shared" si="177"/>
        <v>Under 40</v>
      </c>
      <c r="O3793" t="str">
        <f t="shared" si="178"/>
        <v>Normal</v>
      </c>
    </row>
    <row r="3794" spans="1:15" x14ac:dyDescent="0.3">
      <c r="A3794">
        <v>44259</v>
      </c>
      <c r="B3794" t="s">
        <v>7</v>
      </c>
      <c r="C3794">
        <v>74</v>
      </c>
      <c r="D3794">
        <v>0</v>
      </c>
      <c r="E3794">
        <v>0</v>
      </c>
      <c r="F3794" t="str">
        <f t="shared" si="179"/>
        <v>Moderate Risk</v>
      </c>
      <c r="G3794" t="s">
        <v>3</v>
      </c>
      <c r="H3794" t="s">
        <v>4</v>
      </c>
      <c r="I3794" t="s">
        <v>5</v>
      </c>
      <c r="J3794">
        <v>130.37</v>
      </c>
      <c r="K3794">
        <v>26.3</v>
      </c>
      <c r="L3794" t="s">
        <v>14</v>
      </c>
      <c r="M3794">
        <v>0</v>
      </c>
      <c r="N3794" t="str">
        <f t="shared" si="177"/>
        <v>60+</v>
      </c>
      <c r="O3794" t="str">
        <f t="shared" si="178"/>
        <v>Overweight</v>
      </c>
    </row>
    <row r="3795" spans="1:15" x14ac:dyDescent="0.3">
      <c r="A3795">
        <v>52668</v>
      </c>
      <c r="B3795" t="s">
        <v>7</v>
      </c>
      <c r="C3795">
        <v>24</v>
      </c>
      <c r="D3795">
        <v>0</v>
      </c>
      <c r="E3795">
        <v>0</v>
      </c>
      <c r="F3795" t="str">
        <f t="shared" si="179"/>
        <v>Lower Risk</v>
      </c>
      <c r="G3795" t="s">
        <v>13</v>
      </c>
      <c r="H3795" t="s">
        <v>4</v>
      </c>
      <c r="I3795" t="s">
        <v>5</v>
      </c>
      <c r="J3795">
        <v>65.44</v>
      </c>
      <c r="K3795">
        <v>23.6</v>
      </c>
      <c r="L3795" t="s">
        <v>11</v>
      </c>
      <c r="M3795">
        <v>0</v>
      </c>
      <c r="N3795" t="str">
        <f t="shared" si="177"/>
        <v>Under 40</v>
      </c>
      <c r="O3795" t="str">
        <f t="shared" si="178"/>
        <v>Normal</v>
      </c>
    </row>
    <row r="3796" spans="1:15" x14ac:dyDescent="0.3">
      <c r="A3796">
        <v>37446</v>
      </c>
      <c r="B3796" t="s">
        <v>2</v>
      </c>
      <c r="C3796">
        <v>78</v>
      </c>
      <c r="D3796">
        <v>0</v>
      </c>
      <c r="E3796">
        <v>0</v>
      </c>
      <c r="F3796" t="str">
        <f t="shared" si="179"/>
        <v>Moderate Risk</v>
      </c>
      <c r="G3796" t="s">
        <v>3</v>
      </c>
      <c r="H3796" t="s">
        <v>4</v>
      </c>
      <c r="I3796" t="s">
        <v>9</v>
      </c>
      <c r="J3796">
        <v>79.84</v>
      </c>
      <c r="K3796">
        <v>25.9</v>
      </c>
      <c r="L3796" t="s">
        <v>11</v>
      </c>
      <c r="M3796">
        <v>0</v>
      </c>
      <c r="N3796" t="str">
        <f t="shared" si="177"/>
        <v>60+</v>
      </c>
      <c r="O3796" t="str">
        <f t="shared" si="178"/>
        <v>Overweight</v>
      </c>
    </row>
    <row r="3797" spans="1:15" x14ac:dyDescent="0.3">
      <c r="A3797">
        <v>46895</v>
      </c>
      <c r="B3797" t="s">
        <v>2</v>
      </c>
      <c r="C3797">
        <v>60</v>
      </c>
      <c r="D3797">
        <v>0</v>
      </c>
      <c r="E3797">
        <v>0</v>
      </c>
      <c r="F3797" t="str">
        <f t="shared" si="179"/>
        <v>Moderate Risk</v>
      </c>
      <c r="G3797" t="s">
        <v>3</v>
      </c>
      <c r="H3797" t="s">
        <v>4</v>
      </c>
      <c r="I3797" t="s">
        <v>9</v>
      </c>
      <c r="J3797">
        <v>62.61</v>
      </c>
      <c r="K3797">
        <v>30.7</v>
      </c>
      <c r="L3797" t="s">
        <v>11</v>
      </c>
      <c r="M3797">
        <v>0</v>
      </c>
      <c r="N3797" t="str">
        <f t="shared" si="177"/>
        <v>60+</v>
      </c>
      <c r="O3797" t="str">
        <f t="shared" si="178"/>
        <v>Obese</v>
      </c>
    </row>
    <row r="3798" spans="1:15" x14ac:dyDescent="0.3">
      <c r="A3798">
        <v>57667</v>
      </c>
      <c r="B3798" t="s">
        <v>2</v>
      </c>
      <c r="C3798">
        <v>12</v>
      </c>
      <c r="D3798">
        <v>0</v>
      </c>
      <c r="E3798">
        <v>0</v>
      </c>
      <c r="F3798" t="str">
        <f t="shared" si="179"/>
        <v>Lower Risk</v>
      </c>
      <c r="G3798" t="s">
        <v>13</v>
      </c>
      <c r="H3798" t="s">
        <v>16</v>
      </c>
      <c r="I3798" t="s">
        <v>5</v>
      </c>
      <c r="J3798">
        <v>70.069999999999993</v>
      </c>
      <c r="K3798">
        <v>24.5</v>
      </c>
      <c r="L3798" t="s">
        <v>6</v>
      </c>
      <c r="M3798">
        <v>0</v>
      </c>
      <c r="N3798" t="str">
        <f t="shared" si="177"/>
        <v>Under 40</v>
      </c>
      <c r="O3798" t="str">
        <f t="shared" si="178"/>
        <v>Normal</v>
      </c>
    </row>
    <row r="3799" spans="1:15" x14ac:dyDescent="0.3">
      <c r="A3799">
        <v>41962</v>
      </c>
      <c r="B3799" t="s">
        <v>7</v>
      </c>
      <c r="C3799">
        <v>32</v>
      </c>
      <c r="D3799">
        <v>0</v>
      </c>
      <c r="E3799">
        <v>0</v>
      </c>
      <c r="F3799" t="str">
        <f t="shared" si="179"/>
        <v>Lower Risk</v>
      </c>
      <c r="G3799" t="s">
        <v>3</v>
      </c>
      <c r="H3799" t="s">
        <v>4</v>
      </c>
      <c r="I3799" t="s">
        <v>9</v>
      </c>
      <c r="J3799">
        <v>108.8</v>
      </c>
      <c r="K3799">
        <v>24</v>
      </c>
      <c r="L3799" t="s">
        <v>14</v>
      </c>
      <c r="M3799">
        <v>0</v>
      </c>
      <c r="N3799" t="str">
        <f t="shared" si="177"/>
        <v>Under 40</v>
      </c>
      <c r="O3799" t="str">
        <f t="shared" si="178"/>
        <v>Normal</v>
      </c>
    </row>
    <row r="3800" spans="1:15" x14ac:dyDescent="0.3">
      <c r="A3800">
        <v>25495</v>
      </c>
      <c r="B3800" t="s">
        <v>2</v>
      </c>
      <c r="C3800">
        <v>5</v>
      </c>
      <c r="D3800">
        <v>0</v>
      </c>
      <c r="E3800">
        <v>0</v>
      </c>
      <c r="F3800" t="str">
        <f t="shared" si="179"/>
        <v>Lower Risk</v>
      </c>
      <c r="G3800" t="s">
        <v>13</v>
      </c>
      <c r="H3800" t="s">
        <v>16</v>
      </c>
      <c r="I3800" t="s">
        <v>5</v>
      </c>
      <c r="J3800">
        <v>112.11</v>
      </c>
      <c r="K3800">
        <v>20.100000000000001</v>
      </c>
      <c r="L3800" t="s">
        <v>14</v>
      </c>
      <c r="M3800">
        <v>0</v>
      </c>
      <c r="N3800" t="str">
        <f t="shared" si="177"/>
        <v>Under 40</v>
      </c>
      <c r="O3800" t="str">
        <f t="shared" si="178"/>
        <v>Normal</v>
      </c>
    </row>
    <row r="3801" spans="1:15" x14ac:dyDescent="0.3">
      <c r="A3801">
        <v>2029</v>
      </c>
      <c r="B3801" t="s">
        <v>7</v>
      </c>
      <c r="C3801">
        <v>40</v>
      </c>
      <c r="D3801">
        <v>0</v>
      </c>
      <c r="E3801">
        <v>0</v>
      </c>
      <c r="F3801" t="str">
        <f t="shared" si="179"/>
        <v>Lower Risk</v>
      </c>
      <c r="G3801" t="s">
        <v>3</v>
      </c>
      <c r="H3801" t="s">
        <v>4</v>
      </c>
      <c r="I3801" t="s">
        <v>9</v>
      </c>
      <c r="J3801">
        <v>92.35</v>
      </c>
      <c r="K3801">
        <v>38</v>
      </c>
      <c r="L3801" t="s">
        <v>11</v>
      </c>
      <c r="M3801">
        <v>0</v>
      </c>
      <c r="N3801" t="str">
        <f t="shared" si="177"/>
        <v>40–59</v>
      </c>
      <c r="O3801" t="str">
        <f t="shared" si="178"/>
        <v>Obese</v>
      </c>
    </row>
    <row r="3802" spans="1:15" x14ac:dyDescent="0.3">
      <c r="A3802">
        <v>13993</v>
      </c>
      <c r="B3802" t="s">
        <v>7</v>
      </c>
      <c r="C3802">
        <v>19</v>
      </c>
      <c r="D3802">
        <v>0</v>
      </c>
      <c r="E3802">
        <v>0</v>
      </c>
      <c r="F3802" t="str">
        <f t="shared" si="179"/>
        <v>Lower Risk</v>
      </c>
      <c r="G3802" t="s">
        <v>13</v>
      </c>
      <c r="H3802" t="s">
        <v>4</v>
      </c>
      <c r="I3802" t="s">
        <v>5</v>
      </c>
      <c r="J3802">
        <v>76.569999999999993</v>
      </c>
      <c r="K3802">
        <v>26.6</v>
      </c>
      <c r="L3802" t="s">
        <v>14</v>
      </c>
      <c r="M3802">
        <v>0</v>
      </c>
      <c r="N3802" t="str">
        <f t="shared" si="177"/>
        <v>Under 40</v>
      </c>
      <c r="O3802" t="str">
        <f t="shared" si="178"/>
        <v>Overweight</v>
      </c>
    </row>
    <row r="3803" spans="1:15" x14ac:dyDescent="0.3">
      <c r="A3803">
        <v>18876</v>
      </c>
      <c r="B3803" t="s">
        <v>7</v>
      </c>
      <c r="C3803">
        <v>28</v>
      </c>
      <c r="D3803">
        <v>0</v>
      </c>
      <c r="E3803">
        <v>0</v>
      </c>
      <c r="F3803" t="str">
        <f t="shared" si="179"/>
        <v>Lower Risk</v>
      </c>
      <c r="G3803" t="s">
        <v>3</v>
      </c>
      <c r="H3803" t="s">
        <v>4</v>
      </c>
      <c r="I3803" t="s">
        <v>5</v>
      </c>
      <c r="J3803">
        <v>69.5</v>
      </c>
      <c r="K3803">
        <v>24.5</v>
      </c>
      <c r="L3803" t="s">
        <v>11</v>
      </c>
      <c r="M3803">
        <v>0</v>
      </c>
      <c r="N3803" t="str">
        <f t="shared" si="177"/>
        <v>Under 40</v>
      </c>
      <c r="O3803" t="str">
        <f t="shared" si="178"/>
        <v>Normal</v>
      </c>
    </row>
    <row r="3804" spans="1:15" x14ac:dyDescent="0.3">
      <c r="A3804">
        <v>22865</v>
      </c>
      <c r="B3804" t="s">
        <v>7</v>
      </c>
      <c r="C3804">
        <v>61</v>
      </c>
      <c r="D3804">
        <v>0</v>
      </c>
      <c r="E3804">
        <v>0</v>
      </c>
      <c r="F3804" t="str">
        <f t="shared" si="179"/>
        <v>Moderate Risk</v>
      </c>
      <c r="G3804" t="s">
        <v>3</v>
      </c>
      <c r="H3804" t="s">
        <v>4</v>
      </c>
      <c r="I3804" t="s">
        <v>9</v>
      </c>
      <c r="J3804">
        <v>219.38</v>
      </c>
      <c r="K3804" t="s">
        <v>10</v>
      </c>
      <c r="L3804" t="s">
        <v>11</v>
      </c>
      <c r="M3804">
        <v>0</v>
      </c>
      <c r="N3804" t="str">
        <f t="shared" si="177"/>
        <v>60+</v>
      </c>
      <c r="O3804" t="str">
        <f t="shared" si="178"/>
        <v>Unknown</v>
      </c>
    </row>
    <row r="3805" spans="1:15" x14ac:dyDescent="0.3">
      <c r="A3805">
        <v>365</v>
      </c>
      <c r="B3805" t="s">
        <v>7</v>
      </c>
      <c r="C3805">
        <v>44</v>
      </c>
      <c r="D3805">
        <v>1</v>
      </c>
      <c r="E3805">
        <v>0</v>
      </c>
      <c r="F3805" t="str">
        <f t="shared" si="179"/>
        <v>Lower Risk</v>
      </c>
      <c r="G3805" t="s">
        <v>3</v>
      </c>
      <c r="H3805" t="s">
        <v>4</v>
      </c>
      <c r="I3805" t="s">
        <v>9</v>
      </c>
      <c r="J3805">
        <v>69.48</v>
      </c>
      <c r="K3805">
        <v>41.3</v>
      </c>
      <c r="L3805" t="s">
        <v>11</v>
      </c>
      <c r="M3805">
        <v>0</v>
      </c>
      <c r="N3805" t="str">
        <f t="shared" si="177"/>
        <v>40–59</v>
      </c>
      <c r="O3805" t="str">
        <f t="shared" si="178"/>
        <v>Obese</v>
      </c>
    </row>
    <row r="3806" spans="1:15" x14ac:dyDescent="0.3">
      <c r="A3806">
        <v>37631</v>
      </c>
      <c r="B3806" t="s">
        <v>2</v>
      </c>
      <c r="C3806">
        <v>50</v>
      </c>
      <c r="D3806">
        <v>0</v>
      </c>
      <c r="E3806">
        <v>0</v>
      </c>
      <c r="F3806" t="str">
        <f t="shared" si="179"/>
        <v>Lower Risk</v>
      </c>
      <c r="G3806" t="s">
        <v>3</v>
      </c>
      <c r="H3806" t="s">
        <v>15</v>
      </c>
      <c r="I3806" t="s">
        <v>5</v>
      </c>
      <c r="J3806">
        <v>89.18</v>
      </c>
      <c r="K3806">
        <v>34.799999999999997</v>
      </c>
      <c r="L3806" t="s">
        <v>12</v>
      </c>
      <c r="M3806">
        <v>0</v>
      </c>
      <c r="N3806" t="str">
        <f t="shared" si="177"/>
        <v>40–59</v>
      </c>
      <c r="O3806" t="str">
        <f t="shared" si="178"/>
        <v>Obese</v>
      </c>
    </row>
    <row r="3807" spans="1:15" x14ac:dyDescent="0.3">
      <c r="A3807">
        <v>5500</v>
      </c>
      <c r="B3807" t="s">
        <v>7</v>
      </c>
      <c r="C3807">
        <v>50</v>
      </c>
      <c r="D3807">
        <v>0</v>
      </c>
      <c r="E3807">
        <v>1</v>
      </c>
      <c r="F3807" t="str">
        <f t="shared" si="179"/>
        <v>Lower Risk</v>
      </c>
      <c r="G3807" t="s">
        <v>3</v>
      </c>
      <c r="H3807" t="s">
        <v>15</v>
      </c>
      <c r="I3807" t="s">
        <v>5</v>
      </c>
      <c r="J3807">
        <v>68.09</v>
      </c>
      <c r="K3807">
        <v>35.5</v>
      </c>
      <c r="L3807" t="s">
        <v>12</v>
      </c>
      <c r="M3807">
        <v>0</v>
      </c>
      <c r="N3807" t="str">
        <f t="shared" si="177"/>
        <v>40–59</v>
      </c>
      <c r="O3807" t="str">
        <f t="shared" si="178"/>
        <v>Obese</v>
      </c>
    </row>
    <row r="3808" spans="1:15" x14ac:dyDescent="0.3">
      <c r="A3808">
        <v>53217</v>
      </c>
      <c r="B3808" t="s">
        <v>7</v>
      </c>
      <c r="C3808">
        <v>18</v>
      </c>
      <c r="D3808">
        <v>0</v>
      </c>
      <c r="E3808">
        <v>0</v>
      </c>
      <c r="F3808" t="str">
        <f t="shared" si="179"/>
        <v>Lower Risk</v>
      </c>
      <c r="G3808" t="s">
        <v>13</v>
      </c>
      <c r="H3808" t="s">
        <v>4</v>
      </c>
      <c r="I3808" t="s">
        <v>9</v>
      </c>
      <c r="J3808">
        <v>92.71</v>
      </c>
      <c r="K3808">
        <v>24.1</v>
      </c>
      <c r="L3808" t="s">
        <v>14</v>
      </c>
      <c r="M3808">
        <v>0</v>
      </c>
      <c r="N3808" t="str">
        <f t="shared" si="177"/>
        <v>Under 40</v>
      </c>
      <c r="O3808" t="str">
        <f t="shared" si="178"/>
        <v>Normal</v>
      </c>
    </row>
    <row r="3809" spans="1:15" x14ac:dyDescent="0.3">
      <c r="A3809">
        <v>56712</v>
      </c>
      <c r="B3809" t="s">
        <v>2</v>
      </c>
      <c r="C3809">
        <v>1.64</v>
      </c>
      <c r="D3809">
        <v>0</v>
      </c>
      <c r="E3809">
        <v>0</v>
      </c>
      <c r="F3809" t="str">
        <f t="shared" si="179"/>
        <v>Lower Risk</v>
      </c>
      <c r="G3809" t="s">
        <v>13</v>
      </c>
      <c r="H3809" t="s">
        <v>16</v>
      </c>
      <c r="I3809" t="s">
        <v>9</v>
      </c>
      <c r="J3809">
        <v>56.21</v>
      </c>
      <c r="K3809">
        <v>19</v>
      </c>
      <c r="L3809" t="s">
        <v>14</v>
      </c>
      <c r="M3809">
        <v>0</v>
      </c>
      <c r="N3809" t="str">
        <f t="shared" si="177"/>
        <v>Under 40</v>
      </c>
      <c r="O3809" t="str">
        <f t="shared" si="178"/>
        <v>Normal</v>
      </c>
    </row>
    <row r="3810" spans="1:15" x14ac:dyDescent="0.3">
      <c r="A3810">
        <v>10055</v>
      </c>
      <c r="B3810" t="s">
        <v>7</v>
      </c>
      <c r="C3810">
        <v>37</v>
      </c>
      <c r="D3810">
        <v>0</v>
      </c>
      <c r="E3810">
        <v>0</v>
      </c>
      <c r="F3810" t="str">
        <f t="shared" si="179"/>
        <v>Lower Risk</v>
      </c>
      <c r="G3810" t="s">
        <v>13</v>
      </c>
      <c r="H3810" t="s">
        <v>15</v>
      </c>
      <c r="I3810" t="s">
        <v>9</v>
      </c>
      <c r="J3810">
        <v>72.08</v>
      </c>
      <c r="K3810" t="s">
        <v>10</v>
      </c>
      <c r="L3810" t="s">
        <v>6</v>
      </c>
      <c r="M3810">
        <v>0</v>
      </c>
      <c r="N3810" t="str">
        <f t="shared" si="177"/>
        <v>Under 40</v>
      </c>
      <c r="O3810" t="str">
        <f t="shared" si="178"/>
        <v>Unknown</v>
      </c>
    </row>
    <row r="3811" spans="1:15" x14ac:dyDescent="0.3">
      <c r="A3811">
        <v>4959</v>
      </c>
      <c r="B3811" t="s">
        <v>7</v>
      </c>
      <c r="C3811">
        <v>5</v>
      </c>
      <c r="D3811">
        <v>0</v>
      </c>
      <c r="E3811">
        <v>0</v>
      </c>
      <c r="F3811" t="str">
        <f t="shared" si="179"/>
        <v>Lower Risk</v>
      </c>
      <c r="G3811" t="s">
        <v>13</v>
      </c>
      <c r="H3811" t="s">
        <v>16</v>
      </c>
      <c r="I3811" t="s">
        <v>5</v>
      </c>
      <c r="J3811">
        <v>82.56</v>
      </c>
      <c r="K3811">
        <v>16.600000000000001</v>
      </c>
      <c r="L3811" t="s">
        <v>14</v>
      </c>
      <c r="M3811">
        <v>0</v>
      </c>
      <c r="N3811" t="str">
        <f t="shared" si="177"/>
        <v>Under 40</v>
      </c>
      <c r="O3811" t="str">
        <f t="shared" si="178"/>
        <v>Underweight</v>
      </c>
    </row>
    <row r="3812" spans="1:15" x14ac:dyDescent="0.3">
      <c r="A3812">
        <v>22155</v>
      </c>
      <c r="B3812" t="s">
        <v>7</v>
      </c>
      <c r="C3812">
        <v>39</v>
      </c>
      <c r="D3812">
        <v>0</v>
      </c>
      <c r="E3812">
        <v>0</v>
      </c>
      <c r="F3812" t="str">
        <f t="shared" si="179"/>
        <v>Lower Risk</v>
      </c>
      <c r="G3812" t="s">
        <v>3</v>
      </c>
      <c r="H3812" t="s">
        <v>4</v>
      </c>
      <c r="I3812" t="s">
        <v>5</v>
      </c>
      <c r="J3812">
        <v>78.239999999999995</v>
      </c>
      <c r="K3812">
        <v>28.6</v>
      </c>
      <c r="L3812" t="s">
        <v>14</v>
      </c>
      <c r="M3812">
        <v>0</v>
      </c>
      <c r="N3812" t="str">
        <f t="shared" si="177"/>
        <v>Under 40</v>
      </c>
      <c r="O3812" t="str">
        <f t="shared" si="178"/>
        <v>Overweight</v>
      </c>
    </row>
    <row r="3813" spans="1:15" x14ac:dyDescent="0.3">
      <c r="A3813">
        <v>22860</v>
      </c>
      <c r="B3813" t="s">
        <v>7</v>
      </c>
      <c r="C3813">
        <v>65</v>
      </c>
      <c r="D3813">
        <v>0</v>
      </c>
      <c r="E3813">
        <v>0</v>
      </c>
      <c r="F3813" t="str">
        <f t="shared" si="179"/>
        <v>Moderate Risk</v>
      </c>
      <c r="G3813" t="s">
        <v>3</v>
      </c>
      <c r="H3813" t="s">
        <v>15</v>
      </c>
      <c r="I3813" t="s">
        <v>9</v>
      </c>
      <c r="J3813">
        <v>84.66</v>
      </c>
      <c r="K3813">
        <v>22.4</v>
      </c>
      <c r="L3813" t="s">
        <v>11</v>
      </c>
      <c r="M3813">
        <v>0</v>
      </c>
      <c r="N3813" t="str">
        <f t="shared" si="177"/>
        <v>60+</v>
      </c>
      <c r="O3813" t="str">
        <f t="shared" si="178"/>
        <v>Normal</v>
      </c>
    </row>
    <row r="3814" spans="1:15" x14ac:dyDescent="0.3">
      <c r="A3814">
        <v>6960</v>
      </c>
      <c r="B3814" t="s">
        <v>7</v>
      </c>
      <c r="C3814">
        <v>26</v>
      </c>
      <c r="D3814">
        <v>0</v>
      </c>
      <c r="E3814">
        <v>0</v>
      </c>
      <c r="F3814" t="str">
        <f t="shared" si="179"/>
        <v>Lower Risk</v>
      </c>
      <c r="G3814" t="s">
        <v>13</v>
      </c>
      <c r="H3814" t="s">
        <v>15</v>
      </c>
      <c r="I3814" t="s">
        <v>5</v>
      </c>
      <c r="J3814">
        <v>90.35</v>
      </c>
      <c r="K3814">
        <v>38.6</v>
      </c>
      <c r="L3814" t="s">
        <v>14</v>
      </c>
      <c r="M3814">
        <v>0</v>
      </c>
      <c r="N3814" t="str">
        <f t="shared" si="177"/>
        <v>Under 40</v>
      </c>
      <c r="O3814" t="str">
        <f t="shared" si="178"/>
        <v>Obese</v>
      </c>
    </row>
    <row r="3815" spans="1:15" x14ac:dyDescent="0.3">
      <c r="A3815">
        <v>57209</v>
      </c>
      <c r="B3815" t="s">
        <v>2</v>
      </c>
      <c r="C3815">
        <v>42</v>
      </c>
      <c r="D3815">
        <v>0</v>
      </c>
      <c r="E3815">
        <v>0</v>
      </c>
      <c r="F3815" t="str">
        <f t="shared" si="179"/>
        <v>Lower Risk</v>
      </c>
      <c r="G3815" t="s">
        <v>3</v>
      </c>
      <c r="H3815" t="s">
        <v>15</v>
      </c>
      <c r="I3815" t="s">
        <v>9</v>
      </c>
      <c r="J3815">
        <v>68.12</v>
      </c>
      <c r="K3815">
        <v>32</v>
      </c>
      <c r="L3815" t="s">
        <v>14</v>
      </c>
      <c r="M3815">
        <v>0</v>
      </c>
      <c r="N3815" t="str">
        <f t="shared" si="177"/>
        <v>40–59</v>
      </c>
      <c r="O3815" t="str">
        <f t="shared" si="178"/>
        <v>Obese</v>
      </c>
    </row>
    <row r="3816" spans="1:15" x14ac:dyDescent="0.3">
      <c r="A3816">
        <v>66581</v>
      </c>
      <c r="B3816" t="s">
        <v>7</v>
      </c>
      <c r="C3816">
        <v>34</v>
      </c>
      <c r="D3816">
        <v>0</v>
      </c>
      <c r="E3816">
        <v>0</v>
      </c>
      <c r="F3816" t="str">
        <f t="shared" si="179"/>
        <v>Lower Risk</v>
      </c>
      <c r="G3816" t="s">
        <v>3</v>
      </c>
      <c r="H3816" t="s">
        <v>4</v>
      </c>
      <c r="I3816" t="s">
        <v>9</v>
      </c>
      <c r="J3816">
        <v>59.14</v>
      </c>
      <c r="K3816">
        <v>40.1</v>
      </c>
      <c r="L3816" t="s">
        <v>11</v>
      </c>
      <c r="M3816">
        <v>0</v>
      </c>
      <c r="N3816" t="str">
        <f t="shared" si="177"/>
        <v>Under 40</v>
      </c>
      <c r="O3816" t="str">
        <f t="shared" si="178"/>
        <v>Obese</v>
      </c>
    </row>
    <row r="3817" spans="1:15" x14ac:dyDescent="0.3">
      <c r="A3817">
        <v>17347</v>
      </c>
      <c r="B3817" t="s">
        <v>7</v>
      </c>
      <c r="C3817">
        <v>45</v>
      </c>
      <c r="D3817">
        <v>0</v>
      </c>
      <c r="E3817">
        <v>0</v>
      </c>
      <c r="F3817" t="str">
        <f t="shared" si="179"/>
        <v>Lower Risk</v>
      </c>
      <c r="G3817" t="s">
        <v>3</v>
      </c>
      <c r="H3817" t="s">
        <v>15</v>
      </c>
      <c r="I3817" t="s">
        <v>5</v>
      </c>
      <c r="J3817">
        <v>85.64</v>
      </c>
      <c r="K3817">
        <v>32</v>
      </c>
      <c r="L3817" t="s">
        <v>6</v>
      </c>
      <c r="M3817">
        <v>0</v>
      </c>
      <c r="N3817" t="str">
        <f t="shared" si="177"/>
        <v>40–59</v>
      </c>
      <c r="O3817" t="str">
        <f t="shared" si="178"/>
        <v>Obese</v>
      </c>
    </row>
    <row r="3818" spans="1:15" x14ac:dyDescent="0.3">
      <c r="A3818">
        <v>58422</v>
      </c>
      <c r="B3818" t="s">
        <v>2</v>
      </c>
      <c r="C3818">
        <v>43</v>
      </c>
      <c r="D3818">
        <v>0</v>
      </c>
      <c r="E3818">
        <v>0</v>
      </c>
      <c r="F3818" t="str">
        <f t="shared" si="179"/>
        <v>Lower Risk</v>
      </c>
      <c r="G3818" t="s">
        <v>3</v>
      </c>
      <c r="H3818" t="s">
        <v>15</v>
      </c>
      <c r="I3818" t="s">
        <v>9</v>
      </c>
      <c r="J3818">
        <v>56.08</v>
      </c>
      <c r="K3818">
        <v>23.9</v>
      </c>
      <c r="L3818" t="s">
        <v>14</v>
      </c>
      <c r="M3818">
        <v>0</v>
      </c>
      <c r="N3818" t="str">
        <f t="shared" si="177"/>
        <v>40–59</v>
      </c>
      <c r="O3818" t="str">
        <f t="shared" si="178"/>
        <v>Normal</v>
      </c>
    </row>
    <row r="3819" spans="1:15" x14ac:dyDescent="0.3">
      <c r="A3819">
        <v>19043</v>
      </c>
      <c r="B3819" t="s">
        <v>7</v>
      </c>
      <c r="C3819">
        <v>40</v>
      </c>
      <c r="D3819">
        <v>0</v>
      </c>
      <c r="E3819">
        <v>0</v>
      </c>
      <c r="F3819" t="str">
        <f t="shared" si="179"/>
        <v>Lower Risk</v>
      </c>
      <c r="G3819" t="s">
        <v>13</v>
      </c>
      <c r="H3819" t="s">
        <v>4</v>
      </c>
      <c r="I3819" t="s">
        <v>9</v>
      </c>
      <c r="J3819">
        <v>99</v>
      </c>
      <c r="K3819">
        <v>25</v>
      </c>
      <c r="L3819" t="s">
        <v>11</v>
      </c>
      <c r="M3819">
        <v>0</v>
      </c>
      <c r="N3819" t="str">
        <f t="shared" si="177"/>
        <v>40–59</v>
      </c>
      <c r="O3819" t="str">
        <f t="shared" si="178"/>
        <v>Overweight</v>
      </c>
    </row>
    <row r="3820" spans="1:15" x14ac:dyDescent="0.3">
      <c r="A3820">
        <v>52897</v>
      </c>
      <c r="B3820" t="s">
        <v>2</v>
      </c>
      <c r="C3820">
        <v>35</v>
      </c>
      <c r="D3820">
        <v>0</v>
      </c>
      <c r="E3820">
        <v>0</v>
      </c>
      <c r="F3820" t="str">
        <f t="shared" si="179"/>
        <v>Lower Risk</v>
      </c>
      <c r="G3820" t="s">
        <v>13</v>
      </c>
      <c r="H3820" t="s">
        <v>4</v>
      </c>
      <c r="I3820" t="s">
        <v>5</v>
      </c>
      <c r="J3820">
        <v>93.6</v>
      </c>
      <c r="K3820">
        <v>28.5</v>
      </c>
      <c r="L3820" t="s">
        <v>12</v>
      </c>
      <c r="M3820">
        <v>0</v>
      </c>
      <c r="N3820" t="str">
        <f t="shared" si="177"/>
        <v>Under 40</v>
      </c>
      <c r="O3820" t="str">
        <f t="shared" si="178"/>
        <v>Overweight</v>
      </c>
    </row>
    <row r="3821" spans="1:15" x14ac:dyDescent="0.3">
      <c r="A3821">
        <v>16329</v>
      </c>
      <c r="B3821" t="s">
        <v>7</v>
      </c>
      <c r="C3821">
        <v>2</v>
      </c>
      <c r="D3821">
        <v>0</v>
      </c>
      <c r="E3821">
        <v>0</v>
      </c>
      <c r="F3821" t="str">
        <f t="shared" si="179"/>
        <v>Lower Risk</v>
      </c>
      <c r="G3821" t="s">
        <v>13</v>
      </c>
      <c r="H3821" t="s">
        <v>16</v>
      </c>
      <c r="I3821" t="s">
        <v>5</v>
      </c>
      <c r="J3821">
        <v>105.75</v>
      </c>
      <c r="K3821">
        <v>19.8</v>
      </c>
      <c r="L3821" t="s">
        <v>14</v>
      </c>
      <c r="M3821">
        <v>0</v>
      </c>
      <c r="N3821" t="str">
        <f t="shared" si="177"/>
        <v>Under 40</v>
      </c>
      <c r="O3821" t="str">
        <f t="shared" si="178"/>
        <v>Normal</v>
      </c>
    </row>
    <row r="3822" spans="1:15" x14ac:dyDescent="0.3">
      <c r="A3822">
        <v>40353</v>
      </c>
      <c r="B3822" t="s">
        <v>7</v>
      </c>
      <c r="C3822">
        <v>61</v>
      </c>
      <c r="D3822">
        <v>0</v>
      </c>
      <c r="E3822">
        <v>0</v>
      </c>
      <c r="F3822" t="str">
        <f t="shared" si="179"/>
        <v>Moderate Risk</v>
      </c>
      <c r="G3822" t="s">
        <v>3</v>
      </c>
      <c r="H3822" t="s">
        <v>4</v>
      </c>
      <c r="I3822" t="s">
        <v>5</v>
      </c>
      <c r="J3822">
        <v>114.09</v>
      </c>
      <c r="K3822">
        <v>25.7</v>
      </c>
      <c r="L3822" t="s">
        <v>11</v>
      </c>
      <c r="M3822">
        <v>0</v>
      </c>
      <c r="N3822" t="str">
        <f t="shared" si="177"/>
        <v>60+</v>
      </c>
      <c r="O3822" t="str">
        <f t="shared" si="178"/>
        <v>Overweight</v>
      </c>
    </row>
    <row r="3823" spans="1:15" x14ac:dyDescent="0.3">
      <c r="A3823">
        <v>56778</v>
      </c>
      <c r="B3823" t="s">
        <v>2</v>
      </c>
      <c r="C3823">
        <v>64</v>
      </c>
      <c r="D3823">
        <v>1</v>
      </c>
      <c r="E3823">
        <v>0</v>
      </c>
      <c r="F3823" t="str">
        <f t="shared" si="179"/>
        <v>High Risk</v>
      </c>
      <c r="G3823" t="s">
        <v>3</v>
      </c>
      <c r="H3823" t="s">
        <v>4</v>
      </c>
      <c r="I3823" t="s">
        <v>5</v>
      </c>
      <c r="J3823">
        <v>57.42</v>
      </c>
      <c r="K3823">
        <v>28</v>
      </c>
      <c r="L3823" t="s">
        <v>12</v>
      </c>
      <c r="M3823">
        <v>0</v>
      </c>
      <c r="N3823" t="str">
        <f t="shared" si="177"/>
        <v>60+</v>
      </c>
      <c r="O3823" t="str">
        <f t="shared" si="178"/>
        <v>Overweight</v>
      </c>
    </row>
    <row r="3824" spans="1:15" x14ac:dyDescent="0.3">
      <c r="A3824">
        <v>41153</v>
      </c>
      <c r="B3824" t="s">
        <v>7</v>
      </c>
      <c r="C3824">
        <v>32</v>
      </c>
      <c r="D3824">
        <v>0</v>
      </c>
      <c r="E3824">
        <v>0</v>
      </c>
      <c r="F3824" t="str">
        <f t="shared" si="179"/>
        <v>Lower Risk</v>
      </c>
      <c r="G3824" t="s">
        <v>3</v>
      </c>
      <c r="H3824" t="s">
        <v>4</v>
      </c>
      <c r="I3824" t="s">
        <v>5</v>
      </c>
      <c r="J3824">
        <v>100.01</v>
      </c>
      <c r="K3824">
        <v>37.200000000000003</v>
      </c>
      <c r="L3824" t="s">
        <v>11</v>
      </c>
      <c r="M3824">
        <v>0</v>
      </c>
      <c r="N3824" t="str">
        <f t="shared" si="177"/>
        <v>Under 40</v>
      </c>
      <c r="O3824" t="str">
        <f t="shared" si="178"/>
        <v>Obese</v>
      </c>
    </row>
    <row r="3825" spans="1:15" x14ac:dyDescent="0.3">
      <c r="A3825">
        <v>63725</v>
      </c>
      <c r="B3825" t="s">
        <v>2</v>
      </c>
      <c r="C3825">
        <v>23</v>
      </c>
      <c r="D3825">
        <v>0</v>
      </c>
      <c r="E3825">
        <v>0</v>
      </c>
      <c r="F3825" t="str">
        <f t="shared" si="179"/>
        <v>Lower Risk</v>
      </c>
      <c r="G3825" t="s">
        <v>13</v>
      </c>
      <c r="H3825" t="s">
        <v>4</v>
      </c>
      <c r="I3825" t="s">
        <v>5</v>
      </c>
      <c r="J3825">
        <v>62</v>
      </c>
      <c r="K3825">
        <v>24.8</v>
      </c>
      <c r="L3825" t="s">
        <v>6</v>
      </c>
      <c r="M3825">
        <v>0</v>
      </c>
      <c r="N3825" t="str">
        <f t="shared" si="177"/>
        <v>Under 40</v>
      </c>
      <c r="O3825" t="str">
        <f t="shared" si="178"/>
        <v>Normal</v>
      </c>
    </row>
    <row r="3826" spans="1:15" x14ac:dyDescent="0.3">
      <c r="A3826">
        <v>19675</v>
      </c>
      <c r="B3826" t="s">
        <v>7</v>
      </c>
      <c r="C3826">
        <v>51</v>
      </c>
      <c r="D3826">
        <v>0</v>
      </c>
      <c r="E3826">
        <v>0</v>
      </c>
      <c r="F3826" t="str">
        <f t="shared" si="179"/>
        <v>Lower Risk</v>
      </c>
      <c r="G3826" t="s">
        <v>3</v>
      </c>
      <c r="H3826" t="s">
        <v>8</v>
      </c>
      <c r="I3826" t="s">
        <v>9</v>
      </c>
      <c r="J3826">
        <v>103.61</v>
      </c>
      <c r="K3826">
        <v>39.200000000000003</v>
      </c>
      <c r="L3826" t="s">
        <v>11</v>
      </c>
      <c r="M3826">
        <v>0</v>
      </c>
      <c r="N3826" t="str">
        <f t="shared" si="177"/>
        <v>40–59</v>
      </c>
      <c r="O3826" t="str">
        <f t="shared" si="178"/>
        <v>Obese</v>
      </c>
    </row>
    <row r="3827" spans="1:15" x14ac:dyDescent="0.3">
      <c r="A3827">
        <v>72784</v>
      </c>
      <c r="B3827" t="s">
        <v>7</v>
      </c>
      <c r="C3827">
        <v>52</v>
      </c>
      <c r="D3827">
        <v>0</v>
      </c>
      <c r="E3827">
        <v>0</v>
      </c>
      <c r="F3827" t="str">
        <f t="shared" si="179"/>
        <v>Lower Risk</v>
      </c>
      <c r="G3827" t="s">
        <v>3</v>
      </c>
      <c r="H3827" t="s">
        <v>4</v>
      </c>
      <c r="I3827" t="s">
        <v>9</v>
      </c>
      <c r="J3827">
        <v>118.46</v>
      </c>
      <c r="K3827">
        <v>61.6</v>
      </c>
      <c r="L3827" t="s">
        <v>12</v>
      </c>
      <c r="M3827">
        <v>0</v>
      </c>
      <c r="N3827" t="str">
        <f t="shared" si="177"/>
        <v>40–59</v>
      </c>
      <c r="O3827" t="str">
        <f t="shared" si="178"/>
        <v>Obese</v>
      </c>
    </row>
    <row r="3828" spans="1:15" x14ac:dyDescent="0.3">
      <c r="A3828">
        <v>8541</v>
      </c>
      <c r="B3828" t="s">
        <v>7</v>
      </c>
      <c r="C3828">
        <v>75</v>
      </c>
      <c r="D3828">
        <v>0</v>
      </c>
      <c r="E3828">
        <v>0</v>
      </c>
      <c r="F3828" t="str">
        <f t="shared" si="179"/>
        <v>Moderate Risk</v>
      </c>
      <c r="G3828" t="s">
        <v>3</v>
      </c>
      <c r="H3828" t="s">
        <v>15</v>
      </c>
      <c r="I3828" t="s">
        <v>9</v>
      </c>
      <c r="J3828">
        <v>94.77</v>
      </c>
      <c r="K3828">
        <v>27.2</v>
      </c>
      <c r="L3828" t="s">
        <v>11</v>
      </c>
      <c r="M3828">
        <v>0</v>
      </c>
      <c r="N3828" t="str">
        <f t="shared" si="177"/>
        <v>60+</v>
      </c>
      <c r="O3828" t="str">
        <f t="shared" si="178"/>
        <v>Overweight</v>
      </c>
    </row>
    <row r="3829" spans="1:15" x14ac:dyDescent="0.3">
      <c r="A3829">
        <v>45565</v>
      </c>
      <c r="B3829" t="s">
        <v>7</v>
      </c>
      <c r="C3829">
        <v>40</v>
      </c>
      <c r="D3829">
        <v>0</v>
      </c>
      <c r="E3829">
        <v>0</v>
      </c>
      <c r="F3829" t="str">
        <f t="shared" si="179"/>
        <v>Lower Risk</v>
      </c>
      <c r="G3829" t="s">
        <v>3</v>
      </c>
      <c r="H3829" t="s">
        <v>4</v>
      </c>
      <c r="I3829" t="s">
        <v>5</v>
      </c>
      <c r="J3829">
        <v>72.12</v>
      </c>
      <c r="K3829">
        <v>38</v>
      </c>
      <c r="L3829" t="s">
        <v>11</v>
      </c>
      <c r="M3829">
        <v>0</v>
      </c>
      <c r="N3829" t="str">
        <f t="shared" si="177"/>
        <v>40–59</v>
      </c>
      <c r="O3829" t="str">
        <f t="shared" si="178"/>
        <v>Obese</v>
      </c>
    </row>
    <row r="3830" spans="1:15" x14ac:dyDescent="0.3">
      <c r="A3830">
        <v>36431</v>
      </c>
      <c r="B3830" t="s">
        <v>2</v>
      </c>
      <c r="C3830">
        <v>39</v>
      </c>
      <c r="D3830">
        <v>0</v>
      </c>
      <c r="E3830">
        <v>0</v>
      </c>
      <c r="F3830" t="str">
        <f t="shared" si="179"/>
        <v>Lower Risk</v>
      </c>
      <c r="G3830" t="s">
        <v>3</v>
      </c>
      <c r="H3830" t="s">
        <v>15</v>
      </c>
      <c r="I3830" t="s">
        <v>9</v>
      </c>
      <c r="J3830">
        <v>155.22999999999999</v>
      </c>
      <c r="K3830">
        <v>36.200000000000003</v>
      </c>
      <c r="L3830" t="s">
        <v>11</v>
      </c>
      <c r="M3830">
        <v>0</v>
      </c>
      <c r="N3830" t="str">
        <f t="shared" si="177"/>
        <v>Under 40</v>
      </c>
      <c r="O3830" t="str">
        <f t="shared" si="178"/>
        <v>Obese</v>
      </c>
    </row>
    <row r="3831" spans="1:15" x14ac:dyDescent="0.3">
      <c r="A3831">
        <v>6171</v>
      </c>
      <c r="B3831" t="s">
        <v>2</v>
      </c>
      <c r="C3831">
        <v>6</v>
      </c>
      <c r="D3831">
        <v>0</v>
      </c>
      <c r="E3831">
        <v>0</v>
      </c>
      <c r="F3831" t="str">
        <f t="shared" si="179"/>
        <v>Lower Risk</v>
      </c>
      <c r="G3831" t="s">
        <v>13</v>
      </c>
      <c r="H3831" t="s">
        <v>16</v>
      </c>
      <c r="I3831" t="s">
        <v>5</v>
      </c>
      <c r="J3831">
        <v>90.6</v>
      </c>
      <c r="K3831">
        <v>16.600000000000001</v>
      </c>
      <c r="L3831" t="s">
        <v>14</v>
      </c>
      <c r="M3831">
        <v>0</v>
      </c>
      <c r="N3831" t="str">
        <f t="shared" si="177"/>
        <v>Under 40</v>
      </c>
      <c r="O3831" t="str">
        <f t="shared" si="178"/>
        <v>Underweight</v>
      </c>
    </row>
    <row r="3832" spans="1:15" x14ac:dyDescent="0.3">
      <c r="A3832">
        <v>29419</v>
      </c>
      <c r="B3832" t="s">
        <v>7</v>
      </c>
      <c r="C3832">
        <v>32</v>
      </c>
      <c r="D3832">
        <v>0</v>
      </c>
      <c r="E3832">
        <v>0</v>
      </c>
      <c r="F3832" t="str">
        <f t="shared" si="179"/>
        <v>Lower Risk</v>
      </c>
      <c r="G3832" t="s">
        <v>3</v>
      </c>
      <c r="H3832" t="s">
        <v>4</v>
      </c>
      <c r="I3832" t="s">
        <v>5</v>
      </c>
      <c r="J3832">
        <v>81.92</v>
      </c>
      <c r="K3832">
        <v>38</v>
      </c>
      <c r="L3832" t="s">
        <v>11</v>
      </c>
      <c r="M3832">
        <v>0</v>
      </c>
      <c r="N3832" t="str">
        <f t="shared" si="177"/>
        <v>Under 40</v>
      </c>
      <c r="O3832" t="str">
        <f t="shared" si="178"/>
        <v>Obese</v>
      </c>
    </row>
    <row r="3833" spans="1:15" x14ac:dyDescent="0.3">
      <c r="A3833">
        <v>65673</v>
      </c>
      <c r="B3833" t="s">
        <v>7</v>
      </c>
      <c r="C3833">
        <v>55</v>
      </c>
      <c r="D3833">
        <v>0</v>
      </c>
      <c r="E3833">
        <v>0</v>
      </c>
      <c r="F3833" t="str">
        <f t="shared" si="179"/>
        <v>Lower Risk</v>
      </c>
      <c r="G3833" t="s">
        <v>13</v>
      </c>
      <c r="H3833" t="s">
        <v>8</v>
      </c>
      <c r="I3833" t="s">
        <v>9</v>
      </c>
      <c r="J3833">
        <v>67.099999999999994</v>
      </c>
      <c r="K3833">
        <v>31.4</v>
      </c>
      <c r="L3833" t="s">
        <v>11</v>
      </c>
      <c r="M3833">
        <v>0</v>
      </c>
      <c r="N3833" t="str">
        <f t="shared" si="177"/>
        <v>40–59</v>
      </c>
      <c r="O3833" t="str">
        <f t="shared" si="178"/>
        <v>Obese</v>
      </c>
    </row>
    <row r="3834" spans="1:15" x14ac:dyDescent="0.3">
      <c r="A3834">
        <v>64662</v>
      </c>
      <c r="B3834" t="s">
        <v>7</v>
      </c>
      <c r="C3834">
        <v>23</v>
      </c>
      <c r="D3834">
        <v>0</v>
      </c>
      <c r="E3834">
        <v>0</v>
      </c>
      <c r="F3834" t="str">
        <f t="shared" si="179"/>
        <v>Lower Risk</v>
      </c>
      <c r="G3834" t="s">
        <v>13</v>
      </c>
      <c r="H3834" t="s">
        <v>4</v>
      </c>
      <c r="I3834" t="s">
        <v>9</v>
      </c>
      <c r="J3834">
        <v>58.01</v>
      </c>
      <c r="K3834">
        <v>35.299999999999997</v>
      </c>
      <c r="L3834" t="s">
        <v>11</v>
      </c>
      <c r="M3834">
        <v>0</v>
      </c>
      <c r="N3834" t="str">
        <f t="shared" si="177"/>
        <v>Under 40</v>
      </c>
      <c r="O3834" t="str">
        <f t="shared" si="178"/>
        <v>Obese</v>
      </c>
    </row>
    <row r="3835" spans="1:15" x14ac:dyDescent="0.3">
      <c r="A3835">
        <v>51693</v>
      </c>
      <c r="B3835" t="s">
        <v>7</v>
      </c>
      <c r="C3835">
        <v>52</v>
      </c>
      <c r="D3835">
        <v>0</v>
      </c>
      <c r="E3835">
        <v>0</v>
      </c>
      <c r="F3835" t="str">
        <f t="shared" si="179"/>
        <v>Lower Risk</v>
      </c>
      <c r="G3835" t="s">
        <v>3</v>
      </c>
      <c r="H3835" t="s">
        <v>4</v>
      </c>
      <c r="I3835" t="s">
        <v>9</v>
      </c>
      <c r="J3835">
        <v>173.9</v>
      </c>
      <c r="K3835">
        <v>35.799999999999997</v>
      </c>
      <c r="L3835" t="s">
        <v>11</v>
      </c>
      <c r="M3835">
        <v>0</v>
      </c>
      <c r="N3835" t="str">
        <f t="shared" si="177"/>
        <v>40–59</v>
      </c>
      <c r="O3835" t="str">
        <f t="shared" si="178"/>
        <v>Obese</v>
      </c>
    </row>
    <row r="3836" spans="1:15" x14ac:dyDescent="0.3">
      <c r="A3836">
        <v>50495</v>
      </c>
      <c r="B3836" t="s">
        <v>2</v>
      </c>
      <c r="C3836">
        <v>58</v>
      </c>
      <c r="D3836">
        <v>1</v>
      </c>
      <c r="E3836">
        <v>0</v>
      </c>
      <c r="F3836" t="str">
        <f t="shared" si="179"/>
        <v>Lower Risk</v>
      </c>
      <c r="G3836" t="s">
        <v>3</v>
      </c>
      <c r="H3836" t="s">
        <v>4</v>
      </c>
      <c r="I3836" t="s">
        <v>9</v>
      </c>
      <c r="J3836">
        <v>106.27</v>
      </c>
      <c r="K3836">
        <v>28.6</v>
      </c>
      <c r="L3836" t="s">
        <v>11</v>
      </c>
      <c r="M3836">
        <v>0</v>
      </c>
      <c r="N3836" t="str">
        <f t="shared" si="177"/>
        <v>40–59</v>
      </c>
      <c r="O3836" t="str">
        <f t="shared" si="178"/>
        <v>Overweight</v>
      </c>
    </row>
    <row r="3837" spans="1:15" x14ac:dyDescent="0.3">
      <c r="A3837">
        <v>37086</v>
      </c>
      <c r="B3837" t="s">
        <v>2</v>
      </c>
      <c r="C3837">
        <v>17</v>
      </c>
      <c r="D3837">
        <v>0</v>
      </c>
      <c r="E3837">
        <v>0</v>
      </c>
      <c r="F3837" t="str">
        <f t="shared" si="179"/>
        <v>Lower Risk</v>
      </c>
      <c r="G3837" t="s">
        <v>13</v>
      </c>
      <c r="H3837" t="s">
        <v>4</v>
      </c>
      <c r="I3837" t="s">
        <v>9</v>
      </c>
      <c r="J3837">
        <v>60.57</v>
      </c>
      <c r="K3837">
        <v>34</v>
      </c>
      <c r="L3837" t="s">
        <v>14</v>
      </c>
      <c r="M3837">
        <v>0</v>
      </c>
      <c r="N3837" t="str">
        <f t="shared" si="177"/>
        <v>Under 40</v>
      </c>
      <c r="O3837" t="str">
        <f t="shared" si="178"/>
        <v>Obese</v>
      </c>
    </row>
    <row r="3838" spans="1:15" x14ac:dyDescent="0.3">
      <c r="A3838">
        <v>71396</v>
      </c>
      <c r="B3838" t="s">
        <v>2</v>
      </c>
      <c r="C3838">
        <v>3</v>
      </c>
      <c r="D3838">
        <v>0</v>
      </c>
      <c r="E3838">
        <v>0</v>
      </c>
      <c r="F3838" t="str">
        <f t="shared" si="179"/>
        <v>Lower Risk</v>
      </c>
      <c r="G3838" t="s">
        <v>13</v>
      </c>
      <c r="H3838" t="s">
        <v>16</v>
      </c>
      <c r="I3838" t="s">
        <v>5</v>
      </c>
      <c r="J3838">
        <v>105.34</v>
      </c>
      <c r="K3838">
        <v>15.5</v>
      </c>
      <c r="L3838" t="s">
        <v>14</v>
      </c>
      <c r="M3838">
        <v>0</v>
      </c>
      <c r="N3838" t="str">
        <f t="shared" si="177"/>
        <v>Under 40</v>
      </c>
      <c r="O3838" t="str">
        <f t="shared" si="178"/>
        <v>Underweight</v>
      </c>
    </row>
    <row r="3839" spans="1:15" x14ac:dyDescent="0.3">
      <c r="A3839">
        <v>27854</v>
      </c>
      <c r="B3839" t="s">
        <v>7</v>
      </c>
      <c r="C3839">
        <v>23</v>
      </c>
      <c r="D3839">
        <v>0</v>
      </c>
      <c r="E3839">
        <v>0</v>
      </c>
      <c r="F3839" t="str">
        <f t="shared" si="179"/>
        <v>Lower Risk</v>
      </c>
      <c r="G3839" t="s">
        <v>13</v>
      </c>
      <c r="H3839" t="s">
        <v>4</v>
      </c>
      <c r="I3839" t="s">
        <v>9</v>
      </c>
      <c r="J3839">
        <v>96.28</v>
      </c>
      <c r="K3839">
        <v>31.1</v>
      </c>
      <c r="L3839" t="s">
        <v>11</v>
      </c>
      <c r="M3839">
        <v>0</v>
      </c>
      <c r="N3839" t="str">
        <f t="shared" si="177"/>
        <v>Under 40</v>
      </c>
      <c r="O3839" t="str">
        <f t="shared" si="178"/>
        <v>Obese</v>
      </c>
    </row>
    <row r="3840" spans="1:15" x14ac:dyDescent="0.3">
      <c r="A3840">
        <v>53759</v>
      </c>
      <c r="B3840" t="s">
        <v>2</v>
      </c>
      <c r="C3840">
        <v>56</v>
      </c>
      <c r="D3840">
        <v>0</v>
      </c>
      <c r="E3840">
        <v>0</v>
      </c>
      <c r="F3840" t="str">
        <f t="shared" si="179"/>
        <v>Lower Risk</v>
      </c>
      <c r="G3840" t="s">
        <v>3</v>
      </c>
      <c r="H3840" t="s">
        <v>8</v>
      </c>
      <c r="I3840" t="s">
        <v>5</v>
      </c>
      <c r="J3840">
        <v>122.73</v>
      </c>
      <c r="K3840">
        <v>37.5</v>
      </c>
      <c r="L3840" t="s">
        <v>6</v>
      </c>
      <c r="M3840">
        <v>0</v>
      </c>
      <c r="N3840" t="str">
        <f t="shared" si="177"/>
        <v>40–59</v>
      </c>
      <c r="O3840" t="str">
        <f t="shared" si="178"/>
        <v>Obese</v>
      </c>
    </row>
    <row r="3841" spans="1:15" x14ac:dyDescent="0.3">
      <c r="A3841">
        <v>14407</v>
      </c>
      <c r="B3841" t="s">
        <v>2</v>
      </c>
      <c r="C3841">
        <v>45</v>
      </c>
      <c r="D3841">
        <v>0</v>
      </c>
      <c r="E3841">
        <v>0</v>
      </c>
      <c r="F3841" t="str">
        <f t="shared" si="179"/>
        <v>Lower Risk</v>
      </c>
      <c r="G3841" t="s">
        <v>13</v>
      </c>
      <c r="H3841" t="s">
        <v>8</v>
      </c>
      <c r="I3841" t="s">
        <v>5</v>
      </c>
      <c r="J3841">
        <v>104.12</v>
      </c>
      <c r="K3841">
        <v>37.700000000000003</v>
      </c>
      <c r="L3841" t="s">
        <v>14</v>
      </c>
      <c r="M3841">
        <v>0</v>
      </c>
      <c r="N3841" t="str">
        <f t="shared" si="177"/>
        <v>40–59</v>
      </c>
      <c r="O3841" t="str">
        <f t="shared" si="178"/>
        <v>Obese</v>
      </c>
    </row>
    <row r="3842" spans="1:15" x14ac:dyDescent="0.3">
      <c r="A3842">
        <v>887</v>
      </c>
      <c r="B3842" t="s">
        <v>7</v>
      </c>
      <c r="C3842">
        <v>14</v>
      </c>
      <c r="D3842">
        <v>0</v>
      </c>
      <c r="E3842">
        <v>0</v>
      </c>
      <c r="F3842" t="str">
        <f t="shared" si="179"/>
        <v>Lower Risk</v>
      </c>
      <c r="G3842" t="s">
        <v>13</v>
      </c>
      <c r="H3842" t="s">
        <v>4</v>
      </c>
      <c r="I3842" t="s">
        <v>5</v>
      </c>
      <c r="J3842">
        <v>69.739999999999995</v>
      </c>
      <c r="K3842">
        <v>24.2</v>
      </c>
      <c r="L3842" t="s">
        <v>6</v>
      </c>
      <c r="M3842">
        <v>0</v>
      </c>
      <c r="N3842" t="str">
        <f t="shared" ref="N3842:N3905" si="180">IF(C3842&lt;40,"Under 40",IF(C3842&lt;60,"40–59","60+"))</f>
        <v>Under 40</v>
      </c>
      <c r="O3842" t="str">
        <f t="shared" ref="O3842:O3905" si="181">IF(K3842="N/A","Unknown",
IF(K3842="","Unknown",
IF(K3842&lt;18.5,"Underweight",
IF(K3842&lt;25,"Normal",
IF(K3842&lt;30,"Overweight","Obese")))))</f>
        <v>Normal</v>
      </c>
    </row>
    <row r="3843" spans="1:15" x14ac:dyDescent="0.3">
      <c r="A3843">
        <v>13328</v>
      </c>
      <c r="B3843" t="s">
        <v>7</v>
      </c>
      <c r="C3843">
        <v>45</v>
      </c>
      <c r="D3843">
        <v>0</v>
      </c>
      <c r="E3843">
        <v>0</v>
      </c>
      <c r="F3843" t="str">
        <f t="shared" ref="F3843:F3906" si="182">IF(C3843&gt;=60,
IF(OR(D3843=1,E3843=1),"High Risk","Moderate Risk"),
"Lower Risk")</f>
        <v>Lower Risk</v>
      </c>
      <c r="G3843" t="s">
        <v>3</v>
      </c>
      <c r="H3843" t="s">
        <v>4</v>
      </c>
      <c r="I3843" t="s">
        <v>9</v>
      </c>
      <c r="J3843">
        <v>106.95</v>
      </c>
      <c r="K3843">
        <v>33.4</v>
      </c>
      <c r="L3843" t="s">
        <v>14</v>
      </c>
      <c r="M3843">
        <v>0</v>
      </c>
      <c r="N3843" t="str">
        <f t="shared" si="180"/>
        <v>40–59</v>
      </c>
      <c r="O3843" t="str">
        <f t="shared" si="181"/>
        <v>Obese</v>
      </c>
    </row>
    <row r="3844" spans="1:15" x14ac:dyDescent="0.3">
      <c r="A3844">
        <v>62507</v>
      </c>
      <c r="B3844" t="s">
        <v>7</v>
      </c>
      <c r="C3844">
        <v>57</v>
      </c>
      <c r="D3844">
        <v>0</v>
      </c>
      <c r="E3844">
        <v>0</v>
      </c>
      <c r="F3844" t="str">
        <f t="shared" si="182"/>
        <v>Lower Risk</v>
      </c>
      <c r="G3844" t="s">
        <v>3</v>
      </c>
      <c r="H3844" t="s">
        <v>4</v>
      </c>
      <c r="I3844" t="s">
        <v>5</v>
      </c>
      <c r="J3844">
        <v>94.63</v>
      </c>
      <c r="K3844">
        <v>33</v>
      </c>
      <c r="L3844" t="s">
        <v>11</v>
      </c>
      <c r="M3844">
        <v>0</v>
      </c>
      <c r="N3844" t="str">
        <f t="shared" si="180"/>
        <v>40–59</v>
      </c>
      <c r="O3844" t="str">
        <f t="shared" si="181"/>
        <v>Obese</v>
      </c>
    </row>
    <row r="3845" spans="1:15" x14ac:dyDescent="0.3">
      <c r="A3845">
        <v>51797</v>
      </c>
      <c r="B3845" t="s">
        <v>7</v>
      </c>
      <c r="C3845">
        <v>35</v>
      </c>
      <c r="D3845">
        <v>0</v>
      </c>
      <c r="E3845">
        <v>0</v>
      </c>
      <c r="F3845" t="str">
        <f t="shared" si="182"/>
        <v>Lower Risk</v>
      </c>
      <c r="G3845" t="s">
        <v>3</v>
      </c>
      <c r="H3845" t="s">
        <v>4</v>
      </c>
      <c r="I3845" t="s">
        <v>5</v>
      </c>
      <c r="J3845">
        <v>86.97</v>
      </c>
      <c r="K3845">
        <v>25.7</v>
      </c>
      <c r="L3845" t="s">
        <v>14</v>
      </c>
      <c r="M3845">
        <v>0</v>
      </c>
      <c r="N3845" t="str">
        <f t="shared" si="180"/>
        <v>Under 40</v>
      </c>
      <c r="O3845" t="str">
        <f t="shared" si="181"/>
        <v>Overweight</v>
      </c>
    </row>
    <row r="3846" spans="1:15" x14ac:dyDescent="0.3">
      <c r="A3846">
        <v>61536</v>
      </c>
      <c r="B3846" t="s">
        <v>7</v>
      </c>
      <c r="C3846">
        <v>8</v>
      </c>
      <c r="D3846">
        <v>0</v>
      </c>
      <c r="E3846">
        <v>0</v>
      </c>
      <c r="F3846" t="str">
        <f t="shared" si="182"/>
        <v>Lower Risk</v>
      </c>
      <c r="G3846" t="s">
        <v>13</v>
      </c>
      <c r="H3846" t="s">
        <v>16</v>
      </c>
      <c r="I3846" t="s">
        <v>9</v>
      </c>
      <c r="J3846">
        <v>76.12</v>
      </c>
      <c r="K3846">
        <v>19.399999999999999</v>
      </c>
      <c r="L3846" t="s">
        <v>14</v>
      </c>
      <c r="M3846">
        <v>0</v>
      </c>
      <c r="N3846" t="str">
        <f t="shared" si="180"/>
        <v>Under 40</v>
      </c>
      <c r="O3846" t="str">
        <f t="shared" si="181"/>
        <v>Normal</v>
      </c>
    </row>
    <row r="3847" spans="1:15" x14ac:dyDescent="0.3">
      <c r="A3847">
        <v>71221</v>
      </c>
      <c r="B3847" t="s">
        <v>7</v>
      </c>
      <c r="C3847">
        <v>42</v>
      </c>
      <c r="D3847">
        <v>0</v>
      </c>
      <c r="E3847">
        <v>0</v>
      </c>
      <c r="F3847" t="str">
        <f t="shared" si="182"/>
        <v>Lower Risk</v>
      </c>
      <c r="G3847" t="s">
        <v>3</v>
      </c>
      <c r="H3847" t="s">
        <v>15</v>
      </c>
      <c r="I3847" t="s">
        <v>5</v>
      </c>
      <c r="J3847">
        <v>99.94</v>
      </c>
      <c r="K3847">
        <v>33.4</v>
      </c>
      <c r="L3847" t="s">
        <v>11</v>
      </c>
      <c r="M3847">
        <v>0</v>
      </c>
      <c r="N3847" t="str">
        <f t="shared" si="180"/>
        <v>40–59</v>
      </c>
      <c r="O3847" t="str">
        <f t="shared" si="181"/>
        <v>Obese</v>
      </c>
    </row>
    <row r="3848" spans="1:15" x14ac:dyDescent="0.3">
      <c r="A3848">
        <v>6948</v>
      </c>
      <c r="B3848" t="s">
        <v>2</v>
      </c>
      <c r="C3848">
        <v>8</v>
      </c>
      <c r="D3848">
        <v>0</v>
      </c>
      <c r="E3848">
        <v>0</v>
      </c>
      <c r="F3848" t="str">
        <f t="shared" si="182"/>
        <v>Lower Risk</v>
      </c>
      <c r="G3848" t="s">
        <v>13</v>
      </c>
      <c r="H3848" t="s">
        <v>16</v>
      </c>
      <c r="I3848" t="s">
        <v>5</v>
      </c>
      <c r="J3848">
        <v>91.53</v>
      </c>
      <c r="K3848">
        <v>18</v>
      </c>
      <c r="L3848" t="s">
        <v>14</v>
      </c>
      <c r="M3848">
        <v>0</v>
      </c>
      <c r="N3848" t="str">
        <f t="shared" si="180"/>
        <v>Under 40</v>
      </c>
      <c r="O3848" t="str">
        <f t="shared" si="181"/>
        <v>Underweight</v>
      </c>
    </row>
    <row r="3849" spans="1:15" x14ac:dyDescent="0.3">
      <c r="A3849">
        <v>66083</v>
      </c>
      <c r="B3849" t="s">
        <v>2</v>
      </c>
      <c r="C3849">
        <v>62</v>
      </c>
      <c r="D3849">
        <v>0</v>
      </c>
      <c r="E3849">
        <v>0</v>
      </c>
      <c r="F3849" t="str">
        <f t="shared" si="182"/>
        <v>Moderate Risk</v>
      </c>
      <c r="G3849" t="s">
        <v>3</v>
      </c>
      <c r="H3849" t="s">
        <v>4</v>
      </c>
      <c r="I3849" t="s">
        <v>9</v>
      </c>
      <c r="J3849">
        <v>145.46</v>
      </c>
      <c r="K3849">
        <v>40.1</v>
      </c>
      <c r="L3849" t="s">
        <v>11</v>
      </c>
      <c r="M3849">
        <v>0</v>
      </c>
      <c r="N3849" t="str">
        <f t="shared" si="180"/>
        <v>60+</v>
      </c>
      <c r="O3849" t="str">
        <f t="shared" si="181"/>
        <v>Obese</v>
      </c>
    </row>
    <row r="3850" spans="1:15" x14ac:dyDescent="0.3">
      <c r="A3850">
        <v>21238</v>
      </c>
      <c r="B3850" t="s">
        <v>7</v>
      </c>
      <c r="C3850">
        <v>43</v>
      </c>
      <c r="D3850">
        <v>0</v>
      </c>
      <c r="E3850">
        <v>0</v>
      </c>
      <c r="F3850" t="str">
        <f t="shared" si="182"/>
        <v>Lower Risk</v>
      </c>
      <c r="G3850" t="s">
        <v>3</v>
      </c>
      <c r="H3850" t="s">
        <v>4</v>
      </c>
      <c r="I3850" t="s">
        <v>5</v>
      </c>
      <c r="J3850">
        <v>74.86</v>
      </c>
      <c r="K3850">
        <v>26.9</v>
      </c>
      <c r="L3850" t="s">
        <v>11</v>
      </c>
      <c r="M3850">
        <v>0</v>
      </c>
      <c r="N3850" t="str">
        <f t="shared" si="180"/>
        <v>40–59</v>
      </c>
      <c r="O3850" t="str">
        <f t="shared" si="181"/>
        <v>Overweight</v>
      </c>
    </row>
    <row r="3851" spans="1:15" x14ac:dyDescent="0.3">
      <c r="A3851">
        <v>70992</v>
      </c>
      <c r="B3851" t="s">
        <v>7</v>
      </c>
      <c r="C3851">
        <v>8</v>
      </c>
      <c r="D3851">
        <v>0</v>
      </c>
      <c r="E3851">
        <v>0</v>
      </c>
      <c r="F3851" t="str">
        <f t="shared" si="182"/>
        <v>Lower Risk</v>
      </c>
      <c r="G3851" t="s">
        <v>13</v>
      </c>
      <c r="H3851" t="s">
        <v>16</v>
      </c>
      <c r="I3851" t="s">
        <v>5</v>
      </c>
      <c r="J3851">
        <v>74.42</v>
      </c>
      <c r="K3851">
        <v>22.5</v>
      </c>
      <c r="L3851" t="s">
        <v>14</v>
      </c>
      <c r="M3851">
        <v>0</v>
      </c>
      <c r="N3851" t="str">
        <f t="shared" si="180"/>
        <v>Under 40</v>
      </c>
      <c r="O3851" t="str">
        <f t="shared" si="181"/>
        <v>Normal</v>
      </c>
    </row>
    <row r="3852" spans="1:15" x14ac:dyDescent="0.3">
      <c r="A3852">
        <v>20376</v>
      </c>
      <c r="B3852" t="s">
        <v>2</v>
      </c>
      <c r="C3852">
        <v>40</v>
      </c>
      <c r="D3852">
        <v>0</v>
      </c>
      <c r="E3852">
        <v>0</v>
      </c>
      <c r="F3852" t="str">
        <f t="shared" si="182"/>
        <v>Lower Risk</v>
      </c>
      <c r="G3852" t="s">
        <v>3</v>
      </c>
      <c r="H3852" t="s">
        <v>8</v>
      </c>
      <c r="I3852" t="s">
        <v>5</v>
      </c>
      <c r="J3852">
        <v>70.069999999999993</v>
      </c>
      <c r="K3852">
        <v>27.6</v>
      </c>
      <c r="L3852" t="s">
        <v>12</v>
      </c>
      <c r="M3852">
        <v>0</v>
      </c>
      <c r="N3852" t="str">
        <f t="shared" si="180"/>
        <v>40–59</v>
      </c>
      <c r="O3852" t="str">
        <f t="shared" si="181"/>
        <v>Overweight</v>
      </c>
    </row>
    <row r="3853" spans="1:15" x14ac:dyDescent="0.3">
      <c r="A3853">
        <v>6613</v>
      </c>
      <c r="B3853" t="s">
        <v>2</v>
      </c>
      <c r="C3853">
        <v>2</v>
      </c>
      <c r="D3853">
        <v>0</v>
      </c>
      <c r="E3853">
        <v>0</v>
      </c>
      <c r="F3853" t="str">
        <f t="shared" si="182"/>
        <v>Lower Risk</v>
      </c>
      <c r="G3853" t="s">
        <v>13</v>
      </c>
      <c r="H3853" t="s">
        <v>16</v>
      </c>
      <c r="I3853" t="s">
        <v>5</v>
      </c>
      <c r="J3853">
        <v>89.85</v>
      </c>
      <c r="K3853">
        <v>23.3</v>
      </c>
      <c r="L3853" t="s">
        <v>14</v>
      </c>
      <c r="M3853">
        <v>0</v>
      </c>
      <c r="N3853" t="str">
        <f t="shared" si="180"/>
        <v>Under 40</v>
      </c>
      <c r="O3853" t="str">
        <f t="shared" si="181"/>
        <v>Normal</v>
      </c>
    </row>
    <row r="3854" spans="1:15" x14ac:dyDescent="0.3">
      <c r="A3854">
        <v>27818</v>
      </c>
      <c r="B3854" t="s">
        <v>7</v>
      </c>
      <c r="C3854">
        <v>27</v>
      </c>
      <c r="D3854">
        <v>0</v>
      </c>
      <c r="E3854">
        <v>0</v>
      </c>
      <c r="F3854" t="str">
        <f t="shared" si="182"/>
        <v>Lower Risk</v>
      </c>
      <c r="G3854" t="s">
        <v>13</v>
      </c>
      <c r="H3854" t="s">
        <v>4</v>
      </c>
      <c r="I3854" t="s">
        <v>9</v>
      </c>
      <c r="J3854">
        <v>104.21</v>
      </c>
      <c r="K3854">
        <v>35.700000000000003</v>
      </c>
      <c r="L3854" t="s">
        <v>11</v>
      </c>
      <c r="M3854">
        <v>0</v>
      </c>
      <c r="N3854" t="str">
        <f t="shared" si="180"/>
        <v>Under 40</v>
      </c>
      <c r="O3854" t="str">
        <f t="shared" si="181"/>
        <v>Obese</v>
      </c>
    </row>
    <row r="3855" spans="1:15" x14ac:dyDescent="0.3">
      <c r="A3855">
        <v>3062</v>
      </c>
      <c r="B3855" t="s">
        <v>7</v>
      </c>
      <c r="C3855">
        <v>47</v>
      </c>
      <c r="D3855">
        <v>0</v>
      </c>
      <c r="E3855">
        <v>0</v>
      </c>
      <c r="F3855" t="str">
        <f t="shared" si="182"/>
        <v>Lower Risk</v>
      </c>
      <c r="G3855" t="s">
        <v>3</v>
      </c>
      <c r="H3855" t="s">
        <v>8</v>
      </c>
      <c r="I3855" t="s">
        <v>9</v>
      </c>
      <c r="J3855">
        <v>157.77000000000001</v>
      </c>
      <c r="K3855">
        <v>28.4</v>
      </c>
      <c r="L3855" t="s">
        <v>11</v>
      </c>
      <c r="M3855">
        <v>0</v>
      </c>
      <c r="N3855" t="str">
        <f t="shared" si="180"/>
        <v>40–59</v>
      </c>
      <c r="O3855" t="str">
        <f t="shared" si="181"/>
        <v>Overweight</v>
      </c>
    </row>
    <row r="3856" spans="1:15" x14ac:dyDescent="0.3">
      <c r="A3856">
        <v>11692</v>
      </c>
      <c r="B3856" t="s">
        <v>7</v>
      </c>
      <c r="C3856">
        <v>53</v>
      </c>
      <c r="D3856">
        <v>0</v>
      </c>
      <c r="E3856">
        <v>0</v>
      </c>
      <c r="F3856" t="str">
        <f t="shared" si="182"/>
        <v>Lower Risk</v>
      </c>
      <c r="G3856" t="s">
        <v>13</v>
      </c>
      <c r="H3856" t="s">
        <v>15</v>
      </c>
      <c r="I3856" t="s">
        <v>5</v>
      </c>
      <c r="J3856">
        <v>101.81</v>
      </c>
      <c r="K3856">
        <v>29.4</v>
      </c>
      <c r="L3856" t="s">
        <v>12</v>
      </c>
      <c r="M3856">
        <v>0</v>
      </c>
      <c r="N3856" t="str">
        <f t="shared" si="180"/>
        <v>40–59</v>
      </c>
      <c r="O3856" t="str">
        <f t="shared" si="181"/>
        <v>Overweight</v>
      </c>
    </row>
    <row r="3857" spans="1:15" x14ac:dyDescent="0.3">
      <c r="A3857">
        <v>25070</v>
      </c>
      <c r="B3857" t="s">
        <v>2</v>
      </c>
      <c r="C3857">
        <v>62</v>
      </c>
      <c r="D3857">
        <v>0</v>
      </c>
      <c r="E3857">
        <v>0</v>
      </c>
      <c r="F3857" t="str">
        <f t="shared" si="182"/>
        <v>Moderate Risk</v>
      </c>
      <c r="G3857" t="s">
        <v>3</v>
      </c>
      <c r="H3857" t="s">
        <v>15</v>
      </c>
      <c r="I3857" t="s">
        <v>9</v>
      </c>
      <c r="J3857">
        <v>103</v>
      </c>
      <c r="K3857">
        <v>31.9</v>
      </c>
      <c r="L3857" t="s">
        <v>14</v>
      </c>
      <c r="M3857">
        <v>0</v>
      </c>
      <c r="N3857" t="str">
        <f t="shared" si="180"/>
        <v>60+</v>
      </c>
      <c r="O3857" t="str">
        <f t="shared" si="181"/>
        <v>Obese</v>
      </c>
    </row>
    <row r="3858" spans="1:15" x14ac:dyDescent="0.3">
      <c r="A3858">
        <v>39556</v>
      </c>
      <c r="B3858" t="s">
        <v>2</v>
      </c>
      <c r="C3858">
        <v>50</v>
      </c>
      <c r="D3858">
        <v>0</v>
      </c>
      <c r="E3858">
        <v>0</v>
      </c>
      <c r="F3858" t="str">
        <f t="shared" si="182"/>
        <v>Lower Risk</v>
      </c>
      <c r="G3858" t="s">
        <v>3</v>
      </c>
      <c r="H3858" t="s">
        <v>8</v>
      </c>
      <c r="I3858" t="s">
        <v>5</v>
      </c>
      <c r="J3858">
        <v>101.85</v>
      </c>
      <c r="K3858">
        <v>25.1</v>
      </c>
      <c r="L3858" t="s">
        <v>12</v>
      </c>
      <c r="M3858">
        <v>0</v>
      </c>
      <c r="N3858" t="str">
        <f t="shared" si="180"/>
        <v>40–59</v>
      </c>
      <c r="O3858" t="str">
        <f t="shared" si="181"/>
        <v>Overweight</v>
      </c>
    </row>
    <row r="3859" spans="1:15" x14ac:dyDescent="0.3">
      <c r="A3859">
        <v>18437</v>
      </c>
      <c r="B3859" t="s">
        <v>2</v>
      </c>
      <c r="C3859">
        <v>26</v>
      </c>
      <c r="D3859">
        <v>0</v>
      </c>
      <c r="E3859">
        <v>0</v>
      </c>
      <c r="F3859" t="str">
        <f t="shared" si="182"/>
        <v>Lower Risk</v>
      </c>
      <c r="G3859" t="s">
        <v>13</v>
      </c>
      <c r="H3859" t="s">
        <v>4</v>
      </c>
      <c r="I3859" t="s">
        <v>5</v>
      </c>
      <c r="J3859">
        <v>85.92</v>
      </c>
      <c r="K3859">
        <v>35.6</v>
      </c>
      <c r="L3859" t="s">
        <v>12</v>
      </c>
      <c r="M3859">
        <v>0</v>
      </c>
      <c r="N3859" t="str">
        <f t="shared" si="180"/>
        <v>Under 40</v>
      </c>
      <c r="O3859" t="str">
        <f t="shared" si="181"/>
        <v>Obese</v>
      </c>
    </row>
    <row r="3860" spans="1:15" x14ac:dyDescent="0.3">
      <c r="A3860">
        <v>59540</v>
      </c>
      <c r="B3860" t="s">
        <v>7</v>
      </c>
      <c r="C3860">
        <v>19</v>
      </c>
      <c r="D3860">
        <v>0</v>
      </c>
      <c r="E3860">
        <v>0</v>
      </c>
      <c r="F3860" t="str">
        <f t="shared" si="182"/>
        <v>Lower Risk</v>
      </c>
      <c r="G3860" t="s">
        <v>13</v>
      </c>
      <c r="H3860" t="s">
        <v>4</v>
      </c>
      <c r="I3860" t="s">
        <v>9</v>
      </c>
      <c r="J3860">
        <v>56.85</v>
      </c>
      <c r="K3860">
        <v>21.1</v>
      </c>
      <c r="L3860" t="s">
        <v>11</v>
      </c>
      <c r="M3860">
        <v>0</v>
      </c>
      <c r="N3860" t="str">
        <f t="shared" si="180"/>
        <v>Under 40</v>
      </c>
      <c r="O3860" t="str">
        <f t="shared" si="181"/>
        <v>Normal</v>
      </c>
    </row>
    <row r="3861" spans="1:15" x14ac:dyDescent="0.3">
      <c r="A3861">
        <v>13857</v>
      </c>
      <c r="B3861" t="s">
        <v>2</v>
      </c>
      <c r="C3861">
        <v>0.32</v>
      </c>
      <c r="D3861">
        <v>0</v>
      </c>
      <c r="E3861">
        <v>0</v>
      </c>
      <c r="F3861" t="str">
        <f t="shared" si="182"/>
        <v>Lower Risk</v>
      </c>
      <c r="G3861" t="s">
        <v>13</v>
      </c>
      <c r="H3861" t="s">
        <v>16</v>
      </c>
      <c r="I3861" t="s">
        <v>5</v>
      </c>
      <c r="J3861">
        <v>89.04</v>
      </c>
      <c r="K3861">
        <v>17.8</v>
      </c>
      <c r="L3861" t="s">
        <v>14</v>
      </c>
      <c r="M3861">
        <v>0</v>
      </c>
      <c r="N3861" t="str">
        <f t="shared" si="180"/>
        <v>Under 40</v>
      </c>
      <c r="O3861" t="str">
        <f t="shared" si="181"/>
        <v>Underweight</v>
      </c>
    </row>
    <row r="3862" spans="1:15" x14ac:dyDescent="0.3">
      <c r="A3862">
        <v>57924</v>
      </c>
      <c r="B3862" t="s">
        <v>7</v>
      </c>
      <c r="C3862">
        <v>45</v>
      </c>
      <c r="D3862">
        <v>0</v>
      </c>
      <c r="E3862">
        <v>0</v>
      </c>
      <c r="F3862" t="str">
        <f t="shared" si="182"/>
        <v>Lower Risk</v>
      </c>
      <c r="G3862" t="s">
        <v>3</v>
      </c>
      <c r="H3862" t="s">
        <v>15</v>
      </c>
      <c r="I3862" t="s">
        <v>9</v>
      </c>
      <c r="J3862">
        <v>63.01</v>
      </c>
      <c r="K3862">
        <v>31.5</v>
      </c>
      <c r="L3862" t="s">
        <v>11</v>
      </c>
      <c r="M3862">
        <v>0</v>
      </c>
      <c r="N3862" t="str">
        <f t="shared" si="180"/>
        <v>40–59</v>
      </c>
      <c r="O3862" t="str">
        <f t="shared" si="181"/>
        <v>Obese</v>
      </c>
    </row>
    <row r="3863" spans="1:15" x14ac:dyDescent="0.3">
      <c r="A3863">
        <v>38069</v>
      </c>
      <c r="B3863" t="s">
        <v>2</v>
      </c>
      <c r="C3863">
        <v>45</v>
      </c>
      <c r="D3863">
        <v>0</v>
      </c>
      <c r="E3863">
        <v>0</v>
      </c>
      <c r="F3863" t="str">
        <f t="shared" si="182"/>
        <v>Lower Risk</v>
      </c>
      <c r="G3863" t="s">
        <v>3</v>
      </c>
      <c r="H3863" t="s">
        <v>4</v>
      </c>
      <c r="I3863" t="s">
        <v>9</v>
      </c>
      <c r="J3863">
        <v>65.48</v>
      </c>
      <c r="K3863">
        <v>26.6</v>
      </c>
      <c r="L3863" t="s">
        <v>14</v>
      </c>
      <c r="M3863">
        <v>0</v>
      </c>
      <c r="N3863" t="str">
        <f t="shared" si="180"/>
        <v>40–59</v>
      </c>
      <c r="O3863" t="str">
        <f t="shared" si="181"/>
        <v>Overweight</v>
      </c>
    </row>
    <row r="3864" spans="1:15" x14ac:dyDescent="0.3">
      <c r="A3864">
        <v>48871</v>
      </c>
      <c r="B3864" t="s">
        <v>7</v>
      </c>
      <c r="C3864">
        <v>54</v>
      </c>
      <c r="D3864">
        <v>0</v>
      </c>
      <c r="E3864">
        <v>0</v>
      </c>
      <c r="F3864" t="str">
        <f t="shared" si="182"/>
        <v>Lower Risk</v>
      </c>
      <c r="G3864" t="s">
        <v>3</v>
      </c>
      <c r="H3864" t="s">
        <v>4</v>
      </c>
      <c r="I3864" t="s">
        <v>9</v>
      </c>
      <c r="J3864">
        <v>68.599999999999994</v>
      </c>
      <c r="K3864">
        <v>44.8</v>
      </c>
      <c r="L3864" t="s">
        <v>12</v>
      </c>
      <c r="M3864">
        <v>0</v>
      </c>
      <c r="N3864" t="str">
        <f t="shared" si="180"/>
        <v>40–59</v>
      </c>
      <c r="O3864" t="str">
        <f t="shared" si="181"/>
        <v>Obese</v>
      </c>
    </row>
    <row r="3865" spans="1:15" x14ac:dyDescent="0.3">
      <c r="A3865">
        <v>63420</v>
      </c>
      <c r="B3865" t="s">
        <v>2</v>
      </c>
      <c r="C3865">
        <v>64</v>
      </c>
      <c r="D3865">
        <v>1</v>
      </c>
      <c r="E3865">
        <v>0</v>
      </c>
      <c r="F3865" t="str">
        <f t="shared" si="182"/>
        <v>High Risk</v>
      </c>
      <c r="G3865" t="s">
        <v>3</v>
      </c>
      <c r="H3865" t="s">
        <v>4</v>
      </c>
      <c r="I3865" t="s">
        <v>5</v>
      </c>
      <c r="J3865">
        <v>81.680000000000007</v>
      </c>
      <c r="K3865">
        <v>31.3</v>
      </c>
      <c r="L3865" t="s">
        <v>6</v>
      </c>
      <c r="M3865">
        <v>0</v>
      </c>
      <c r="N3865" t="str">
        <f t="shared" si="180"/>
        <v>60+</v>
      </c>
      <c r="O3865" t="str">
        <f t="shared" si="181"/>
        <v>Obese</v>
      </c>
    </row>
    <row r="3866" spans="1:15" x14ac:dyDescent="0.3">
      <c r="A3866">
        <v>67665</v>
      </c>
      <c r="B3866" t="s">
        <v>2</v>
      </c>
      <c r="C3866">
        <v>2</v>
      </c>
      <c r="D3866">
        <v>0</v>
      </c>
      <c r="E3866">
        <v>0</v>
      </c>
      <c r="F3866" t="str">
        <f t="shared" si="182"/>
        <v>Lower Risk</v>
      </c>
      <c r="G3866" t="s">
        <v>13</v>
      </c>
      <c r="H3866" t="s">
        <v>16</v>
      </c>
      <c r="I3866" t="s">
        <v>5</v>
      </c>
      <c r="J3866">
        <v>65.209999999999994</v>
      </c>
      <c r="K3866">
        <v>17.2</v>
      </c>
      <c r="L3866" t="s">
        <v>14</v>
      </c>
      <c r="M3866">
        <v>0</v>
      </c>
      <c r="N3866" t="str">
        <f t="shared" si="180"/>
        <v>Under 40</v>
      </c>
      <c r="O3866" t="str">
        <f t="shared" si="181"/>
        <v>Underweight</v>
      </c>
    </row>
    <row r="3867" spans="1:15" x14ac:dyDescent="0.3">
      <c r="A3867">
        <v>50638</v>
      </c>
      <c r="B3867" t="s">
        <v>7</v>
      </c>
      <c r="C3867">
        <v>66</v>
      </c>
      <c r="D3867">
        <v>0</v>
      </c>
      <c r="E3867">
        <v>0</v>
      </c>
      <c r="F3867" t="str">
        <f t="shared" si="182"/>
        <v>Moderate Risk</v>
      </c>
      <c r="G3867" t="s">
        <v>3</v>
      </c>
      <c r="H3867" t="s">
        <v>15</v>
      </c>
      <c r="I3867" t="s">
        <v>5</v>
      </c>
      <c r="J3867">
        <v>72.53</v>
      </c>
      <c r="K3867">
        <v>25.3</v>
      </c>
      <c r="L3867" t="s">
        <v>12</v>
      </c>
      <c r="M3867">
        <v>0</v>
      </c>
      <c r="N3867" t="str">
        <f t="shared" si="180"/>
        <v>60+</v>
      </c>
      <c r="O3867" t="str">
        <f t="shared" si="181"/>
        <v>Overweight</v>
      </c>
    </row>
    <row r="3868" spans="1:15" x14ac:dyDescent="0.3">
      <c r="A3868">
        <v>43892</v>
      </c>
      <c r="B3868" t="s">
        <v>7</v>
      </c>
      <c r="C3868">
        <v>73</v>
      </c>
      <c r="D3868">
        <v>0</v>
      </c>
      <c r="E3868">
        <v>0</v>
      </c>
      <c r="F3868" t="str">
        <f t="shared" si="182"/>
        <v>Moderate Risk</v>
      </c>
      <c r="G3868" t="s">
        <v>3</v>
      </c>
      <c r="H3868" t="s">
        <v>4</v>
      </c>
      <c r="I3868" t="s">
        <v>9</v>
      </c>
      <c r="J3868">
        <v>81.78</v>
      </c>
      <c r="K3868">
        <v>28.8</v>
      </c>
      <c r="L3868" t="s">
        <v>11</v>
      </c>
      <c r="M3868">
        <v>0</v>
      </c>
      <c r="N3868" t="str">
        <f t="shared" si="180"/>
        <v>60+</v>
      </c>
      <c r="O3868" t="str">
        <f t="shared" si="181"/>
        <v>Overweight</v>
      </c>
    </row>
    <row r="3869" spans="1:15" x14ac:dyDescent="0.3">
      <c r="A3869">
        <v>9335</v>
      </c>
      <c r="B3869" t="s">
        <v>7</v>
      </c>
      <c r="C3869">
        <v>31</v>
      </c>
      <c r="D3869">
        <v>0</v>
      </c>
      <c r="E3869">
        <v>0</v>
      </c>
      <c r="F3869" t="str">
        <f t="shared" si="182"/>
        <v>Lower Risk</v>
      </c>
      <c r="G3869" t="s">
        <v>13</v>
      </c>
      <c r="H3869" t="s">
        <v>4</v>
      </c>
      <c r="I3869" t="s">
        <v>9</v>
      </c>
      <c r="J3869">
        <v>116.85</v>
      </c>
      <c r="K3869">
        <v>49.9</v>
      </c>
      <c r="L3869" t="s">
        <v>12</v>
      </c>
      <c r="M3869">
        <v>0</v>
      </c>
      <c r="N3869" t="str">
        <f t="shared" si="180"/>
        <v>Under 40</v>
      </c>
      <c r="O3869" t="str">
        <f t="shared" si="181"/>
        <v>Obese</v>
      </c>
    </row>
    <row r="3870" spans="1:15" x14ac:dyDescent="0.3">
      <c r="A3870">
        <v>38830</v>
      </c>
      <c r="B3870" t="s">
        <v>7</v>
      </c>
      <c r="C3870">
        <v>1.88</v>
      </c>
      <c r="D3870">
        <v>0</v>
      </c>
      <c r="E3870">
        <v>0</v>
      </c>
      <c r="F3870" t="str">
        <f t="shared" si="182"/>
        <v>Lower Risk</v>
      </c>
      <c r="G3870" t="s">
        <v>13</v>
      </c>
      <c r="H3870" t="s">
        <v>16</v>
      </c>
      <c r="I3870" t="s">
        <v>9</v>
      </c>
      <c r="J3870">
        <v>80.83</v>
      </c>
      <c r="K3870">
        <v>18</v>
      </c>
      <c r="L3870" t="s">
        <v>14</v>
      </c>
      <c r="M3870">
        <v>0</v>
      </c>
      <c r="N3870" t="str">
        <f t="shared" si="180"/>
        <v>Under 40</v>
      </c>
      <c r="O3870" t="str">
        <f t="shared" si="181"/>
        <v>Underweight</v>
      </c>
    </row>
    <row r="3871" spans="1:15" x14ac:dyDescent="0.3">
      <c r="A3871">
        <v>14019</v>
      </c>
      <c r="B3871" t="s">
        <v>7</v>
      </c>
      <c r="C3871">
        <v>58</v>
      </c>
      <c r="D3871">
        <v>0</v>
      </c>
      <c r="E3871">
        <v>0</v>
      </c>
      <c r="F3871" t="str">
        <f t="shared" si="182"/>
        <v>Lower Risk</v>
      </c>
      <c r="G3871" t="s">
        <v>3</v>
      </c>
      <c r="H3871" t="s">
        <v>4</v>
      </c>
      <c r="I3871" t="s">
        <v>5</v>
      </c>
      <c r="J3871">
        <v>96.21</v>
      </c>
      <c r="K3871">
        <v>23.5</v>
      </c>
      <c r="L3871" t="s">
        <v>11</v>
      </c>
      <c r="M3871">
        <v>0</v>
      </c>
      <c r="N3871" t="str">
        <f t="shared" si="180"/>
        <v>40–59</v>
      </c>
      <c r="O3871" t="str">
        <f t="shared" si="181"/>
        <v>Normal</v>
      </c>
    </row>
    <row r="3872" spans="1:15" x14ac:dyDescent="0.3">
      <c r="A3872">
        <v>65888</v>
      </c>
      <c r="B3872" t="s">
        <v>2</v>
      </c>
      <c r="C3872">
        <v>12</v>
      </c>
      <c r="D3872">
        <v>0</v>
      </c>
      <c r="E3872">
        <v>0</v>
      </c>
      <c r="F3872" t="str">
        <f t="shared" si="182"/>
        <v>Lower Risk</v>
      </c>
      <c r="G3872" t="s">
        <v>13</v>
      </c>
      <c r="H3872" t="s">
        <v>16</v>
      </c>
      <c r="I3872" t="s">
        <v>9</v>
      </c>
      <c r="J3872">
        <v>117.04</v>
      </c>
      <c r="K3872">
        <v>18.100000000000001</v>
      </c>
      <c r="L3872" t="s">
        <v>14</v>
      </c>
      <c r="M3872">
        <v>0</v>
      </c>
      <c r="N3872" t="str">
        <f t="shared" si="180"/>
        <v>Under 40</v>
      </c>
      <c r="O3872" t="str">
        <f t="shared" si="181"/>
        <v>Underweight</v>
      </c>
    </row>
    <row r="3873" spans="1:15" x14ac:dyDescent="0.3">
      <c r="A3873">
        <v>62986</v>
      </c>
      <c r="B3873" t="s">
        <v>7</v>
      </c>
      <c r="C3873">
        <v>60</v>
      </c>
      <c r="D3873">
        <v>1</v>
      </c>
      <c r="E3873">
        <v>0</v>
      </c>
      <c r="F3873" t="str">
        <f t="shared" si="182"/>
        <v>High Risk</v>
      </c>
      <c r="G3873" t="s">
        <v>3</v>
      </c>
      <c r="H3873" t="s">
        <v>4</v>
      </c>
      <c r="I3873" t="s">
        <v>9</v>
      </c>
      <c r="J3873">
        <v>78.260000000000005</v>
      </c>
      <c r="K3873">
        <v>41.7</v>
      </c>
      <c r="L3873" t="s">
        <v>6</v>
      </c>
      <c r="M3873">
        <v>0</v>
      </c>
      <c r="N3873" t="str">
        <f t="shared" si="180"/>
        <v>60+</v>
      </c>
      <c r="O3873" t="str">
        <f t="shared" si="181"/>
        <v>Obese</v>
      </c>
    </row>
    <row r="3874" spans="1:15" x14ac:dyDescent="0.3">
      <c r="A3874">
        <v>61409</v>
      </c>
      <c r="B3874" t="s">
        <v>2</v>
      </c>
      <c r="C3874">
        <v>32</v>
      </c>
      <c r="D3874">
        <v>1</v>
      </c>
      <c r="E3874">
        <v>0</v>
      </c>
      <c r="F3874" t="str">
        <f t="shared" si="182"/>
        <v>Lower Risk</v>
      </c>
      <c r="G3874" t="s">
        <v>13</v>
      </c>
      <c r="H3874" t="s">
        <v>15</v>
      </c>
      <c r="I3874" t="s">
        <v>5</v>
      </c>
      <c r="J3874">
        <v>58.24</v>
      </c>
      <c r="K3874" t="s">
        <v>10</v>
      </c>
      <c r="L3874" t="s">
        <v>6</v>
      </c>
      <c r="M3874">
        <v>0</v>
      </c>
      <c r="N3874" t="str">
        <f t="shared" si="180"/>
        <v>Under 40</v>
      </c>
      <c r="O3874" t="str">
        <f t="shared" si="181"/>
        <v>Unknown</v>
      </c>
    </row>
    <row r="3875" spans="1:15" x14ac:dyDescent="0.3">
      <c r="A3875">
        <v>72041</v>
      </c>
      <c r="B3875" t="s">
        <v>2</v>
      </c>
      <c r="C3875">
        <v>23</v>
      </c>
      <c r="D3875">
        <v>0</v>
      </c>
      <c r="E3875">
        <v>0</v>
      </c>
      <c r="F3875" t="str">
        <f t="shared" si="182"/>
        <v>Lower Risk</v>
      </c>
      <c r="G3875" t="s">
        <v>13</v>
      </c>
      <c r="H3875" t="s">
        <v>4</v>
      </c>
      <c r="I3875" t="s">
        <v>5</v>
      </c>
      <c r="J3875">
        <v>82.53</v>
      </c>
      <c r="K3875">
        <v>20.7</v>
      </c>
      <c r="L3875" t="s">
        <v>12</v>
      </c>
      <c r="M3875">
        <v>0</v>
      </c>
      <c r="N3875" t="str">
        <f t="shared" si="180"/>
        <v>Under 40</v>
      </c>
      <c r="O3875" t="str">
        <f t="shared" si="181"/>
        <v>Normal</v>
      </c>
    </row>
    <row r="3876" spans="1:15" x14ac:dyDescent="0.3">
      <c r="A3876">
        <v>51584</v>
      </c>
      <c r="B3876" t="s">
        <v>2</v>
      </c>
      <c r="C3876">
        <v>26</v>
      </c>
      <c r="D3876">
        <v>0</v>
      </c>
      <c r="E3876">
        <v>0</v>
      </c>
      <c r="F3876" t="str">
        <f t="shared" si="182"/>
        <v>Lower Risk</v>
      </c>
      <c r="G3876" t="s">
        <v>13</v>
      </c>
      <c r="H3876" t="s">
        <v>4</v>
      </c>
      <c r="I3876" t="s">
        <v>5</v>
      </c>
      <c r="J3876">
        <v>71.25</v>
      </c>
      <c r="K3876">
        <v>30.3</v>
      </c>
      <c r="L3876" t="s">
        <v>12</v>
      </c>
      <c r="M3876">
        <v>0</v>
      </c>
      <c r="N3876" t="str">
        <f t="shared" si="180"/>
        <v>Under 40</v>
      </c>
      <c r="O3876" t="str">
        <f t="shared" si="181"/>
        <v>Obese</v>
      </c>
    </row>
    <row r="3877" spans="1:15" x14ac:dyDescent="0.3">
      <c r="A3877">
        <v>56476</v>
      </c>
      <c r="B3877" t="s">
        <v>2</v>
      </c>
      <c r="C3877">
        <v>36</v>
      </c>
      <c r="D3877">
        <v>0</v>
      </c>
      <c r="E3877">
        <v>0</v>
      </c>
      <c r="F3877" t="str">
        <f t="shared" si="182"/>
        <v>Lower Risk</v>
      </c>
      <c r="G3877" t="s">
        <v>3</v>
      </c>
      <c r="H3877" t="s">
        <v>4</v>
      </c>
      <c r="I3877" t="s">
        <v>9</v>
      </c>
      <c r="J3877">
        <v>129.72999999999999</v>
      </c>
      <c r="K3877">
        <v>27.8</v>
      </c>
      <c r="L3877" t="s">
        <v>11</v>
      </c>
      <c r="M3877">
        <v>0</v>
      </c>
      <c r="N3877" t="str">
        <f t="shared" si="180"/>
        <v>Under 40</v>
      </c>
      <c r="O3877" t="str">
        <f t="shared" si="181"/>
        <v>Overweight</v>
      </c>
    </row>
    <row r="3878" spans="1:15" x14ac:dyDescent="0.3">
      <c r="A3878">
        <v>51740</v>
      </c>
      <c r="B3878" t="s">
        <v>7</v>
      </c>
      <c r="C3878">
        <v>3</v>
      </c>
      <c r="D3878">
        <v>0</v>
      </c>
      <c r="E3878">
        <v>0</v>
      </c>
      <c r="F3878" t="str">
        <f t="shared" si="182"/>
        <v>Lower Risk</v>
      </c>
      <c r="G3878" t="s">
        <v>13</v>
      </c>
      <c r="H3878" t="s">
        <v>16</v>
      </c>
      <c r="I3878" t="s">
        <v>5</v>
      </c>
      <c r="J3878">
        <v>115.47</v>
      </c>
      <c r="K3878">
        <v>18.899999999999999</v>
      </c>
      <c r="L3878" t="s">
        <v>14</v>
      </c>
      <c r="M3878">
        <v>0</v>
      </c>
      <c r="N3878" t="str">
        <f t="shared" si="180"/>
        <v>Under 40</v>
      </c>
      <c r="O3878" t="str">
        <f t="shared" si="181"/>
        <v>Normal</v>
      </c>
    </row>
    <row r="3879" spans="1:15" x14ac:dyDescent="0.3">
      <c r="A3879">
        <v>45983</v>
      </c>
      <c r="B3879" t="s">
        <v>2</v>
      </c>
      <c r="C3879">
        <v>21</v>
      </c>
      <c r="D3879">
        <v>0</v>
      </c>
      <c r="E3879">
        <v>0</v>
      </c>
      <c r="F3879" t="str">
        <f t="shared" si="182"/>
        <v>Lower Risk</v>
      </c>
      <c r="G3879" t="s">
        <v>13</v>
      </c>
      <c r="H3879" t="s">
        <v>4</v>
      </c>
      <c r="I3879" t="s">
        <v>5</v>
      </c>
      <c r="J3879">
        <v>56.79</v>
      </c>
      <c r="K3879">
        <v>20.399999999999999</v>
      </c>
      <c r="L3879" t="s">
        <v>14</v>
      </c>
      <c r="M3879">
        <v>0</v>
      </c>
      <c r="N3879" t="str">
        <f t="shared" si="180"/>
        <v>Under 40</v>
      </c>
      <c r="O3879" t="str">
        <f t="shared" si="181"/>
        <v>Normal</v>
      </c>
    </row>
    <row r="3880" spans="1:15" x14ac:dyDescent="0.3">
      <c r="A3880">
        <v>16079</v>
      </c>
      <c r="B3880" t="s">
        <v>7</v>
      </c>
      <c r="C3880">
        <v>67</v>
      </c>
      <c r="D3880">
        <v>0</v>
      </c>
      <c r="E3880">
        <v>0</v>
      </c>
      <c r="F3880" t="str">
        <f t="shared" si="182"/>
        <v>Moderate Risk</v>
      </c>
      <c r="G3880" t="s">
        <v>3</v>
      </c>
      <c r="H3880" t="s">
        <v>4</v>
      </c>
      <c r="I3880" t="s">
        <v>5</v>
      </c>
      <c r="J3880">
        <v>100.16</v>
      </c>
      <c r="K3880">
        <v>31.8</v>
      </c>
      <c r="L3880" t="s">
        <v>14</v>
      </c>
      <c r="M3880">
        <v>0</v>
      </c>
      <c r="N3880" t="str">
        <f t="shared" si="180"/>
        <v>60+</v>
      </c>
      <c r="O3880" t="str">
        <f t="shared" si="181"/>
        <v>Obese</v>
      </c>
    </row>
    <row r="3881" spans="1:15" x14ac:dyDescent="0.3">
      <c r="A3881">
        <v>24920</v>
      </c>
      <c r="B3881" t="s">
        <v>7</v>
      </c>
      <c r="C3881">
        <v>35</v>
      </c>
      <c r="D3881">
        <v>0</v>
      </c>
      <c r="E3881">
        <v>0</v>
      </c>
      <c r="F3881" t="str">
        <f t="shared" si="182"/>
        <v>Lower Risk</v>
      </c>
      <c r="G3881" t="s">
        <v>3</v>
      </c>
      <c r="H3881" t="s">
        <v>15</v>
      </c>
      <c r="I3881" t="s">
        <v>9</v>
      </c>
      <c r="J3881">
        <v>97.6</v>
      </c>
      <c r="K3881">
        <v>44.8</v>
      </c>
      <c r="L3881" t="s">
        <v>12</v>
      </c>
      <c r="M3881">
        <v>0</v>
      </c>
      <c r="N3881" t="str">
        <f t="shared" si="180"/>
        <v>Under 40</v>
      </c>
      <c r="O3881" t="str">
        <f t="shared" si="181"/>
        <v>Obese</v>
      </c>
    </row>
    <row r="3882" spans="1:15" x14ac:dyDescent="0.3">
      <c r="A3882">
        <v>72818</v>
      </c>
      <c r="B3882" t="s">
        <v>7</v>
      </c>
      <c r="C3882">
        <v>26</v>
      </c>
      <c r="D3882">
        <v>0</v>
      </c>
      <c r="E3882">
        <v>0</v>
      </c>
      <c r="F3882" t="str">
        <f t="shared" si="182"/>
        <v>Lower Risk</v>
      </c>
      <c r="G3882" t="s">
        <v>13</v>
      </c>
      <c r="H3882" t="s">
        <v>4</v>
      </c>
      <c r="I3882" t="s">
        <v>9</v>
      </c>
      <c r="J3882">
        <v>90.54</v>
      </c>
      <c r="K3882">
        <v>37.1</v>
      </c>
      <c r="L3882" t="s">
        <v>14</v>
      </c>
      <c r="M3882">
        <v>0</v>
      </c>
      <c r="N3882" t="str">
        <f t="shared" si="180"/>
        <v>Under 40</v>
      </c>
      <c r="O3882" t="str">
        <f t="shared" si="181"/>
        <v>Obese</v>
      </c>
    </row>
    <row r="3883" spans="1:15" x14ac:dyDescent="0.3">
      <c r="A3883">
        <v>65944</v>
      </c>
      <c r="B3883" t="s">
        <v>7</v>
      </c>
      <c r="C3883">
        <v>47</v>
      </c>
      <c r="D3883">
        <v>0</v>
      </c>
      <c r="E3883">
        <v>0</v>
      </c>
      <c r="F3883" t="str">
        <f t="shared" si="182"/>
        <v>Lower Risk</v>
      </c>
      <c r="G3883" t="s">
        <v>3</v>
      </c>
      <c r="H3883" t="s">
        <v>8</v>
      </c>
      <c r="I3883" t="s">
        <v>5</v>
      </c>
      <c r="J3883">
        <v>105.88</v>
      </c>
      <c r="K3883">
        <v>39.9</v>
      </c>
      <c r="L3883" t="s">
        <v>12</v>
      </c>
      <c r="M3883">
        <v>0</v>
      </c>
      <c r="N3883" t="str">
        <f t="shared" si="180"/>
        <v>40–59</v>
      </c>
      <c r="O3883" t="str">
        <f t="shared" si="181"/>
        <v>Obese</v>
      </c>
    </row>
    <row r="3884" spans="1:15" x14ac:dyDescent="0.3">
      <c r="A3884">
        <v>63836</v>
      </c>
      <c r="B3884" t="s">
        <v>2</v>
      </c>
      <c r="C3884">
        <v>81</v>
      </c>
      <c r="D3884">
        <v>1</v>
      </c>
      <c r="E3884">
        <v>1</v>
      </c>
      <c r="F3884" t="str">
        <f t="shared" si="182"/>
        <v>High Risk</v>
      </c>
      <c r="G3884" t="s">
        <v>3</v>
      </c>
      <c r="H3884" t="s">
        <v>15</v>
      </c>
      <c r="I3884" t="s">
        <v>9</v>
      </c>
      <c r="J3884">
        <v>217.94</v>
      </c>
      <c r="K3884">
        <v>24.1</v>
      </c>
      <c r="L3884" t="s">
        <v>6</v>
      </c>
      <c r="M3884">
        <v>0</v>
      </c>
      <c r="N3884" t="str">
        <f t="shared" si="180"/>
        <v>60+</v>
      </c>
      <c r="O3884" t="str">
        <f t="shared" si="181"/>
        <v>Normal</v>
      </c>
    </row>
    <row r="3885" spans="1:15" x14ac:dyDescent="0.3">
      <c r="A3885">
        <v>46729</v>
      </c>
      <c r="B3885" t="s">
        <v>7</v>
      </c>
      <c r="C3885">
        <v>1.64</v>
      </c>
      <c r="D3885">
        <v>0</v>
      </c>
      <c r="E3885">
        <v>0</v>
      </c>
      <c r="F3885" t="str">
        <f t="shared" si="182"/>
        <v>Lower Risk</v>
      </c>
      <c r="G3885" t="s">
        <v>13</v>
      </c>
      <c r="H3885" t="s">
        <v>16</v>
      </c>
      <c r="I3885" t="s">
        <v>5</v>
      </c>
      <c r="J3885">
        <v>69.89</v>
      </c>
      <c r="K3885">
        <v>18.100000000000001</v>
      </c>
      <c r="L3885" t="s">
        <v>14</v>
      </c>
      <c r="M3885">
        <v>0</v>
      </c>
      <c r="N3885" t="str">
        <f t="shared" si="180"/>
        <v>Under 40</v>
      </c>
      <c r="O3885" t="str">
        <f t="shared" si="181"/>
        <v>Underweight</v>
      </c>
    </row>
    <row r="3886" spans="1:15" x14ac:dyDescent="0.3">
      <c r="A3886">
        <v>44642</v>
      </c>
      <c r="B3886" t="s">
        <v>2</v>
      </c>
      <c r="C3886">
        <v>52</v>
      </c>
      <c r="D3886">
        <v>0</v>
      </c>
      <c r="E3886">
        <v>0</v>
      </c>
      <c r="F3886" t="str">
        <f t="shared" si="182"/>
        <v>Lower Risk</v>
      </c>
      <c r="G3886" t="s">
        <v>3</v>
      </c>
      <c r="H3886" t="s">
        <v>15</v>
      </c>
      <c r="I3886" t="s">
        <v>5</v>
      </c>
      <c r="J3886">
        <v>93.28</v>
      </c>
      <c r="K3886">
        <v>36.299999999999997</v>
      </c>
      <c r="L3886" t="s">
        <v>11</v>
      </c>
      <c r="M3886">
        <v>0</v>
      </c>
      <c r="N3886" t="str">
        <f t="shared" si="180"/>
        <v>40–59</v>
      </c>
      <c r="O3886" t="str">
        <f t="shared" si="181"/>
        <v>Obese</v>
      </c>
    </row>
    <row r="3887" spans="1:15" x14ac:dyDescent="0.3">
      <c r="A3887">
        <v>70693</v>
      </c>
      <c r="B3887" t="s">
        <v>7</v>
      </c>
      <c r="C3887">
        <v>28</v>
      </c>
      <c r="D3887">
        <v>0</v>
      </c>
      <c r="E3887">
        <v>1</v>
      </c>
      <c r="F3887" t="str">
        <f t="shared" si="182"/>
        <v>Lower Risk</v>
      </c>
      <c r="G3887" t="s">
        <v>3</v>
      </c>
      <c r="H3887" t="s">
        <v>4</v>
      </c>
      <c r="I3887" t="s">
        <v>9</v>
      </c>
      <c r="J3887">
        <v>111.27</v>
      </c>
      <c r="K3887">
        <v>19.100000000000001</v>
      </c>
      <c r="L3887" t="s">
        <v>12</v>
      </c>
      <c r="M3887">
        <v>0</v>
      </c>
      <c r="N3887" t="str">
        <f t="shared" si="180"/>
        <v>Under 40</v>
      </c>
      <c r="O3887" t="str">
        <f t="shared" si="181"/>
        <v>Normal</v>
      </c>
    </row>
    <row r="3888" spans="1:15" x14ac:dyDescent="0.3">
      <c r="A3888">
        <v>54065</v>
      </c>
      <c r="B3888" t="s">
        <v>7</v>
      </c>
      <c r="C3888">
        <v>45</v>
      </c>
      <c r="D3888">
        <v>0</v>
      </c>
      <c r="E3888">
        <v>0</v>
      </c>
      <c r="F3888" t="str">
        <f t="shared" si="182"/>
        <v>Lower Risk</v>
      </c>
      <c r="G3888" t="s">
        <v>3</v>
      </c>
      <c r="H3888" t="s">
        <v>4</v>
      </c>
      <c r="I3888" t="s">
        <v>5</v>
      </c>
      <c r="J3888">
        <v>91.04</v>
      </c>
      <c r="K3888">
        <v>21.1</v>
      </c>
      <c r="L3888" t="s">
        <v>11</v>
      </c>
      <c r="M3888">
        <v>0</v>
      </c>
      <c r="N3888" t="str">
        <f t="shared" si="180"/>
        <v>40–59</v>
      </c>
      <c r="O3888" t="str">
        <f t="shared" si="181"/>
        <v>Normal</v>
      </c>
    </row>
    <row r="3889" spans="1:15" x14ac:dyDescent="0.3">
      <c r="A3889">
        <v>9926</v>
      </c>
      <c r="B3889" t="s">
        <v>2</v>
      </c>
      <c r="C3889">
        <v>20</v>
      </c>
      <c r="D3889">
        <v>0</v>
      </c>
      <c r="E3889">
        <v>0</v>
      </c>
      <c r="F3889" t="str">
        <f t="shared" si="182"/>
        <v>Lower Risk</v>
      </c>
      <c r="G3889" t="s">
        <v>13</v>
      </c>
      <c r="H3889" t="s">
        <v>4</v>
      </c>
      <c r="I3889" t="s">
        <v>5</v>
      </c>
      <c r="J3889">
        <v>87.2</v>
      </c>
      <c r="K3889">
        <v>28.9</v>
      </c>
      <c r="L3889" t="s">
        <v>12</v>
      </c>
      <c r="M3889">
        <v>0</v>
      </c>
      <c r="N3889" t="str">
        <f t="shared" si="180"/>
        <v>Under 40</v>
      </c>
      <c r="O3889" t="str">
        <f t="shared" si="181"/>
        <v>Overweight</v>
      </c>
    </row>
    <row r="3890" spans="1:15" x14ac:dyDescent="0.3">
      <c r="A3890">
        <v>29201</v>
      </c>
      <c r="B3890" t="s">
        <v>2</v>
      </c>
      <c r="C3890">
        <v>1.56</v>
      </c>
      <c r="D3890">
        <v>0</v>
      </c>
      <c r="E3890">
        <v>0</v>
      </c>
      <c r="F3890" t="str">
        <f t="shared" si="182"/>
        <v>Lower Risk</v>
      </c>
      <c r="G3890" t="s">
        <v>13</v>
      </c>
      <c r="H3890" t="s">
        <v>16</v>
      </c>
      <c r="I3890" t="s">
        <v>9</v>
      </c>
      <c r="J3890">
        <v>109.12</v>
      </c>
      <c r="K3890">
        <v>18.899999999999999</v>
      </c>
      <c r="L3890" t="s">
        <v>14</v>
      </c>
      <c r="M3890">
        <v>0</v>
      </c>
      <c r="N3890" t="str">
        <f t="shared" si="180"/>
        <v>Under 40</v>
      </c>
      <c r="O3890" t="str">
        <f t="shared" si="181"/>
        <v>Normal</v>
      </c>
    </row>
    <row r="3891" spans="1:15" x14ac:dyDescent="0.3">
      <c r="A3891">
        <v>33308</v>
      </c>
      <c r="B3891" t="s">
        <v>7</v>
      </c>
      <c r="C3891">
        <v>65</v>
      </c>
      <c r="D3891">
        <v>0</v>
      </c>
      <c r="E3891">
        <v>0</v>
      </c>
      <c r="F3891" t="str">
        <f t="shared" si="182"/>
        <v>Moderate Risk</v>
      </c>
      <c r="G3891" t="s">
        <v>13</v>
      </c>
      <c r="H3891" t="s">
        <v>4</v>
      </c>
      <c r="I3891" t="s">
        <v>5</v>
      </c>
      <c r="J3891">
        <v>216.64</v>
      </c>
      <c r="K3891">
        <v>43.3</v>
      </c>
      <c r="L3891" t="s">
        <v>6</v>
      </c>
      <c r="M3891">
        <v>0</v>
      </c>
      <c r="N3891" t="str">
        <f t="shared" si="180"/>
        <v>60+</v>
      </c>
      <c r="O3891" t="str">
        <f t="shared" si="181"/>
        <v>Obese</v>
      </c>
    </row>
    <row r="3892" spans="1:15" x14ac:dyDescent="0.3">
      <c r="A3892">
        <v>15937</v>
      </c>
      <c r="B3892" t="s">
        <v>2</v>
      </c>
      <c r="C3892">
        <v>45</v>
      </c>
      <c r="D3892">
        <v>1</v>
      </c>
      <c r="E3892">
        <v>0</v>
      </c>
      <c r="F3892" t="str">
        <f t="shared" si="182"/>
        <v>Lower Risk</v>
      </c>
      <c r="G3892" t="s">
        <v>3</v>
      </c>
      <c r="H3892" t="s">
        <v>8</v>
      </c>
      <c r="I3892" t="s">
        <v>9</v>
      </c>
      <c r="J3892">
        <v>74.28</v>
      </c>
      <c r="K3892">
        <v>37.200000000000003</v>
      </c>
      <c r="L3892" t="s">
        <v>6</v>
      </c>
      <c r="M3892">
        <v>0</v>
      </c>
      <c r="N3892" t="str">
        <f t="shared" si="180"/>
        <v>40–59</v>
      </c>
      <c r="O3892" t="str">
        <f t="shared" si="181"/>
        <v>Obese</v>
      </c>
    </row>
    <row r="3893" spans="1:15" x14ac:dyDescent="0.3">
      <c r="A3893">
        <v>53748</v>
      </c>
      <c r="B3893" t="s">
        <v>2</v>
      </c>
      <c r="C3893">
        <v>77</v>
      </c>
      <c r="D3893">
        <v>0</v>
      </c>
      <c r="E3893">
        <v>0</v>
      </c>
      <c r="F3893" t="str">
        <f t="shared" si="182"/>
        <v>Moderate Risk</v>
      </c>
      <c r="G3893" t="s">
        <v>3</v>
      </c>
      <c r="H3893" t="s">
        <v>8</v>
      </c>
      <c r="I3893" t="s">
        <v>5</v>
      </c>
      <c r="J3893">
        <v>57.6</v>
      </c>
      <c r="K3893">
        <v>32.200000000000003</v>
      </c>
      <c r="L3893" t="s">
        <v>14</v>
      </c>
      <c r="M3893">
        <v>0</v>
      </c>
      <c r="N3893" t="str">
        <f t="shared" si="180"/>
        <v>60+</v>
      </c>
      <c r="O3893" t="str">
        <f t="shared" si="181"/>
        <v>Obese</v>
      </c>
    </row>
    <row r="3894" spans="1:15" x14ac:dyDescent="0.3">
      <c r="A3894">
        <v>47803</v>
      </c>
      <c r="B3894" t="s">
        <v>2</v>
      </c>
      <c r="C3894">
        <v>37</v>
      </c>
      <c r="D3894">
        <v>0</v>
      </c>
      <c r="E3894">
        <v>0</v>
      </c>
      <c r="F3894" t="str">
        <f t="shared" si="182"/>
        <v>Lower Risk</v>
      </c>
      <c r="G3894" t="s">
        <v>3</v>
      </c>
      <c r="H3894" t="s">
        <v>15</v>
      </c>
      <c r="I3894" t="s">
        <v>5</v>
      </c>
      <c r="J3894">
        <v>173.97</v>
      </c>
      <c r="K3894">
        <v>26.3</v>
      </c>
      <c r="L3894" t="s">
        <v>14</v>
      </c>
      <c r="M3894">
        <v>0</v>
      </c>
      <c r="N3894" t="str">
        <f t="shared" si="180"/>
        <v>Under 40</v>
      </c>
      <c r="O3894" t="str">
        <f t="shared" si="181"/>
        <v>Overweight</v>
      </c>
    </row>
    <row r="3895" spans="1:15" x14ac:dyDescent="0.3">
      <c r="A3895">
        <v>41554</v>
      </c>
      <c r="B3895" t="s">
        <v>7</v>
      </c>
      <c r="C3895">
        <v>50</v>
      </c>
      <c r="D3895">
        <v>0</v>
      </c>
      <c r="E3895">
        <v>0</v>
      </c>
      <c r="F3895" t="str">
        <f t="shared" si="182"/>
        <v>Lower Risk</v>
      </c>
      <c r="G3895" t="s">
        <v>3</v>
      </c>
      <c r="H3895" t="s">
        <v>4</v>
      </c>
      <c r="I3895" t="s">
        <v>9</v>
      </c>
      <c r="J3895">
        <v>65.25</v>
      </c>
      <c r="K3895">
        <v>25.4</v>
      </c>
      <c r="L3895" t="s">
        <v>12</v>
      </c>
      <c r="M3895">
        <v>0</v>
      </c>
      <c r="N3895" t="str">
        <f t="shared" si="180"/>
        <v>40–59</v>
      </c>
      <c r="O3895" t="str">
        <f t="shared" si="181"/>
        <v>Overweight</v>
      </c>
    </row>
    <row r="3896" spans="1:15" x14ac:dyDescent="0.3">
      <c r="A3896">
        <v>69435</v>
      </c>
      <c r="B3896" t="s">
        <v>7</v>
      </c>
      <c r="C3896">
        <v>0.56000000000000005</v>
      </c>
      <c r="D3896">
        <v>0</v>
      </c>
      <c r="E3896">
        <v>0</v>
      </c>
      <c r="F3896" t="str">
        <f t="shared" si="182"/>
        <v>Lower Risk</v>
      </c>
      <c r="G3896" t="s">
        <v>13</v>
      </c>
      <c r="H3896" t="s">
        <v>16</v>
      </c>
      <c r="I3896" t="s">
        <v>5</v>
      </c>
      <c r="J3896">
        <v>80.92</v>
      </c>
      <c r="K3896">
        <v>18.3</v>
      </c>
      <c r="L3896" t="s">
        <v>14</v>
      </c>
      <c r="M3896">
        <v>0</v>
      </c>
      <c r="N3896" t="str">
        <f t="shared" si="180"/>
        <v>Under 40</v>
      </c>
      <c r="O3896" t="str">
        <f t="shared" si="181"/>
        <v>Underweight</v>
      </c>
    </row>
    <row r="3897" spans="1:15" x14ac:dyDescent="0.3">
      <c r="A3897">
        <v>41049</v>
      </c>
      <c r="B3897" t="s">
        <v>7</v>
      </c>
      <c r="C3897">
        <v>30</v>
      </c>
      <c r="D3897">
        <v>0</v>
      </c>
      <c r="E3897">
        <v>0</v>
      </c>
      <c r="F3897" t="str">
        <f t="shared" si="182"/>
        <v>Lower Risk</v>
      </c>
      <c r="G3897" t="s">
        <v>3</v>
      </c>
      <c r="H3897" t="s">
        <v>4</v>
      </c>
      <c r="I3897" t="s">
        <v>9</v>
      </c>
      <c r="J3897">
        <v>124.37</v>
      </c>
      <c r="K3897">
        <v>21.4</v>
      </c>
      <c r="L3897" t="s">
        <v>11</v>
      </c>
      <c r="M3897">
        <v>0</v>
      </c>
      <c r="N3897" t="str">
        <f t="shared" si="180"/>
        <v>Under 40</v>
      </c>
      <c r="O3897" t="str">
        <f t="shared" si="181"/>
        <v>Normal</v>
      </c>
    </row>
    <row r="3898" spans="1:15" x14ac:dyDescent="0.3">
      <c r="A3898">
        <v>13859</v>
      </c>
      <c r="B3898" t="s">
        <v>7</v>
      </c>
      <c r="C3898">
        <v>31</v>
      </c>
      <c r="D3898">
        <v>0</v>
      </c>
      <c r="E3898">
        <v>0</v>
      </c>
      <c r="F3898" t="str">
        <f t="shared" si="182"/>
        <v>Lower Risk</v>
      </c>
      <c r="G3898" t="s">
        <v>13</v>
      </c>
      <c r="H3898" t="s">
        <v>4</v>
      </c>
      <c r="I3898" t="s">
        <v>5</v>
      </c>
      <c r="J3898">
        <v>102.39</v>
      </c>
      <c r="K3898">
        <v>22.9</v>
      </c>
      <c r="L3898" t="s">
        <v>12</v>
      </c>
      <c r="M3898">
        <v>0</v>
      </c>
      <c r="N3898" t="str">
        <f t="shared" si="180"/>
        <v>Under 40</v>
      </c>
      <c r="O3898" t="str">
        <f t="shared" si="181"/>
        <v>Normal</v>
      </c>
    </row>
    <row r="3899" spans="1:15" x14ac:dyDescent="0.3">
      <c r="A3899">
        <v>24257</v>
      </c>
      <c r="B3899" t="s">
        <v>2</v>
      </c>
      <c r="C3899">
        <v>4</v>
      </c>
      <c r="D3899">
        <v>0</v>
      </c>
      <c r="E3899">
        <v>0</v>
      </c>
      <c r="F3899" t="str">
        <f t="shared" si="182"/>
        <v>Lower Risk</v>
      </c>
      <c r="G3899" t="s">
        <v>13</v>
      </c>
      <c r="H3899" t="s">
        <v>16</v>
      </c>
      <c r="I3899" t="s">
        <v>9</v>
      </c>
      <c r="J3899">
        <v>90.42</v>
      </c>
      <c r="K3899">
        <v>16.2</v>
      </c>
      <c r="L3899" t="s">
        <v>14</v>
      </c>
      <c r="M3899">
        <v>0</v>
      </c>
      <c r="N3899" t="str">
        <f t="shared" si="180"/>
        <v>Under 40</v>
      </c>
      <c r="O3899" t="str">
        <f t="shared" si="181"/>
        <v>Underweight</v>
      </c>
    </row>
    <row r="3900" spans="1:15" x14ac:dyDescent="0.3">
      <c r="A3900">
        <v>14417</v>
      </c>
      <c r="B3900" t="s">
        <v>2</v>
      </c>
      <c r="C3900">
        <v>65</v>
      </c>
      <c r="D3900">
        <v>1</v>
      </c>
      <c r="E3900">
        <v>0</v>
      </c>
      <c r="F3900" t="str">
        <f t="shared" si="182"/>
        <v>High Risk</v>
      </c>
      <c r="G3900" t="s">
        <v>3</v>
      </c>
      <c r="H3900" t="s">
        <v>4</v>
      </c>
      <c r="I3900" t="s">
        <v>9</v>
      </c>
      <c r="J3900">
        <v>79.17</v>
      </c>
      <c r="K3900">
        <v>29.6</v>
      </c>
      <c r="L3900" t="s">
        <v>14</v>
      </c>
      <c r="M3900">
        <v>0</v>
      </c>
      <c r="N3900" t="str">
        <f t="shared" si="180"/>
        <v>60+</v>
      </c>
      <c r="O3900" t="str">
        <f t="shared" si="181"/>
        <v>Overweight</v>
      </c>
    </row>
    <row r="3901" spans="1:15" x14ac:dyDescent="0.3">
      <c r="A3901">
        <v>45260</v>
      </c>
      <c r="B3901" t="s">
        <v>7</v>
      </c>
      <c r="C3901">
        <v>68</v>
      </c>
      <c r="D3901">
        <v>0</v>
      </c>
      <c r="E3901">
        <v>0</v>
      </c>
      <c r="F3901" t="str">
        <f t="shared" si="182"/>
        <v>Moderate Risk</v>
      </c>
      <c r="G3901" t="s">
        <v>3</v>
      </c>
      <c r="H3901" t="s">
        <v>8</v>
      </c>
      <c r="I3901" t="s">
        <v>5</v>
      </c>
      <c r="J3901">
        <v>71.08</v>
      </c>
      <c r="K3901">
        <v>21.5</v>
      </c>
      <c r="L3901" t="s">
        <v>11</v>
      </c>
      <c r="M3901">
        <v>0</v>
      </c>
      <c r="N3901" t="str">
        <f t="shared" si="180"/>
        <v>60+</v>
      </c>
      <c r="O3901" t="str">
        <f t="shared" si="181"/>
        <v>Normal</v>
      </c>
    </row>
    <row r="3902" spans="1:15" x14ac:dyDescent="0.3">
      <c r="A3902">
        <v>12807</v>
      </c>
      <c r="B3902" t="s">
        <v>7</v>
      </c>
      <c r="C3902">
        <v>63</v>
      </c>
      <c r="D3902">
        <v>1</v>
      </c>
      <c r="E3902">
        <v>0</v>
      </c>
      <c r="F3902" t="str">
        <f t="shared" si="182"/>
        <v>High Risk</v>
      </c>
      <c r="G3902" t="s">
        <v>3</v>
      </c>
      <c r="H3902" t="s">
        <v>4</v>
      </c>
      <c r="I3902" t="s">
        <v>5</v>
      </c>
      <c r="J3902">
        <v>81.540000000000006</v>
      </c>
      <c r="K3902">
        <v>24.2</v>
      </c>
      <c r="L3902" t="s">
        <v>11</v>
      </c>
      <c r="M3902">
        <v>0</v>
      </c>
      <c r="N3902" t="str">
        <f t="shared" si="180"/>
        <v>60+</v>
      </c>
      <c r="O3902" t="str">
        <f t="shared" si="181"/>
        <v>Normal</v>
      </c>
    </row>
    <row r="3903" spans="1:15" x14ac:dyDescent="0.3">
      <c r="A3903">
        <v>71417</v>
      </c>
      <c r="B3903" t="s">
        <v>2</v>
      </c>
      <c r="C3903">
        <v>46</v>
      </c>
      <c r="D3903">
        <v>0</v>
      </c>
      <c r="E3903">
        <v>0</v>
      </c>
      <c r="F3903" t="str">
        <f t="shared" si="182"/>
        <v>Lower Risk</v>
      </c>
      <c r="G3903" t="s">
        <v>13</v>
      </c>
      <c r="H3903" t="s">
        <v>4</v>
      </c>
      <c r="I3903" t="s">
        <v>5</v>
      </c>
      <c r="J3903">
        <v>159.66999999999999</v>
      </c>
      <c r="K3903">
        <v>37.299999999999997</v>
      </c>
      <c r="L3903" t="s">
        <v>11</v>
      </c>
      <c r="M3903">
        <v>0</v>
      </c>
      <c r="N3903" t="str">
        <f t="shared" si="180"/>
        <v>40–59</v>
      </c>
      <c r="O3903" t="str">
        <f t="shared" si="181"/>
        <v>Obese</v>
      </c>
    </row>
    <row r="3904" spans="1:15" x14ac:dyDescent="0.3">
      <c r="A3904">
        <v>37479</v>
      </c>
      <c r="B3904" t="s">
        <v>7</v>
      </c>
      <c r="C3904">
        <v>54</v>
      </c>
      <c r="D3904">
        <v>0</v>
      </c>
      <c r="E3904">
        <v>0</v>
      </c>
      <c r="F3904" t="str">
        <f t="shared" si="182"/>
        <v>Lower Risk</v>
      </c>
      <c r="G3904" t="s">
        <v>3</v>
      </c>
      <c r="H3904" t="s">
        <v>4</v>
      </c>
      <c r="I3904" t="s">
        <v>5</v>
      </c>
      <c r="J3904">
        <v>93.96</v>
      </c>
      <c r="K3904">
        <v>33.299999999999997</v>
      </c>
      <c r="L3904" t="s">
        <v>12</v>
      </c>
      <c r="M3904">
        <v>0</v>
      </c>
      <c r="N3904" t="str">
        <f t="shared" si="180"/>
        <v>40–59</v>
      </c>
      <c r="O3904" t="str">
        <f t="shared" si="181"/>
        <v>Obese</v>
      </c>
    </row>
    <row r="3905" spans="1:15" x14ac:dyDescent="0.3">
      <c r="A3905">
        <v>23850</v>
      </c>
      <c r="B3905" t="s">
        <v>2</v>
      </c>
      <c r="C3905">
        <v>66</v>
      </c>
      <c r="D3905">
        <v>0</v>
      </c>
      <c r="E3905">
        <v>0</v>
      </c>
      <c r="F3905" t="str">
        <f t="shared" si="182"/>
        <v>Moderate Risk</v>
      </c>
      <c r="G3905" t="s">
        <v>3</v>
      </c>
      <c r="H3905" t="s">
        <v>4</v>
      </c>
      <c r="I3905" t="s">
        <v>5</v>
      </c>
      <c r="J3905">
        <v>103.01</v>
      </c>
      <c r="K3905">
        <v>33.1</v>
      </c>
      <c r="L3905" t="s">
        <v>11</v>
      </c>
      <c r="M3905">
        <v>0</v>
      </c>
      <c r="N3905" t="str">
        <f t="shared" si="180"/>
        <v>60+</v>
      </c>
      <c r="O3905" t="str">
        <f t="shared" si="181"/>
        <v>Obese</v>
      </c>
    </row>
    <row r="3906" spans="1:15" x14ac:dyDescent="0.3">
      <c r="A3906">
        <v>17791</v>
      </c>
      <c r="B3906" t="s">
        <v>7</v>
      </c>
      <c r="C3906">
        <v>29</v>
      </c>
      <c r="D3906">
        <v>0</v>
      </c>
      <c r="E3906">
        <v>0</v>
      </c>
      <c r="F3906" t="str">
        <f t="shared" si="182"/>
        <v>Lower Risk</v>
      </c>
      <c r="G3906" t="s">
        <v>3</v>
      </c>
      <c r="H3906" t="s">
        <v>15</v>
      </c>
      <c r="I3906" t="s">
        <v>9</v>
      </c>
      <c r="J3906">
        <v>92.49</v>
      </c>
      <c r="K3906">
        <v>22.2</v>
      </c>
      <c r="L3906" t="s">
        <v>11</v>
      </c>
      <c r="M3906">
        <v>0</v>
      </c>
      <c r="N3906" t="str">
        <f t="shared" ref="N3906:N3969" si="183">IF(C3906&lt;40,"Under 40",IF(C3906&lt;60,"40–59","60+"))</f>
        <v>Under 40</v>
      </c>
      <c r="O3906" t="str">
        <f t="shared" ref="O3906:O3969" si="184">IF(K3906="N/A","Unknown",
IF(K3906="","Unknown",
IF(K3906&lt;18.5,"Underweight",
IF(K3906&lt;25,"Normal",
IF(K3906&lt;30,"Overweight","Obese")))))</f>
        <v>Normal</v>
      </c>
    </row>
    <row r="3907" spans="1:15" x14ac:dyDescent="0.3">
      <c r="A3907">
        <v>2544</v>
      </c>
      <c r="B3907" t="s">
        <v>2</v>
      </c>
      <c r="C3907">
        <v>78</v>
      </c>
      <c r="D3907">
        <v>0</v>
      </c>
      <c r="E3907">
        <v>0</v>
      </c>
      <c r="F3907" t="str">
        <f t="shared" ref="F3907:F3970" si="185">IF(C3907&gt;=60,
IF(OR(D3907=1,E3907=1),"High Risk","Moderate Risk"),
"Lower Risk")</f>
        <v>Moderate Risk</v>
      </c>
      <c r="G3907" t="s">
        <v>3</v>
      </c>
      <c r="H3907" t="s">
        <v>4</v>
      </c>
      <c r="I3907" t="s">
        <v>5</v>
      </c>
      <c r="J3907">
        <v>208.85</v>
      </c>
      <c r="K3907">
        <v>24.4</v>
      </c>
      <c r="L3907" t="s">
        <v>6</v>
      </c>
      <c r="M3907">
        <v>0</v>
      </c>
      <c r="N3907" t="str">
        <f t="shared" si="183"/>
        <v>60+</v>
      </c>
      <c r="O3907" t="str">
        <f t="shared" si="184"/>
        <v>Normal</v>
      </c>
    </row>
    <row r="3908" spans="1:15" x14ac:dyDescent="0.3">
      <c r="A3908">
        <v>4961</v>
      </c>
      <c r="B3908" t="s">
        <v>2</v>
      </c>
      <c r="C3908">
        <v>56</v>
      </c>
      <c r="D3908">
        <v>0</v>
      </c>
      <c r="E3908">
        <v>0</v>
      </c>
      <c r="F3908" t="str">
        <f t="shared" si="185"/>
        <v>Lower Risk</v>
      </c>
      <c r="G3908" t="s">
        <v>3</v>
      </c>
      <c r="H3908" t="s">
        <v>15</v>
      </c>
      <c r="I3908" t="s">
        <v>5</v>
      </c>
      <c r="J3908">
        <v>122.39</v>
      </c>
      <c r="K3908">
        <v>30.3</v>
      </c>
      <c r="L3908" t="s">
        <v>14</v>
      </c>
      <c r="M3908">
        <v>0</v>
      </c>
      <c r="N3908" t="str">
        <f t="shared" si="183"/>
        <v>40–59</v>
      </c>
      <c r="O3908" t="str">
        <f t="shared" si="184"/>
        <v>Obese</v>
      </c>
    </row>
    <row r="3909" spans="1:15" x14ac:dyDescent="0.3">
      <c r="A3909">
        <v>2702</v>
      </c>
      <c r="B3909" t="s">
        <v>7</v>
      </c>
      <c r="C3909">
        <v>57</v>
      </c>
      <c r="D3909">
        <v>0</v>
      </c>
      <c r="E3909">
        <v>0</v>
      </c>
      <c r="F3909" t="str">
        <f t="shared" si="185"/>
        <v>Lower Risk</v>
      </c>
      <c r="G3909" t="s">
        <v>3</v>
      </c>
      <c r="H3909" t="s">
        <v>4</v>
      </c>
      <c r="I3909" t="s">
        <v>9</v>
      </c>
      <c r="J3909">
        <v>65.91</v>
      </c>
      <c r="K3909">
        <v>28.2</v>
      </c>
      <c r="L3909" t="s">
        <v>14</v>
      </c>
      <c r="M3909">
        <v>0</v>
      </c>
      <c r="N3909" t="str">
        <f t="shared" si="183"/>
        <v>40–59</v>
      </c>
      <c r="O3909" t="str">
        <f t="shared" si="184"/>
        <v>Overweight</v>
      </c>
    </row>
    <row r="3910" spans="1:15" x14ac:dyDescent="0.3">
      <c r="A3910">
        <v>11208</v>
      </c>
      <c r="B3910" t="s">
        <v>7</v>
      </c>
      <c r="C3910">
        <v>2</v>
      </c>
      <c r="D3910">
        <v>0</v>
      </c>
      <c r="E3910">
        <v>0</v>
      </c>
      <c r="F3910" t="str">
        <f t="shared" si="185"/>
        <v>Lower Risk</v>
      </c>
      <c r="G3910" t="s">
        <v>13</v>
      </c>
      <c r="H3910" t="s">
        <v>16</v>
      </c>
      <c r="I3910" t="s">
        <v>9</v>
      </c>
      <c r="J3910">
        <v>70.25</v>
      </c>
      <c r="K3910">
        <v>17</v>
      </c>
      <c r="L3910" t="s">
        <v>14</v>
      </c>
      <c r="M3910">
        <v>0</v>
      </c>
      <c r="N3910" t="str">
        <f t="shared" si="183"/>
        <v>Under 40</v>
      </c>
      <c r="O3910" t="str">
        <f t="shared" si="184"/>
        <v>Underweight</v>
      </c>
    </row>
    <row r="3911" spans="1:15" x14ac:dyDescent="0.3">
      <c r="A3911">
        <v>4077</v>
      </c>
      <c r="B3911" t="s">
        <v>2</v>
      </c>
      <c r="C3911">
        <v>49</v>
      </c>
      <c r="D3911">
        <v>0</v>
      </c>
      <c r="E3911">
        <v>0</v>
      </c>
      <c r="F3911" t="str">
        <f t="shared" si="185"/>
        <v>Lower Risk</v>
      </c>
      <c r="G3911" t="s">
        <v>3</v>
      </c>
      <c r="H3911" t="s">
        <v>4</v>
      </c>
      <c r="I3911" t="s">
        <v>5</v>
      </c>
      <c r="J3911">
        <v>219.7</v>
      </c>
      <c r="K3911">
        <v>53.8</v>
      </c>
      <c r="L3911" t="s">
        <v>14</v>
      </c>
      <c r="M3911">
        <v>0</v>
      </c>
      <c r="N3911" t="str">
        <f t="shared" si="183"/>
        <v>40–59</v>
      </c>
      <c r="O3911" t="str">
        <f t="shared" si="184"/>
        <v>Obese</v>
      </c>
    </row>
    <row r="3912" spans="1:15" x14ac:dyDescent="0.3">
      <c r="A3912">
        <v>36548</v>
      </c>
      <c r="B3912" t="s">
        <v>2</v>
      </c>
      <c r="C3912">
        <v>31</v>
      </c>
      <c r="D3912">
        <v>0</v>
      </c>
      <c r="E3912">
        <v>0</v>
      </c>
      <c r="F3912" t="str">
        <f t="shared" si="185"/>
        <v>Lower Risk</v>
      </c>
      <c r="G3912" t="s">
        <v>3</v>
      </c>
      <c r="H3912" t="s">
        <v>15</v>
      </c>
      <c r="I3912" t="s">
        <v>5</v>
      </c>
      <c r="J3912">
        <v>65.7</v>
      </c>
      <c r="K3912">
        <v>30.4</v>
      </c>
      <c r="L3912" t="s">
        <v>6</v>
      </c>
      <c r="M3912">
        <v>0</v>
      </c>
      <c r="N3912" t="str">
        <f t="shared" si="183"/>
        <v>Under 40</v>
      </c>
      <c r="O3912" t="str">
        <f t="shared" si="184"/>
        <v>Obese</v>
      </c>
    </row>
    <row r="3913" spans="1:15" x14ac:dyDescent="0.3">
      <c r="A3913">
        <v>71596</v>
      </c>
      <c r="B3913" t="s">
        <v>7</v>
      </c>
      <c r="C3913">
        <v>47</v>
      </c>
      <c r="D3913">
        <v>0</v>
      </c>
      <c r="E3913">
        <v>0</v>
      </c>
      <c r="F3913" t="str">
        <f t="shared" si="185"/>
        <v>Lower Risk</v>
      </c>
      <c r="G3913" t="s">
        <v>3</v>
      </c>
      <c r="H3913" t="s">
        <v>4</v>
      </c>
      <c r="I3913" t="s">
        <v>5</v>
      </c>
      <c r="J3913">
        <v>67.08</v>
      </c>
      <c r="K3913">
        <v>22.3</v>
      </c>
      <c r="L3913" t="s">
        <v>14</v>
      </c>
      <c r="M3913">
        <v>0</v>
      </c>
      <c r="N3913" t="str">
        <f t="shared" si="183"/>
        <v>40–59</v>
      </c>
      <c r="O3913" t="str">
        <f t="shared" si="184"/>
        <v>Normal</v>
      </c>
    </row>
    <row r="3914" spans="1:15" x14ac:dyDescent="0.3">
      <c r="A3914">
        <v>61050</v>
      </c>
      <c r="B3914" t="s">
        <v>2</v>
      </c>
      <c r="C3914">
        <v>37</v>
      </c>
      <c r="D3914">
        <v>0</v>
      </c>
      <c r="E3914">
        <v>0</v>
      </c>
      <c r="F3914" t="str">
        <f t="shared" si="185"/>
        <v>Lower Risk</v>
      </c>
      <c r="G3914" t="s">
        <v>3</v>
      </c>
      <c r="H3914" t="s">
        <v>15</v>
      </c>
      <c r="I3914" t="s">
        <v>9</v>
      </c>
      <c r="J3914">
        <v>107.58</v>
      </c>
      <c r="K3914">
        <v>25.3</v>
      </c>
      <c r="L3914" t="s">
        <v>11</v>
      </c>
      <c r="M3914">
        <v>0</v>
      </c>
      <c r="N3914" t="str">
        <f t="shared" si="183"/>
        <v>Under 40</v>
      </c>
      <c r="O3914" t="str">
        <f t="shared" si="184"/>
        <v>Overweight</v>
      </c>
    </row>
    <row r="3915" spans="1:15" x14ac:dyDescent="0.3">
      <c r="A3915">
        <v>6172</v>
      </c>
      <c r="B3915" t="s">
        <v>7</v>
      </c>
      <c r="C3915">
        <v>79</v>
      </c>
      <c r="D3915">
        <v>0</v>
      </c>
      <c r="E3915">
        <v>0</v>
      </c>
      <c r="F3915" t="str">
        <f t="shared" si="185"/>
        <v>Moderate Risk</v>
      </c>
      <c r="G3915" t="s">
        <v>3</v>
      </c>
      <c r="H3915" t="s">
        <v>4</v>
      </c>
      <c r="I3915" t="s">
        <v>9</v>
      </c>
      <c r="J3915">
        <v>208.05</v>
      </c>
      <c r="K3915" t="s">
        <v>10</v>
      </c>
      <c r="L3915" t="s">
        <v>12</v>
      </c>
      <c r="M3915">
        <v>0</v>
      </c>
      <c r="N3915" t="str">
        <f t="shared" si="183"/>
        <v>60+</v>
      </c>
      <c r="O3915" t="str">
        <f t="shared" si="184"/>
        <v>Unknown</v>
      </c>
    </row>
    <row r="3916" spans="1:15" x14ac:dyDescent="0.3">
      <c r="A3916">
        <v>15098</v>
      </c>
      <c r="B3916" t="s">
        <v>7</v>
      </c>
      <c r="C3916">
        <v>65</v>
      </c>
      <c r="D3916">
        <v>0</v>
      </c>
      <c r="E3916">
        <v>0</v>
      </c>
      <c r="F3916" t="str">
        <f t="shared" si="185"/>
        <v>Moderate Risk</v>
      </c>
      <c r="G3916" t="s">
        <v>3</v>
      </c>
      <c r="H3916" t="s">
        <v>4</v>
      </c>
      <c r="I3916" t="s">
        <v>9</v>
      </c>
      <c r="J3916">
        <v>95.87</v>
      </c>
      <c r="K3916">
        <v>29.8</v>
      </c>
      <c r="L3916" t="s">
        <v>11</v>
      </c>
      <c r="M3916">
        <v>0</v>
      </c>
      <c r="N3916" t="str">
        <f t="shared" si="183"/>
        <v>60+</v>
      </c>
      <c r="O3916" t="str">
        <f t="shared" si="184"/>
        <v>Overweight</v>
      </c>
    </row>
    <row r="3917" spans="1:15" x14ac:dyDescent="0.3">
      <c r="A3917">
        <v>34895</v>
      </c>
      <c r="B3917" t="s">
        <v>2</v>
      </c>
      <c r="C3917">
        <v>61</v>
      </c>
      <c r="D3917">
        <v>0</v>
      </c>
      <c r="E3917">
        <v>0</v>
      </c>
      <c r="F3917" t="str">
        <f t="shared" si="185"/>
        <v>Moderate Risk</v>
      </c>
      <c r="G3917" t="s">
        <v>3</v>
      </c>
      <c r="H3917" t="s">
        <v>4</v>
      </c>
      <c r="I3917" t="s">
        <v>5</v>
      </c>
      <c r="J3917">
        <v>68.17</v>
      </c>
      <c r="K3917">
        <v>43.8</v>
      </c>
      <c r="L3917" t="s">
        <v>6</v>
      </c>
      <c r="M3917">
        <v>0</v>
      </c>
      <c r="N3917" t="str">
        <f t="shared" si="183"/>
        <v>60+</v>
      </c>
      <c r="O3917" t="str">
        <f t="shared" si="184"/>
        <v>Obese</v>
      </c>
    </row>
    <row r="3918" spans="1:15" x14ac:dyDescent="0.3">
      <c r="A3918">
        <v>6443</v>
      </c>
      <c r="B3918" t="s">
        <v>7</v>
      </c>
      <c r="C3918">
        <v>66</v>
      </c>
      <c r="D3918">
        <v>0</v>
      </c>
      <c r="E3918">
        <v>0</v>
      </c>
      <c r="F3918" t="str">
        <f t="shared" si="185"/>
        <v>Moderate Risk</v>
      </c>
      <c r="G3918" t="s">
        <v>3</v>
      </c>
      <c r="H3918" t="s">
        <v>4</v>
      </c>
      <c r="I3918" t="s">
        <v>5</v>
      </c>
      <c r="J3918">
        <v>95.37</v>
      </c>
      <c r="K3918">
        <v>34.5</v>
      </c>
      <c r="L3918" t="s">
        <v>12</v>
      </c>
      <c r="M3918">
        <v>0</v>
      </c>
      <c r="N3918" t="str">
        <f t="shared" si="183"/>
        <v>60+</v>
      </c>
      <c r="O3918" t="str">
        <f t="shared" si="184"/>
        <v>Obese</v>
      </c>
    </row>
    <row r="3919" spans="1:15" x14ac:dyDescent="0.3">
      <c r="A3919">
        <v>67635</v>
      </c>
      <c r="B3919" t="s">
        <v>2</v>
      </c>
      <c r="C3919">
        <v>24</v>
      </c>
      <c r="D3919">
        <v>0</v>
      </c>
      <c r="E3919">
        <v>0</v>
      </c>
      <c r="F3919" t="str">
        <f t="shared" si="185"/>
        <v>Lower Risk</v>
      </c>
      <c r="G3919" t="s">
        <v>13</v>
      </c>
      <c r="H3919" t="s">
        <v>4</v>
      </c>
      <c r="I3919" t="s">
        <v>5</v>
      </c>
      <c r="J3919">
        <v>90</v>
      </c>
      <c r="K3919">
        <v>25.5</v>
      </c>
      <c r="L3919" t="s">
        <v>11</v>
      </c>
      <c r="M3919">
        <v>0</v>
      </c>
      <c r="N3919" t="str">
        <f t="shared" si="183"/>
        <v>Under 40</v>
      </c>
      <c r="O3919" t="str">
        <f t="shared" si="184"/>
        <v>Overweight</v>
      </c>
    </row>
    <row r="3920" spans="1:15" x14ac:dyDescent="0.3">
      <c r="A3920">
        <v>19931</v>
      </c>
      <c r="B3920" t="s">
        <v>2</v>
      </c>
      <c r="C3920">
        <v>66</v>
      </c>
      <c r="D3920">
        <v>0</v>
      </c>
      <c r="E3920">
        <v>0</v>
      </c>
      <c r="F3920" t="str">
        <f t="shared" si="185"/>
        <v>Moderate Risk</v>
      </c>
      <c r="G3920" t="s">
        <v>3</v>
      </c>
      <c r="H3920" t="s">
        <v>8</v>
      </c>
      <c r="I3920" t="s">
        <v>9</v>
      </c>
      <c r="J3920">
        <v>106.1</v>
      </c>
      <c r="K3920">
        <v>31.5</v>
      </c>
      <c r="L3920" t="s">
        <v>12</v>
      </c>
      <c r="M3920">
        <v>0</v>
      </c>
      <c r="N3920" t="str">
        <f t="shared" si="183"/>
        <v>60+</v>
      </c>
      <c r="O3920" t="str">
        <f t="shared" si="184"/>
        <v>Obese</v>
      </c>
    </row>
    <row r="3921" spans="1:15" x14ac:dyDescent="0.3">
      <c r="A3921">
        <v>57302</v>
      </c>
      <c r="B3921" t="s">
        <v>7</v>
      </c>
      <c r="C3921">
        <v>64</v>
      </c>
      <c r="D3921">
        <v>1</v>
      </c>
      <c r="E3921">
        <v>0</v>
      </c>
      <c r="F3921" t="str">
        <f t="shared" si="185"/>
        <v>High Risk</v>
      </c>
      <c r="G3921" t="s">
        <v>3</v>
      </c>
      <c r="H3921" t="s">
        <v>4</v>
      </c>
      <c r="I3921" t="s">
        <v>9</v>
      </c>
      <c r="J3921">
        <v>56.13</v>
      </c>
      <c r="K3921">
        <v>39.200000000000003</v>
      </c>
      <c r="L3921" t="s">
        <v>14</v>
      </c>
      <c r="M3921">
        <v>0</v>
      </c>
      <c r="N3921" t="str">
        <f t="shared" si="183"/>
        <v>60+</v>
      </c>
      <c r="O3921" t="str">
        <f t="shared" si="184"/>
        <v>Obese</v>
      </c>
    </row>
    <row r="3922" spans="1:15" x14ac:dyDescent="0.3">
      <c r="A3922">
        <v>26197</v>
      </c>
      <c r="B3922" t="s">
        <v>7</v>
      </c>
      <c r="C3922">
        <v>38</v>
      </c>
      <c r="D3922">
        <v>0</v>
      </c>
      <c r="E3922">
        <v>0</v>
      </c>
      <c r="F3922" t="str">
        <f t="shared" si="185"/>
        <v>Lower Risk</v>
      </c>
      <c r="G3922" t="s">
        <v>3</v>
      </c>
      <c r="H3922" t="s">
        <v>4</v>
      </c>
      <c r="I3922" t="s">
        <v>9</v>
      </c>
      <c r="J3922">
        <v>104.03</v>
      </c>
      <c r="K3922">
        <v>47.3</v>
      </c>
      <c r="L3922" t="s">
        <v>12</v>
      </c>
      <c r="M3922">
        <v>0</v>
      </c>
      <c r="N3922" t="str">
        <f t="shared" si="183"/>
        <v>Under 40</v>
      </c>
      <c r="O3922" t="str">
        <f t="shared" si="184"/>
        <v>Obese</v>
      </c>
    </row>
    <row r="3923" spans="1:15" x14ac:dyDescent="0.3">
      <c r="A3923">
        <v>54982</v>
      </c>
      <c r="B3923" t="s">
        <v>7</v>
      </c>
      <c r="C3923">
        <v>7</v>
      </c>
      <c r="D3923">
        <v>0</v>
      </c>
      <c r="E3923">
        <v>0</v>
      </c>
      <c r="F3923" t="str">
        <f t="shared" si="185"/>
        <v>Lower Risk</v>
      </c>
      <c r="G3923" t="s">
        <v>13</v>
      </c>
      <c r="H3923" t="s">
        <v>16</v>
      </c>
      <c r="I3923" t="s">
        <v>9</v>
      </c>
      <c r="J3923">
        <v>157.01</v>
      </c>
      <c r="K3923">
        <v>17</v>
      </c>
      <c r="L3923" t="s">
        <v>14</v>
      </c>
      <c r="M3923">
        <v>0</v>
      </c>
      <c r="N3923" t="str">
        <f t="shared" si="183"/>
        <v>Under 40</v>
      </c>
      <c r="O3923" t="str">
        <f t="shared" si="184"/>
        <v>Underweight</v>
      </c>
    </row>
    <row r="3924" spans="1:15" x14ac:dyDescent="0.3">
      <c r="A3924">
        <v>13398</v>
      </c>
      <c r="B3924" t="s">
        <v>7</v>
      </c>
      <c r="C3924">
        <v>63</v>
      </c>
      <c r="D3924">
        <v>0</v>
      </c>
      <c r="E3924">
        <v>0</v>
      </c>
      <c r="F3924" t="str">
        <f t="shared" si="185"/>
        <v>Moderate Risk</v>
      </c>
      <c r="G3924" t="s">
        <v>3</v>
      </c>
      <c r="H3924" t="s">
        <v>4</v>
      </c>
      <c r="I3924" t="s">
        <v>5</v>
      </c>
      <c r="J3924">
        <v>84.35</v>
      </c>
      <c r="K3924">
        <v>38.200000000000003</v>
      </c>
      <c r="L3924" t="s">
        <v>11</v>
      </c>
      <c r="M3924">
        <v>0</v>
      </c>
      <c r="N3924" t="str">
        <f t="shared" si="183"/>
        <v>60+</v>
      </c>
      <c r="O3924" t="str">
        <f t="shared" si="184"/>
        <v>Obese</v>
      </c>
    </row>
    <row r="3925" spans="1:15" x14ac:dyDescent="0.3">
      <c r="A3925">
        <v>21101</v>
      </c>
      <c r="B3925" t="s">
        <v>2</v>
      </c>
      <c r="C3925">
        <v>71</v>
      </c>
      <c r="D3925">
        <v>0</v>
      </c>
      <c r="E3925">
        <v>0</v>
      </c>
      <c r="F3925" t="str">
        <f t="shared" si="185"/>
        <v>Moderate Risk</v>
      </c>
      <c r="G3925" t="s">
        <v>3</v>
      </c>
      <c r="H3925" t="s">
        <v>4</v>
      </c>
      <c r="I3925" t="s">
        <v>9</v>
      </c>
      <c r="J3925">
        <v>67.989999999999995</v>
      </c>
      <c r="K3925">
        <v>31.1</v>
      </c>
      <c r="L3925" t="s">
        <v>11</v>
      </c>
      <c r="M3925">
        <v>0</v>
      </c>
      <c r="N3925" t="str">
        <f t="shared" si="183"/>
        <v>60+</v>
      </c>
      <c r="O3925" t="str">
        <f t="shared" si="184"/>
        <v>Obese</v>
      </c>
    </row>
    <row r="3926" spans="1:15" x14ac:dyDescent="0.3">
      <c r="A3926">
        <v>39958</v>
      </c>
      <c r="B3926" t="s">
        <v>2</v>
      </c>
      <c r="C3926">
        <v>18</v>
      </c>
      <c r="D3926">
        <v>0</v>
      </c>
      <c r="E3926">
        <v>0</v>
      </c>
      <c r="F3926" t="str">
        <f t="shared" si="185"/>
        <v>Lower Risk</v>
      </c>
      <c r="G3926" t="s">
        <v>13</v>
      </c>
      <c r="H3926" t="s">
        <v>4</v>
      </c>
      <c r="I3926" t="s">
        <v>9</v>
      </c>
      <c r="J3926">
        <v>118.93</v>
      </c>
      <c r="K3926">
        <v>22.4</v>
      </c>
      <c r="L3926" t="s">
        <v>11</v>
      </c>
      <c r="M3926">
        <v>0</v>
      </c>
      <c r="N3926" t="str">
        <f t="shared" si="183"/>
        <v>Under 40</v>
      </c>
      <c r="O3926" t="str">
        <f t="shared" si="184"/>
        <v>Normal</v>
      </c>
    </row>
    <row r="3927" spans="1:15" x14ac:dyDescent="0.3">
      <c r="A3927">
        <v>51894</v>
      </c>
      <c r="B3927" t="s">
        <v>7</v>
      </c>
      <c r="C3927">
        <v>65</v>
      </c>
      <c r="D3927">
        <v>0</v>
      </c>
      <c r="E3927">
        <v>0</v>
      </c>
      <c r="F3927" t="str">
        <f t="shared" si="185"/>
        <v>Moderate Risk</v>
      </c>
      <c r="G3927" t="s">
        <v>3</v>
      </c>
      <c r="H3927" t="s">
        <v>4</v>
      </c>
      <c r="I3927" t="s">
        <v>9</v>
      </c>
      <c r="J3927">
        <v>185.28</v>
      </c>
      <c r="K3927">
        <v>32</v>
      </c>
      <c r="L3927" t="s">
        <v>12</v>
      </c>
      <c r="M3927">
        <v>0</v>
      </c>
      <c r="N3927" t="str">
        <f t="shared" si="183"/>
        <v>60+</v>
      </c>
      <c r="O3927" t="str">
        <f t="shared" si="184"/>
        <v>Obese</v>
      </c>
    </row>
    <row r="3928" spans="1:15" x14ac:dyDescent="0.3">
      <c r="A3928">
        <v>56001</v>
      </c>
      <c r="B3928" t="s">
        <v>2</v>
      </c>
      <c r="C3928">
        <v>57</v>
      </c>
      <c r="D3928">
        <v>0</v>
      </c>
      <c r="E3928">
        <v>0</v>
      </c>
      <c r="F3928" t="str">
        <f t="shared" si="185"/>
        <v>Lower Risk</v>
      </c>
      <c r="G3928" t="s">
        <v>3</v>
      </c>
      <c r="H3928" t="s">
        <v>4</v>
      </c>
      <c r="I3928" t="s">
        <v>9</v>
      </c>
      <c r="J3928">
        <v>82.08</v>
      </c>
      <c r="K3928">
        <v>24.7</v>
      </c>
      <c r="L3928" t="s">
        <v>14</v>
      </c>
      <c r="M3928">
        <v>0</v>
      </c>
      <c r="N3928" t="str">
        <f t="shared" si="183"/>
        <v>40–59</v>
      </c>
      <c r="O3928" t="str">
        <f t="shared" si="184"/>
        <v>Normal</v>
      </c>
    </row>
    <row r="3929" spans="1:15" x14ac:dyDescent="0.3">
      <c r="A3929">
        <v>56137</v>
      </c>
      <c r="B3929" t="s">
        <v>7</v>
      </c>
      <c r="C3929">
        <v>62</v>
      </c>
      <c r="D3929">
        <v>0</v>
      </c>
      <c r="E3929">
        <v>0</v>
      </c>
      <c r="F3929" t="str">
        <f t="shared" si="185"/>
        <v>Moderate Risk</v>
      </c>
      <c r="G3929" t="s">
        <v>3</v>
      </c>
      <c r="H3929" t="s">
        <v>4</v>
      </c>
      <c r="I3929" t="s">
        <v>5</v>
      </c>
      <c r="J3929">
        <v>88.32</v>
      </c>
      <c r="K3929">
        <v>36.299999999999997</v>
      </c>
      <c r="L3929" t="s">
        <v>14</v>
      </c>
      <c r="M3929">
        <v>0</v>
      </c>
      <c r="N3929" t="str">
        <f t="shared" si="183"/>
        <v>60+</v>
      </c>
      <c r="O3929" t="str">
        <f t="shared" si="184"/>
        <v>Obese</v>
      </c>
    </row>
    <row r="3930" spans="1:15" x14ac:dyDescent="0.3">
      <c r="A3930">
        <v>25900</v>
      </c>
      <c r="B3930" t="s">
        <v>2</v>
      </c>
      <c r="C3930">
        <v>1.8</v>
      </c>
      <c r="D3930">
        <v>0</v>
      </c>
      <c r="E3930">
        <v>0</v>
      </c>
      <c r="F3930" t="str">
        <f t="shared" si="185"/>
        <v>Lower Risk</v>
      </c>
      <c r="G3930" t="s">
        <v>13</v>
      </c>
      <c r="H3930" t="s">
        <v>16</v>
      </c>
      <c r="I3930" t="s">
        <v>9</v>
      </c>
      <c r="J3930">
        <v>85.16</v>
      </c>
      <c r="K3930">
        <v>20.2</v>
      </c>
      <c r="L3930" t="s">
        <v>14</v>
      </c>
      <c r="M3930">
        <v>0</v>
      </c>
      <c r="N3930" t="str">
        <f t="shared" si="183"/>
        <v>Under 40</v>
      </c>
      <c r="O3930" t="str">
        <f t="shared" si="184"/>
        <v>Normal</v>
      </c>
    </row>
    <row r="3931" spans="1:15" x14ac:dyDescent="0.3">
      <c r="A3931">
        <v>69213</v>
      </c>
      <c r="B3931" t="s">
        <v>2</v>
      </c>
      <c r="C3931">
        <v>35</v>
      </c>
      <c r="D3931">
        <v>0</v>
      </c>
      <c r="E3931">
        <v>0</v>
      </c>
      <c r="F3931" t="str">
        <f t="shared" si="185"/>
        <v>Lower Risk</v>
      </c>
      <c r="G3931" t="s">
        <v>13</v>
      </c>
      <c r="H3931" t="s">
        <v>4</v>
      </c>
      <c r="I3931" t="s">
        <v>9</v>
      </c>
      <c r="J3931">
        <v>69.540000000000006</v>
      </c>
      <c r="K3931">
        <v>27.4</v>
      </c>
      <c r="L3931" t="s">
        <v>11</v>
      </c>
      <c r="M3931">
        <v>0</v>
      </c>
      <c r="N3931" t="str">
        <f t="shared" si="183"/>
        <v>Under 40</v>
      </c>
      <c r="O3931" t="str">
        <f t="shared" si="184"/>
        <v>Overweight</v>
      </c>
    </row>
    <row r="3932" spans="1:15" x14ac:dyDescent="0.3">
      <c r="A3932">
        <v>38613</v>
      </c>
      <c r="B3932" t="s">
        <v>7</v>
      </c>
      <c r="C3932">
        <v>50</v>
      </c>
      <c r="D3932">
        <v>0</v>
      </c>
      <c r="E3932">
        <v>0</v>
      </c>
      <c r="F3932" t="str">
        <f t="shared" si="185"/>
        <v>Lower Risk</v>
      </c>
      <c r="G3932" t="s">
        <v>3</v>
      </c>
      <c r="H3932" t="s">
        <v>15</v>
      </c>
      <c r="I3932" t="s">
        <v>9</v>
      </c>
      <c r="J3932">
        <v>62.12</v>
      </c>
      <c r="K3932">
        <v>29.6</v>
      </c>
      <c r="L3932" t="s">
        <v>11</v>
      </c>
      <c r="M3932">
        <v>0</v>
      </c>
      <c r="N3932" t="str">
        <f t="shared" si="183"/>
        <v>40–59</v>
      </c>
      <c r="O3932" t="str">
        <f t="shared" si="184"/>
        <v>Overweight</v>
      </c>
    </row>
    <row r="3933" spans="1:15" x14ac:dyDescent="0.3">
      <c r="A3933">
        <v>27660</v>
      </c>
      <c r="B3933" t="s">
        <v>7</v>
      </c>
      <c r="C3933">
        <v>73</v>
      </c>
      <c r="D3933">
        <v>1</v>
      </c>
      <c r="E3933">
        <v>0</v>
      </c>
      <c r="F3933" t="str">
        <f t="shared" si="185"/>
        <v>High Risk</v>
      </c>
      <c r="G3933" t="s">
        <v>13</v>
      </c>
      <c r="H3933" t="s">
        <v>8</v>
      </c>
      <c r="I3933" t="s">
        <v>9</v>
      </c>
      <c r="J3933">
        <v>198.3</v>
      </c>
      <c r="K3933">
        <v>54.3</v>
      </c>
      <c r="L3933" t="s">
        <v>6</v>
      </c>
      <c r="M3933">
        <v>0</v>
      </c>
      <c r="N3933" t="str">
        <f t="shared" si="183"/>
        <v>60+</v>
      </c>
      <c r="O3933" t="str">
        <f t="shared" si="184"/>
        <v>Obese</v>
      </c>
    </row>
    <row r="3934" spans="1:15" x14ac:dyDescent="0.3">
      <c r="A3934">
        <v>33790</v>
      </c>
      <c r="B3934" t="s">
        <v>7</v>
      </c>
      <c r="C3934">
        <v>23</v>
      </c>
      <c r="D3934">
        <v>0</v>
      </c>
      <c r="E3934">
        <v>0</v>
      </c>
      <c r="F3934" t="str">
        <f t="shared" si="185"/>
        <v>Lower Risk</v>
      </c>
      <c r="G3934" t="s">
        <v>13</v>
      </c>
      <c r="H3934" t="s">
        <v>4</v>
      </c>
      <c r="I3934" t="s">
        <v>9</v>
      </c>
      <c r="J3934">
        <v>100.06</v>
      </c>
      <c r="K3934">
        <v>28.6</v>
      </c>
      <c r="L3934" t="s">
        <v>11</v>
      </c>
      <c r="M3934">
        <v>0</v>
      </c>
      <c r="N3934" t="str">
        <f t="shared" si="183"/>
        <v>Under 40</v>
      </c>
      <c r="O3934" t="str">
        <f t="shared" si="184"/>
        <v>Overweight</v>
      </c>
    </row>
    <row r="3935" spans="1:15" x14ac:dyDescent="0.3">
      <c r="A3935">
        <v>50845</v>
      </c>
      <c r="B3935" t="s">
        <v>7</v>
      </c>
      <c r="C3935">
        <v>32</v>
      </c>
      <c r="D3935">
        <v>0</v>
      </c>
      <c r="E3935">
        <v>0</v>
      </c>
      <c r="F3935" t="str">
        <f t="shared" si="185"/>
        <v>Lower Risk</v>
      </c>
      <c r="G3935" t="s">
        <v>3</v>
      </c>
      <c r="H3935" t="s">
        <v>15</v>
      </c>
      <c r="I3935" t="s">
        <v>5</v>
      </c>
      <c r="J3935">
        <v>101.13</v>
      </c>
      <c r="K3935">
        <v>43.9</v>
      </c>
      <c r="L3935" t="s">
        <v>6</v>
      </c>
      <c r="M3935">
        <v>0</v>
      </c>
      <c r="N3935" t="str">
        <f t="shared" si="183"/>
        <v>Under 40</v>
      </c>
      <c r="O3935" t="str">
        <f t="shared" si="184"/>
        <v>Obese</v>
      </c>
    </row>
    <row r="3936" spans="1:15" x14ac:dyDescent="0.3">
      <c r="A3936">
        <v>44628</v>
      </c>
      <c r="B3936" t="s">
        <v>7</v>
      </c>
      <c r="C3936">
        <v>38</v>
      </c>
      <c r="D3936">
        <v>0</v>
      </c>
      <c r="E3936">
        <v>0</v>
      </c>
      <c r="F3936" t="str">
        <f t="shared" si="185"/>
        <v>Lower Risk</v>
      </c>
      <c r="G3936" t="s">
        <v>3</v>
      </c>
      <c r="H3936" t="s">
        <v>4</v>
      </c>
      <c r="I3936" t="s">
        <v>9</v>
      </c>
      <c r="J3936">
        <v>91.09</v>
      </c>
      <c r="K3936">
        <v>22.2</v>
      </c>
      <c r="L3936" t="s">
        <v>11</v>
      </c>
      <c r="M3936">
        <v>0</v>
      </c>
      <c r="N3936" t="str">
        <f t="shared" si="183"/>
        <v>Under 40</v>
      </c>
      <c r="O3936" t="str">
        <f t="shared" si="184"/>
        <v>Normal</v>
      </c>
    </row>
    <row r="3937" spans="1:15" x14ac:dyDescent="0.3">
      <c r="A3937">
        <v>38951</v>
      </c>
      <c r="B3937" t="s">
        <v>7</v>
      </c>
      <c r="C3937">
        <v>50</v>
      </c>
      <c r="D3937">
        <v>0</v>
      </c>
      <c r="E3937">
        <v>0</v>
      </c>
      <c r="F3937" t="str">
        <f t="shared" si="185"/>
        <v>Lower Risk</v>
      </c>
      <c r="G3937" t="s">
        <v>3</v>
      </c>
      <c r="H3937" t="s">
        <v>8</v>
      </c>
      <c r="I3937" t="s">
        <v>9</v>
      </c>
      <c r="J3937">
        <v>61.54</v>
      </c>
      <c r="K3937">
        <v>28.4</v>
      </c>
      <c r="L3937" t="s">
        <v>14</v>
      </c>
      <c r="M3937">
        <v>0</v>
      </c>
      <c r="N3937" t="str">
        <f t="shared" si="183"/>
        <v>40–59</v>
      </c>
      <c r="O3937" t="str">
        <f t="shared" si="184"/>
        <v>Overweight</v>
      </c>
    </row>
    <row r="3938" spans="1:15" x14ac:dyDescent="0.3">
      <c r="A3938">
        <v>52792</v>
      </c>
      <c r="B3938" t="s">
        <v>7</v>
      </c>
      <c r="C3938">
        <v>39</v>
      </c>
      <c r="D3938">
        <v>0</v>
      </c>
      <c r="E3938">
        <v>0</v>
      </c>
      <c r="F3938" t="str">
        <f t="shared" si="185"/>
        <v>Lower Risk</v>
      </c>
      <c r="G3938" t="s">
        <v>3</v>
      </c>
      <c r="H3938" t="s">
        <v>4</v>
      </c>
      <c r="I3938" t="s">
        <v>5</v>
      </c>
      <c r="J3938">
        <v>62.02</v>
      </c>
      <c r="K3938">
        <v>23.7</v>
      </c>
      <c r="L3938" t="s">
        <v>12</v>
      </c>
      <c r="M3938">
        <v>0</v>
      </c>
      <c r="N3938" t="str">
        <f t="shared" si="183"/>
        <v>Under 40</v>
      </c>
      <c r="O3938" t="str">
        <f t="shared" si="184"/>
        <v>Normal</v>
      </c>
    </row>
    <row r="3939" spans="1:15" x14ac:dyDescent="0.3">
      <c r="A3939">
        <v>27675</v>
      </c>
      <c r="B3939" t="s">
        <v>7</v>
      </c>
      <c r="C3939">
        <v>7</v>
      </c>
      <c r="D3939">
        <v>0</v>
      </c>
      <c r="E3939">
        <v>0</v>
      </c>
      <c r="F3939" t="str">
        <f t="shared" si="185"/>
        <v>Lower Risk</v>
      </c>
      <c r="G3939" t="s">
        <v>13</v>
      </c>
      <c r="H3939" t="s">
        <v>16</v>
      </c>
      <c r="I3939" t="s">
        <v>5</v>
      </c>
      <c r="J3939">
        <v>103.11</v>
      </c>
      <c r="K3939">
        <v>18.3</v>
      </c>
      <c r="L3939" t="s">
        <v>14</v>
      </c>
      <c r="M3939">
        <v>0</v>
      </c>
      <c r="N3939" t="str">
        <f t="shared" si="183"/>
        <v>Under 40</v>
      </c>
      <c r="O3939" t="str">
        <f t="shared" si="184"/>
        <v>Underweight</v>
      </c>
    </row>
    <row r="3940" spans="1:15" x14ac:dyDescent="0.3">
      <c r="A3940">
        <v>6903</v>
      </c>
      <c r="B3940" t="s">
        <v>7</v>
      </c>
      <c r="C3940">
        <v>15</v>
      </c>
      <c r="D3940">
        <v>0</v>
      </c>
      <c r="E3940">
        <v>0</v>
      </c>
      <c r="F3940" t="str">
        <f t="shared" si="185"/>
        <v>Lower Risk</v>
      </c>
      <c r="G3940" t="s">
        <v>13</v>
      </c>
      <c r="H3940" t="s">
        <v>16</v>
      </c>
      <c r="I3940" t="s">
        <v>9</v>
      </c>
      <c r="J3940">
        <v>77.569999999999993</v>
      </c>
      <c r="K3940">
        <v>18.3</v>
      </c>
      <c r="L3940" t="s">
        <v>14</v>
      </c>
      <c r="M3940">
        <v>0</v>
      </c>
      <c r="N3940" t="str">
        <f t="shared" si="183"/>
        <v>Under 40</v>
      </c>
      <c r="O3940" t="str">
        <f t="shared" si="184"/>
        <v>Underweight</v>
      </c>
    </row>
    <row r="3941" spans="1:15" x14ac:dyDescent="0.3">
      <c r="A3941">
        <v>35463</v>
      </c>
      <c r="B3941" t="s">
        <v>2</v>
      </c>
      <c r="C3941">
        <v>67</v>
      </c>
      <c r="D3941">
        <v>0</v>
      </c>
      <c r="E3941">
        <v>0</v>
      </c>
      <c r="F3941" t="str">
        <f t="shared" si="185"/>
        <v>Moderate Risk</v>
      </c>
      <c r="G3941" t="s">
        <v>3</v>
      </c>
      <c r="H3941" t="s">
        <v>4</v>
      </c>
      <c r="I3941" t="s">
        <v>5</v>
      </c>
      <c r="J3941">
        <v>97.34</v>
      </c>
      <c r="K3941">
        <v>28.9</v>
      </c>
      <c r="L3941" t="s">
        <v>11</v>
      </c>
      <c r="M3941">
        <v>0</v>
      </c>
      <c r="N3941" t="str">
        <f t="shared" si="183"/>
        <v>60+</v>
      </c>
      <c r="O3941" t="str">
        <f t="shared" si="184"/>
        <v>Overweight</v>
      </c>
    </row>
    <row r="3942" spans="1:15" x14ac:dyDescent="0.3">
      <c r="A3942">
        <v>172</v>
      </c>
      <c r="B3942" t="s">
        <v>2</v>
      </c>
      <c r="C3942">
        <v>8</v>
      </c>
      <c r="D3942">
        <v>0</v>
      </c>
      <c r="E3942">
        <v>0</v>
      </c>
      <c r="F3942" t="str">
        <f t="shared" si="185"/>
        <v>Lower Risk</v>
      </c>
      <c r="G3942" t="s">
        <v>13</v>
      </c>
      <c r="H3942" t="s">
        <v>16</v>
      </c>
      <c r="I3942" t="s">
        <v>5</v>
      </c>
      <c r="J3942">
        <v>78.760000000000005</v>
      </c>
      <c r="K3942" t="s">
        <v>10</v>
      </c>
      <c r="L3942" t="s">
        <v>14</v>
      </c>
      <c r="M3942">
        <v>0</v>
      </c>
      <c r="N3942" t="str">
        <f t="shared" si="183"/>
        <v>Under 40</v>
      </c>
      <c r="O3942" t="str">
        <f t="shared" si="184"/>
        <v>Unknown</v>
      </c>
    </row>
    <row r="3943" spans="1:15" x14ac:dyDescent="0.3">
      <c r="A3943">
        <v>16876</v>
      </c>
      <c r="B3943" t="s">
        <v>7</v>
      </c>
      <c r="C3943">
        <v>32</v>
      </c>
      <c r="D3943">
        <v>0</v>
      </c>
      <c r="E3943">
        <v>0</v>
      </c>
      <c r="F3943" t="str">
        <f t="shared" si="185"/>
        <v>Lower Risk</v>
      </c>
      <c r="G3943" t="s">
        <v>3</v>
      </c>
      <c r="H3943" t="s">
        <v>4</v>
      </c>
      <c r="I3943" t="s">
        <v>9</v>
      </c>
      <c r="J3943">
        <v>67.099999999999994</v>
      </c>
      <c r="K3943">
        <v>27.1</v>
      </c>
      <c r="L3943" t="s">
        <v>14</v>
      </c>
      <c r="M3943">
        <v>0</v>
      </c>
      <c r="N3943" t="str">
        <f t="shared" si="183"/>
        <v>Under 40</v>
      </c>
      <c r="O3943" t="str">
        <f t="shared" si="184"/>
        <v>Overweight</v>
      </c>
    </row>
    <row r="3944" spans="1:15" x14ac:dyDescent="0.3">
      <c r="A3944">
        <v>60926</v>
      </c>
      <c r="B3944" t="s">
        <v>2</v>
      </c>
      <c r="C3944">
        <v>5</v>
      </c>
      <c r="D3944">
        <v>0</v>
      </c>
      <c r="E3944">
        <v>0</v>
      </c>
      <c r="F3944" t="str">
        <f t="shared" si="185"/>
        <v>Lower Risk</v>
      </c>
      <c r="G3944" t="s">
        <v>13</v>
      </c>
      <c r="H3944" t="s">
        <v>16</v>
      </c>
      <c r="I3944" t="s">
        <v>5</v>
      </c>
      <c r="J3944">
        <v>79.89</v>
      </c>
      <c r="K3944">
        <v>13.8</v>
      </c>
      <c r="L3944" t="s">
        <v>14</v>
      </c>
      <c r="M3944">
        <v>0</v>
      </c>
      <c r="N3944" t="str">
        <f t="shared" si="183"/>
        <v>Under 40</v>
      </c>
      <c r="O3944" t="str">
        <f t="shared" si="184"/>
        <v>Underweight</v>
      </c>
    </row>
    <row r="3945" spans="1:15" x14ac:dyDescent="0.3">
      <c r="A3945">
        <v>21333</v>
      </c>
      <c r="B3945" t="s">
        <v>2</v>
      </c>
      <c r="C3945">
        <v>56</v>
      </c>
      <c r="D3945">
        <v>1</v>
      </c>
      <c r="E3945">
        <v>0</v>
      </c>
      <c r="F3945" t="str">
        <f t="shared" si="185"/>
        <v>Lower Risk</v>
      </c>
      <c r="G3945" t="s">
        <v>3</v>
      </c>
      <c r="H3945" t="s">
        <v>4</v>
      </c>
      <c r="I3945" t="s">
        <v>9</v>
      </c>
      <c r="J3945">
        <v>206.66</v>
      </c>
      <c r="K3945">
        <v>21.9</v>
      </c>
      <c r="L3945" t="s">
        <v>12</v>
      </c>
      <c r="M3945">
        <v>0</v>
      </c>
      <c r="N3945" t="str">
        <f t="shared" si="183"/>
        <v>40–59</v>
      </c>
      <c r="O3945" t="str">
        <f t="shared" si="184"/>
        <v>Normal</v>
      </c>
    </row>
    <row r="3946" spans="1:15" x14ac:dyDescent="0.3">
      <c r="A3946">
        <v>69183</v>
      </c>
      <c r="B3946" t="s">
        <v>2</v>
      </c>
      <c r="C3946">
        <v>49</v>
      </c>
      <c r="D3946">
        <v>0</v>
      </c>
      <c r="E3946">
        <v>0</v>
      </c>
      <c r="F3946" t="str">
        <f t="shared" si="185"/>
        <v>Lower Risk</v>
      </c>
      <c r="G3946" t="s">
        <v>13</v>
      </c>
      <c r="H3946" t="s">
        <v>4</v>
      </c>
      <c r="I3946" t="s">
        <v>5</v>
      </c>
      <c r="J3946">
        <v>95.79</v>
      </c>
      <c r="K3946">
        <v>24</v>
      </c>
      <c r="L3946" t="s">
        <v>14</v>
      </c>
      <c r="M3946">
        <v>0</v>
      </c>
      <c r="N3946" t="str">
        <f t="shared" si="183"/>
        <v>40–59</v>
      </c>
      <c r="O3946" t="str">
        <f t="shared" si="184"/>
        <v>Normal</v>
      </c>
    </row>
    <row r="3947" spans="1:15" x14ac:dyDescent="0.3">
      <c r="A3947">
        <v>2313</v>
      </c>
      <c r="B3947" t="s">
        <v>7</v>
      </c>
      <c r="C3947">
        <v>75</v>
      </c>
      <c r="D3947">
        <v>0</v>
      </c>
      <c r="E3947">
        <v>1</v>
      </c>
      <c r="F3947" t="str">
        <f t="shared" si="185"/>
        <v>High Risk</v>
      </c>
      <c r="G3947" t="s">
        <v>3</v>
      </c>
      <c r="H3947" t="s">
        <v>8</v>
      </c>
      <c r="I3947" t="s">
        <v>5</v>
      </c>
      <c r="J3947">
        <v>83.88</v>
      </c>
      <c r="K3947" t="s">
        <v>10</v>
      </c>
      <c r="L3947" t="s">
        <v>12</v>
      </c>
      <c r="M3947">
        <v>0</v>
      </c>
      <c r="N3947" t="str">
        <f t="shared" si="183"/>
        <v>60+</v>
      </c>
      <c r="O3947" t="str">
        <f t="shared" si="184"/>
        <v>Unknown</v>
      </c>
    </row>
    <row r="3948" spans="1:15" x14ac:dyDescent="0.3">
      <c r="A3948">
        <v>8041</v>
      </c>
      <c r="B3948" t="s">
        <v>7</v>
      </c>
      <c r="C3948">
        <v>11</v>
      </c>
      <c r="D3948">
        <v>0</v>
      </c>
      <c r="E3948">
        <v>0</v>
      </c>
      <c r="F3948" t="str">
        <f t="shared" si="185"/>
        <v>Lower Risk</v>
      </c>
      <c r="G3948" t="s">
        <v>13</v>
      </c>
      <c r="H3948" t="s">
        <v>16</v>
      </c>
      <c r="I3948" t="s">
        <v>9</v>
      </c>
      <c r="J3948">
        <v>93.51</v>
      </c>
      <c r="K3948">
        <v>20.8</v>
      </c>
      <c r="L3948" t="s">
        <v>14</v>
      </c>
      <c r="M3948">
        <v>0</v>
      </c>
      <c r="N3948" t="str">
        <f t="shared" si="183"/>
        <v>Under 40</v>
      </c>
      <c r="O3948" t="str">
        <f t="shared" si="184"/>
        <v>Normal</v>
      </c>
    </row>
    <row r="3949" spans="1:15" x14ac:dyDescent="0.3">
      <c r="A3949">
        <v>68171</v>
      </c>
      <c r="B3949" t="s">
        <v>2</v>
      </c>
      <c r="C3949">
        <v>61</v>
      </c>
      <c r="D3949">
        <v>0</v>
      </c>
      <c r="E3949">
        <v>0</v>
      </c>
      <c r="F3949" t="str">
        <f t="shared" si="185"/>
        <v>Moderate Risk</v>
      </c>
      <c r="G3949" t="s">
        <v>3</v>
      </c>
      <c r="H3949" t="s">
        <v>8</v>
      </c>
      <c r="I3949" t="s">
        <v>5</v>
      </c>
      <c r="J3949">
        <v>116.78</v>
      </c>
      <c r="K3949">
        <v>39.799999999999997</v>
      </c>
      <c r="L3949" t="s">
        <v>6</v>
      </c>
      <c r="M3949">
        <v>0</v>
      </c>
      <c r="N3949" t="str">
        <f t="shared" si="183"/>
        <v>60+</v>
      </c>
      <c r="O3949" t="str">
        <f t="shared" si="184"/>
        <v>Obese</v>
      </c>
    </row>
    <row r="3950" spans="1:15" x14ac:dyDescent="0.3">
      <c r="A3950">
        <v>27948</v>
      </c>
      <c r="B3950" t="s">
        <v>2</v>
      </c>
      <c r="C3950">
        <v>76</v>
      </c>
      <c r="D3950">
        <v>0</v>
      </c>
      <c r="E3950">
        <v>0</v>
      </c>
      <c r="F3950" t="str">
        <f t="shared" si="185"/>
        <v>Moderate Risk</v>
      </c>
      <c r="G3950" t="s">
        <v>3</v>
      </c>
      <c r="H3950" t="s">
        <v>8</v>
      </c>
      <c r="I3950" t="s">
        <v>9</v>
      </c>
      <c r="J3950">
        <v>117.63</v>
      </c>
      <c r="K3950">
        <v>26.2</v>
      </c>
      <c r="L3950" t="s">
        <v>11</v>
      </c>
      <c r="M3950">
        <v>0</v>
      </c>
      <c r="N3950" t="str">
        <f t="shared" si="183"/>
        <v>60+</v>
      </c>
      <c r="O3950" t="str">
        <f t="shared" si="184"/>
        <v>Overweight</v>
      </c>
    </row>
    <row r="3951" spans="1:15" x14ac:dyDescent="0.3">
      <c r="A3951">
        <v>45673</v>
      </c>
      <c r="B3951" t="s">
        <v>7</v>
      </c>
      <c r="C3951">
        <v>34</v>
      </c>
      <c r="D3951">
        <v>0</v>
      </c>
      <c r="E3951">
        <v>0</v>
      </c>
      <c r="F3951" t="str">
        <f t="shared" si="185"/>
        <v>Lower Risk</v>
      </c>
      <c r="G3951" t="s">
        <v>3</v>
      </c>
      <c r="H3951" t="s">
        <v>4</v>
      </c>
      <c r="I3951" t="s">
        <v>9</v>
      </c>
      <c r="J3951">
        <v>60.01</v>
      </c>
      <c r="K3951">
        <v>43.9</v>
      </c>
      <c r="L3951" t="s">
        <v>14</v>
      </c>
      <c r="M3951">
        <v>0</v>
      </c>
      <c r="N3951" t="str">
        <f t="shared" si="183"/>
        <v>Under 40</v>
      </c>
      <c r="O3951" t="str">
        <f t="shared" si="184"/>
        <v>Obese</v>
      </c>
    </row>
    <row r="3952" spans="1:15" x14ac:dyDescent="0.3">
      <c r="A3952">
        <v>50810</v>
      </c>
      <c r="B3952" t="s">
        <v>2</v>
      </c>
      <c r="C3952">
        <v>20</v>
      </c>
      <c r="D3952">
        <v>0</v>
      </c>
      <c r="E3952">
        <v>0</v>
      </c>
      <c r="F3952" t="str">
        <f t="shared" si="185"/>
        <v>Lower Risk</v>
      </c>
      <c r="G3952" t="s">
        <v>13</v>
      </c>
      <c r="H3952" t="s">
        <v>4</v>
      </c>
      <c r="I3952" t="s">
        <v>9</v>
      </c>
      <c r="J3952">
        <v>64.599999999999994</v>
      </c>
      <c r="K3952">
        <v>27.3</v>
      </c>
      <c r="L3952" t="s">
        <v>14</v>
      </c>
      <c r="M3952">
        <v>0</v>
      </c>
      <c r="N3952" t="str">
        <f t="shared" si="183"/>
        <v>Under 40</v>
      </c>
      <c r="O3952" t="str">
        <f t="shared" si="184"/>
        <v>Overweight</v>
      </c>
    </row>
    <row r="3953" spans="1:15" x14ac:dyDescent="0.3">
      <c r="A3953">
        <v>2467</v>
      </c>
      <c r="B3953" t="s">
        <v>7</v>
      </c>
      <c r="C3953">
        <v>79</v>
      </c>
      <c r="D3953">
        <v>1</v>
      </c>
      <c r="E3953">
        <v>0</v>
      </c>
      <c r="F3953" t="str">
        <f t="shared" si="185"/>
        <v>High Risk</v>
      </c>
      <c r="G3953" t="s">
        <v>3</v>
      </c>
      <c r="H3953" t="s">
        <v>8</v>
      </c>
      <c r="I3953" t="s">
        <v>9</v>
      </c>
      <c r="J3953">
        <v>92.43</v>
      </c>
      <c r="K3953" t="s">
        <v>10</v>
      </c>
      <c r="L3953" t="s">
        <v>11</v>
      </c>
      <c r="M3953">
        <v>0</v>
      </c>
      <c r="N3953" t="str">
        <f t="shared" si="183"/>
        <v>60+</v>
      </c>
      <c r="O3953" t="str">
        <f t="shared" si="184"/>
        <v>Unknown</v>
      </c>
    </row>
    <row r="3954" spans="1:15" x14ac:dyDescent="0.3">
      <c r="A3954">
        <v>64165</v>
      </c>
      <c r="B3954" t="s">
        <v>7</v>
      </c>
      <c r="C3954">
        <v>24</v>
      </c>
      <c r="D3954">
        <v>0</v>
      </c>
      <c r="E3954">
        <v>0</v>
      </c>
      <c r="F3954" t="str">
        <f t="shared" si="185"/>
        <v>Lower Risk</v>
      </c>
      <c r="G3954" t="s">
        <v>13</v>
      </c>
      <c r="H3954" t="s">
        <v>4</v>
      </c>
      <c r="I3954" t="s">
        <v>5</v>
      </c>
      <c r="J3954">
        <v>71.63</v>
      </c>
      <c r="K3954">
        <v>22</v>
      </c>
      <c r="L3954" t="s">
        <v>6</v>
      </c>
      <c r="M3954">
        <v>0</v>
      </c>
      <c r="N3954" t="str">
        <f t="shared" si="183"/>
        <v>Under 40</v>
      </c>
      <c r="O3954" t="str">
        <f t="shared" si="184"/>
        <v>Normal</v>
      </c>
    </row>
    <row r="3955" spans="1:15" x14ac:dyDescent="0.3">
      <c r="A3955">
        <v>22352</v>
      </c>
      <c r="B3955" t="s">
        <v>7</v>
      </c>
      <c r="C3955">
        <v>39</v>
      </c>
      <c r="D3955">
        <v>0</v>
      </c>
      <c r="E3955">
        <v>0</v>
      </c>
      <c r="F3955" t="str">
        <f t="shared" si="185"/>
        <v>Lower Risk</v>
      </c>
      <c r="G3955" t="s">
        <v>3</v>
      </c>
      <c r="H3955" t="s">
        <v>8</v>
      </c>
      <c r="I3955" t="s">
        <v>5</v>
      </c>
      <c r="J3955">
        <v>87.79</v>
      </c>
      <c r="K3955">
        <v>40</v>
      </c>
      <c r="L3955" t="s">
        <v>6</v>
      </c>
      <c r="M3955">
        <v>0</v>
      </c>
      <c r="N3955" t="str">
        <f t="shared" si="183"/>
        <v>Under 40</v>
      </c>
      <c r="O3955" t="str">
        <f t="shared" si="184"/>
        <v>Obese</v>
      </c>
    </row>
    <row r="3956" spans="1:15" x14ac:dyDescent="0.3">
      <c r="A3956">
        <v>62990</v>
      </c>
      <c r="B3956" t="s">
        <v>7</v>
      </c>
      <c r="C3956">
        <v>55</v>
      </c>
      <c r="D3956">
        <v>0</v>
      </c>
      <c r="E3956">
        <v>0</v>
      </c>
      <c r="F3956" t="str">
        <f t="shared" si="185"/>
        <v>Lower Risk</v>
      </c>
      <c r="G3956" t="s">
        <v>3</v>
      </c>
      <c r="H3956" t="s">
        <v>15</v>
      </c>
      <c r="I3956" t="s">
        <v>9</v>
      </c>
      <c r="J3956">
        <v>99.64</v>
      </c>
      <c r="K3956">
        <v>20.100000000000001</v>
      </c>
      <c r="L3956" t="s">
        <v>6</v>
      </c>
      <c r="M3956">
        <v>0</v>
      </c>
      <c r="N3956" t="str">
        <f t="shared" si="183"/>
        <v>40–59</v>
      </c>
      <c r="O3956" t="str">
        <f t="shared" si="184"/>
        <v>Normal</v>
      </c>
    </row>
    <row r="3957" spans="1:15" x14ac:dyDescent="0.3">
      <c r="A3957">
        <v>1737</v>
      </c>
      <c r="B3957" t="s">
        <v>7</v>
      </c>
      <c r="C3957">
        <v>16</v>
      </c>
      <c r="D3957">
        <v>0</v>
      </c>
      <c r="E3957">
        <v>0</v>
      </c>
      <c r="F3957" t="str">
        <f t="shared" si="185"/>
        <v>Lower Risk</v>
      </c>
      <c r="G3957" t="s">
        <v>13</v>
      </c>
      <c r="H3957" t="s">
        <v>4</v>
      </c>
      <c r="I3957" t="s">
        <v>9</v>
      </c>
      <c r="J3957">
        <v>86.53</v>
      </c>
      <c r="K3957">
        <v>42.2</v>
      </c>
      <c r="L3957" t="s">
        <v>11</v>
      </c>
      <c r="M3957">
        <v>0</v>
      </c>
      <c r="N3957" t="str">
        <f t="shared" si="183"/>
        <v>Under 40</v>
      </c>
      <c r="O3957" t="str">
        <f t="shared" si="184"/>
        <v>Obese</v>
      </c>
    </row>
    <row r="3958" spans="1:15" x14ac:dyDescent="0.3">
      <c r="A3958">
        <v>26357</v>
      </c>
      <c r="B3958" t="s">
        <v>2</v>
      </c>
      <c r="C3958">
        <v>36</v>
      </c>
      <c r="D3958">
        <v>0</v>
      </c>
      <c r="E3958">
        <v>0</v>
      </c>
      <c r="F3958" t="str">
        <f t="shared" si="185"/>
        <v>Lower Risk</v>
      </c>
      <c r="G3958" t="s">
        <v>13</v>
      </c>
      <c r="H3958" t="s">
        <v>4</v>
      </c>
      <c r="I3958" t="s">
        <v>5</v>
      </c>
      <c r="J3958">
        <v>200.68</v>
      </c>
      <c r="K3958">
        <v>25.8</v>
      </c>
      <c r="L3958" t="s">
        <v>14</v>
      </c>
      <c r="M3958">
        <v>0</v>
      </c>
      <c r="N3958" t="str">
        <f t="shared" si="183"/>
        <v>Under 40</v>
      </c>
      <c r="O3958" t="str">
        <f t="shared" si="184"/>
        <v>Overweight</v>
      </c>
    </row>
    <row r="3959" spans="1:15" x14ac:dyDescent="0.3">
      <c r="A3959">
        <v>28013</v>
      </c>
      <c r="B3959" t="s">
        <v>7</v>
      </c>
      <c r="C3959">
        <v>38</v>
      </c>
      <c r="D3959">
        <v>0</v>
      </c>
      <c r="E3959">
        <v>0</v>
      </c>
      <c r="F3959" t="str">
        <f t="shared" si="185"/>
        <v>Lower Risk</v>
      </c>
      <c r="G3959" t="s">
        <v>3</v>
      </c>
      <c r="H3959" t="s">
        <v>8</v>
      </c>
      <c r="I3959" t="s">
        <v>5</v>
      </c>
      <c r="J3959">
        <v>98.37</v>
      </c>
      <c r="K3959">
        <v>27.2</v>
      </c>
      <c r="L3959" t="s">
        <v>11</v>
      </c>
      <c r="M3959">
        <v>0</v>
      </c>
      <c r="N3959" t="str">
        <f t="shared" si="183"/>
        <v>Under 40</v>
      </c>
      <c r="O3959" t="str">
        <f t="shared" si="184"/>
        <v>Overweight</v>
      </c>
    </row>
    <row r="3960" spans="1:15" x14ac:dyDescent="0.3">
      <c r="A3960">
        <v>24727</v>
      </c>
      <c r="B3960" t="s">
        <v>2</v>
      </c>
      <c r="C3960">
        <v>20</v>
      </c>
      <c r="D3960">
        <v>0</v>
      </c>
      <c r="E3960">
        <v>0</v>
      </c>
      <c r="F3960" t="str">
        <f t="shared" si="185"/>
        <v>Lower Risk</v>
      </c>
      <c r="G3960" t="s">
        <v>13</v>
      </c>
      <c r="H3960" t="s">
        <v>4</v>
      </c>
      <c r="I3960" t="s">
        <v>9</v>
      </c>
      <c r="J3960">
        <v>117.98</v>
      </c>
      <c r="K3960">
        <v>30.9</v>
      </c>
      <c r="L3960" t="s">
        <v>12</v>
      </c>
      <c r="M3960">
        <v>0</v>
      </c>
      <c r="N3960" t="str">
        <f t="shared" si="183"/>
        <v>Under 40</v>
      </c>
      <c r="O3960" t="str">
        <f t="shared" si="184"/>
        <v>Obese</v>
      </c>
    </row>
    <row r="3961" spans="1:15" x14ac:dyDescent="0.3">
      <c r="A3961">
        <v>37608</v>
      </c>
      <c r="B3961" t="s">
        <v>7</v>
      </c>
      <c r="C3961">
        <v>38</v>
      </c>
      <c r="D3961">
        <v>0</v>
      </c>
      <c r="E3961">
        <v>0</v>
      </c>
      <c r="F3961" t="str">
        <f t="shared" si="185"/>
        <v>Lower Risk</v>
      </c>
      <c r="G3961" t="s">
        <v>13</v>
      </c>
      <c r="H3961" t="s">
        <v>4</v>
      </c>
      <c r="I3961" t="s">
        <v>5</v>
      </c>
      <c r="J3961">
        <v>218.6</v>
      </c>
      <c r="K3961">
        <v>47.9</v>
      </c>
      <c r="L3961" t="s">
        <v>6</v>
      </c>
      <c r="M3961">
        <v>0</v>
      </c>
      <c r="N3961" t="str">
        <f t="shared" si="183"/>
        <v>Under 40</v>
      </c>
      <c r="O3961" t="str">
        <f t="shared" si="184"/>
        <v>Obese</v>
      </c>
    </row>
    <row r="3962" spans="1:15" x14ac:dyDescent="0.3">
      <c r="A3962">
        <v>13870</v>
      </c>
      <c r="B3962" t="s">
        <v>7</v>
      </c>
      <c r="C3962">
        <v>52</v>
      </c>
      <c r="D3962">
        <v>0</v>
      </c>
      <c r="E3962">
        <v>0</v>
      </c>
      <c r="F3962" t="str">
        <f t="shared" si="185"/>
        <v>Lower Risk</v>
      </c>
      <c r="G3962" t="s">
        <v>3</v>
      </c>
      <c r="H3962" t="s">
        <v>4</v>
      </c>
      <c r="I3962" t="s">
        <v>5</v>
      </c>
      <c r="J3962">
        <v>101.3</v>
      </c>
      <c r="K3962">
        <v>33.1</v>
      </c>
      <c r="L3962" t="s">
        <v>12</v>
      </c>
      <c r="M3962">
        <v>0</v>
      </c>
      <c r="N3962" t="str">
        <f t="shared" si="183"/>
        <v>40–59</v>
      </c>
      <c r="O3962" t="str">
        <f t="shared" si="184"/>
        <v>Obese</v>
      </c>
    </row>
    <row r="3963" spans="1:15" x14ac:dyDescent="0.3">
      <c r="A3963">
        <v>4655</v>
      </c>
      <c r="B3963" t="s">
        <v>2</v>
      </c>
      <c r="C3963">
        <v>49</v>
      </c>
      <c r="D3963">
        <v>0</v>
      </c>
      <c r="E3963">
        <v>0</v>
      </c>
      <c r="F3963" t="str">
        <f t="shared" si="185"/>
        <v>Lower Risk</v>
      </c>
      <c r="G3963" t="s">
        <v>3</v>
      </c>
      <c r="H3963" t="s">
        <v>4</v>
      </c>
      <c r="I3963" t="s">
        <v>5</v>
      </c>
      <c r="J3963">
        <v>79.510000000000005</v>
      </c>
      <c r="K3963">
        <v>37.799999999999997</v>
      </c>
      <c r="L3963" t="s">
        <v>11</v>
      </c>
      <c r="M3963">
        <v>0</v>
      </c>
      <c r="N3963" t="str">
        <f t="shared" si="183"/>
        <v>40–59</v>
      </c>
      <c r="O3963" t="str">
        <f t="shared" si="184"/>
        <v>Obese</v>
      </c>
    </row>
    <row r="3964" spans="1:15" x14ac:dyDescent="0.3">
      <c r="A3964">
        <v>55356</v>
      </c>
      <c r="B3964" t="s">
        <v>7</v>
      </c>
      <c r="C3964">
        <v>80</v>
      </c>
      <c r="D3964">
        <v>0</v>
      </c>
      <c r="E3964">
        <v>0</v>
      </c>
      <c r="F3964" t="str">
        <f t="shared" si="185"/>
        <v>Moderate Risk</v>
      </c>
      <c r="G3964" t="s">
        <v>3</v>
      </c>
      <c r="H3964" t="s">
        <v>8</v>
      </c>
      <c r="I3964" t="s">
        <v>5</v>
      </c>
      <c r="J3964">
        <v>223.26</v>
      </c>
      <c r="K3964">
        <v>25.4</v>
      </c>
      <c r="L3964" t="s">
        <v>11</v>
      </c>
      <c r="M3964">
        <v>0</v>
      </c>
      <c r="N3964" t="str">
        <f t="shared" si="183"/>
        <v>60+</v>
      </c>
      <c r="O3964" t="str">
        <f t="shared" si="184"/>
        <v>Overweight</v>
      </c>
    </row>
    <row r="3965" spans="1:15" x14ac:dyDescent="0.3">
      <c r="A3965">
        <v>49400</v>
      </c>
      <c r="B3965" t="s">
        <v>2</v>
      </c>
      <c r="C3965">
        <v>75</v>
      </c>
      <c r="D3965">
        <v>0</v>
      </c>
      <c r="E3965">
        <v>0</v>
      </c>
      <c r="F3965" t="str">
        <f t="shared" si="185"/>
        <v>Moderate Risk</v>
      </c>
      <c r="G3965" t="s">
        <v>3</v>
      </c>
      <c r="H3965" t="s">
        <v>4</v>
      </c>
      <c r="I3965" t="s">
        <v>9</v>
      </c>
      <c r="J3965">
        <v>97.22</v>
      </c>
      <c r="K3965">
        <v>28.4</v>
      </c>
      <c r="L3965" t="s">
        <v>11</v>
      </c>
      <c r="M3965">
        <v>0</v>
      </c>
      <c r="N3965" t="str">
        <f t="shared" si="183"/>
        <v>60+</v>
      </c>
      <c r="O3965" t="str">
        <f t="shared" si="184"/>
        <v>Overweight</v>
      </c>
    </row>
    <row r="3966" spans="1:15" x14ac:dyDescent="0.3">
      <c r="A3966">
        <v>38132</v>
      </c>
      <c r="B3966" t="s">
        <v>7</v>
      </c>
      <c r="C3966">
        <v>13</v>
      </c>
      <c r="D3966">
        <v>0</v>
      </c>
      <c r="E3966">
        <v>0</v>
      </c>
      <c r="F3966" t="str">
        <f t="shared" si="185"/>
        <v>Lower Risk</v>
      </c>
      <c r="G3966" t="s">
        <v>13</v>
      </c>
      <c r="H3966" t="s">
        <v>4</v>
      </c>
      <c r="I3966" t="s">
        <v>9</v>
      </c>
      <c r="J3966">
        <v>172.27</v>
      </c>
      <c r="K3966">
        <v>16.600000000000001</v>
      </c>
      <c r="L3966" t="s">
        <v>11</v>
      </c>
      <c r="M3966">
        <v>0</v>
      </c>
      <c r="N3966" t="str">
        <f t="shared" si="183"/>
        <v>Under 40</v>
      </c>
      <c r="O3966" t="str">
        <f t="shared" si="184"/>
        <v>Underweight</v>
      </c>
    </row>
    <row r="3967" spans="1:15" x14ac:dyDescent="0.3">
      <c r="A3967">
        <v>50136</v>
      </c>
      <c r="B3967" t="s">
        <v>7</v>
      </c>
      <c r="C3967">
        <v>54</v>
      </c>
      <c r="D3967">
        <v>1</v>
      </c>
      <c r="E3967">
        <v>0</v>
      </c>
      <c r="F3967" t="str">
        <f t="shared" si="185"/>
        <v>Lower Risk</v>
      </c>
      <c r="G3967" t="s">
        <v>3</v>
      </c>
      <c r="H3967" t="s">
        <v>4</v>
      </c>
      <c r="I3967" t="s">
        <v>5</v>
      </c>
      <c r="J3967">
        <v>221.83</v>
      </c>
      <c r="K3967">
        <v>35.1</v>
      </c>
      <c r="L3967" t="s">
        <v>12</v>
      </c>
      <c r="M3967">
        <v>0</v>
      </c>
      <c r="N3967" t="str">
        <f t="shared" si="183"/>
        <v>40–59</v>
      </c>
      <c r="O3967" t="str">
        <f t="shared" si="184"/>
        <v>Obese</v>
      </c>
    </row>
    <row r="3968" spans="1:15" x14ac:dyDescent="0.3">
      <c r="A3968">
        <v>3094</v>
      </c>
      <c r="B3968" t="s">
        <v>2</v>
      </c>
      <c r="C3968">
        <v>28</v>
      </c>
      <c r="D3968">
        <v>0</v>
      </c>
      <c r="E3968">
        <v>0</v>
      </c>
      <c r="F3968" t="str">
        <f t="shared" si="185"/>
        <v>Lower Risk</v>
      </c>
      <c r="G3968" t="s">
        <v>13</v>
      </c>
      <c r="H3968" t="s">
        <v>4</v>
      </c>
      <c r="I3968" t="s">
        <v>5</v>
      </c>
      <c r="J3968">
        <v>74.61</v>
      </c>
      <c r="K3968">
        <v>32.700000000000003</v>
      </c>
      <c r="L3968" t="s">
        <v>14</v>
      </c>
      <c r="M3968">
        <v>0</v>
      </c>
      <c r="N3968" t="str">
        <f t="shared" si="183"/>
        <v>Under 40</v>
      </c>
      <c r="O3968" t="str">
        <f t="shared" si="184"/>
        <v>Obese</v>
      </c>
    </row>
    <row r="3969" spans="1:15" x14ac:dyDescent="0.3">
      <c r="A3969">
        <v>42727</v>
      </c>
      <c r="B3969" t="s">
        <v>7</v>
      </c>
      <c r="C3969">
        <v>61</v>
      </c>
      <c r="D3969">
        <v>0</v>
      </c>
      <c r="E3969">
        <v>0</v>
      </c>
      <c r="F3969" t="str">
        <f t="shared" si="185"/>
        <v>Moderate Risk</v>
      </c>
      <c r="G3969" t="s">
        <v>3</v>
      </c>
      <c r="H3969" t="s">
        <v>4</v>
      </c>
      <c r="I3969" t="s">
        <v>9</v>
      </c>
      <c r="J3969">
        <v>60.91</v>
      </c>
      <c r="K3969">
        <v>29.8</v>
      </c>
      <c r="L3969" t="s">
        <v>14</v>
      </c>
      <c r="M3969">
        <v>0</v>
      </c>
      <c r="N3969" t="str">
        <f t="shared" si="183"/>
        <v>60+</v>
      </c>
      <c r="O3969" t="str">
        <f t="shared" si="184"/>
        <v>Overweight</v>
      </c>
    </row>
    <row r="3970" spans="1:15" x14ac:dyDescent="0.3">
      <c r="A3970">
        <v>41500</v>
      </c>
      <c r="B3970" t="s">
        <v>2</v>
      </c>
      <c r="C3970">
        <v>0.16</v>
      </c>
      <c r="D3970">
        <v>0</v>
      </c>
      <c r="E3970">
        <v>0</v>
      </c>
      <c r="F3970" t="str">
        <f t="shared" si="185"/>
        <v>Lower Risk</v>
      </c>
      <c r="G3970" t="s">
        <v>13</v>
      </c>
      <c r="H3970" t="s">
        <v>16</v>
      </c>
      <c r="I3970" t="s">
        <v>9</v>
      </c>
      <c r="J3970">
        <v>69.790000000000006</v>
      </c>
      <c r="K3970">
        <v>13</v>
      </c>
      <c r="L3970" t="s">
        <v>14</v>
      </c>
      <c r="M3970">
        <v>0</v>
      </c>
      <c r="N3970" t="str">
        <f t="shared" ref="N3970:N4033" si="186">IF(C3970&lt;40,"Under 40",IF(C3970&lt;60,"40–59","60+"))</f>
        <v>Under 40</v>
      </c>
      <c r="O3970" t="str">
        <f t="shared" ref="O3970:O4033" si="187">IF(K3970="N/A","Unknown",
IF(K3970="","Unknown",
IF(K3970&lt;18.5,"Underweight",
IF(K3970&lt;25,"Normal",
IF(K3970&lt;30,"Overweight","Obese")))))</f>
        <v>Underweight</v>
      </c>
    </row>
    <row r="3971" spans="1:15" x14ac:dyDescent="0.3">
      <c r="A3971">
        <v>33185</v>
      </c>
      <c r="B3971" t="s">
        <v>2</v>
      </c>
      <c r="C3971">
        <v>59</v>
      </c>
      <c r="D3971">
        <v>0</v>
      </c>
      <c r="E3971">
        <v>0</v>
      </c>
      <c r="F3971" t="str">
        <f t="shared" ref="F3971:F4034" si="188">IF(C3971&gt;=60,
IF(OR(D3971=1,E3971=1),"High Risk","Moderate Risk"),
"Lower Risk")</f>
        <v>Lower Risk</v>
      </c>
      <c r="G3971" t="s">
        <v>13</v>
      </c>
      <c r="H3971" t="s">
        <v>15</v>
      </c>
      <c r="I3971" t="s">
        <v>5</v>
      </c>
      <c r="J3971">
        <v>83.6</v>
      </c>
      <c r="K3971">
        <v>27.5</v>
      </c>
      <c r="L3971" t="s">
        <v>6</v>
      </c>
      <c r="M3971">
        <v>0</v>
      </c>
      <c r="N3971" t="str">
        <f t="shared" si="186"/>
        <v>40–59</v>
      </c>
      <c r="O3971" t="str">
        <f t="shared" si="187"/>
        <v>Overweight</v>
      </c>
    </row>
    <row r="3972" spans="1:15" x14ac:dyDescent="0.3">
      <c r="A3972">
        <v>7057</v>
      </c>
      <c r="B3972" t="s">
        <v>2</v>
      </c>
      <c r="C3972">
        <v>12</v>
      </c>
      <c r="D3972">
        <v>0</v>
      </c>
      <c r="E3972">
        <v>0</v>
      </c>
      <c r="F3972" t="str">
        <f t="shared" si="188"/>
        <v>Lower Risk</v>
      </c>
      <c r="G3972" t="s">
        <v>13</v>
      </c>
      <c r="H3972" t="s">
        <v>16</v>
      </c>
      <c r="I3972" t="s">
        <v>5</v>
      </c>
      <c r="J3972">
        <v>83.95</v>
      </c>
      <c r="K3972">
        <v>23.6</v>
      </c>
      <c r="L3972" t="s">
        <v>14</v>
      </c>
      <c r="M3972">
        <v>0</v>
      </c>
      <c r="N3972" t="str">
        <f t="shared" si="186"/>
        <v>Under 40</v>
      </c>
      <c r="O3972" t="str">
        <f t="shared" si="187"/>
        <v>Normal</v>
      </c>
    </row>
    <row r="3973" spans="1:15" x14ac:dyDescent="0.3">
      <c r="A3973">
        <v>48244</v>
      </c>
      <c r="B3973" t="s">
        <v>7</v>
      </c>
      <c r="C3973">
        <v>38</v>
      </c>
      <c r="D3973">
        <v>0</v>
      </c>
      <c r="E3973">
        <v>0</v>
      </c>
      <c r="F3973" t="str">
        <f t="shared" si="188"/>
        <v>Lower Risk</v>
      </c>
      <c r="G3973" t="s">
        <v>13</v>
      </c>
      <c r="H3973" t="s">
        <v>4</v>
      </c>
      <c r="I3973" t="s">
        <v>9</v>
      </c>
      <c r="J3973">
        <v>77.5</v>
      </c>
      <c r="K3973">
        <v>36.9</v>
      </c>
      <c r="L3973" t="s">
        <v>12</v>
      </c>
      <c r="M3973">
        <v>0</v>
      </c>
      <c r="N3973" t="str">
        <f t="shared" si="186"/>
        <v>Under 40</v>
      </c>
      <c r="O3973" t="str">
        <f t="shared" si="187"/>
        <v>Obese</v>
      </c>
    </row>
    <row r="3974" spans="1:15" x14ac:dyDescent="0.3">
      <c r="A3974">
        <v>69559</v>
      </c>
      <c r="B3974" t="s">
        <v>2</v>
      </c>
      <c r="C3974">
        <v>15</v>
      </c>
      <c r="D3974">
        <v>0</v>
      </c>
      <c r="E3974">
        <v>0</v>
      </c>
      <c r="F3974" t="str">
        <f t="shared" si="188"/>
        <v>Lower Risk</v>
      </c>
      <c r="G3974" t="s">
        <v>13</v>
      </c>
      <c r="H3974" t="s">
        <v>17</v>
      </c>
      <c r="I3974" t="s">
        <v>5</v>
      </c>
      <c r="J3974">
        <v>64.290000000000006</v>
      </c>
      <c r="K3974">
        <v>16.7</v>
      </c>
      <c r="L3974" t="s">
        <v>14</v>
      </c>
      <c r="M3974">
        <v>0</v>
      </c>
      <c r="N3974" t="str">
        <f t="shared" si="186"/>
        <v>Under 40</v>
      </c>
      <c r="O3974" t="str">
        <f t="shared" si="187"/>
        <v>Underweight</v>
      </c>
    </row>
    <row r="3975" spans="1:15" x14ac:dyDescent="0.3">
      <c r="A3975">
        <v>61757</v>
      </c>
      <c r="B3975" t="s">
        <v>2</v>
      </c>
      <c r="C3975">
        <v>31</v>
      </c>
      <c r="D3975">
        <v>0</v>
      </c>
      <c r="E3975">
        <v>0</v>
      </c>
      <c r="F3975" t="str">
        <f t="shared" si="188"/>
        <v>Lower Risk</v>
      </c>
      <c r="G3975" t="s">
        <v>3</v>
      </c>
      <c r="H3975" t="s">
        <v>8</v>
      </c>
      <c r="I3975" t="s">
        <v>9</v>
      </c>
      <c r="J3975">
        <v>61.1</v>
      </c>
      <c r="K3975">
        <v>26.5</v>
      </c>
      <c r="L3975" t="s">
        <v>11</v>
      </c>
      <c r="M3975">
        <v>0</v>
      </c>
      <c r="N3975" t="str">
        <f t="shared" si="186"/>
        <v>Under 40</v>
      </c>
      <c r="O3975" t="str">
        <f t="shared" si="187"/>
        <v>Overweight</v>
      </c>
    </row>
    <row r="3976" spans="1:15" x14ac:dyDescent="0.3">
      <c r="A3976">
        <v>10541</v>
      </c>
      <c r="B3976" t="s">
        <v>2</v>
      </c>
      <c r="C3976">
        <v>52</v>
      </c>
      <c r="D3976">
        <v>1</v>
      </c>
      <c r="E3976">
        <v>0</v>
      </c>
      <c r="F3976" t="str">
        <f t="shared" si="188"/>
        <v>Lower Risk</v>
      </c>
      <c r="G3976" t="s">
        <v>3</v>
      </c>
      <c r="H3976" t="s">
        <v>4</v>
      </c>
      <c r="I3976" t="s">
        <v>9</v>
      </c>
      <c r="J3976">
        <v>100.71</v>
      </c>
      <c r="K3976">
        <v>37</v>
      </c>
      <c r="L3976" t="s">
        <v>11</v>
      </c>
      <c r="M3976">
        <v>0</v>
      </c>
      <c r="N3976" t="str">
        <f t="shared" si="186"/>
        <v>40–59</v>
      </c>
      <c r="O3976" t="str">
        <f t="shared" si="187"/>
        <v>Obese</v>
      </c>
    </row>
    <row r="3977" spans="1:15" x14ac:dyDescent="0.3">
      <c r="A3977">
        <v>48169</v>
      </c>
      <c r="B3977" t="s">
        <v>7</v>
      </c>
      <c r="C3977">
        <v>61</v>
      </c>
      <c r="D3977">
        <v>0</v>
      </c>
      <c r="E3977">
        <v>0</v>
      </c>
      <c r="F3977" t="str">
        <f t="shared" si="188"/>
        <v>Moderate Risk</v>
      </c>
      <c r="G3977" t="s">
        <v>3</v>
      </c>
      <c r="H3977" t="s">
        <v>8</v>
      </c>
      <c r="I3977" t="s">
        <v>5</v>
      </c>
      <c r="J3977">
        <v>65.209999999999994</v>
      </c>
      <c r="K3977">
        <v>27.7</v>
      </c>
      <c r="L3977" t="s">
        <v>14</v>
      </c>
      <c r="M3977">
        <v>0</v>
      </c>
      <c r="N3977" t="str">
        <f t="shared" si="186"/>
        <v>60+</v>
      </c>
      <c r="O3977" t="str">
        <f t="shared" si="187"/>
        <v>Overweight</v>
      </c>
    </row>
    <row r="3978" spans="1:15" x14ac:dyDescent="0.3">
      <c r="A3978">
        <v>64202</v>
      </c>
      <c r="B3978" t="s">
        <v>2</v>
      </c>
      <c r="C3978">
        <v>50</v>
      </c>
      <c r="D3978">
        <v>0</v>
      </c>
      <c r="E3978">
        <v>0</v>
      </c>
      <c r="F3978" t="str">
        <f t="shared" si="188"/>
        <v>Lower Risk</v>
      </c>
      <c r="G3978" t="s">
        <v>3</v>
      </c>
      <c r="H3978" t="s">
        <v>4</v>
      </c>
      <c r="I3978" t="s">
        <v>9</v>
      </c>
      <c r="J3978">
        <v>119.77</v>
      </c>
      <c r="K3978">
        <v>23.5</v>
      </c>
      <c r="L3978" t="s">
        <v>14</v>
      </c>
      <c r="M3978">
        <v>0</v>
      </c>
      <c r="N3978" t="str">
        <f t="shared" si="186"/>
        <v>40–59</v>
      </c>
      <c r="O3978" t="str">
        <f t="shared" si="187"/>
        <v>Normal</v>
      </c>
    </row>
    <row r="3979" spans="1:15" x14ac:dyDescent="0.3">
      <c r="A3979">
        <v>7069</v>
      </c>
      <c r="B3979" t="s">
        <v>7</v>
      </c>
      <c r="C3979">
        <v>41</v>
      </c>
      <c r="D3979">
        <v>0</v>
      </c>
      <c r="E3979">
        <v>0</v>
      </c>
      <c r="F3979" t="str">
        <f t="shared" si="188"/>
        <v>Lower Risk</v>
      </c>
      <c r="G3979" t="s">
        <v>3</v>
      </c>
      <c r="H3979" t="s">
        <v>4</v>
      </c>
      <c r="I3979" t="s">
        <v>9</v>
      </c>
      <c r="J3979">
        <v>102.39</v>
      </c>
      <c r="K3979">
        <v>40.4</v>
      </c>
      <c r="L3979" t="s">
        <v>6</v>
      </c>
      <c r="M3979">
        <v>0</v>
      </c>
      <c r="N3979" t="str">
        <f t="shared" si="186"/>
        <v>40–59</v>
      </c>
      <c r="O3979" t="str">
        <f t="shared" si="187"/>
        <v>Obese</v>
      </c>
    </row>
    <row r="3980" spans="1:15" x14ac:dyDescent="0.3">
      <c r="A3980">
        <v>52050</v>
      </c>
      <c r="B3980" t="s">
        <v>2</v>
      </c>
      <c r="C3980">
        <v>20</v>
      </c>
      <c r="D3980">
        <v>0</v>
      </c>
      <c r="E3980">
        <v>0</v>
      </c>
      <c r="F3980" t="str">
        <f t="shared" si="188"/>
        <v>Lower Risk</v>
      </c>
      <c r="G3980" t="s">
        <v>13</v>
      </c>
      <c r="H3980" t="s">
        <v>4</v>
      </c>
      <c r="I3980" t="s">
        <v>5</v>
      </c>
      <c r="J3980">
        <v>59.67</v>
      </c>
      <c r="K3980">
        <v>27.7</v>
      </c>
      <c r="L3980" t="s">
        <v>11</v>
      </c>
      <c r="M3980">
        <v>0</v>
      </c>
      <c r="N3980" t="str">
        <f t="shared" si="186"/>
        <v>Under 40</v>
      </c>
      <c r="O3980" t="str">
        <f t="shared" si="187"/>
        <v>Overweight</v>
      </c>
    </row>
    <row r="3981" spans="1:15" x14ac:dyDescent="0.3">
      <c r="A3981">
        <v>31692</v>
      </c>
      <c r="B3981" t="s">
        <v>2</v>
      </c>
      <c r="C3981">
        <v>67</v>
      </c>
      <c r="D3981">
        <v>0</v>
      </c>
      <c r="E3981">
        <v>0</v>
      </c>
      <c r="F3981" t="str">
        <f t="shared" si="188"/>
        <v>Moderate Risk</v>
      </c>
      <c r="G3981" t="s">
        <v>3</v>
      </c>
      <c r="H3981" t="s">
        <v>4</v>
      </c>
      <c r="I3981" t="s">
        <v>9</v>
      </c>
      <c r="J3981">
        <v>83.16</v>
      </c>
      <c r="K3981">
        <v>28.3</v>
      </c>
      <c r="L3981" t="s">
        <v>11</v>
      </c>
      <c r="M3981">
        <v>0</v>
      </c>
      <c r="N3981" t="str">
        <f t="shared" si="186"/>
        <v>60+</v>
      </c>
      <c r="O3981" t="str">
        <f t="shared" si="187"/>
        <v>Overweight</v>
      </c>
    </row>
    <row r="3982" spans="1:15" x14ac:dyDescent="0.3">
      <c r="A3982">
        <v>11192</v>
      </c>
      <c r="B3982" t="s">
        <v>7</v>
      </c>
      <c r="C3982">
        <v>45</v>
      </c>
      <c r="D3982">
        <v>0</v>
      </c>
      <c r="E3982">
        <v>0</v>
      </c>
      <c r="F3982" t="str">
        <f t="shared" si="188"/>
        <v>Lower Risk</v>
      </c>
      <c r="G3982" t="s">
        <v>3</v>
      </c>
      <c r="H3982" t="s">
        <v>4</v>
      </c>
      <c r="I3982" t="s">
        <v>9</v>
      </c>
      <c r="J3982">
        <v>218.1</v>
      </c>
      <c r="K3982">
        <v>55</v>
      </c>
      <c r="L3982" t="s">
        <v>12</v>
      </c>
      <c r="M3982">
        <v>0</v>
      </c>
      <c r="N3982" t="str">
        <f t="shared" si="186"/>
        <v>40–59</v>
      </c>
      <c r="O3982" t="str">
        <f t="shared" si="187"/>
        <v>Obese</v>
      </c>
    </row>
    <row r="3983" spans="1:15" x14ac:dyDescent="0.3">
      <c r="A3983">
        <v>69404</v>
      </c>
      <c r="B3983" t="s">
        <v>2</v>
      </c>
      <c r="C3983">
        <v>73</v>
      </c>
      <c r="D3983">
        <v>0</v>
      </c>
      <c r="E3983">
        <v>0</v>
      </c>
      <c r="F3983" t="str">
        <f t="shared" si="188"/>
        <v>Moderate Risk</v>
      </c>
      <c r="G3983" t="s">
        <v>3</v>
      </c>
      <c r="H3983" t="s">
        <v>15</v>
      </c>
      <c r="I3983" t="s">
        <v>9</v>
      </c>
      <c r="J3983">
        <v>76.45</v>
      </c>
      <c r="K3983">
        <v>28.7</v>
      </c>
      <c r="L3983" t="s">
        <v>14</v>
      </c>
      <c r="M3983">
        <v>0</v>
      </c>
      <c r="N3983" t="str">
        <f t="shared" si="186"/>
        <v>60+</v>
      </c>
      <c r="O3983" t="str">
        <f t="shared" si="187"/>
        <v>Overweight</v>
      </c>
    </row>
    <row r="3984" spans="1:15" x14ac:dyDescent="0.3">
      <c r="A3984">
        <v>42700</v>
      </c>
      <c r="B3984" t="s">
        <v>7</v>
      </c>
      <c r="C3984">
        <v>52</v>
      </c>
      <c r="D3984">
        <v>0</v>
      </c>
      <c r="E3984">
        <v>0</v>
      </c>
      <c r="F3984" t="str">
        <f t="shared" si="188"/>
        <v>Lower Risk</v>
      </c>
      <c r="G3984" t="s">
        <v>3</v>
      </c>
      <c r="H3984" t="s">
        <v>4</v>
      </c>
      <c r="I3984" t="s">
        <v>9</v>
      </c>
      <c r="J3984">
        <v>200.46</v>
      </c>
      <c r="K3984">
        <v>25</v>
      </c>
      <c r="L3984" t="s">
        <v>14</v>
      </c>
      <c r="M3984">
        <v>0</v>
      </c>
      <c r="N3984" t="str">
        <f t="shared" si="186"/>
        <v>40–59</v>
      </c>
      <c r="O3984" t="str">
        <f t="shared" si="187"/>
        <v>Overweight</v>
      </c>
    </row>
    <row r="3985" spans="1:15" x14ac:dyDescent="0.3">
      <c r="A3985">
        <v>7638</v>
      </c>
      <c r="B3985" t="s">
        <v>7</v>
      </c>
      <c r="C3985">
        <v>51</v>
      </c>
      <c r="D3985">
        <v>0</v>
      </c>
      <c r="E3985">
        <v>0</v>
      </c>
      <c r="F3985" t="str">
        <f t="shared" si="188"/>
        <v>Lower Risk</v>
      </c>
      <c r="G3985" t="s">
        <v>3</v>
      </c>
      <c r="H3985" t="s">
        <v>4</v>
      </c>
      <c r="I3985" t="s">
        <v>5</v>
      </c>
      <c r="J3985">
        <v>95.7</v>
      </c>
      <c r="K3985">
        <v>24.8</v>
      </c>
      <c r="L3985" t="s">
        <v>6</v>
      </c>
      <c r="M3985">
        <v>0</v>
      </c>
      <c r="N3985" t="str">
        <f t="shared" si="186"/>
        <v>40–59</v>
      </c>
      <c r="O3985" t="str">
        <f t="shared" si="187"/>
        <v>Normal</v>
      </c>
    </row>
    <row r="3986" spans="1:15" x14ac:dyDescent="0.3">
      <c r="A3986">
        <v>7298</v>
      </c>
      <c r="B3986" t="s">
        <v>7</v>
      </c>
      <c r="C3986">
        <v>56</v>
      </c>
      <c r="D3986">
        <v>0</v>
      </c>
      <c r="E3986">
        <v>0</v>
      </c>
      <c r="F3986" t="str">
        <f t="shared" si="188"/>
        <v>Lower Risk</v>
      </c>
      <c r="G3986" t="s">
        <v>3</v>
      </c>
      <c r="H3986" t="s">
        <v>8</v>
      </c>
      <c r="I3986" t="s">
        <v>9</v>
      </c>
      <c r="J3986">
        <v>70.23</v>
      </c>
      <c r="K3986">
        <v>35.5</v>
      </c>
      <c r="L3986" t="s">
        <v>11</v>
      </c>
      <c r="M3986">
        <v>0</v>
      </c>
      <c r="N3986" t="str">
        <f t="shared" si="186"/>
        <v>40–59</v>
      </c>
      <c r="O3986" t="str">
        <f t="shared" si="187"/>
        <v>Obese</v>
      </c>
    </row>
    <row r="3987" spans="1:15" x14ac:dyDescent="0.3">
      <c r="A3987">
        <v>43615</v>
      </c>
      <c r="B3987" t="s">
        <v>7</v>
      </c>
      <c r="C3987">
        <v>49</v>
      </c>
      <c r="D3987">
        <v>0</v>
      </c>
      <c r="E3987">
        <v>0</v>
      </c>
      <c r="F3987" t="str">
        <f t="shared" si="188"/>
        <v>Lower Risk</v>
      </c>
      <c r="G3987" t="s">
        <v>3</v>
      </c>
      <c r="H3987" t="s">
        <v>8</v>
      </c>
      <c r="I3987" t="s">
        <v>5</v>
      </c>
      <c r="J3987">
        <v>75.150000000000006</v>
      </c>
      <c r="K3987">
        <v>25</v>
      </c>
      <c r="L3987" t="s">
        <v>14</v>
      </c>
      <c r="M3987">
        <v>0</v>
      </c>
      <c r="N3987" t="str">
        <f t="shared" si="186"/>
        <v>40–59</v>
      </c>
      <c r="O3987" t="str">
        <f t="shared" si="187"/>
        <v>Overweight</v>
      </c>
    </row>
    <row r="3988" spans="1:15" x14ac:dyDescent="0.3">
      <c r="A3988">
        <v>18134</v>
      </c>
      <c r="B3988" t="s">
        <v>2</v>
      </c>
      <c r="C3988">
        <v>10</v>
      </c>
      <c r="D3988">
        <v>0</v>
      </c>
      <c r="E3988">
        <v>0</v>
      </c>
      <c r="F3988" t="str">
        <f t="shared" si="188"/>
        <v>Lower Risk</v>
      </c>
      <c r="G3988" t="s">
        <v>13</v>
      </c>
      <c r="H3988" t="s">
        <v>16</v>
      </c>
      <c r="I3988" t="s">
        <v>9</v>
      </c>
      <c r="J3988">
        <v>95.8</v>
      </c>
      <c r="K3988">
        <v>17.3</v>
      </c>
      <c r="L3988" t="s">
        <v>14</v>
      </c>
      <c r="M3988">
        <v>0</v>
      </c>
      <c r="N3988" t="str">
        <f t="shared" si="186"/>
        <v>Under 40</v>
      </c>
      <c r="O3988" t="str">
        <f t="shared" si="187"/>
        <v>Underweight</v>
      </c>
    </row>
    <row r="3989" spans="1:15" x14ac:dyDescent="0.3">
      <c r="A3989">
        <v>19324</v>
      </c>
      <c r="B3989" t="s">
        <v>7</v>
      </c>
      <c r="C3989">
        <v>51</v>
      </c>
      <c r="D3989">
        <v>0</v>
      </c>
      <c r="E3989">
        <v>0</v>
      </c>
      <c r="F3989" t="str">
        <f t="shared" si="188"/>
        <v>Lower Risk</v>
      </c>
      <c r="G3989" t="s">
        <v>3</v>
      </c>
      <c r="H3989" t="s">
        <v>15</v>
      </c>
      <c r="I3989" t="s">
        <v>5</v>
      </c>
      <c r="J3989">
        <v>90.67</v>
      </c>
      <c r="K3989">
        <v>37.799999999999997</v>
      </c>
      <c r="L3989" t="s">
        <v>14</v>
      </c>
      <c r="M3989">
        <v>0</v>
      </c>
      <c r="N3989" t="str">
        <f t="shared" si="186"/>
        <v>40–59</v>
      </c>
      <c r="O3989" t="str">
        <f t="shared" si="187"/>
        <v>Obese</v>
      </c>
    </row>
    <row r="3990" spans="1:15" x14ac:dyDescent="0.3">
      <c r="A3990">
        <v>18827</v>
      </c>
      <c r="B3990" t="s">
        <v>2</v>
      </c>
      <c r="C3990">
        <v>57</v>
      </c>
      <c r="D3990">
        <v>0</v>
      </c>
      <c r="E3990">
        <v>0</v>
      </c>
      <c r="F3990" t="str">
        <f t="shared" si="188"/>
        <v>Lower Risk</v>
      </c>
      <c r="G3990" t="s">
        <v>3</v>
      </c>
      <c r="H3990" t="s">
        <v>8</v>
      </c>
      <c r="I3990" t="s">
        <v>9</v>
      </c>
      <c r="J3990">
        <v>84.79</v>
      </c>
      <c r="K3990">
        <v>32.799999999999997</v>
      </c>
      <c r="L3990" t="s">
        <v>6</v>
      </c>
      <c r="M3990">
        <v>0</v>
      </c>
      <c r="N3990" t="str">
        <f t="shared" si="186"/>
        <v>40–59</v>
      </c>
      <c r="O3990" t="str">
        <f t="shared" si="187"/>
        <v>Obese</v>
      </c>
    </row>
    <row r="3991" spans="1:15" x14ac:dyDescent="0.3">
      <c r="A3991">
        <v>68291</v>
      </c>
      <c r="B3991" t="s">
        <v>2</v>
      </c>
      <c r="C3991">
        <v>76</v>
      </c>
      <c r="D3991">
        <v>0</v>
      </c>
      <c r="E3991">
        <v>0</v>
      </c>
      <c r="F3991" t="str">
        <f t="shared" si="188"/>
        <v>Moderate Risk</v>
      </c>
      <c r="G3991" t="s">
        <v>3</v>
      </c>
      <c r="H3991" t="s">
        <v>4</v>
      </c>
      <c r="I3991" t="s">
        <v>5</v>
      </c>
      <c r="J3991">
        <v>147.5</v>
      </c>
      <c r="K3991">
        <v>28.7</v>
      </c>
      <c r="L3991" t="s">
        <v>14</v>
      </c>
      <c r="M3991">
        <v>0</v>
      </c>
      <c r="N3991" t="str">
        <f t="shared" si="186"/>
        <v>60+</v>
      </c>
      <c r="O3991" t="str">
        <f t="shared" si="187"/>
        <v>Overweight</v>
      </c>
    </row>
    <row r="3992" spans="1:15" x14ac:dyDescent="0.3">
      <c r="A3992">
        <v>70661</v>
      </c>
      <c r="B3992" t="s">
        <v>7</v>
      </c>
      <c r="C3992">
        <v>28</v>
      </c>
      <c r="D3992">
        <v>0</v>
      </c>
      <c r="E3992">
        <v>0</v>
      </c>
      <c r="F3992" t="str">
        <f t="shared" si="188"/>
        <v>Lower Risk</v>
      </c>
      <c r="G3992" t="s">
        <v>13</v>
      </c>
      <c r="H3992" t="s">
        <v>4</v>
      </c>
      <c r="I3992" t="s">
        <v>9</v>
      </c>
      <c r="J3992">
        <v>134.12</v>
      </c>
      <c r="K3992">
        <v>28.8</v>
      </c>
      <c r="L3992" t="s">
        <v>6</v>
      </c>
      <c r="M3992">
        <v>0</v>
      </c>
      <c r="N3992" t="str">
        <f t="shared" si="186"/>
        <v>Under 40</v>
      </c>
      <c r="O3992" t="str">
        <f t="shared" si="187"/>
        <v>Overweight</v>
      </c>
    </row>
    <row r="3993" spans="1:15" x14ac:dyDescent="0.3">
      <c r="A3993">
        <v>6019</v>
      </c>
      <c r="B3993" t="s">
        <v>7</v>
      </c>
      <c r="C3993">
        <v>57</v>
      </c>
      <c r="D3993">
        <v>0</v>
      </c>
      <c r="E3993">
        <v>0</v>
      </c>
      <c r="F3993" t="str">
        <f t="shared" si="188"/>
        <v>Lower Risk</v>
      </c>
      <c r="G3993" t="s">
        <v>3</v>
      </c>
      <c r="H3993" t="s">
        <v>4</v>
      </c>
      <c r="I3993" t="s">
        <v>5</v>
      </c>
      <c r="J3993">
        <v>82.62</v>
      </c>
      <c r="K3993">
        <v>28.4</v>
      </c>
      <c r="L3993" t="s">
        <v>11</v>
      </c>
      <c r="M3993">
        <v>0</v>
      </c>
      <c r="N3993" t="str">
        <f t="shared" si="186"/>
        <v>40–59</v>
      </c>
      <c r="O3993" t="str">
        <f t="shared" si="187"/>
        <v>Overweight</v>
      </c>
    </row>
    <row r="3994" spans="1:15" x14ac:dyDescent="0.3">
      <c r="A3994">
        <v>56616</v>
      </c>
      <c r="B3994" t="s">
        <v>2</v>
      </c>
      <c r="C3994">
        <v>39</v>
      </c>
      <c r="D3994">
        <v>0</v>
      </c>
      <c r="E3994">
        <v>0</v>
      </c>
      <c r="F3994" t="str">
        <f t="shared" si="188"/>
        <v>Lower Risk</v>
      </c>
      <c r="G3994" t="s">
        <v>3</v>
      </c>
      <c r="H3994" t="s">
        <v>4</v>
      </c>
      <c r="I3994" t="s">
        <v>9</v>
      </c>
      <c r="J3994">
        <v>125.11</v>
      </c>
      <c r="K3994">
        <v>24.9</v>
      </c>
      <c r="L3994" t="s">
        <v>6</v>
      </c>
      <c r="M3994">
        <v>0</v>
      </c>
      <c r="N3994" t="str">
        <f t="shared" si="186"/>
        <v>Under 40</v>
      </c>
      <c r="O3994" t="str">
        <f t="shared" si="187"/>
        <v>Normal</v>
      </c>
    </row>
    <row r="3995" spans="1:15" x14ac:dyDescent="0.3">
      <c r="A3995">
        <v>14399</v>
      </c>
      <c r="B3995" t="s">
        <v>7</v>
      </c>
      <c r="C3995">
        <v>41</v>
      </c>
      <c r="D3995">
        <v>0</v>
      </c>
      <c r="E3995">
        <v>0</v>
      </c>
      <c r="F3995" t="str">
        <f t="shared" si="188"/>
        <v>Lower Risk</v>
      </c>
      <c r="G3995" t="s">
        <v>3</v>
      </c>
      <c r="H3995" t="s">
        <v>4</v>
      </c>
      <c r="I3995" t="s">
        <v>5</v>
      </c>
      <c r="J3995">
        <v>92.14</v>
      </c>
      <c r="K3995">
        <v>29.6</v>
      </c>
      <c r="L3995" t="s">
        <v>6</v>
      </c>
      <c r="M3995">
        <v>0</v>
      </c>
      <c r="N3995" t="str">
        <f t="shared" si="186"/>
        <v>40–59</v>
      </c>
      <c r="O3995" t="str">
        <f t="shared" si="187"/>
        <v>Overweight</v>
      </c>
    </row>
    <row r="3996" spans="1:15" x14ac:dyDescent="0.3">
      <c r="A3996">
        <v>8009</v>
      </c>
      <c r="B3996" t="s">
        <v>7</v>
      </c>
      <c r="C3996">
        <v>72</v>
      </c>
      <c r="D3996">
        <v>1</v>
      </c>
      <c r="E3996">
        <v>1</v>
      </c>
      <c r="F3996" t="str">
        <f t="shared" si="188"/>
        <v>High Risk</v>
      </c>
      <c r="G3996" t="s">
        <v>3</v>
      </c>
      <c r="H3996" t="s">
        <v>4</v>
      </c>
      <c r="I3996" t="s">
        <v>5</v>
      </c>
      <c r="J3996">
        <v>217.79</v>
      </c>
      <c r="K3996">
        <v>26.1</v>
      </c>
      <c r="L3996" t="s">
        <v>6</v>
      </c>
      <c r="M3996">
        <v>0</v>
      </c>
      <c r="N3996" t="str">
        <f t="shared" si="186"/>
        <v>60+</v>
      </c>
      <c r="O3996" t="str">
        <f t="shared" si="187"/>
        <v>Overweight</v>
      </c>
    </row>
    <row r="3997" spans="1:15" x14ac:dyDescent="0.3">
      <c r="A3997">
        <v>30961</v>
      </c>
      <c r="B3997" t="s">
        <v>2</v>
      </c>
      <c r="C3997">
        <v>45</v>
      </c>
      <c r="D3997">
        <v>0</v>
      </c>
      <c r="E3997">
        <v>0</v>
      </c>
      <c r="F3997" t="str">
        <f t="shared" si="188"/>
        <v>Lower Risk</v>
      </c>
      <c r="G3997" t="s">
        <v>3</v>
      </c>
      <c r="H3997" t="s">
        <v>4</v>
      </c>
      <c r="I3997" t="s">
        <v>9</v>
      </c>
      <c r="J3997">
        <v>95.62</v>
      </c>
      <c r="K3997">
        <v>29.5</v>
      </c>
      <c r="L3997" t="s">
        <v>12</v>
      </c>
      <c r="M3997">
        <v>0</v>
      </c>
      <c r="N3997" t="str">
        <f t="shared" si="186"/>
        <v>40–59</v>
      </c>
      <c r="O3997" t="str">
        <f t="shared" si="187"/>
        <v>Overweight</v>
      </c>
    </row>
    <row r="3998" spans="1:15" x14ac:dyDescent="0.3">
      <c r="A3998">
        <v>24201</v>
      </c>
      <c r="B3998" t="s">
        <v>2</v>
      </c>
      <c r="C3998">
        <v>33</v>
      </c>
      <c r="D3998">
        <v>0</v>
      </c>
      <c r="E3998">
        <v>0</v>
      </c>
      <c r="F3998" t="str">
        <f t="shared" si="188"/>
        <v>Lower Risk</v>
      </c>
      <c r="G3998" t="s">
        <v>3</v>
      </c>
      <c r="H3998" t="s">
        <v>4</v>
      </c>
      <c r="I3998" t="s">
        <v>9</v>
      </c>
      <c r="J3998">
        <v>93.8</v>
      </c>
      <c r="K3998">
        <v>23.9</v>
      </c>
      <c r="L3998" t="s">
        <v>11</v>
      </c>
      <c r="M3998">
        <v>0</v>
      </c>
      <c r="N3998" t="str">
        <f t="shared" si="186"/>
        <v>Under 40</v>
      </c>
      <c r="O3998" t="str">
        <f t="shared" si="187"/>
        <v>Normal</v>
      </c>
    </row>
    <row r="3999" spans="1:15" x14ac:dyDescent="0.3">
      <c r="A3999">
        <v>18032</v>
      </c>
      <c r="B3999" t="s">
        <v>2</v>
      </c>
      <c r="C3999">
        <v>62</v>
      </c>
      <c r="D3999">
        <v>0</v>
      </c>
      <c r="E3999">
        <v>1</v>
      </c>
      <c r="F3999" t="str">
        <f t="shared" si="188"/>
        <v>High Risk</v>
      </c>
      <c r="G3999" t="s">
        <v>3</v>
      </c>
      <c r="H3999" t="s">
        <v>4</v>
      </c>
      <c r="I3999" t="s">
        <v>9</v>
      </c>
      <c r="J3999">
        <v>90.61</v>
      </c>
      <c r="K3999">
        <v>25.8</v>
      </c>
      <c r="L3999" t="s">
        <v>12</v>
      </c>
      <c r="M3999">
        <v>0</v>
      </c>
      <c r="N3999" t="str">
        <f t="shared" si="186"/>
        <v>60+</v>
      </c>
      <c r="O3999" t="str">
        <f t="shared" si="187"/>
        <v>Overweight</v>
      </c>
    </row>
    <row r="4000" spans="1:15" x14ac:dyDescent="0.3">
      <c r="A4000">
        <v>62396</v>
      </c>
      <c r="B4000" t="s">
        <v>7</v>
      </c>
      <c r="C4000">
        <v>27</v>
      </c>
      <c r="D4000">
        <v>0</v>
      </c>
      <c r="E4000">
        <v>0</v>
      </c>
      <c r="F4000" t="str">
        <f t="shared" si="188"/>
        <v>Lower Risk</v>
      </c>
      <c r="G4000" t="s">
        <v>3</v>
      </c>
      <c r="H4000" t="s">
        <v>4</v>
      </c>
      <c r="I4000" t="s">
        <v>5</v>
      </c>
      <c r="J4000">
        <v>139.19999999999999</v>
      </c>
      <c r="K4000">
        <v>36.200000000000003</v>
      </c>
      <c r="L4000" t="s">
        <v>11</v>
      </c>
      <c r="M4000">
        <v>0</v>
      </c>
      <c r="N4000" t="str">
        <f t="shared" si="186"/>
        <v>Under 40</v>
      </c>
      <c r="O4000" t="str">
        <f t="shared" si="187"/>
        <v>Obese</v>
      </c>
    </row>
    <row r="4001" spans="1:15" x14ac:dyDescent="0.3">
      <c r="A4001">
        <v>67055</v>
      </c>
      <c r="B4001" t="s">
        <v>7</v>
      </c>
      <c r="C4001">
        <v>31</v>
      </c>
      <c r="D4001">
        <v>0</v>
      </c>
      <c r="E4001">
        <v>0</v>
      </c>
      <c r="F4001" t="str">
        <f t="shared" si="188"/>
        <v>Lower Risk</v>
      </c>
      <c r="G4001" t="s">
        <v>3</v>
      </c>
      <c r="H4001" t="s">
        <v>4</v>
      </c>
      <c r="I4001" t="s">
        <v>9</v>
      </c>
      <c r="J4001">
        <v>77.010000000000005</v>
      </c>
      <c r="K4001">
        <v>31.3</v>
      </c>
      <c r="L4001" t="s">
        <v>6</v>
      </c>
      <c r="M4001">
        <v>0</v>
      </c>
      <c r="N4001" t="str">
        <f t="shared" si="186"/>
        <v>Under 40</v>
      </c>
      <c r="O4001" t="str">
        <f t="shared" si="187"/>
        <v>Obese</v>
      </c>
    </row>
    <row r="4002" spans="1:15" x14ac:dyDescent="0.3">
      <c r="A4002">
        <v>51024</v>
      </c>
      <c r="B4002" t="s">
        <v>7</v>
      </c>
      <c r="C4002">
        <v>24</v>
      </c>
      <c r="D4002">
        <v>0</v>
      </c>
      <c r="E4002">
        <v>0</v>
      </c>
      <c r="F4002" t="str">
        <f t="shared" si="188"/>
        <v>Lower Risk</v>
      </c>
      <c r="G4002" t="s">
        <v>3</v>
      </c>
      <c r="H4002" t="s">
        <v>4</v>
      </c>
      <c r="I4002" t="s">
        <v>5</v>
      </c>
      <c r="J4002">
        <v>105.26</v>
      </c>
      <c r="K4002">
        <v>26.1</v>
      </c>
      <c r="L4002" t="s">
        <v>11</v>
      </c>
      <c r="M4002">
        <v>0</v>
      </c>
      <c r="N4002" t="str">
        <f t="shared" si="186"/>
        <v>Under 40</v>
      </c>
      <c r="O4002" t="str">
        <f t="shared" si="187"/>
        <v>Overweight</v>
      </c>
    </row>
    <row r="4003" spans="1:15" x14ac:dyDescent="0.3">
      <c r="A4003">
        <v>60774</v>
      </c>
      <c r="B4003" t="s">
        <v>2</v>
      </c>
      <c r="C4003">
        <v>1.88</v>
      </c>
      <c r="D4003">
        <v>0</v>
      </c>
      <c r="E4003">
        <v>0</v>
      </c>
      <c r="F4003" t="str">
        <f t="shared" si="188"/>
        <v>Lower Risk</v>
      </c>
      <c r="G4003" t="s">
        <v>13</v>
      </c>
      <c r="H4003" t="s">
        <v>16</v>
      </c>
      <c r="I4003" t="s">
        <v>9</v>
      </c>
      <c r="J4003">
        <v>68.349999999999994</v>
      </c>
      <c r="K4003">
        <v>19.100000000000001</v>
      </c>
      <c r="L4003" t="s">
        <v>14</v>
      </c>
      <c r="M4003">
        <v>0</v>
      </c>
      <c r="N4003" t="str">
        <f t="shared" si="186"/>
        <v>Under 40</v>
      </c>
      <c r="O4003" t="str">
        <f t="shared" si="187"/>
        <v>Normal</v>
      </c>
    </row>
    <row r="4004" spans="1:15" x14ac:dyDescent="0.3">
      <c r="A4004">
        <v>35039</v>
      </c>
      <c r="B4004" t="s">
        <v>7</v>
      </c>
      <c r="C4004">
        <v>28</v>
      </c>
      <c r="D4004">
        <v>0</v>
      </c>
      <c r="E4004">
        <v>0</v>
      </c>
      <c r="F4004" t="str">
        <f t="shared" si="188"/>
        <v>Lower Risk</v>
      </c>
      <c r="G4004" t="s">
        <v>13</v>
      </c>
      <c r="H4004" t="s">
        <v>4</v>
      </c>
      <c r="I4004" t="s">
        <v>9</v>
      </c>
      <c r="J4004">
        <v>99.07</v>
      </c>
      <c r="K4004">
        <v>17.600000000000001</v>
      </c>
      <c r="L4004" t="s">
        <v>11</v>
      </c>
      <c r="M4004">
        <v>0</v>
      </c>
      <c r="N4004" t="str">
        <f t="shared" si="186"/>
        <v>Under 40</v>
      </c>
      <c r="O4004" t="str">
        <f t="shared" si="187"/>
        <v>Underweight</v>
      </c>
    </row>
    <row r="4005" spans="1:15" x14ac:dyDescent="0.3">
      <c r="A4005">
        <v>46141</v>
      </c>
      <c r="B4005" t="s">
        <v>7</v>
      </c>
      <c r="C4005">
        <v>24</v>
      </c>
      <c r="D4005">
        <v>0</v>
      </c>
      <c r="E4005">
        <v>0</v>
      </c>
      <c r="F4005" t="str">
        <f t="shared" si="188"/>
        <v>Lower Risk</v>
      </c>
      <c r="G4005" t="s">
        <v>13</v>
      </c>
      <c r="H4005" t="s">
        <v>4</v>
      </c>
      <c r="I4005" t="s">
        <v>9</v>
      </c>
      <c r="J4005">
        <v>147.74</v>
      </c>
      <c r="K4005">
        <v>21.4</v>
      </c>
      <c r="L4005" t="s">
        <v>14</v>
      </c>
      <c r="M4005">
        <v>0</v>
      </c>
      <c r="N4005" t="str">
        <f t="shared" si="186"/>
        <v>Under 40</v>
      </c>
      <c r="O4005" t="str">
        <f t="shared" si="187"/>
        <v>Normal</v>
      </c>
    </row>
    <row r="4006" spans="1:15" x14ac:dyDescent="0.3">
      <c r="A4006">
        <v>54240</v>
      </c>
      <c r="B4006" t="s">
        <v>7</v>
      </c>
      <c r="C4006">
        <v>30</v>
      </c>
      <c r="D4006">
        <v>0</v>
      </c>
      <c r="E4006">
        <v>0</v>
      </c>
      <c r="F4006" t="str">
        <f t="shared" si="188"/>
        <v>Lower Risk</v>
      </c>
      <c r="G4006" t="s">
        <v>3</v>
      </c>
      <c r="H4006" t="s">
        <v>15</v>
      </c>
      <c r="I4006" t="s">
        <v>5</v>
      </c>
      <c r="J4006">
        <v>61.29</v>
      </c>
      <c r="K4006">
        <v>24</v>
      </c>
      <c r="L4006" t="s">
        <v>14</v>
      </c>
      <c r="M4006">
        <v>0</v>
      </c>
      <c r="N4006" t="str">
        <f t="shared" si="186"/>
        <v>Under 40</v>
      </c>
      <c r="O4006" t="str">
        <f t="shared" si="187"/>
        <v>Normal</v>
      </c>
    </row>
    <row r="4007" spans="1:15" x14ac:dyDescent="0.3">
      <c r="A4007">
        <v>15929</v>
      </c>
      <c r="B4007" t="s">
        <v>2</v>
      </c>
      <c r="C4007">
        <v>38</v>
      </c>
      <c r="D4007">
        <v>0</v>
      </c>
      <c r="E4007">
        <v>0</v>
      </c>
      <c r="F4007" t="str">
        <f t="shared" si="188"/>
        <v>Lower Risk</v>
      </c>
      <c r="G4007" t="s">
        <v>3</v>
      </c>
      <c r="H4007" t="s">
        <v>15</v>
      </c>
      <c r="I4007" t="s">
        <v>9</v>
      </c>
      <c r="J4007">
        <v>98.92</v>
      </c>
      <c r="K4007">
        <v>25.5</v>
      </c>
      <c r="L4007" t="s">
        <v>11</v>
      </c>
      <c r="M4007">
        <v>0</v>
      </c>
      <c r="N4007" t="str">
        <f t="shared" si="186"/>
        <v>Under 40</v>
      </c>
      <c r="O4007" t="str">
        <f t="shared" si="187"/>
        <v>Overweight</v>
      </c>
    </row>
    <row r="4008" spans="1:15" x14ac:dyDescent="0.3">
      <c r="A4008">
        <v>19849</v>
      </c>
      <c r="B4008" t="s">
        <v>7</v>
      </c>
      <c r="C4008">
        <v>1.64</v>
      </c>
      <c r="D4008">
        <v>0</v>
      </c>
      <c r="E4008">
        <v>0</v>
      </c>
      <c r="F4008" t="str">
        <f t="shared" si="188"/>
        <v>Lower Risk</v>
      </c>
      <c r="G4008" t="s">
        <v>13</v>
      </c>
      <c r="H4008" t="s">
        <v>16</v>
      </c>
      <c r="I4008" t="s">
        <v>5</v>
      </c>
      <c r="J4008">
        <v>90.74</v>
      </c>
      <c r="K4008">
        <v>19.899999999999999</v>
      </c>
      <c r="L4008" t="s">
        <v>14</v>
      </c>
      <c r="M4008">
        <v>0</v>
      </c>
      <c r="N4008" t="str">
        <f t="shared" si="186"/>
        <v>Under 40</v>
      </c>
      <c r="O4008" t="str">
        <f t="shared" si="187"/>
        <v>Normal</v>
      </c>
    </row>
    <row r="4009" spans="1:15" x14ac:dyDescent="0.3">
      <c r="A4009">
        <v>43282</v>
      </c>
      <c r="B4009" t="s">
        <v>2</v>
      </c>
      <c r="C4009">
        <v>0.72</v>
      </c>
      <c r="D4009">
        <v>0</v>
      </c>
      <c r="E4009">
        <v>0</v>
      </c>
      <c r="F4009" t="str">
        <f t="shared" si="188"/>
        <v>Lower Risk</v>
      </c>
      <c r="G4009" t="s">
        <v>13</v>
      </c>
      <c r="H4009" t="s">
        <v>16</v>
      </c>
      <c r="I4009" t="s">
        <v>9</v>
      </c>
      <c r="J4009">
        <v>159.79</v>
      </c>
      <c r="K4009">
        <v>19.899999999999999</v>
      </c>
      <c r="L4009" t="s">
        <v>14</v>
      </c>
      <c r="M4009">
        <v>0</v>
      </c>
      <c r="N4009" t="str">
        <f t="shared" si="186"/>
        <v>Under 40</v>
      </c>
      <c r="O4009" t="str">
        <f t="shared" si="187"/>
        <v>Normal</v>
      </c>
    </row>
    <row r="4010" spans="1:15" x14ac:dyDescent="0.3">
      <c r="A4010">
        <v>50372</v>
      </c>
      <c r="B4010" t="s">
        <v>2</v>
      </c>
      <c r="C4010">
        <v>57</v>
      </c>
      <c r="D4010">
        <v>0</v>
      </c>
      <c r="E4010">
        <v>0</v>
      </c>
      <c r="F4010" t="str">
        <f t="shared" si="188"/>
        <v>Lower Risk</v>
      </c>
      <c r="G4010" t="s">
        <v>3</v>
      </c>
      <c r="H4010" t="s">
        <v>4</v>
      </c>
      <c r="I4010" t="s">
        <v>9</v>
      </c>
      <c r="J4010">
        <v>233.47</v>
      </c>
      <c r="K4010">
        <v>35.5</v>
      </c>
      <c r="L4010" t="s">
        <v>11</v>
      </c>
      <c r="M4010">
        <v>0</v>
      </c>
      <c r="N4010" t="str">
        <f t="shared" si="186"/>
        <v>40–59</v>
      </c>
      <c r="O4010" t="str">
        <f t="shared" si="187"/>
        <v>Obese</v>
      </c>
    </row>
    <row r="4011" spans="1:15" x14ac:dyDescent="0.3">
      <c r="A4011">
        <v>5834</v>
      </c>
      <c r="B4011" t="s">
        <v>7</v>
      </c>
      <c r="C4011">
        <v>27</v>
      </c>
      <c r="D4011">
        <v>0</v>
      </c>
      <c r="E4011">
        <v>0</v>
      </c>
      <c r="F4011" t="str">
        <f t="shared" si="188"/>
        <v>Lower Risk</v>
      </c>
      <c r="G4011" t="s">
        <v>13</v>
      </c>
      <c r="H4011" t="s">
        <v>15</v>
      </c>
      <c r="I4011" t="s">
        <v>5</v>
      </c>
      <c r="J4011">
        <v>85.53</v>
      </c>
      <c r="K4011">
        <v>26.9</v>
      </c>
      <c r="L4011" t="s">
        <v>12</v>
      </c>
      <c r="M4011">
        <v>0</v>
      </c>
      <c r="N4011" t="str">
        <f t="shared" si="186"/>
        <v>Under 40</v>
      </c>
      <c r="O4011" t="str">
        <f t="shared" si="187"/>
        <v>Overweight</v>
      </c>
    </row>
    <row r="4012" spans="1:15" x14ac:dyDescent="0.3">
      <c r="A4012">
        <v>69847</v>
      </c>
      <c r="B4012" t="s">
        <v>7</v>
      </c>
      <c r="C4012">
        <v>30</v>
      </c>
      <c r="D4012">
        <v>0</v>
      </c>
      <c r="E4012">
        <v>0</v>
      </c>
      <c r="F4012" t="str">
        <f t="shared" si="188"/>
        <v>Lower Risk</v>
      </c>
      <c r="G4012" t="s">
        <v>3</v>
      </c>
      <c r="H4012" t="s">
        <v>8</v>
      </c>
      <c r="I4012" t="s">
        <v>5</v>
      </c>
      <c r="J4012">
        <v>76.7</v>
      </c>
      <c r="K4012">
        <v>24.2</v>
      </c>
      <c r="L4012" t="s">
        <v>11</v>
      </c>
      <c r="M4012">
        <v>0</v>
      </c>
      <c r="N4012" t="str">
        <f t="shared" si="186"/>
        <v>Under 40</v>
      </c>
      <c r="O4012" t="str">
        <f t="shared" si="187"/>
        <v>Normal</v>
      </c>
    </row>
    <row r="4013" spans="1:15" x14ac:dyDescent="0.3">
      <c r="A4013">
        <v>67277</v>
      </c>
      <c r="B4013" t="s">
        <v>2</v>
      </c>
      <c r="C4013">
        <v>42</v>
      </c>
      <c r="D4013">
        <v>0</v>
      </c>
      <c r="E4013">
        <v>0</v>
      </c>
      <c r="F4013" t="str">
        <f t="shared" si="188"/>
        <v>Lower Risk</v>
      </c>
      <c r="G4013" t="s">
        <v>3</v>
      </c>
      <c r="H4013" t="s">
        <v>4</v>
      </c>
      <c r="I4013" t="s">
        <v>9</v>
      </c>
      <c r="J4013">
        <v>67.87</v>
      </c>
      <c r="K4013">
        <v>30</v>
      </c>
      <c r="L4013" t="s">
        <v>11</v>
      </c>
      <c r="M4013">
        <v>0</v>
      </c>
      <c r="N4013" t="str">
        <f t="shared" si="186"/>
        <v>40–59</v>
      </c>
      <c r="O4013" t="str">
        <f t="shared" si="187"/>
        <v>Obese</v>
      </c>
    </row>
    <row r="4014" spans="1:15" x14ac:dyDescent="0.3">
      <c r="A4014">
        <v>41181</v>
      </c>
      <c r="B4014" t="s">
        <v>2</v>
      </c>
      <c r="C4014">
        <v>36</v>
      </c>
      <c r="D4014">
        <v>0</v>
      </c>
      <c r="E4014">
        <v>0</v>
      </c>
      <c r="F4014" t="str">
        <f t="shared" si="188"/>
        <v>Lower Risk</v>
      </c>
      <c r="G4014" t="s">
        <v>3</v>
      </c>
      <c r="H4014" t="s">
        <v>4</v>
      </c>
      <c r="I4014" t="s">
        <v>5</v>
      </c>
      <c r="J4014">
        <v>77.260000000000005</v>
      </c>
      <c r="K4014">
        <v>30.9</v>
      </c>
      <c r="L4014" t="s">
        <v>11</v>
      </c>
      <c r="M4014">
        <v>0</v>
      </c>
      <c r="N4014" t="str">
        <f t="shared" si="186"/>
        <v>Under 40</v>
      </c>
      <c r="O4014" t="str">
        <f t="shared" si="187"/>
        <v>Obese</v>
      </c>
    </row>
    <row r="4015" spans="1:15" x14ac:dyDescent="0.3">
      <c r="A4015">
        <v>36388</v>
      </c>
      <c r="B4015" t="s">
        <v>2</v>
      </c>
      <c r="C4015">
        <v>44</v>
      </c>
      <c r="D4015">
        <v>1</v>
      </c>
      <c r="E4015">
        <v>0</v>
      </c>
      <c r="F4015" t="str">
        <f t="shared" si="188"/>
        <v>Lower Risk</v>
      </c>
      <c r="G4015" t="s">
        <v>3</v>
      </c>
      <c r="H4015" t="s">
        <v>4</v>
      </c>
      <c r="I4015" t="s">
        <v>9</v>
      </c>
      <c r="J4015">
        <v>91.28</v>
      </c>
      <c r="K4015">
        <v>26.5</v>
      </c>
      <c r="L4015" t="s">
        <v>11</v>
      </c>
      <c r="M4015">
        <v>0</v>
      </c>
      <c r="N4015" t="str">
        <f t="shared" si="186"/>
        <v>40–59</v>
      </c>
      <c r="O4015" t="str">
        <f t="shared" si="187"/>
        <v>Overweight</v>
      </c>
    </row>
    <row r="4016" spans="1:15" x14ac:dyDescent="0.3">
      <c r="A4016">
        <v>49272</v>
      </c>
      <c r="B4016" t="s">
        <v>2</v>
      </c>
      <c r="C4016">
        <v>59</v>
      </c>
      <c r="D4016">
        <v>0</v>
      </c>
      <c r="E4016">
        <v>0</v>
      </c>
      <c r="F4016" t="str">
        <f t="shared" si="188"/>
        <v>Lower Risk</v>
      </c>
      <c r="G4016" t="s">
        <v>3</v>
      </c>
      <c r="H4016" t="s">
        <v>15</v>
      </c>
      <c r="I4016" t="s">
        <v>5</v>
      </c>
      <c r="J4016">
        <v>129.19</v>
      </c>
      <c r="K4016">
        <v>30.6</v>
      </c>
      <c r="L4016" t="s">
        <v>11</v>
      </c>
      <c r="M4016">
        <v>0</v>
      </c>
      <c r="N4016" t="str">
        <f t="shared" si="186"/>
        <v>40–59</v>
      </c>
      <c r="O4016" t="str">
        <f t="shared" si="187"/>
        <v>Obese</v>
      </c>
    </row>
    <row r="4017" spans="1:15" x14ac:dyDescent="0.3">
      <c r="A4017">
        <v>52024</v>
      </c>
      <c r="B4017" t="s">
        <v>7</v>
      </c>
      <c r="C4017">
        <v>61</v>
      </c>
      <c r="D4017">
        <v>0</v>
      </c>
      <c r="E4017">
        <v>0</v>
      </c>
      <c r="F4017" t="str">
        <f t="shared" si="188"/>
        <v>Moderate Risk</v>
      </c>
      <c r="G4017" t="s">
        <v>3</v>
      </c>
      <c r="H4017" t="s">
        <v>15</v>
      </c>
      <c r="I4017" t="s">
        <v>5</v>
      </c>
      <c r="J4017">
        <v>97.86</v>
      </c>
      <c r="K4017">
        <v>19.100000000000001</v>
      </c>
      <c r="L4017" t="s">
        <v>6</v>
      </c>
      <c r="M4017">
        <v>0</v>
      </c>
      <c r="N4017" t="str">
        <f t="shared" si="186"/>
        <v>60+</v>
      </c>
      <c r="O4017" t="str">
        <f t="shared" si="187"/>
        <v>Normal</v>
      </c>
    </row>
    <row r="4018" spans="1:15" x14ac:dyDescent="0.3">
      <c r="A4018">
        <v>58508</v>
      </c>
      <c r="B4018" t="s">
        <v>7</v>
      </c>
      <c r="C4018">
        <v>18</v>
      </c>
      <c r="D4018">
        <v>0</v>
      </c>
      <c r="E4018">
        <v>0</v>
      </c>
      <c r="F4018" t="str">
        <f t="shared" si="188"/>
        <v>Lower Risk</v>
      </c>
      <c r="G4018" t="s">
        <v>13</v>
      </c>
      <c r="H4018" t="s">
        <v>15</v>
      </c>
      <c r="I4018" t="s">
        <v>9</v>
      </c>
      <c r="J4018">
        <v>112.33</v>
      </c>
      <c r="K4018">
        <v>23.2</v>
      </c>
      <c r="L4018" t="s">
        <v>6</v>
      </c>
      <c r="M4018">
        <v>0</v>
      </c>
      <c r="N4018" t="str">
        <f t="shared" si="186"/>
        <v>Under 40</v>
      </c>
      <c r="O4018" t="str">
        <f t="shared" si="187"/>
        <v>Normal</v>
      </c>
    </row>
    <row r="4019" spans="1:15" x14ac:dyDescent="0.3">
      <c r="A4019">
        <v>64159</v>
      </c>
      <c r="B4019" t="s">
        <v>7</v>
      </c>
      <c r="C4019">
        <v>44</v>
      </c>
      <c r="D4019">
        <v>0</v>
      </c>
      <c r="E4019">
        <v>0</v>
      </c>
      <c r="F4019" t="str">
        <f t="shared" si="188"/>
        <v>Lower Risk</v>
      </c>
      <c r="G4019" t="s">
        <v>3</v>
      </c>
      <c r="H4019" t="s">
        <v>4</v>
      </c>
      <c r="I4019" t="s">
        <v>9</v>
      </c>
      <c r="J4019">
        <v>110.41</v>
      </c>
      <c r="K4019">
        <v>30.5</v>
      </c>
      <c r="L4019" t="s">
        <v>12</v>
      </c>
      <c r="M4019">
        <v>0</v>
      </c>
      <c r="N4019" t="str">
        <f t="shared" si="186"/>
        <v>40–59</v>
      </c>
      <c r="O4019" t="str">
        <f t="shared" si="187"/>
        <v>Obese</v>
      </c>
    </row>
    <row r="4020" spans="1:15" x14ac:dyDescent="0.3">
      <c r="A4020">
        <v>29453</v>
      </c>
      <c r="B4020" t="s">
        <v>2</v>
      </c>
      <c r="C4020">
        <v>16</v>
      </c>
      <c r="D4020">
        <v>0</v>
      </c>
      <c r="E4020">
        <v>0</v>
      </c>
      <c r="F4020" t="str">
        <f t="shared" si="188"/>
        <v>Lower Risk</v>
      </c>
      <c r="G4020" t="s">
        <v>13</v>
      </c>
      <c r="H4020" t="s">
        <v>16</v>
      </c>
      <c r="I4020" t="s">
        <v>9</v>
      </c>
      <c r="J4020">
        <v>91.58</v>
      </c>
      <c r="K4020">
        <v>15.8</v>
      </c>
      <c r="L4020" t="s">
        <v>14</v>
      </c>
      <c r="M4020">
        <v>0</v>
      </c>
      <c r="N4020" t="str">
        <f t="shared" si="186"/>
        <v>Under 40</v>
      </c>
      <c r="O4020" t="str">
        <f t="shared" si="187"/>
        <v>Underweight</v>
      </c>
    </row>
    <row r="4021" spans="1:15" x14ac:dyDescent="0.3">
      <c r="A4021">
        <v>52838</v>
      </c>
      <c r="B4021" t="s">
        <v>2</v>
      </c>
      <c r="C4021">
        <v>13</v>
      </c>
      <c r="D4021">
        <v>0</v>
      </c>
      <c r="E4021">
        <v>0</v>
      </c>
      <c r="F4021" t="str">
        <f t="shared" si="188"/>
        <v>Lower Risk</v>
      </c>
      <c r="G4021" t="s">
        <v>13</v>
      </c>
      <c r="H4021" t="s">
        <v>16</v>
      </c>
      <c r="I4021" t="s">
        <v>5</v>
      </c>
      <c r="J4021">
        <v>58.86</v>
      </c>
      <c r="K4021">
        <v>16.899999999999999</v>
      </c>
      <c r="L4021" t="s">
        <v>11</v>
      </c>
      <c r="M4021">
        <v>0</v>
      </c>
      <c r="N4021" t="str">
        <f t="shared" si="186"/>
        <v>Under 40</v>
      </c>
      <c r="O4021" t="str">
        <f t="shared" si="187"/>
        <v>Underweight</v>
      </c>
    </row>
    <row r="4022" spans="1:15" x14ac:dyDescent="0.3">
      <c r="A4022">
        <v>43024</v>
      </c>
      <c r="B4022" t="s">
        <v>2</v>
      </c>
      <c r="C4022">
        <v>9</v>
      </c>
      <c r="D4022">
        <v>0</v>
      </c>
      <c r="E4022">
        <v>0</v>
      </c>
      <c r="F4022" t="str">
        <f t="shared" si="188"/>
        <v>Lower Risk</v>
      </c>
      <c r="G4022" t="s">
        <v>13</v>
      </c>
      <c r="H4022" t="s">
        <v>16</v>
      </c>
      <c r="I4022" t="s">
        <v>9</v>
      </c>
      <c r="J4022">
        <v>76.88</v>
      </c>
      <c r="K4022">
        <v>18</v>
      </c>
      <c r="L4022" t="s">
        <v>14</v>
      </c>
      <c r="M4022">
        <v>0</v>
      </c>
      <c r="N4022" t="str">
        <f t="shared" si="186"/>
        <v>Under 40</v>
      </c>
      <c r="O4022" t="str">
        <f t="shared" si="187"/>
        <v>Underweight</v>
      </c>
    </row>
    <row r="4023" spans="1:15" x14ac:dyDescent="0.3">
      <c r="A4023">
        <v>8247</v>
      </c>
      <c r="B4023" t="s">
        <v>2</v>
      </c>
      <c r="C4023">
        <v>0.16</v>
      </c>
      <c r="D4023">
        <v>0</v>
      </c>
      <c r="E4023">
        <v>0</v>
      </c>
      <c r="F4023" t="str">
        <f t="shared" si="188"/>
        <v>Lower Risk</v>
      </c>
      <c r="G4023" t="s">
        <v>13</v>
      </c>
      <c r="H4023" t="s">
        <v>16</v>
      </c>
      <c r="I4023" t="s">
        <v>5</v>
      </c>
      <c r="J4023">
        <v>109.52</v>
      </c>
      <c r="K4023">
        <v>13.9</v>
      </c>
      <c r="L4023" t="s">
        <v>14</v>
      </c>
      <c r="M4023">
        <v>0</v>
      </c>
      <c r="N4023" t="str">
        <f t="shared" si="186"/>
        <v>Under 40</v>
      </c>
      <c r="O4023" t="str">
        <f t="shared" si="187"/>
        <v>Underweight</v>
      </c>
    </row>
    <row r="4024" spans="1:15" x14ac:dyDescent="0.3">
      <c r="A4024">
        <v>42159</v>
      </c>
      <c r="B4024" t="s">
        <v>7</v>
      </c>
      <c r="C4024">
        <v>81</v>
      </c>
      <c r="D4024">
        <v>1</v>
      </c>
      <c r="E4024">
        <v>0</v>
      </c>
      <c r="F4024" t="str">
        <f t="shared" si="188"/>
        <v>High Risk</v>
      </c>
      <c r="G4024" t="s">
        <v>3</v>
      </c>
      <c r="H4024" t="s">
        <v>8</v>
      </c>
      <c r="I4024" t="s">
        <v>5</v>
      </c>
      <c r="J4024">
        <v>181.23</v>
      </c>
      <c r="K4024">
        <v>36.700000000000003</v>
      </c>
      <c r="L4024" t="s">
        <v>11</v>
      </c>
      <c r="M4024">
        <v>0</v>
      </c>
      <c r="N4024" t="str">
        <f t="shared" si="186"/>
        <v>60+</v>
      </c>
      <c r="O4024" t="str">
        <f t="shared" si="187"/>
        <v>Obese</v>
      </c>
    </row>
    <row r="4025" spans="1:15" x14ac:dyDescent="0.3">
      <c r="A4025">
        <v>37761</v>
      </c>
      <c r="B4025" t="s">
        <v>7</v>
      </c>
      <c r="C4025">
        <v>38</v>
      </c>
      <c r="D4025">
        <v>0</v>
      </c>
      <c r="E4025">
        <v>0</v>
      </c>
      <c r="F4025" t="str">
        <f t="shared" si="188"/>
        <v>Lower Risk</v>
      </c>
      <c r="G4025" t="s">
        <v>3</v>
      </c>
      <c r="H4025" t="s">
        <v>4</v>
      </c>
      <c r="I4025" t="s">
        <v>5</v>
      </c>
      <c r="J4025">
        <v>103.58</v>
      </c>
      <c r="K4025">
        <v>30.8</v>
      </c>
      <c r="L4025" t="s">
        <v>6</v>
      </c>
      <c r="M4025">
        <v>0</v>
      </c>
      <c r="N4025" t="str">
        <f t="shared" si="186"/>
        <v>Under 40</v>
      </c>
      <c r="O4025" t="str">
        <f t="shared" si="187"/>
        <v>Obese</v>
      </c>
    </row>
    <row r="4026" spans="1:15" x14ac:dyDescent="0.3">
      <c r="A4026">
        <v>27624</v>
      </c>
      <c r="B4026" t="s">
        <v>7</v>
      </c>
      <c r="C4026">
        <v>58</v>
      </c>
      <c r="D4026">
        <v>0</v>
      </c>
      <c r="E4026">
        <v>0</v>
      </c>
      <c r="F4026" t="str">
        <f t="shared" si="188"/>
        <v>Lower Risk</v>
      </c>
      <c r="G4026" t="s">
        <v>3</v>
      </c>
      <c r="H4026" t="s">
        <v>8</v>
      </c>
      <c r="I4026" t="s">
        <v>9</v>
      </c>
      <c r="J4026">
        <v>81.96</v>
      </c>
      <c r="K4026">
        <v>34.6</v>
      </c>
      <c r="L4026" t="s">
        <v>11</v>
      </c>
      <c r="M4026">
        <v>0</v>
      </c>
      <c r="N4026" t="str">
        <f t="shared" si="186"/>
        <v>40–59</v>
      </c>
      <c r="O4026" t="str">
        <f t="shared" si="187"/>
        <v>Obese</v>
      </c>
    </row>
    <row r="4027" spans="1:15" x14ac:dyDescent="0.3">
      <c r="A4027">
        <v>40242</v>
      </c>
      <c r="B4027" t="s">
        <v>2</v>
      </c>
      <c r="C4027">
        <v>5</v>
      </c>
      <c r="D4027">
        <v>0</v>
      </c>
      <c r="E4027">
        <v>0</v>
      </c>
      <c r="F4027" t="str">
        <f t="shared" si="188"/>
        <v>Lower Risk</v>
      </c>
      <c r="G4027" t="s">
        <v>13</v>
      </c>
      <c r="H4027" t="s">
        <v>16</v>
      </c>
      <c r="I4027" t="s">
        <v>9</v>
      </c>
      <c r="J4027">
        <v>104.55</v>
      </c>
      <c r="K4027">
        <v>16.3</v>
      </c>
      <c r="L4027" t="s">
        <v>14</v>
      </c>
      <c r="M4027">
        <v>0</v>
      </c>
      <c r="N4027" t="str">
        <f t="shared" si="186"/>
        <v>Under 40</v>
      </c>
      <c r="O4027" t="str">
        <f t="shared" si="187"/>
        <v>Underweight</v>
      </c>
    </row>
    <row r="4028" spans="1:15" x14ac:dyDescent="0.3">
      <c r="A4028">
        <v>4383</v>
      </c>
      <c r="B4028" t="s">
        <v>7</v>
      </c>
      <c r="C4028">
        <v>64</v>
      </c>
      <c r="D4028">
        <v>0</v>
      </c>
      <c r="E4028">
        <v>0</v>
      </c>
      <c r="F4028" t="str">
        <f t="shared" si="188"/>
        <v>Moderate Risk</v>
      </c>
      <c r="G4028" t="s">
        <v>3</v>
      </c>
      <c r="H4028" t="s">
        <v>15</v>
      </c>
      <c r="I4028" t="s">
        <v>5</v>
      </c>
      <c r="J4028">
        <v>76.12</v>
      </c>
      <c r="K4028">
        <v>38.200000000000003</v>
      </c>
      <c r="L4028" t="s">
        <v>6</v>
      </c>
      <c r="M4028">
        <v>0</v>
      </c>
      <c r="N4028" t="str">
        <f t="shared" si="186"/>
        <v>60+</v>
      </c>
      <c r="O4028" t="str">
        <f t="shared" si="187"/>
        <v>Obese</v>
      </c>
    </row>
    <row r="4029" spans="1:15" x14ac:dyDescent="0.3">
      <c r="A4029">
        <v>58577</v>
      </c>
      <c r="B4029" t="s">
        <v>7</v>
      </c>
      <c r="C4029">
        <v>38</v>
      </c>
      <c r="D4029">
        <v>0</v>
      </c>
      <c r="E4029">
        <v>0</v>
      </c>
      <c r="F4029" t="str">
        <f t="shared" si="188"/>
        <v>Lower Risk</v>
      </c>
      <c r="G4029" t="s">
        <v>3</v>
      </c>
      <c r="H4029" t="s">
        <v>15</v>
      </c>
      <c r="I4029" t="s">
        <v>9</v>
      </c>
      <c r="J4029">
        <v>64.27</v>
      </c>
      <c r="K4029">
        <v>27.3</v>
      </c>
      <c r="L4029" t="s">
        <v>11</v>
      </c>
      <c r="M4029">
        <v>0</v>
      </c>
      <c r="N4029" t="str">
        <f t="shared" si="186"/>
        <v>Under 40</v>
      </c>
      <c r="O4029" t="str">
        <f t="shared" si="187"/>
        <v>Overweight</v>
      </c>
    </row>
    <row r="4030" spans="1:15" x14ac:dyDescent="0.3">
      <c r="A4030">
        <v>59916</v>
      </c>
      <c r="B4030" t="s">
        <v>7</v>
      </c>
      <c r="C4030">
        <v>56</v>
      </c>
      <c r="D4030">
        <v>0</v>
      </c>
      <c r="E4030">
        <v>0</v>
      </c>
      <c r="F4030" t="str">
        <f t="shared" si="188"/>
        <v>Lower Risk</v>
      </c>
      <c r="G4030" t="s">
        <v>3</v>
      </c>
      <c r="H4030" t="s">
        <v>4</v>
      </c>
      <c r="I4030" t="s">
        <v>9</v>
      </c>
      <c r="J4030">
        <v>200.98</v>
      </c>
      <c r="K4030">
        <v>30.4</v>
      </c>
      <c r="L4030" t="s">
        <v>12</v>
      </c>
      <c r="M4030">
        <v>0</v>
      </c>
      <c r="N4030" t="str">
        <f t="shared" si="186"/>
        <v>40–59</v>
      </c>
      <c r="O4030" t="str">
        <f t="shared" si="187"/>
        <v>Obese</v>
      </c>
    </row>
    <row r="4031" spans="1:15" x14ac:dyDescent="0.3">
      <c r="A4031">
        <v>44526</v>
      </c>
      <c r="B4031" t="s">
        <v>2</v>
      </c>
      <c r="C4031">
        <v>58</v>
      </c>
      <c r="D4031">
        <v>0</v>
      </c>
      <c r="E4031">
        <v>0</v>
      </c>
      <c r="F4031" t="str">
        <f t="shared" si="188"/>
        <v>Lower Risk</v>
      </c>
      <c r="G4031" t="s">
        <v>3</v>
      </c>
      <c r="H4031" t="s">
        <v>15</v>
      </c>
      <c r="I4031" t="s">
        <v>5</v>
      </c>
      <c r="J4031">
        <v>101.96</v>
      </c>
      <c r="K4031">
        <v>34.5</v>
      </c>
      <c r="L4031" t="s">
        <v>11</v>
      </c>
      <c r="M4031">
        <v>0</v>
      </c>
      <c r="N4031" t="str">
        <f t="shared" si="186"/>
        <v>40–59</v>
      </c>
      <c r="O4031" t="str">
        <f t="shared" si="187"/>
        <v>Obese</v>
      </c>
    </row>
    <row r="4032" spans="1:15" x14ac:dyDescent="0.3">
      <c r="A4032">
        <v>12990</v>
      </c>
      <c r="B4032" t="s">
        <v>2</v>
      </c>
      <c r="C4032">
        <v>9</v>
      </c>
      <c r="D4032">
        <v>0</v>
      </c>
      <c r="E4032">
        <v>0</v>
      </c>
      <c r="F4032" t="str">
        <f t="shared" si="188"/>
        <v>Lower Risk</v>
      </c>
      <c r="G4032" t="s">
        <v>13</v>
      </c>
      <c r="H4032" t="s">
        <v>16</v>
      </c>
      <c r="I4032" t="s">
        <v>9</v>
      </c>
      <c r="J4032">
        <v>84.17</v>
      </c>
      <c r="K4032">
        <v>17.399999999999999</v>
      </c>
      <c r="L4032" t="s">
        <v>14</v>
      </c>
      <c r="M4032">
        <v>0</v>
      </c>
      <c r="N4032" t="str">
        <f t="shared" si="186"/>
        <v>Under 40</v>
      </c>
      <c r="O4032" t="str">
        <f t="shared" si="187"/>
        <v>Underweight</v>
      </c>
    </row>
    <row r="4033" spans="1:15" x14ac:dyDescent="0.3">
      <c r="A4033">
        <v>14414</v>
      </c>
      <c r="B4033" t="s">
        <v>7</v>
      </c>
      <c r="C4033">
        <v>34</v>
      </c>
      <c r="D4033">
        <v>0</v>
      </c>
      <c r="E4033">
        <v>0</v>
      </c>
      <c r="F4033" t="str">
        <f t="shared" si="188"/>
        <v>Lower Risk</v>
      </c>
      <c r="G4033" t="s">
        <v>3</v>
      </c>
      <c r="H4033" t="s">
        <v>4</v>
      </c>
      <c r="I4033" t="s">
        <v>9</v>
      </c>
      <c r="J4033">
        <v>85.79</v>
      </c>
      <c r="K4033">
        <v>32</v>
      </c>
      <c r="L4033" t="s">
        <v>11</v>
      </c>
      <c r="M4033">
        <v>0</v>
      </c>
      <c r="N4033" t="str">
        <f t="shared" si="186"/>
        <v>Under 40</v>
      </c>
      <c r="O4033" t="str">
        <f t="shared" si="187"/>
        <v>Obese</v>
      </c>
    </row>
    <row r="4034" spans="1:15" x14ac:dyDescent="0.3">
      <c r="A4034">
        <v>46343</v>
      </c>
      <c r="B4034" t="s">
        <v>7</v>
      </c>
      <c r="C4034">
        <v>79</v>
      </c>
      <c r="D4034">
        <v>0</v>
      </c>
      <c r="E4034">
        <v>0</v>
      </c>
      <c r="F4034" t="str">
        <f t="shared" si="188"/>
        <v>Moderate Risk</v>
      </c>
      <c r="G4034" t="s">
        <v>3</v>
      </c>
      <c r="H4034" t="s">
        <v>4</v>
      </c>
      <c r="I4034" t="s">
        <v>5</v>
      </c>
      <c r="J4034">
        <v>71.459999999999994</v>
      </c>
      <c r="K4034">
        <v>33.4</v>
      </c>
      <c r="L4034" t="s">
        <v>14</v>
      </c>
      <c r="M4034">
        <v>0</v>
      </c>
      <c r="N4034" t="str">
        <f t="shared" ref="N4034:N4097" si="189">IF(C4034&lt;40,"Under 40",IF(C4034&lt;60,"40–59","60+"))</f>
        <v>60+</v>
      </c>
      <c r="O4034" t="str">
        <f t="shared" ref="O4034:O4097" si="190">IF(K4034="N/A","Unknown",
IF(K4034="","Unknown",
IF(K4034&lt;18.5,"Underweight",
IF(K4034&lt;25,"Normal",
IF(K4034&lt;30,"Overweight","Obese")))))</f>
        <v>Obese</v>
      </c>
    </row>
    <row r="4035" spans="1:15" x14ac:dyDescent="0.3">
      <c r="A4035">
        <v>29539</v>
      </c>
      <c r="B4035" t="s">
        <v>2</v>
      </c>
      <c r="C4035">
        <v>62</v>
      </c>
      <c r="D4035">
        <v>1</v>
      </c>
      <c r="E4035">
        <v>0</v>
      </c>
      <c r="F4035" t="str">
        <f t="shared" ref="F4035:F4098" si="191">IF(C4035&gt;=60,
IF(OR(D4035=1,E4035=1),"High Risk","Moderate Risk"),
"Lower Risk")</f>
        <v>High Risk</v>
      </c>
      <c r="G4035" t="s">
        <v>3</v>
      </c>
      <c r="H4035" t="s">
        <v>8</v>
      </c>
      <c r="I4035" t="s">
        <v>9</v>
      </c>
      <c r="J4035">
        <v>95.49</v>
      </c>
      <c r="K4035">
        <v>40.200000000000003</v>
      </c>
      <c r="L4035" t="s">
        <v>12</v>
      </c>
      <c r="M4035">
        <v>0</v>
      </c>
      <c r="N4035" t="str">
        <f t="shared" si="189"/>
        <v>60+</v>
      </c>
      <c r="O4035" t="str">
        <f t="shared" si="190"/>
        <v>Obese</v>
      </c>
    </row>
    <row r="4036" spans="1:15" x14ac:dyDescent="0.3">
      <c r="A4036">
        <v>10924</v>
      </c>
      <c r="B4036" t="s">
        <v>7</v>
      </c>
      <c r="C4036">
        <v>60</v>
      </c>
      <c r="D4036">
        <v>0</v>
      </c>
      <c r="E4036">
        <v>0</v>
      </c>
      <c r="F4036" t="str">
        <f t="shared" si="191"/>
        <v>Moderate Risk</v>
      </c>
      <c r="G4036" t="s">
        <v>3</v>
      </c>
      <c r="H4036" t="s">
        <v>4</v>
      </c>
      <c r="I4036" t="s">
        <v>9</v>
      </c>
      <c r="J4036">
        <v>87.62</v>
      </c>
      <c r="K4036">
        <v>30.1</v>
      </c>
      <c r="L4036" t="s">
        <v>12</v>
      </c>
      <c r="M4036">
        <v>0</v>
      </c>
      <c r="N4036" t="str">
        <f t="shared" si="189"/>
        <v>60+</v>
      </c>
      <c r="O4036" t="str">
        <f t="shared" si="190"/>
        <v>Obese</v>
      </c>
    </row>
    <row r="4037" spans="1:15" x14ac:dyDescent="0.3">
      <c r="A4037">
        <v>30248</v>
      </c>
      <c r="B4037" t="s">
        <v>7</v>
      </c>
      <c r="C4037">
        <v>42</v>
      </c>
      <c r="D4037">
        <v>0</v>
      </c>
      <c r="E4037">
        <v>0</v>
      </c>
      <c r="F4037" t="str">
        <f t="shared" si="191"/>
        <v>Lower Risk</v>
      </c>
      <c r="G4037" t="s">
        <v>13</v>
      </c>
      <c r="H4037" t="s">
        <v>4</v>
      </c>
      <c r="I4037" t="s">
        <v>9</v>
      </c>
      <c r="J4037">
        <v>118.55</v>
      </c>
      <c r="K4037">
        <v>46.2</v>
      </c>
      <c r="L4037" t="s">
        <v>12</v>
      </c>
      <c r="M4037">
        <v>0</v>
      </c>
      <c r="N4037" t="str">
        <f t="shared" si="189"/>
        <v>40–59</v>
      </c>
      <c r="O4037" t="str">
        <f t="shared" si="190"/>
        <v>Obese</v>
      </c>
    </row>
    <row r="4038" spans="1:15" x14ac:dyDescent="0.3">
      <c r="A4038">
        <v>39769</v>
      </c>
      <c r="B4038" t="s">
        <v>7</v>
      </c>
      <c r="C4038">
        <v>59</v>
      </c>
      <c r="D4038">
        <v>0</v>
      </c>
      <c r="E4038">
        <v>0</v>
      </c>
      <c r="F4038" t="str">
        <f t="shared" si="191"/>
        <v>Lower Risk</v>
      </c>
      <c r="G4038" t="s">
        <v>3</v>
      </c>
      <c r="H4038" t="s">
        <v>8</v>
      </c>
      <c r="I4038" t="s">
        <v>5</v>
      </c>
      <c r="J4038">
        <v>82.14</v>
      </c>
      <c r="K4038">
        <v>35.6</v>
      </c>
      <c r="L4038" t="s">
        <v>12</v>
      </c>
      <c r="M4038">
        <v>0</v>
      </c>
      <c r="N4038" t="str">
        <f t="shared" si="189"/>
        <v>40–59</v>
      </c>
      <c r="O4038" t="str">
        <f t="shared" si="190"/>
        <v>Obese</v>
      </c>
    </row>
    <row r="4039" spans="1:15" x14ac:dyDescent="0.3">
      <c r="A4039">
        <v>28778</v>
      </c>
      <c r="B4039" t="s">
        <v>7</v>
      </c>
      <c r="C4039">
        <v>54</v>
      </c>
      <c r="D4039">
        <v>0</v>
      </c>
      <c r="E4039">
        <v>0</v>
      </c>
      <c r="F4039" t="str">
        <f t="shared" si="191"/>
        <v>Lower Risk</v>
      </c>
      <c r="G4039" t="s">
        <v>3</v>
      </c>
      <c r="H4039" t="s">
        <v>4</v>
      </c>
      <c r="I4039" t="s">
        <v>5</v>
      </c>
      <c r="J4039">
        <v>219.67</v>
      </c>
      <c r="K4039">
        <v>29.4</v>
      </c>
      <c r="L4039" t="s">
        <v>12</v>
      </c>
      <c r="M4039">
        <v>0</v>
      </c>
      <c r="N4039" t="str">
        <f t="shared" si="189"/>
        <v>40–59</v>
      </c>
      <c r="O4039" t="str">
        <f t="shared" si="190"/>
        <v>Overweight</v>
      </c>
    </row>
    <row r="4040" spans="1:15" x14ac:dyDescent="0.3">
      <c r="A4040">
        <v>65257</v>
      </c>
      <c r="B4040" t="s">
        <v>2</v>
      </c>
      <c r="C4040">
        <v>59</v>
      </c>
      <c r="D4040">
        <v>0</v>
      </c>
      <c r="E4040">
        <v>0</v>
      </c>
      <c r="F4040" t="str">
        <f t="shared" si="191"/>
        <v>Lower Risk</v>
      </c>
      <c r="G4040" t="s">
        <v>3</v>
      </c>
      <c r="H4040" t="s">
        <v>4</v>
      </c>
      <c r="I4040" t="s">
        <v>5</v>
      </c>
      <c r="J4040">
        <v>135.84</v>
      </c>
      <c r="K4040">
        <v>27.3</v>
      </c>
      <c r="L4040" t="s">
        <v>11</v>
      </c>
      <c r="M4040">
        <v>0</v>
      </c>
      <c r="N4040" t="str">
        <f t="shared" si="189"/>
        <v>40–59</v>
      </c>
      <c r="O4040" t="str">
        <f t="shared" si="190"/>
        <v>Overweight</v>
      </c>
    </row>
    <row r="4041" spans="1:15" x14ac:dyDescent="0.3">
      <c r="A4041">
        <v>7233</v>
      </c>
      <c r="B4041" t="s">
        <v>2</v>
      </c>
      <c r="C4041">
        <v>15</v>
      </c>
      <c r="D4041">
        <v>0</v>
      </c>
      <c r="E4041">
        <v>0</v>
      </c>
      <c r="F4041" t="str">
        <f t="shared" si="191"/>
        <v>Lower Risk</v>
      </c>
      <c r="G4041" t="s">
        <v>13</v>
      </c>
      <c r="H4041" t="s">
        <v>16</v>
      </c>
      <c r="I4041" t="s">
        <v>9</v>
      </c>
      <c r="J4041">
        <v>74.83</v>
      </c>
      <c r="K4041">
        <v>17.399999999999999</v>
      </c>
      <c r="L4041" t="s">
        <v>14</v>
      </c>
      <c r="M4041">
        <v>0</v>
      </c>
      <c r="N4041" t="str">
        <f t="shared" si="189"/>
        <v>Under 40</v>
      </c>
      <c r="O4041" t="str">
        <f t="shared" si="190"/>
        <v>Underweight</v>
      </c>
    </row>
    <row r="4042" spans="1:15" x14ac:dyDescent="0.3">
      <c r="A4042">
        <v>67773</v>
      </c>
      <c r="B4042" t="s">
        <v>7</v>
      </c>
      <c r="C4042">
        <v>14</v>
      </c>
      <c r="D4042">
        <v>0</v>
      </c>
      <c r="E4042">
        <v>0</v>
      </c>
      <c r="F4042" t="str">
        <f t="shared" si="191"/>
        <v>Lower Risk</v>
      </c>
      <c r="G4042" t="s">
        <v>13</v>
      </c>
      <c r="H4042" t="s">
        <v>16</v>
      </c>
      <c r="I4042" t="s">
        <v>5</v>
      </c>
      <c r="J4042">
        <v>60.37</v>
      </c>
      <c r="K4042">
        <v>26.9</v>
      </c>
      <c r="L4042" t="s">
        <v>14</v>
      </c>
      <c r="M4042">
        <v>0</v>
      </c>
      <c r="N4042" t="str">
        <f t="shared" si="189"/>
        <v>Under 40</v>
      </c>
      <c r="O4042" t="str">
        <f t="shared" si="190"/>
        <v>Overweight</v>
      </c>
    </row>
    <row r="4043" spans="1:15" x14ac:dyDescent="0.3">
      <c r="A4043">
        <v>14993</v>
      </c>
      <c r="B4043" t="s">
        <v>2</v>
      </c>
      <c r="C4043">
        <v>5</v>
      </c>
      <c r="D4043">
        <v>0</v>
      </c>
      <c r="E4043">
        <v>0</v>
      </c>
      <c r="F4043" t="str">
        <f t="shared" si="191"/>
        <v>Lower Risk</v>
      </c>
      <c r="G4043" t="s">
        <v>13</v>
      </c>
      <c r="H4043" t="s">
        <v>16</v>
      </c>
      <c r="I4043" t="s">
        <v>9</v>
      </c>
      <c r="J4043">
        <v>67.28</v>
      </c>
      <c r="K4043">
        <v>17.7</v>
      </c>
      <c r="L4043" t="s">
        <v>14</v>
      </c>
      <c r="M4043">
        <v>0</v>
      </c>
      <c r="N4043" t="str">
        <f t="shared" si="189"/>
        <v>Under 40</v>
      </c>
      <c r="O4043" t="str">
        <f t="shared" si="190"/>
        <v>Underweight</v>
      </c>
    </row>
    <row r="4044" spans="1:15" x14ac:dyDescent="0.3">
      <c r="A4044">
        <v>59054</v>
      </c>
      <c r="B4044" t="s">
        <v>2</v>
      </c>
      <c r="C4044">
        <v>17</v>
      </c>
      <c r="D4044">
        <v>0</v>
      </c>
      <c r="E4044">
        <v>0</v>
      </c>
      <c r="F4044" t="str">
        <f t="shared" si="191"/>
        <v>Lower Risk</v>
      </c>
      <c r="G4044" t="s">
        <v>13</v>
      </c>
      <c r="H4044" t="s">
        <v>4</v>
      </c>
      <c r="I4044" t="s">
        <v>9</v>
      </c>
      <c r="J4044">
        <v>77.790000000000006</v>
      </c>
      <c r="K4044">
        <v>23.6</v>
      </c>
      <c r="L4044" t="s">
        <v>14</v>
      </c>
      <c r="M4044">
        <v>0</v>
      </c>
      <c r="N4044" t="str">
        <f t="shared" si="189"/>
        <v>Under 40</v>
      </c>
      <c r="O4044" t="str">
        <f t="shared" si="190"/>
        <v>Normal</v>
      </c>
    </row>
    <row r="4045" spans="1:15" x14ac:dyDescent="0.3">
      <c r="A4045">
        <v>22554</v>
      </c>
      <c r="B4045" t="s">
        <v>7</v>
      </c>
      <c r="C4045">
        <v>13</v>
      </c>
      <c r="D4045">
        <v>0</v>
      </c>
      <c r="E4045">
        <v>0</v>
      </c>
      <c r="F4045" t="str">
        <f t="shared" si="191"/>
        <v>Lower Risk</v>
      </c>
      <c r="G4045" t="s">
        <v>13</v>
      </c>
      <c r="H4045" t="s">
        <v>16</v>
      </c>
      <c r="I4045" t="s">
        <v>9</v>
      </c>
      <c r="J4045">
        <v>88.51</v>
      </c>
      <c r="K4045">
        <v>27.7</v>
      </c>
      <c r="L4045" t="s">
        <v>14</v>
      </c>
      <c r="M4045">
        <v>0</v>
      </c>
      <c r="N4045" t="str">
        <f t="shared" si="189"/>
        <v>Under 40</v>
      </c>
      <c r="O4045" t="str">
        <f t="shared" si="190"/>
        <v>Overweight</v>
      </c>
    </row>
    <row r="4046" spans="1:15" x14ac:dyDescent="0.3">
      <c r="A4046">
        <v>72512</v>
      </c>
      <c r="B4046" t="s">
        <v>7</v>
      </c>
      <c r="C4046">
        <v>48</v>
      </c>
      <c r="D4046">
        <v>0</v>
      </c>
      <c r="E4046">
        <v>0</v>
      </c>
      <c r="F4046" t="str">
        <f t="shared" si="191"/>
        <v>Lower Risk</v>
      </c>
      <c r="G4046" t="s">
        <v>3</v>
      </c>
      <c r="H4046" t="s">
        <v>8</v>
      </c>
      <c r="I4046" t="s">
        <v>5</v>
      </c>
      <c r="J4046">
        <v>90.38</v>
      </c>
      <c r="K4046">
        <v>38</v>
      </c>
      <c r="L4046" t="s">
        <v>12</v>
      </c>
      <c r="M4046">
        <v>0</v>
      </c>
      <c r="N4046" t="str">
        <f t="shared" si="189"/>
        <v>40–59</v>
      </c>
      <c r="O4046" t="str">
        <f t="shared" si="190"/>
        <v>Obese</v>
      </c>
    </row>
    <row r="4047" spans="1:15" x14ac:dyDescent="0.3">
      <c r="A4047">
        <v>56195</v>
      </c>
      <c r="B4047" t="s">
        <v>2</v>
      </c>
      <c r="C4047">
        <v>37</v>
      </c>
      <c r="D4047">
        <v>0</v>
      </c>
      <c r="E4047">
        <v>0</v>
      </c>
      <c r="F4047" t="str">
        <f t="shared" si="191"/>
        <v>Lower Risk</v>
      </c>
      <c r="G4047" t="s">
        <v>3</v>
      </c>
      <c r="H4047" t="s">
        <v>15</v>
      </c>
      <c r="I4047" t="s">
        <v>5</v>
      </c>
      <c r="J4047">
        <v>156.69</v>
      </c>
      <c r="K4047">
        <v>35.200000000000003</v>
      </c>
      <c r="L4047" t="s">
        <v>11</v>
      </c>
      <c r="M4047">
        <v>0</v>
      </c>
      <c r="N4047" t="str">
        <f t="shared" si="189"/>
        <v>Under 40</v>
      </c>
      <c r="O4047" t="str">
        <f t="shared" si="190"/>
        <v>Obese</v>
      </c>
    </row>
    <row r="4048" spans="1:15" x14ac:dyDescent="0.3">
      <c r="A4048">
        <v>7524</v>
      </c>
      <c r="B4048" t="s">
        <v>7</v>
      </c>
      <c r="C4048">
        <v>69</v>
      </c>
      <c r="D4048">
        <v>0</v>
      </c>
      <c r="E4048">
        <v>1</v>
      </c>
      <c r="F4048" t="str">
        <f t="shared" si="191"/>
        <v>High Risk</v>
      </c>
      <c r="G4048" t="s">
        <v>3</v>
      </c>
      <c r="H4048" t="s">
        <v>4</v>
      </c>
      <c r="I4048" t="s">
        <v>5</v>
      </c>
      <c r="J4048">
        <v>207.6</v>
      </c>
      <c r="K4048" t="s">
        <v>10</v>
      </c>
      <c r="L4048" t="s">
        <v>11</v>
      </c>
      <c r="M4048">
        <v>0</v>
      </c>
      <c r="N4048" t="str">
        <f t="shared" si="189"/>
        <v>60+</v>
      </c>
      <c r="O4048" t="str">
        <f t="shared" si="190"/>
        <v>Unknown</v>
      </c>
    </row>
    <row r="4049" spans="1:15" x14ac:dyDescent="0.3">
      <c r="A4049">
        <v>45795</v>
      </c>
      <c r="B4049" t="s">
        <v>7</v>
      </c>
      <c r="C4049">
        <v>74</v>
      </c>
      <c r="D4049">
        <v>0</v>
      </c>
      <c r="E4049">
        <v>0</v>
      </c>
      <c r="F4049" t="str">
        <f t="shared" si="191"/>
        <v>Moderate Risk</v>
      </c>
      <c r="G4049" t="s">
        <v>3</v>
      </c>
      <c r="H4049" t="s">
        <v>4</v>
      </c>
      <c r="I4049" t="s">
        <v>5</v>
      </c>
      <c r="J4049">
        <v>158.9</v>
      </c>
      <c r="K4049">
        <v>32.4</v>
      </c>
      <c r="L4049" t="s">
        <v>6</v>
      </c>
      <c r="M4049">
        <v>0</v>
      </c>
      <c r="N4049" t="str">
        <f t="shared" si="189"/>
        <v>60+</v>
      </c>
      <c r="O4049" t="str">
        <f t="shared" si="190"/>
        <v>Obese</v>
      </c>
    </row>
    <row r="4050" spans="1:15" x14ac:dyDescent="0.3">
      <c r="A4050">
        <v>64433</v>
      </c>
      <c r="B4050" t="s">
        <v>2</v>
      </c>
      <c r="C4050">
        <v>54</v>
      </c>
      <c r="D4050">
        <v>0</v>
      </c>
      <c r="E4050">
        <v>0</v>
      </c>
      <c r="F4050" t="str">
        <f t="shared" si="191"/>
        <v>Lower Risk</v>
      </c>
      <c r="G4050" t="s">
        <v>3</v>
      </c>
      <c r="H4050" t="s">
        <v>4</v>
      </c>
      <c r="I4050" t="s">
        <v>5</v>
      </c>
      <c r="J4050">
        <v>247.97</v>
      </c>
      <c r="K4050">
        <v>36.1</v>
      </c>
      <c r="L4050" t="s">
        <v>6</v>
      </c>
      <c r="M4050">
        <v>0</v>
      </c>
      <c r="N4050" t="str">
        <f t="shared" si="189"/>
        <v>40–59</v>
      </c>
      <c r="O4050" t="str">
        <f t="shared" si="190"/>
        <v>Obese</v>
      </c>
    </row>
    <row r="4051" spans="1:15" x14ac:dyDescent="0.3">
      <c r="A4051">
        <v>70106</v>
      </c>
      <c r="B4051" t="s">
        <v>7</v>
      </c>
      <c r="C4051">
        <v>64</v>
      </c>
      <c r="D4051">
        <v>0</v>
      </c>
      <c r="E4051">
        <v>1</v>
      </c>
      <c r="F4051" t="str">
        <f t="shared" si="191"/>
        <v>High Risk</v>
      </c>
      <c r="G4051" t="s">
        <v>3</v>
      </c>
      <c r="H4051" t="s">
        <v>4</v>
      </c>
      <c r="I4051" t="s">
        <v>9</v>
      </c>
      <c r="J4051">
        <v>114.71</v>
      </c>
      <c r="K4051">
        <v>30.6</v>
      </c>
      <c r="L4051" t="s">
        <v>11</v>
      </c>
      <c r="M4051">
        <v>0</v>
      </c>
      <c r="N4051" t="str">
        <f t="shared" si="189"/>
        <v>60+</v>
      </c>
      <c r="O4051" t="str">
        <f t="shared" si="190"/>
        <v>Obese</v>
      </c>
    </row>
    <row r="4052" spans="1:15" x14ac:dyDescent="0.3">
      <c r="A4052">
        <v>50072</v>
      </c>
      <c r="B4052" t="s">
        <v>7</v>
      </c>
      <c r="C4052">
        <v>26</v>
      </c>
      <c r="D4052">
        <v>0</v>
      </c>
      <c r="E4052">
        <v>0</v>
      </c>
      <c r="F4052" t="str">
        <f t="shared" si="191"/>
        <v>Lower Risk</v>
      </c>
      <c r="G4052" t="s">
        <v>13</v>
      </c>
      <c r="H4052" t="s">
        <v>4</v>
      </c>
      <c r="I4052" t="s">
        <v>9</v>
      </c>
      <c r="J4052">
        <v>58.55</v>
      </c>
      <c r="K4052">
        <v>29</v>
      </c>
      <c r="L4052" t="s">
        <v>11</v>
      </c>
      <c r="M4052">
        <v>0</v>
      </c>
      <c r="N4052" t="str">
        <f t="shared" si="189"/>
        <v>Under 40</v>
      </c>
      <c r="O4052" t="str">
        <f t="shared" si="190"/>
        <v>Overweight</v>
      </c>
    </row>
    <row r="4053" spans="1:15" x14ac:dyDescent="0.3">
      <c r="A4053">
        <v>52530</v>
      </c>
      <c r="B4053" t="s">
        <v>2</v>
      </c>
      <c r="C4053">
        <v>55</v>
      </c>
      <c r="D4053">
        <v>0</v>
      </c>
      <c r="E4053">
        <v>0</v>
      </c>
      <c r="F4053" t="str">
        <f t="shared" si="191"/>
        <v>Lower Risk</v>
      </c>
      <c r="G4053" t="s">
        <v>3</v>
      </c>
      <c r="H4053" t="s">
        <v>15</v>
      </c>
      <c r="I4053" t="s">
        <v>5</v>
      </c>
      <c r="J4053">
        <v>231.15</v>
      </c>
      <c r="K4053">
        <v>22.3</v>
      </c>
      <c r="L4053" t="s">
        <v>11</v>
      </c>
      <c r="M4053">
        <v>0</v>
      </c>
      <c r="N4053" t="str">
        <f t="shared" si="189"/>
        <v>40–59</v>
      </c>
      <c r="O4053" t="str">
        <f t="shared" si="190"/>
        <v>Normal</v>
      </c>
    </row>
    <row r="4054" spans="1:15" x14ac:dyDescent="0.3">
      <c r="A4054">
        <v>768</v>
      </c>
      <c r="B4054" t="s">
        <v>7</v>
      </c>
      <c r="C4054">
        <v>74</v>
      </c>
      <c r="D4054">
        <v>0</v>
      </c>
      <c r="E4054">
        <v>0</v>
      </c>
      <c r="F4054" t="str">
        <f t="shared" si="191"/>
        <v>Moderate Risk</v>
      </c>
      <c r="G4054" t="s">
        <v>3</v>
      </c>
      <c r="H4054" t="s">
        <v>8</v>
      </c>
      <c r="I4054" t="s">
        <v>5</v>
      </c>
      <c r="J4054">
        <v>68.180000000000007</v>
      </c>
      <c r="K4054">
        <v>27.3</v>
      </c>
      <c r="L4054" t="s">
        <v>6</v>
      </c>
      <c r="M4054">
        <v>0</v>
      </c>
      <c r="N4054" t="str">
        <f t="shared" si="189"/>
        <v>60+</v>
      </c>
      <c r="O4054" t="str">
        <f t="shared" si="190"/>
        <v>Overweight</v>
      </c>
    </row>
    <row r="4055" spans="1:15" x14ac:dyDescent="0.3">
      <c r="A4055">
        <v>40255</v>
      </c>
      <c r="B4055" t="s">
        <v>7</v>
      </c>
      <c r="C4055">
        <v>0.48</v>
      </c>
      <c r="D4055">
        <v>0</v>
      </c>
      <c r="E4055">
        <v>0</v>
      </c>
      <c r="F4055" t="str">
        <f t="shared" si="191"/>
        <v>Lower Risk</v>
      </c>
      <c r="G4055" t="s">
        <v>13</v>
      </c>
      <c r="H4055" t="s">
        <v>16</v>
      </c>
      <c r="I4055" t="s">
        <v>9</v>
      </c>
      <c r="J4055">
        <v>118.75</v>
      </c>
      <c r="K4055">
        <v>17.399999999999999</v>
      </c>
      <c r="L4055" t="s">
        <v>14</v>
      </c>
      <c r="M4055">
        <v>0</v>
      </c>
      <c r="N4055" t="str">
        <f t="shared" si="189"/>
        <v>Under 40</v>
      </c>
      <c r="O4055" t="str">
        <f t="shared" si="190"/>
        <v>Underweight</v>
      </c>
    </row>
    <row r="4056" spans="1:15" x14ac:dyDescent="0.3">
      <c r="A4056">
        <v>50073</v>
      </c>
      <c r="B4056" t="s">
        <v>7</v>
      </c>
      <c r="C4056">
        <v>41</v>
      </c>
      <c r="D4056">
        <v>0</v>
      </c>
      <c r="E4056">
        <v>1</v>
      </c>
      <c r="F4056" t="str">
        <f t="shared" si="191"/>
        <v>Lower Risk</v>
      </c>
      <c r="G4056" t="s">
        <v>13</v>
      </c>
      <c r="H4056" t="s">
        <v>4</v>
      </c>
      <c r="I4056" t="s">
        <v>9</v>
      </c>
      <c r="J4056">
        <v>186.54</v>
      </c>
      <c r="K4056">
        <v>39</v>
      </c>
      <c r="L4056" t="s">
        <v>6</v>
      </c>
      <c r="M4056">
        <v>0</v>
      </c>
      <c r="N4056" t="str">
        <f t="shared" si="189"/>
        <v>40–59</v>
      </c>
      <c r="O4056" t="str">
        <f t="shared" si="190"/>
        <v>Obese</v>
      </c>
    </row>
    <row r="4057" spans="1:15" x14ac:dyDescent="0.3">
      <c r="A4057">
        <v>52439</v>
      </c>
      <c r="B4057" t="s">
        <v>2</v>
      </c>
      <c r="C4057">
        <v>68</v>
      </c>
      <c r="D4057">
        <v>0</v>
      </c>
      <c r="E4057">
        <v>1</v>
      </c>
      <c r="F4057" t="str">
        <f t="shared" si="191"/>
        <v>High Risk</v>
      </c>
      <c r="G4057" t="s">
        <v>3</v>
      </c>
      <c r="H4057" t="s">
        <v>4</v>
      </c>
      <c r="I4057" t="s">
        <v>9</v>
      </c>
      <c r="J4057">
        <v>96.14</v>
      </c>
      <c r="K4057">
        <v>26.7</v>
      </c>
      <c r="L4057" t="s">
        <v>11</v>
      </c>
      <c r="M4057">
        <v>0</v>
      </c>
      <c r="N4057" t="str">
        <f t="shared" si="189"/>
        <v>60+</v>
      </c>
      <c r="O4057" t="str">
        <f t="shared" si="190"/>
        <v>Overweight</v>
      </c>
    </row>
    <row r="4058" spans="1:15" x14ac:dyDescent="0.3">
      <c r="A4058">
        <v>65379</v>
      </c>
      <c r="B4058" t="s">
        <v>2</v>
      </c>
      <c r="C4058">
        <v>9</v>
      </c>
      <c r="D4058">
        <v>0</v>
      </c>
      <c r="E4058">
        <v>0</v>
      </c>
      <c r="F4058" t="str">
        <f t="shared" si="191"/>
        <v>Lower Risk</v>
      </c>
      <c r="G4058" t="s">
        <v>13</v>
      </c>
      <c r="H4058" t="s">
        <v>16</v>
      </c>
      <c r="I4058" t="s">
        <v>5</v>
      </c>
      <c r="J4058">
        <v>69.52</v>
      </c>
      <c r="K4058">
        <v>24.2</v>
      </c>
      <c r="L4058" t="s">
        <v>14</v>
      </c>
      <c r="M4058">
        <v>0</v>
      </c>
      <c r="N4058" t="str">
        <f t="shared" si="189"/>
        <v>Under 40</v>
      </c>
      <c r="O4058" t="str">
        <f t="shared" si="190"/>
        <v>Normal</v>
      </c>
    </row>
    <row r="4059" spans="1:15" x14ac:dyDescent="0.3">
      <c r="A4059">
        <v>38605</v>
      </c>
      <c r="B4059" t="s">
        <v>7</v>
      </c>
      <c r="C4059">
        <v>36</v>
      </c>
      <c r="D4059">
        <v>0</v>
      </c>
      <c r="E4059">
        <v>0</v>
      </c>
      <c r="F4059" t="str">
        <f t="shared" si="191"/>
        <v>Lower Risk</v>
      </c>
      <c r="G4059" t="s">
        <v>3</v>
      </c>
      <c r="H4059" t="s">
        <v>4</v>
      </c>
      <c r="I4059" t="s">
        <v>9</v>
      </c>
      <c r="J4059">
        <v>101.93</v>
      </c>
      <c r="K4059">
        <v>22.8</v>
      </c>
      <c r="L4059" t="s">
        <v>12</v>
      </c>
      <c r="M4059">
        <v>0</v>
      </c>
      <c r="N4059" t="str">
        <f t="shared" si="189"/>
        <v>Under 40</v>
      </c>
      <c r="O4059" t="str">
        <f t="shared" si="190"/>
        <v>Normal</v>
      </c>
    </row>
    <row r="4060" spans="1:15" x14ac:dyDescent="0.3">
      <c r="A4060">
        <v>35772</v>
      </c>
      <c r="B4060" t="s">
        <v>2</v>
      </c>
      <c r="C4060">
        <v>17</v>
      </c>
      <c r="D4060">
        <v>0</v>
      </c>
      <c r="E4060">
        <v>0</v>
      </c>
      <c r="F4060" t="str">
        <f t="shared" si="191"/>
        <v>Lower Risk</v>
      </c>
      <c r="G4060" t="s">
        <v>13</v>
      </c>
      <c r="H4060" t="s">
        <v>4</v>
      </c>
      <c r="I4060" t="s">
        <v>5</v>
      </c>
      <c r="J4060">
        <v>71.58</v>
      </c>
      <c r="K4060">
        <v>25.6</v>
      </c>
      <c r="L4060" t="s">
        <v>14</v>
      </c>
      <c r="M4060">
        <v>0</v>
      </c>
      <c r="N4060" t="str">
        <f t="shared" si="189"/>
        <v>Under 40</v>
      </c>
      <c r="O4060" t="str">
        <f t="shared" si="190"/>
        <v>Overweight</v>
      </c>
    </row>
    <row r="4061" spans="1:15" x14ac:dyDescent="0.3">
      <c r="A4061">
        <v>38014</v>
      </c>
      <c r="B4061" t="s">
        <v>2</v>
      </c>
      <c r="C4061">
        <v>24</v>
      </c>
      <c r="D4061">
        <v>0</v>
      </c>
      <c r="E4061">
        <v>0</v>
      </c>
      <c r="F4061" t="str">
        <f t="shared" si="191"/>
        <v>Lower Risk</v>
      </c>
      <c r="G4061" t="s">
        <v>3</v>
      </c>
      <c r="H4061" t="s">
        <v>4</v>
      </c>
      <c r="I4061" t="s">
        <v>5</v>
      </c>
      <c r="J4061">
        <v>83.1</v>
      </c>
      <c r="K4061">
        <v>21.9</v>
      </c>
      <c r="L4061" t="s">
        <v>12</v>
      </c>
      <c r="M4061">
        <v>0</v>
      </c>
      <c r="N4061" t="str">
        <f t="shared" si="189"/>
        <v>Under 40</v>
      </c>
      <c r="O4061" t="str">
        <f t="shared" si="190"/>
        <v>Normal</v>
      </c>
    </row>
    <row r="4062" spans="1:15" x14ac:dyDescent="0.3">
      <c r="A4062">
        <v>68330</v>
      </c>
      <c r="B4062" t="s">
        <v>7</v>
      </c>
      <c r="C4062">
        <v>69</v>
      </c>
      <c r="D4062">
        <v>0</v>
      </c>
      <c r="E4062">
        <v>0</v>
      </c>
      <c r="F4062" t="str">
        <f t="shared" si="191"/>
        <v>Moderate Risk</v>
      </c>
      <c r="G4062" t="s">
        <v>3</v>
      </c>
      <c r="H4062" t="s">
        <v>8</v>
      </c>
      <c r="I4062" t="s">
        <v>9</v>
      </c>
      <c r="J4062">
        <v>110.96</v>
      </c>
      <c r="K4062">
        <v>25.9</v>
      </c>
      <c r="L4062" t="s">
        <v>11</v>
      </c>
      <c r="M4062">
        <v>0</v>
      </c>
      <c r="N4062" t="str">
        <f t="shared" si="189"/>
        <v>60+</v>
      </c>
      <c r="O4062" t="str">
        <f t="shared" si="190"/>
        <v>Overweight</v>
      </c>
    </row>
    <row r="4063" spans="1:15" x14ac:dyDescent="0.3">
      <c r="A4063">
        <v>47271</v>
      </c>
      <c r="B4063" t="s">
        <v>2</v>
      </c>
      <c r="C4063">
        <v>38</v>
      </c>
      <c r="D4063">
        <v>0</v>
      </c>
      <c r="E4063">
        <v>0</v>
      </c>
      <c r="F4063" t="str">
        <f t="shared" si="191"/>
        <v>Lower Risk</v>
      </c>
      <c r="G4063" t="s">
        <v>3</v>
      </c>
      <c r="H4063" t="s">
        <v>15</v>
      </c>
      <c r="I4063" t="s">
        <v>5</v>
      </c>
      <c r="J4063">
        <v>122.83</v>
      </c>
      <c r="K4063">
        <v>30.6</v>
      </c>
      <c r="L4063" t="s">
        <v>14</v>
      </c>
      <c r="M4063">
        <v>0</v>
      </c>
      <c r="N4063" t="str">
        <f t="shared" si="189"/>
        <v>Under 40</v>
      </c>
      <c r="O4063" t="str">
        <f t="shared" si="190"/>
        <v>Obese</v>
      </c>
    </row>
    <row r="4064" spans="1:15" x14ac:dyDescent="0.3">
      <c r="A4064">
        <v>26330</v>
      </c>
      <c r="B4064" t="s">
        <v>7</v>
      </c>
      <c r="C4064">
        <v>69</v>
      </c>
      <c r="D4064">
        <v>0</v>
      </c>
      <c r="E4064">
        <v>0</v>
      </c>
      <c r="F4064" t="str">
        <f t="shared" si="191"/>
        <v>Moderate Risk</v>
      </c>
      <c r="G4064" t="s">
        <v>3</v>
      </c>
      <c r="H4064" t="s">
        <v>4</v>
      </c>
      <c r="I4064" t="s">
        <v>5</v>
      </c>
      <c r="J4064">
        <v>91.65</v>
      </c>
      <c r="K4064">
        <v>25.7</v>
      </c>
      <c r="L4064" t="s">
        <v>6</v>
      </c>
      <c r="M4064">
        <v>0</v>
      </c>
      <c r="N4064" t="str">
        <f t="shared" si="189"/>
        <v>60+</v>
      </c>
      <c r="O4064" t="str">
        <f t="shared" si="190"/>
        <v>Overweight</v>
      </c>
    </row>
    <row r="4065" spans="1:15" x14ac:dyDescent="0.3">
      <c r="A4065">
        <v>24022</v>
      </c>
      <c r="B4065" t="s">
        <v>7</v>
      </c>
      <c r="C4065">
        <v>32</v>
      </c>
      <c r="D4065">
        <v>0</v>
      </c>
      <c r="E4065">
        <v>0</v>
      </c>
      <c r="F4065" t="str">
        <f t="shared" si="191"/>
        <v>Lower Risk</v>
      </c>
      <c r="G4065" t="s">
        <v>13</v>
      </c>
      <c r="H4065" t="s">
        <v>4</v>
      </c>
      <c r="I4065" t="s">
        <v>5</v>
      </c>
      <c r="J4065">
        <v>84.1</v>
      </c>
      <c r="K4065">
        <v>33.299999999999997</v>
      </c>
      <c r="L4065" t="s">
        <v>14</v>
      </c>
      <c r="M4065">
        <v>0</v>
      </c>
      <c r="N4065" t="str">
        <f t="shared" si="189"/>
        <v>Under 40</v>
      </c>
      <c r="O4065" t="str">
        <f t="shared" si="190"/>
        <v>Obese</v>
      </c>
    </row>
    <row r="4066" spans="1:15" x14ac:dyDescent="0.3">
      <c r="A4066">
        <v>45622</v>
      </c>
      <c r="B4066" t="s">
        <v>7</v>
      </c>
      <c r="C4066">
        <v>25</v>
      </c>
      <c r="D4066">
        <v>0</v>
      </c>
      <c r="E4066">
        <v>0</v>
      </c>
      <c r="F4066" t="str">
        <f t="shared" si="191"/>
        <v>Lower Risk</v>
      </c>
      <c r="G4066" t="s">
        <v>13</v>
      </c>
      <c r="H4066" t="s">
        <v>4</v>
      </c>
      <c r="I4066" t="s">
        <v>9</v>
      </c>
      <c r="J4066">
        <v>118.85</v>
      </c>
      <c r="K4066">
        <v>23.8</v>
      </c>
      <c r="L4066" t="s">
        <v>12</v>
      </c>
      <c r="M4066">
        <v>0</v>
      </c>
      <c r="N4066" t="str">
        <f t="shared" si="189"/>
        <v>Under 40</v>
      </c>
      <c r="O4066" t="str">
        <f t="shared" si="190"/>
        <v>Normal</v>
      </c>
    </row>
    <row r="4067" spans="1:15" x14ac:dyDescent="0.3">
      <c r="A4067">
        <v>60732</v>
      </c>
      <c r="B4067" t="s">
        <v>2</v>
      </c>
      <c r="C4067">
        <v>2</v>
      </c>
      <c r="D4067">
        <v>0</v>
      </c>
      <c r="E4067">
        <v>0</v>
      </c>
      <c r="F4067" t="str">
        <f t="shared" si="191"/>
        <v>Lower Risk</v>
      </c>
      <c r="G4067" t="s">
        <v>13</v>
      </c>
      <c r="H4067" t="s">
        <v>16</v>
      </c>
      <c r="I4067" t="s">
        <v>5</v>
      </c>
      <c r="J4067">
        <v>89.32</v>
      </c>
      <c r="K4067">
        <v>17.2</v>
      </c>
      <c r="L4067" t="s">
        <v>14</v>
      </c>
      <c r="M4067">
        <v>0</v>
      </c>
      <c r="N4067" t="str">
        <f t="shared" si="189"/>
        <v>Under 40</v>
      </c>
      <c r="O4067" t="str">
        <f t="shared" si="190"/>
        <v>Underweight</v>
      </c>
    </row>
    <row r="4068" spans="1:15" x14ac:dyDescent="0.3">
      <c r="A4068">
        <v>53694</v>
      </c>
      <c r="B4068" t="s">
        <v>2</v>
      </c>
      <c r="C4068">
        <v>79</v>
      </c>
      <c r="D4068">
        <v>0</v>
      </c>
      <c r="E4068">
        <v>0</v>
      </c>
      <c r="F4068" t="str">
        <f t="shared" si="191"/>
        <v>Moderate Risk</v>
      </c>
      <c r="G4068" t="s">
        <v>13</v>
      </c>
      <c r="H4068" t="s">
        <v>8</v>
      </c>
      <c r="I4068" t="s">
        <v>5</v>
      </c>
      <c r="J4068">
        <v>128.72</v>
      </c>
      <c r="K4068">
        <v>31</v>
      </c>
      <c r="L4068" t="s">
        <v>14</v>
      </c>
      <c r="M4068">
        <v>0</v>
      </c>
      <c r="N4068" t="str">
        <f t="shared" si="189"/>
        <v>60+</v>
      </c>
      <c r="O4068" t="str">
        <f t="shared" si="190"/>
        <v>Obese</v>
      </c>
    </row>
    <row r="4069" spans="1:15" x14ac:dyDescent="0.3">
      <c r="A4069">
        <v>11280</v>
      </c>
      <c r="B4069" t="s">
        <v>7</v>
      </c>
      <c r="C4069">
        <v>28</v>
      </c>
      <c r="D4069">
        <v>0</v>
      </c>
      <c r="E4069">
        <v>0</v>
      </c>
      <c r="F4069" t="str">
        <f t="shared" si="191"/>
        <v>Lower Risk</v>
      </c>
      <c r="G4069" t="s">
        <v>3</v>
      </c>
      <c r="H4069" t="s">
        <v>4</v>
      </c>
      <c r="I4069" t="s">
        <v>5</v>
      </c>
      <c r="J4069">
        <v>98.05</v>
      </c>
      <c r="K4069">
        <v>24.7</v>
      </c>
      <c r="L4069" t="s">
        <v>11</v>
      </c>
      <c r="M4069">
        <v>0</v>
      </c>
      <c r="N4069" t="str">
        <f t="shared" si="189"/>
        <v>Under 40</v>
      </c>
      <c r="O4069" t="str">
        <f t="shared" si="190"/>
        <v>Normal</v>
      </c>
    </row>
    <row r="4070" spans="1:15" x14ac:dyDescent="0.3">
      <c r="A4070">
        <v>28734</v>
      </c>
      <c r="B4070" t="s">
        <v>7</v>
      </c>
      <c r="C4070">
        <v>16</v>
      </c>
      <c r="D4070">
        <v>0</v>
      </c>
      <c r="E4070">
        <v>0</v>
      </c>
      <c r="F4070" t="str">
        <f t="shared" si="191"/>
        <v>Lower Risk</v>
      </c>
      <c r="G4070" t="s">
        <v>13</v>
      </c>
      <c r="H4070" t="s">
        <v>17</v>
      </c>
      <c r="I4070" t="s">
        <v>5</v>
      </c>
      <c r="J4070">
        <v>102.1</v>
      </c>
      <c r="K4070">
        <v>27.1</v>
      </c>
      <c r="L4070" t="s">
        <v>11</v>
      </c>
      <c r="M4070">
        <v>0</v>
      </c>
      <c r="N4070" t="str">
        <f t="shared" si="189"/>
        <v>Under 40</v>
      </c>
      <c r="O4070" t="str">
        <f t="shared" si="190"/>
        <v>Overweight</v>
      </c>
    </row>
    <row r="4071" spans="1:15" x14ac:dyDescent="0.3">
      <c r="A4071">
        <v>12693</v>
      </c>
      <c r="B4071" t="s">
        <v>2</v>
      </c>
      <c r="C4071">
        <v>31</v>
      </c>
      <c r="D4071">
        <v>0</v>
      </c>
      <c r="E4071">
        <v>0</v>
      </c>
      <c r="F4071" t="str">
        <f t="shared" si="191"/>
        <v>Lower Risk</v>
      </c>
      <c r="G4071" t="s">
        <v>3</v>
      </c>
      <c r="H4071" t="s">
        <v>4</v>
      </c>
      <c r="I4071" t="s">
        <v>5</v>
      </c>
      <c r="J4071">
        <v>108.62</v>
      </c>
      <c r="K4071" t="s">
        <v>10</v>
      </c>
      <c r="L4071" t="s">
        <v>12</v>
      </c>
      <c r="M4071">
        <v>0</v>
      </c>
      <c r="N4071" t="str">
        <f t="shared" si="189"/>
        <v>Under 40</v>
      </c>
      <c r="O4071" t="str">
        <f t="shared" si="190"/>
        <v>Unknown</v>
      </c>
    </row>
    <row r="4072" spans="1:15" x14ac:dyDescent="0.3">
      <c r="A4072">
        <v>17683</v>
      </c>
      <c r="B4072" t="s">
        <v>2</v>
      </c>
      <c r="C4072">
        <v>66</v>
      </c>
      <c r="D4072">
        <v>0</v>
      </c>
      <c r="E4072">
        <v>0</v>
      </c>
      <c r="F4072" t="str">
        <f t="shared" si="191"/>
        <v>Moderate Risk</v>
      </c>
      <c r="G4072" t="s">
        <v>3</v>
      </c>
      <c r="H4072" t="s">
        <v>8</v>
      </c>
      <c r="I4072" t="s">
        <v>5</v>
      </c>
      <c r="J4072">
        <v>96.19</v>
      </c>
      <c r="K4072">
        <v>38.299999999999997</v>
      </c>
      <c r="L4072" t="s">
        <v>12</v>
      </c>
      <c r="M4072">
        <v>0</v>
      </c>
      <c r="N4072" t="str">
        <f t="shared" si="189"/>
        <v>60+</v>
      </c>
      <c r="O4072" t="str">
        <f t="shared" si="190"/>
        <v>Obese</v>
      </c>
    </row>
    <row r="4073" spans="1:15" x14ac:dyDescent="0.3">
      <c r="A4073">
        <v>36155</v>
      </c>
      <c r="B4073" t="s">
        <v>7</v>
      </c>
      <c r="C4073">
        <v>57</v>
      </c>
      <c r="D4073">
        <v>1</v>
      </c>
      <c r="E4073">
        <v>0</v>
      </c>
      <c r="F4073" t="str">
        <f t="shared" si="191"/>
        <v>Lower Risk</v>
      </c>
      <c r="G4073" t="s">
        <v>3</v>
      </c>
      <c r="H4073" t="s">
        <v>4</v>
      </c>
      <c r="I4073" t="s">
        <v>5</v>
      </c>
      <c r="J4073">
        <v>98.07</v>
      </c>
      <c r="K4073">
        <v>50.9</v>
      </c>
      <c r="L4073" t="s">
        <v>6</v>
      </c>
      <c r="M4073">
        <v>0</v>
      </c>
      <c r="N4073" t="str">
        <f t="shared" si="189"/>
        <v>40–59</v>
      </c>
      <c r="O4073" t="str">
        <f t="shared" si="190"/>
        <v>Obese</v>
      </c>
    </row>
    <row r="4074" spans="1:15" x14ac:dyDescent="0.3">
      <c r="A4074">
        <v>31390</v>
      </c>
      <c r="B4074" t="s">
        <v>7</v>
      </c>
      <c r="C4074">
        <v>61</v>
      </c>
      <c r="D4074">
        <v>0</v>
      </c>
      <c r="E4074">
        <v>0</v>
      </c>
      <c r="F4074" t="str">
        <f t="shared" si="191"/>
        <v>Moderate Risk</v>
      </c>
      <c r="G4074" t="s">
        <v>3</v>
      </c>
      <c r="H4074" t="s">
        <v>4</v>
      </c>
      <c r="I4074" t="s">
        <v>9</v>
      </c>
      <c r="J4074">
        <v>71.400000000000006</v>
      </c>
      <c r="K4074">
        <v>29.2</v>
      </c>
      <c r="L4074" t="s">
        <v>6</v>
      </c>
      <c r="M4074">
        <v>0</v>
      </c>
      <c r="N4074" t="str">
        <f t="shared" si="189"/>
        <v>60+</v>
      </c>
      <c r="O4074" t="str">
        <f t="shared" si="190"/>
        <v>Overweight</v>
      </c>
    </row>
    <row r="4075" spans="1:15" x14ac:dyDescent="0.3">
      <c r="A4075">
        <v>10636</v>
      </c>
      <c r="B4075" t="s">
        <v>7</v>
      </c>
      <c r="C4075">
        <v>74</v>
      </c>
      <c r="D4075">
        <v>0</v>
      </c>
      <c r="E4075">
        <v>0</v>
      </c>
      <c r="F4075" t="str">
        <f t="shared" si="191"/>
        <v>Moderate Risk</v>
      </c>
      <c r="G4075" t="s">
        <v>3</v>
      </c>
      <c r="H4075" t="s">
        <v>8</v>
      </c>
      <c r="I4075" t="s">
        <v>9</v>
      </c>
      <c r="J4075">
        <v>82.27</v>
      </c>
      <c r="K4075">
        <v>23.6</v>
      </c>
      <c r="L4075" t="s">
        <v>6</v>
      </c>
      <c r="M4075">
        <v>0</v>
      </c>
      <c r="N4075" t="str">
        <f t="shared" si="189"/>
        <v>60+</v>
      </c>
      <c r="O4075" t="str">
        <f t="shared" si="190"/>
        <v>Normal</v>
      </c>
    </row>
    <row r="4076" spans="1:15" x14ac:dyDescent="0.3">
      <c r="A4076">
        <v>71659</v>
      </c>
      <c r="B4076" t="s">
        <v>7</v>
      </c>
      <c r="C4076">
        <v>70</v>
      </c>
      <c r="D4076">
        <v>0</v>
      </c>
      <c r="E4076">
        <v>0</v>
      </c>
      <c r="F4076" t="str">
        <f t="shared" si="191"/>
        <v>Moderate Risk</v>
      </c>
      <c r="G4076" t="s">
        <v>3</v>
      </c>
      <c r="H4076" t="s">
        <v>15</v>
      </c>
      <c r="I4076" t="s">
        <v>9</v>
      </c>
      <c r="J4076">
        <v>158.33000000000001</v>
      </c>
      <c r="K4076">
        <v>33.5</v>
      </c>
      <c r="L4076" t="s">
        <v>11</v>
      </c>
      <c r="M4076">
        <v>0</v>
      </c>
      <c r="N4076" t="str">
        <f t="shared" si="189"/>
        <v>60+</v>
      </c>
      <c r="O4076" t="str">
        <f t="shared" si="190"/>
        <v>Obese</v>
      </c>
    </row>
    <row r="4077" spans="1:15" x14ac:dyDescent="0.3">
      <c r="A4077">
        <v>52305</v>
      </c>
      <c r="B4077" t="s">
        <v>7</v>
      </c>
      <c r="C4077">
        <v>8</v>
      </c>
      <c r="D4077">
        <v>0</v>
      </c>
      <c r="E4077">
        <v>0</v>
      </c>
      <c r="F4077" t="str">
        <f t="shared" si="191"/>
        <v>Lower Risk</v>
      </c>
      <c r="G4077" t="s">
        <v>13</v>
      </c>
      <c r="H4077" t="s">
        <v>16</v>
      </c>
      <c r="I4077" t="s">
        <v>9</v>
      </c>
      <c r="J4077">
        <v>102.5</v>
      </c>
      <c r="K4077">
        <v>16.3</v>
      </c>
      <c r="L4077" t="s">
        <v>14</v>
      </c>
      <c r="M4077">
        <v>0</v>
      </c>
      <c r="N4077" t="str">
        <f t="shared" si="189"/>
        <v>Under 40</v>
      </c>
      <c r="O4077" t="str">
        <f t="shared" si="190"/>
        <v>Underweight</v>
      </c>
    </row>
    <row r="4078" spans="1:15" x14ac:dyDescent="0.3">
      <c r="A4078">
        <v>9602</v>
      </c>
      <c r="B4078" t="s">
        <v>7</v>
      </c>
      <c r="C4078">
        <v>49</v>
      </c>
      <c r="D4078">
        <v>0</v>
      </c>
      <c r="E4078">
        <v>0</v>
      </c>
      <c r="F4078" t="str">
        <f t="shared" si="191"/>
        <v>Lower Risk</v>
      </c>
      <c r="G4078" t="s">
        <v>3</v>
      </c>
      <c r="H4078" t="s">
        <v>4</v>
      </c>
      <c r="I4078" t="s">
        <v>5</v>
      </c>
      <c r="J4078">
        <v>72.180000000000007</v>
      </c>
      <c r="K4078">
        <v>30.8</v>
      </c>
      <c r="L4078" t="s">
        <v>14</v>
      </c>
      <c r="M4078">
        <v>0</v>
      </c>
      <c r="N4078" t="str">
        <f t="shared" si="189"/>
        <v>40–59</v>
      </c>
      <c r="O4078" t="str">
        <f t="shared" si="190"/>
        <v>Obese</v>
      </c>
    </row>
    <row r="4079" spans="1:15" x14ac:dyDescent="0.3">
      <c r="A4079">
        <v>68407</v>
      </c>
      <c r="B4079" t="s">
        <v>2</v>
      </c>
      <c r="C4079">
        <v>30</v>
      </c>
      <c r="D4079">
        <v>0</v>
      </c>
      <c r="E4079">
        <v>0</v>
      </c>
      <c r="F4079" t="str">
        <f t="shared" si="191"/>
        <v>Lower Risk</v>
      </c>
      <c r="G4079" t="s">
        <v>3</v>
      </c>
      <c r="H4079" t="s">
        <v>15</v>
      </c>
      <c r="I4079" t="s">
        <v>5</v>
      </c>
      <c r="J4079">
        <v>95.94</v>
      </c>
      <c r="K4079">
        <v>31.1</v>
      </c>
      <c r="L4079" t="s">
        <v>11</v>
      </c>
      <c r="M4079">
        <v>0</v>
      </c>
      <c r="N4079" t="str">
        <f t="shared" si="189"/>
        <v>Under 40</v>
      </c>
      <c r="O4079" t="str">
        <f t="shared" si="190"/>
        <v>Obese</v>
      </c>
    </row>
    <row r="4080" spans="1:15" x14ac:dyDescent="0.3">
      <c r="A4080">
        <v>72011</v>
      </c>
      <c r="B4080" t="s">
        <v>2</v>
      </c>
      <c r="C4080">
        <v>51</v>
      </c>
      <c r="D4080">
        <v>0</v>
      </c>
      <c r="E4080">
        <v>0</v>
      </c>
      <c r="F4080" t="str">
        <f t="shared" si="191"/>
        <v>Lower Risk</v>
      </c>
      <c r="G4080" t="s">
        <v>13</v>
      </c>
      <c r="H4080" t="s">
        <v>8</v>
      </c>
      <c r="I4080" t="s">
        <v>9</v>
      </c>
      <c r="J4080">
        <v>87.15</v>
      </c>
      <c r="K4080">
        <v>26.4</v>
      </c>
      <c r="L4080" t="s">
        <v>6</v>
      </c>
      <c r="M4080">
        <v>0</v>
      </c>
      <c r="N4080" t="str">
        <f t="shared" si="189"/>
        <v>40–59</v>
      </c>
      <c r="O4080" t="str">
        <f t="shared" si="190"/>
        <v>Overweight</v>
      </c>
    </row>
    <row r="4081" spans="1:15" x14ac:dyDescent="0.3">
      <c r="A4081">
        <v>40568</v>
      </c>
      <c r="B4081" t="s">
        <v>7</v>
      </c>
      <c r="C4081">
        <v>10</v>
      </c>
      <c r="D4081">
        <v>0</v>
      </c>
      <c r="E4081">
        <v>0</v>
      </c>
      <c r="F4081" t="str">
        <f t="shared" si="191"/>
        <v>Lower Risk</v>
      </c>
      <c r="G4081" t="s">
        <v>13</v>
      </c>
      <c r="H4081" t="s">
        <v>16</v>
      </c>
      <c r="I4081" t="s">
        <v>5</v>
      </c>
      <c r="J4081">
        <v>82.59</v>
      </c>
      <c r="K4081">
        <v>18.600000000000001</v>
      </c>
      <c r="L4081" t="s">
        <v>6</v>
      </c>
      <c r="M4081">
        <v>0</v>
      </c>
      <c r="N4081" t="str">
        <f t="shared" si="189"/>
        <v>Under 40</v>
      </c>
      <c r="O4081" t="str">
        <f t="shared" si="190"/>
        <v>Normal</v>
      </c>
    </row>
    <row r="4082" spans="1:15" x14ac:dyDescent="0.3">
      <c r="A4082">
        <v>50206</v>
      </c>
      <c r="B4082" t="s">
        <v>7</v>
      </c>
      <c r="C4082">
        <v>34</v>
      </c>
      <c r="D4082">
        <v>0</v>
      </c>
      <c r="E4082">
        <v>0</v>
      </c>
      <c r="F4082" t="str">
        <f t="shared" si="191"/>
        <v>Lower Risk</v>
      </c>
      <c r="G4082" t="s">
        <v>3</v>
      </c>
      <c r="H4082" t="s">
        <v>4</v>
      </c>
      <c r="I4082" t="s">
        <v>9</v>
      </c>
      <c r="J4082">
        <v>89.31</v>
      </c>
      <c r="K4082">
        <v>37.299999999999997</v>
      </c>
      <c r="L4082" t="s">
        <v>6</v>
      </c>
      <c r="M4082">
        <v>0</v>
      </c>
      <c r="N4082" t="str">
        <f t="shared" si="189"/>
        <v>Under 40</v>
      </c>
      <c r="O4082" t="str">
        <f t="shared" si="190"/>
        <v>Obese</v>
      </c>
    </row>
    <row r="4083" spans="1:15" x14ac:dyDescent="0.3">
      <c r="A4083">
        <v>41191</v>
      </c>
      <c r="B4083" t="s">
        <v>2</v>
      </c>
      <c r="C4083">
        <v>40</v>
      </c>
      <c r="D4083">
        <v>0</v>
      </c>
      <c r="E4083">
        <v>0</v>
      </c>
      <c r="F4083" t="str">
        <f t="shared" si="191"/>
        <v>Lower Risk</v>
      </c>
      <c r="G4083" t="s">
        <v>3</v>
      </c>
      <c r="H4083" t="s">
        <v>4</v>
      </c>
      <c r="I4083" t="s">
        <v>9</v>
      </c>
      <c r="J4083">
        <v>64.84</v>
      </c>
      <c r="K4083">
        <v>26.6</v>
      </c>
      <c r="L4083" t="s">
        <v>11</v>
      </c>
      <c r="M4083">
        <v>0</v>
      </c>
      <c r="N4083" t="str">
        <f t="shared" si="189"/>
        <v>40–59</v>
      </c>
      <c r="O4083" t="str">
        <f t="shared" si="190"/>
        <v>Overweight</v>
      </c>
    </row>
    <row r="4084" spans="1:15" x14ac:dyDescent="0.3">
      <c r="A4084">
        <v>7129</v>
      </c>
      <c r="B4084" t="s">
        <v>2</v>
      </c>
      <c r="C4084">
        <v>3</v>
      </c>
      <c r="D4084">
        <v>0</v>
      </c>
      <c r="E4084">
        <v>0</v>
      </c>
      <c r="F4084" t="str">
        <f t="shared" si="191"/>
        <v>Lower Risk</v>
      </c>
      <c r="G4084" t="s">
        <v>13</v>
      </c>
      <c r="H4084" t="s">
        <v>16</v>
      </c>
      <c r="I4084" t="s">
        <v>5</v>
      </c>
      <c r="J4084">
        <v>107.52</v>
      </c>
      <c r="K4084">
        <v>17.600000000000001</v>
      </c>
      <c r="L4084" t="s">
        <v>14</v>
      </c>
      <c r="M4084">
        <v>0</v>
      </c>
      <c r="N4084" t="str">
        <f t="shared" si="189"/>
        <v>Under 40</v>
      </c>
      <c r="O4084" t="str">
        <f t="shared" si="190"/>
        <v>Underweight</v>
      </c>
    </row>
    <row r="4085" spans="1:15" x14ac:dyDescent="0.3">
      <c r="A4085">
        <v>45485</v>
      </c>
      <c r="B4085" t="s">
        <v>7</v>
      </c>
      <c r="C4085">
        <v>45</v>
      </c>
      <c r="D4085">
        <v>0</v>
      </c>
      <c r="E4085">
        <v>0</v>
      </c>
      <c r="F4085" t="str">
        <f t="shared" si="191"/>
        <v>Lower Risk</v>
      </c>
      <c r="G4085" t="s">
        <v>3</v>
      </c>
      <c r="H4085" t="s">
        <v>8</v>
      </c>
      <c r="I4085" t="s">
        <v>5</v>
      </c>
      <c r="J4085">
        <v>92.76</v>
      </c>
      <c r="K4085">
        <v>22.3</v>
      </c>
      <c r="L4085" t="s">
        <v>14</v>
      </c>
      <c r="M4085">
        <v>0</v>
      </c>
      <c r="N4085" t="str">
        <f t="shared" si="189"/>
        <v>40–59</v>
      </c>
      <c r="O4085" t="str">
        <f t="shared" si="190"/>
        <v>Normal</v>
      </c>
    </row>
    <row r="4086" spans="1:15" x14ac:dyDescent="0.3">
      <c r="A4086">
        <v>32023</v>
      </c>
      <c r="B4086" t="s">
        <v>2</v>
      </c>
      <c r="C4086">
        <v>4</v>
      </c>
      <c r="D4086">
        <v>0</v>
      </c>
      <c r="E4086">
        <v>0</v>
      </c>
      <c r="F4086" t="str">
        <f t="shared" si="191"/>
        <v>Lower Risk</v>
      </c>
      <c r="G4086" t="s">
        <v>13</v>
      </c>
      <c r="H4086" t="s">
        <v>16</v>
      </c>
      <c r="I4086" t="s">
        <v>5</v>
      </c>
      <c r="J4086">
        <v>79.16</v>
      </c>
      <c r="K4086">
        <v>20.2</v>
      </c>
      <c r="L4086" t="s">
        <v>14</v>
      </c>
      <c r="M4086">
        <v>0</v>
      </c>
      <c r="N4086" t="str">
        <f t="shared" si="189"/>
        <v>Under 40</v>
      </c>
      <c r="O4086" t="str">
        <f t="shared" si="190"/>
        <v>Normal</v>
      </c>
    </row>
    <row r="4087" spans="1:15" x14ac:dyDescent="0.3">
      <c r="A4087">
        <v>33064</v>
      </c>
      <c r="B4087" t="s">
        <v>2</v>
      </c>
      <c r="C4087">
        <v>52</v>
      </c>
      <c r="D4087">
        <v>0</v>
      </c>
      <c r="E4087">
        <v>1</v>
      </c>
      <c r="F4087" t="str">
        <f t="shared" si="191"/>
        <v>Lower Risk</v>
      </c>
      <c r="G4087" t="s">
        <v>3</v>
      </c>
      <c r="H4087" t="s">
        <v>4</v>
      </c>
      <c r="I4087" t="s">
        <v>5</v>
      </c>
      <c r="J4087">
        <v>87</v>
      </c>
      <c r="K4087">
        <v>30.9</v>
      </c>
      <c r="L4087" t="s">
        <v>11</v>
      </c>
      <c r="M4087">
        <v>0</v>
      </c>
      <c r="N4087" t="str">
        <f t="shared" si="189"/>
        <v>40–59</v>
      </c>
      <c r="O4087" t="str">
        <f t="shared" si="190"/>
        <v>Obese</v>
      </c>
    </row>
    <row r="4088" spans="1:15" x14ac:dyDescent="0.3">
      <c r="A4088">
        <v>60896</v>
      </c>
      <c r="B4088" t="s">
        <v>2</v>
      </c>
      <c r="C4088">
        <v>68</v>
      </c>
      <c r="D4088">
        <v>0</v>
      </c>
      <c r="E4088">
        <v>1</v>
      </c>
      <c r="F4088" t="str">
        <f t="shared" si="191"/>
        <v>High Risk</v>
      </c>
      <c r="G4088" t="s">
        <v>3</v>
      </c>
      <c r="H4088" t="s">
        <v>4</v>
      </c>
      <c r="I4088" t="s">
        <v>9</v>
      </c>
      <c r="J4088">
        <v>145.25</v>
      </c>
      <c r="K4088">
        <v>31.5</v>
      </c>
      <c r="L4088" t="s">
        <v>11</v>
      </c>
      <c r="M4088">
        <v>0</v>
      </c>
      <c r="N4088" t="str">
        <f t="shared" si="189"/>
        <v>60+</v>
      </c>
      <c r="O4088" t="str">
        <f t="shared" si="190"/>
        <v>Obese</v>
      </c>
    </row>
    <row r="4089" spans="1:15" x14ac:dyDescent="0.3">
      <c r="A4089">
        <v>2109</v>
      </c>
      <c r="B4089" t="s">
        <v>7</v>
      </c>
      <c r="C4089">
        <v>8</v>
      </c>
      <c r="D4089">
        <v>0</v>
      </c>
      <c r="E4089">
        <v>0</v>
      </c>
      <c r="F4089" t="str">
        <f t="shared" si="191"/>
        <v>Lower Risk</v>
      </c>
      <c r="G4089" t="s">
        <v>13</v>
      </c>
      <c r="H4089" t="s">
        <v>16</v>
      </c>
      <c r="I4089" t="s">
        <v>5</v>
      </c>
      <c r="J4089">
        <v>125.14</v>
      </c>
      <c r="K4089">
        <v>29.7</v>
      </c>
      <c r="L4089" t="s">
        <v>14</v>
      </c>
      <c r="M4089">
        <v>0</v>
      </c>
      <c r="N4089" t="str">
        <f t="shared" si="189"/>
        <v>Under 40</v>
      </c>
      <c r="O4089" t="str">
        <f t="shared" si="190"/>
        <v>Overweight</v>
      </c>
    </row>
    <row r="4090" spans="1:15" x14ac:dyDescent="0.3">
      <c r="A4090">
        <v>27705</v>
      </c>
      <c r="B4090" t="s">
        <v>7</v>
      </c>
      <c r="C4090">
        <v>82</v>
      </c>
      <c r="D4090">
        <v>0</v>
      </c>
      <c r="E4090">
        <v>1</v>
      </c>
      <c r="F4090" t="str">
        <f t="shared" si="191"/>
        <v>High Risk</v>
      </c>
      <c r="G4090" t="s">
        <v>3</v>
      </c>
      <c r="H4090" t="s">
        <v>8</v>
      </c>
      <c r="I4090" t="s">
        <v>9</v>
      </c>
      <c r="J4090">
        <v>88.6</v>
      </c>
      <c r="K4090">
        <v>32.5</v>
      </c>
      <c r="L4090" t="s">
        <v>14</v>
      </c>
      <c r="M4090">
        <v>0</v>
      </c>
      <c r="N4090" t="str">
        <f t="shared" si="189"/>
        <v>60+</v>
      </c>
      <c r="O4090" t="str">
        <f t="shared" si="190"/>
        <v>Obese</v>
      </c>
    </row>
    <row r="4091" spans="1:15" x14ac:dyDescent="0.3">
      <c r="A4091">
        <v>36850</v>
      </c>
      <c r="B4091" t="s">
        <v>2</v>
      </c>
      <c r="C4091">
        <v>36</v>
      </c>
      <c r="D4091">
        <v>0</v>
      </c>
      <c r="E4091">
        <v>0</v>
      </c>
      <c r="F4091" t="str">
        <f t="shared" si="191"/>
        <v>Lower Risk</v>
      </c>
      <c r="G4091" t="s">
        <v>3</v>
      </c>
      <c r="H4091" t="s">
        <v>15</v>
      </c>
      <c r="I4091" t="s">
        <v>5</v>
      </c>
      <c r="J4091">
        <v>57.59</v>
      </c>
      <c r="K4091">
        <v>32.799999999999997</v>
      </c>
      <c r="L4091" t="s">
        <v>14</v>
      </c>
      <c r="M4091">
        <v>0</v>
      </c>
      <c r="N4091" t="str">
        <f t="shared" si="189"/>
        <v>Under 40</v>
      </c>
      <c r="O4091" t="str">
        <f t="shared" si="190"/>
        <v>Obese</v>
      </c>
    </row>
    <row r="4092" spans="1:15" x14ac:dyDescent="0.3">
      <c r="A4092">
        <v>52500</v>
      </c>
      <c r="B4092" t="s">
        <v>7</v>
      </c>
      <c r="C4092">
        <v>42</v>
      </c>
      <c r="D4092">
        <v>0</v>
      </c>
      <c r="E4092">
        <v>0</v>
      </c>
      <c r="F4092" t="str">
        <f t="shared" si="191"/>
        <v>Lower Risk</v>
      </c>
      <c r="G4092" t="s">
        <v>3</v>
      </c>
      <c r="H4092" t="s">
        <v>15</v>
      </c>
      <c r="I4092" t="s">
        <v>5</v>
      </c>
      <c r="J4092">
        <v>59.43</v>
      </c>
      <c r="K4092">
        <v>25.4</v>
      </c>
      <c r="L4092" t="s">
        <v>11</v>
      </c>
      <c r="M4092">
        <v>0</v>
      </c>
      <c r="N4092" t="str">
        <f t="shared" si="189"/>
        <v>40–59</v>
      </c>
      <c r="O4092" t="str">
        <f t="shared" si="190"/>
        <v>Overweight</v>
      </c>
    </row>
    <row r="4093" spans="1:15" x14ac:dyDescent="0.3">
      <c r="A4093">
        <v>43698</v>
      </c>
      <c r="B4093" t="s">
        <v>7</v>
      </c>
      <c r="C4093">
        <v>27</v>
      </c>
      <c r="D4093">
        <v>0</v>
      </c>
      <c r="E4093">
        <v>0</v>
      </c>
      <c r="F4093" t="str">
        <f t="shared" si="191"/>
        <v>Lower Risk</v>
      </c>
      <c r="G4093" t="s">
        <v>13</v>
      </c>
      <c r="H4093" t="s">
        <v>15</v>
      </c>
      <c r="I4093" t="s">
        <v>9</v>
      </c>
      <c r="J4093">
        <v>65.430000000000007</v>
      </c>
      <c r="K4093">
        <v>27.2</v>
      </c>
      <c r="L4093" t="s">
        <v>14</v>
      </c>
      <c r="M4093">
        <v>0</v>
      </c>
      <c r="N4093" t="str">
        <f t="shared" si="189"/>
        <v>Under 40</v>
      </c>
      <c r="O4093" t="str">
        <f t="shared" si="190"/>
        <v>Overweight</v>
      </c>
    </row>
    <row r="4094" spans="1:15" x14ac:dyDescent="0.3">
      <c r="A4094">
        <v>49901</v>
      </c>
      <c r="B4094" t="s">
        <v>2</v>
      </c>
      <c r="C4094">
        <v>55</v>
      </c>
      <c r="D4094">
        <v>0</v>
      </c>
      <c r="E4094">
        <v>0</v>
      </c>
      <c r="F4094" t="str">
        <f t="shared" si="191"/>
        <v>Lower Risk</v>
      </c>
      <c r="G4094" t="s">
        <v>3</v>
      </c>
      <c r="H4094" t="s">
        <v>15</v>
      </c>
      <c r="I4094" t="s">
        <v>5</v>
      </c>
      <c r="J4094">
        <v>154.03</v>
      </c>
      <c r="K4094">
        <v>31.6</v>
      </c>
      <c r="L4094" t="s">
        <v>12</v>
      </c>
      <c r="M4094">
        <v>0</v>
      </c>
      <c r="N4094" t="str">
        <f t="shared" si="189"/>
        <v>40–59</v>
      </c>
      <c r="O4094" t="str">
        <f t="shared" si="190"/>
        <v>Obese</v>
      </c>
    </row>
    <row r="4095" spans="1:15" x14ac:dyDescent="0.3">
      <c r="A4095">
        <v>69120</v>
      </c>
      <c r="B4095" t="s">
        <v>7</v>
      </c>
      <c r="C4095">
        <v>31</v>
      </c>
      <c r="D4095">
        <v>0</v>
      </c>
      <c r="E4095">
        <v>0</v>
      </c>
      <c r="F4095" t="str">
        <f t="shared" si="191"/>
        <v>Lower Risk</v>
      </c>
      <c r="G4095" t="s">
        <v>3</v>
      </c>
      <c r="H4095" t="s">
        <v>8</v>
      </c>
      <c r="I4095" t="s">
        <v>9</v>
      </c>
      <c r="J4095">
        <v>139.81</v>
      </c>
      <c r="K4095">
        <v>39.6</v>
      </c>
      <c r="L4095" t="s">
        <v>11</v>
      </c>
      <c r="M4095">
        <v>0</v>
      </c>
      <c r="N4095" t="str">
        <f t="shared" si="189"/>
        <v>Under 40</v>
      </c>
      <c r="O4095" t="str">
        <f t="shared" si="190"/>
        <v>Obese</v>
      </c>
    </row>
    <row r="4096" spans="1:15" x14ac:dyDescent="0.3">
      <c r="A4096">
        <v>25510</v>
      </c>
      <c r="B4096" t="s">
        <v>2</v>
      </c>
      <c r="C4096">
        <v>82</v>
      </c>
      <c r="D4096">
        <v>0</v>
      </c>
      <c r="E4096">
        <v>0</v>
      </c>
      <c r="F4096" t="str">
        <f t="shared" si="191"/>
        <v>Moderate Risk</v>
      </c>
      <c r="G4096" t="s">
        <v>3</v>
      </c>
      <c r="H4096" t="s">
        <v>8</v>
      </c>
      <c r="I4096" t="s">
        <v>5</v>
      </c>
      <c r="J4096">
        <v>111.81</v>
      </c>
      <c r="K4096">
        <v>19.8</v>
      </c>
      <c r="L4096" t="s">
        <v>6</v>
      </c>
      <c r="M4096">
        <v>0</v>
      </c>
      <c r="N4096" t="str">
        <f t="shared" si="189"/>
        <v>60+</v>
      </c>
      <c r="O4096" t="str">
        <f t="shared" si="190"/>
        <v>Normal</v>
      </c>
    </row>
    <row r="4097" spans="1:15" x14ac:dyDescent="0.3">
      <c r="A4097">
        <v>60416</v>
      </c>
      <c r="B4097" t="s">
        <v>7</v>
      </c>
      <c r="C4097">
        <v>57</v>
      </c>
      <c r="D4097">
        <v>0</v>
      </c>
      <c r="E4097">
        <v>0</v>
      </c>
      <c r="F4097" t="str">
        <f t="shared" si="191"/>
        <v>Lower Risk</v>
      </c>
      <c r="G4097" t="s">
        <v>3</v>
      </c>
      <c r="H4097" t="s">
        <v>8</v>
      </c>
      <c r="I4097" t="s">
        <v>5</v>
      </c>
      <c r="J4097">
        <v>106.84</v>
      </c>
      <c r="K4097">
        <v>29.6</v>
      </c>
      <c r="L4097" t="s">
        <v>11</v>
      </c>
      <c r="M4097">
        <v>0</v>
      </c>
      <c r="N4097" t="str">
        <f t="shared" si="189"/>
        <v>40–59</v>
      </c>
      <c r="O4097" t="str">
        <f t="shared" si="190"/>
        <v>Overweight</v>
      </c>
    </row>
    <row r="4098" spans="1:15" x14ac:dyDescent="0.3">
      <c r="A4098">
        <v>15135</v>
      </c>
      <c r="B4098" t="s">
        <v>7</v>
      </c>
      <c r="C4098">
        <v>78</v>
      </c>
      <c r="D4098">
        <v>0</v>
      </c>
      <c r="E4098">
        <v>1</v>
      </c>
      <c r="F4098" t="str">
        <f t="shared" si="191"/>
        <v>High Risk</v>
      </c>
      <c r="G4098" t="s">
        <v>3</v>
      </c>
      <c r="H4098" t="s">
        <v>4</v>
      </c>
      <c r="I4098" t="s">
        <v>9</v>
      </c>
      <c r="J4098">
        <v>221.06</v>
      </c>
      <c r="K4098">
        <v>25.5</v>
      </c>
      <c r="L4098" t="s">
        <v>6</v>
      </c>
      <c r="M4098">
        <v>0</v>
      </c>
      <c r="N4098" t="str">
        <f t="shared" ref="N4098:N4161" si="192">IF(C4098&lt;40,"Under 40",IF(C4098&lt;60,"40–59","60+"))</f>
        <v>60+</v>
      </c>
      <c r="O4098" t="str">
        <f t="shared" ref="O4098:O4161" si="193">IF(K4098="N/A","Unknown",
IF(K4098="","Unknown",
IF(K4098&lt;18.5,"Underweight",
IF(K4098&lt;25,"Normal",
IF(K4098&lt;30,"Overweight","Obese")))))</f>
        <v>Overweight</v>
      </c>
    </row>
    <row r="4099" spans="1:15" x14ac:dyDescent="0.3">
      <c r="A4099">
        <v>34660</v>
      </c>
      <c r="B4099" t="s">
        <v>2</v>
      </c>
      <c r="C4099">
        <v>55</v>
      </c>
      <c r="D4099">
        <v>0</v>
      </c>
      <c r="E4099">
        <v>0</v>
      </c>
      <c r="F4099" t="str">
        <f t="shared" ref="F4099:F4162" si="194">IF(C4099&gt;=60,
IF(OR(D4099=1,E4099=1),"High Risk","Moderate Risk"),
"Lower Risk")</f>
        <v>Lower Risk</v>
      </c>
      <c r="G4099" t="s">
        <v>3</v>
      </c>
      <c r="H4099" t="s">
        <v>8</v>
      </c>
      <c r="I4099" t="s">
        <v>5</v>
      </c>
      <c r="J4099">
        <v>69.97</v>
      </c>
      <c r="K4099">
        <v>25.8</v>
      </c>
      <c r="L4099" t="s">
        <v>6</v>
      </c>
      <c r="M4099">
        <v>0</v>
      </c>
      <c r="N4099" t="str">
        <f t="shared" si="192"/>
        <v>40–59</v>
      </c>
      <c r="O4099" t="str">
        <f t="shared" si="193"/>
        <v>Overweight</v>
      </c>
    </row>
    <row r="4100" spans="1:15" x14ac:dyDescent="0.3">
      <c r="A4100">
        <v>11713</v>
      </c>
      <c r="B4100" t="s">
        <v>2</v>
      </c>
      <c r="C4100">
        <v>51</v>
      </c>
      <c r="D4100">
        <v>0</v>
      </c>
      <c r="E4100">
        <v>0</v>
      </c>
      <c r="F4100" t="str">
        <f t="shared" si="194"/>
        <v>Lower Risk</v>
      </c>
      <c r="G4100" t="s">
        <v>3</v>
      </c>
      <c r="H4100" t="s">
        <v>4</v>
      </c>
      <c r="I4100" t="s">
        <v>9</v>
      </c>
      <c r="J4100">
        <v>77.069999999999993</v>
      </c>
      <c r="K4100">
        <v>32.1</v>
      </c>
      <c r="L4100" t="s">
        <v>6</v>
      </c>
      <c r="M4100">
        <v>0</v>
      </c>
      <c r="N4100" t="str">
        <f t="shared" si="192"/>
        <v>40–59</v>
      </c>
      <c r="O4100" t="str">
        <f t="shared" si="193"/>
        <v>Obese</v>
      </c>
    </row>
    <row r="4101" spans="1:15" x14ac:dyDescent="0.3">
      <c r="A4101">
        <v>40704</v>
      </c>
      <c r="B4101" t="s">
        <v>2</v>
      </c>
      <c r="C4101">
        <v>80</v>
      </c>
      <c r="D4101">
        <v>0</v>
      </c>
      <c r="E4101">
        <v>0</v>
      </c>
      <c r="F4101" t="str">
        <f t="shared" si="194"/>
        <v>Moderate Risk</v>
      </c>
      <c r="G4101" t="s">
        <v>13</v>
      </c>
      <c r="H4101" t="s">
        <v>4</v>
      </c>
      <c r="I4101" t="s">
        <v>5</v>
      </c>
      <c r="J4101">
        <v>59.49</v>
      </c>
      <c r="K4101">
        <v>25.6</v>
      </c>
      <c r="L4101" t="s">
        <v>14</v>
      </c>
      <c r="M4101">
        <v>0</v>
      </c>
      <c r="N4101" t="str">
        <f t="shared" si="192"/>
        <v>60+</v>
      </c>
      <c r="O4101" t="str">
        <f t="shared" si="193"/>
        <v>Overweight</v>
      </c>
    </row>
    <row r="4102" spans="1:15" x14ac:dyDescent="0.3">
      <c r="A4102">
        <v>71298</v>
      </c>
      <c r="B4102" t="s">
        <v>7</v>
      </c>
      <c r="C4102">
        <v>17</v>
      </c>
      <c r="D4102">
        <v>0</v>
      </c>
      <c r="E4102">
        <v>0</v>
      </c>
      <c r="F4102" t="str">
        <f t="shared" si="194"/>
        <v>Lower Risk</v>
      </c>
      <c r="G4102" t="s">
        <v>13</v>
      </c>
      <c r="H4102" t="s">
        <v>4</v>
      </c>
      <c r="I4102" t="s">
        <v>9</v>
      </c>
      <c r="J4102">
        <v>109.39</v>
      </c>
      <c r="K4102">
        <v>26.3</v>
      </c>
      <c r="L4102" t="s">
        <v>11</v>
      </c>
      <c r="M4102">
        <v>0</v>
      </c>
      <c r="N4102" t="str">
        <f t="shared" si="192"/>
        <v>Under 40</v>
      </c>
      <c r="O4102" t="str">
        <f t="shared" si="193"/>
        <v>Overweight</v>
      </c>
    </row>
    <row r="4103" spans="1:15" x14ac:dyDescent="0.3">
      <c r="A4103">
        <v>54497</v>
      </c>
      <c r="B4103" t="s">
        <v>7</v>
      </c>
      <c r="C4103">
        <v>61</v>
      </c>
      <c r="D4103">
        <v>0</v>
      </c>
      <c r="E4103">
        <v>0</v>
      </c>
      <c r="F4103" t="str">
        <f t="shared" si="194"/>
        <v>Moderate Risk</v>
      </c>
      <c r="G4103" t="s">
        <v>3</v>
      </c>
      <c r="H4103" t="s">
        <v>4</v>
      </c>
      <c r="I4103" t="s">
        <v>9</v>
      </c>
      <c r="J4103">
        <v>93.97</v>
      </c>
      <c r="K4103">
        <v>39.4</v>
      </c>
      <c r="L4103" t="s">
        <v>14</v>
      </c>
      <c r="M4103">
        <v>0</v>
      </c>
      <c r="N4103" t="str">
        <f t="shared" si="192"/>
        <v>60+</v>
      </c>
      <c r="O4103" t="str">
        <f t="shared" si="193"/>
        <v>Obese</v>
      </c>
    </row>
    <row r="4104" spans="1:15" x14ac:dyDescent="0.3">
      <c r="A4104">
        <v>30129</v>
      </c>
      <c r="B4104" t="s">
        <v>7</v>
      </c>
      <c r="C4104">
        <v>62</v>
      </c>
      <c r="D4104">
        <v>0</v>
      </c>
      <c r="E4104">
        <v>0</v>
      </c>
      <c r="F4104" t="str">
        <f t="shared" si="194"/>
        <v>Moderate Risk</v>
      </c>
      <c r="G4104" t="s">
        <v>3</v>
      </c>
      <c r="H4104" t="s">
        <v>15</v>
      </c>
      <c r="I4104" t="s">
        <v>5</v>
      </c>
      <c r="J4104">
        <v>163.16999999999999</v>
      </c>
      <c r="K4104">
        <v>25.6</v>
      </c>
      <c r="L4104" t="s">
        <v>11</v>
      </c>
      <c r="M4104">
        <v>0</v>
      </c>
      <c r="N4104" t="str">
        <f t="shared" si="192"/>
        <v>60+</v>
      </c>
      <c r="O4104" t="str">
        <f t="shared" si="193"/>
        <v>Overweight</v>
      </c>
    </row>
    <row r="4105" spans="1:15" x14ac:dyDescent="0.3">
      <c r="A4105">
        <v>44965</v>
      </c>
      <c r="B4105" t="s">
        <v>7</v>
      </c>
      <c r="C4105">
        <v>14</v>
      </c>
      <c r="D4105">
        <v>0</v>
      </c>
      <c r="E4105">
        <v>0</v>
      </c>
      <c r="F4105" t="str">
        <f t="shared" si="194"/>
        <v>Lower Risk</v>
      </c>
      <c r="G4105" t="s">
        <v>13</v>
      </c>
      <c r="H4105" t="s">
        <v>8</v>
      </c>
      <c r="I4105" t="s">
        <v>5</v>
      </c>
      <c r="J4105">
        <v>124.39</v>
      </c>
      <c r="K4105">
        <v>34</v>
      </c>
      <c r="L4105" t="s">
        <v>14</v>
      </c>
      <c r="M4105">
        <v>0</v>
      </c>
      <c r="N4105" t="str">
        <f t="shared" si="192"/>
        <v>Under 40</v>
      </c>
      <c r="O4105" t="str">
        <f t="shared" si="193"/>
        <v>Obese</v>
      </c>
    </row>
    <row r="4106" spans="1:15" x14ac:dyDescent="0.3">
      <c r="A4106">
        <v>38549</v>
      </c>
      <c r="B4106" t="s">
        <v>7</v>
      </c>
      <c r="C4106">
        <v>62</v>
      </c>
      <c r="D4106">
        <v>0</v>
      </c>
      <c r="E4106">
        <v>0</v>
      </c>
      <c r="F4106" t="str">
        <f t="shared" si="194"/>
        <v>Moderate Risk</v>
      </c>
      <c r="G4106" t="s">
        <v>3</v>
      </c>
      <c r="H4106" t="s">
        <v>4</v>
      </c>
      <c r="I4106" t="s">
        <v>5</v>
      </c>
      <c r="J4106">
        <v>212.62</v>
      </c>
      <c r="K4106">
        <v>35.799999999999997</v>
      </c>
      <c r="L4106" t="s">
        <v>11</v>
      </c>
      <c r="M4106">
        <v>0</v>
      </c>
      <c r="N4106" t="str">
        <f t="shared" si="192"/>
        <v>60+</v>
      </c>
      <c r="O4106" t="str">
        <f t="shared" si="193"/>
        <v>Obese</v>
      </c>
    </row>
    <row r="4107" spans="1:15" x14ac:dyDescent="0.3">
      <c r="A4107">
        <v>39236</v>
      </c>
      <c r="B4107" t="s">
        <v>7</v>
      </c>
      <c r="C4107">
        <v>56</v>
      </c>
      <c r="D4107">
        <v>0</v>
      </c>
      <c r="E4107">
        <v>0</v>
      </c>
      <c r="F4107" t="str">
        <f t="shared" si="194"/>
        <v>Lower Risk</v>
      </c>
      <c r="G4107" t="s">
        <v>13</v>
      </c>
      <c r="H4107" t="s">
        <v>8</v>
      </c>
      <c r="I4107" t="s">
        <v>5</v>
      </c>
      <c r="J4107">
        <v>128.63</v>
      </c>
      <c r="K4107">
        <v>24.9</v>
      </c>
      <c r="L4107" t="s">
        <v>12</v>
      </c>
      <c r="M4107">
        <v>0</v>
      </c>
      <c r="N4107" t="str">
        <f t="shared" si="192"/>
        <v>40–59</v>
      </c>
      <c r="O4107" t="str">
        <f t="shared" si="193"/>
        <v>Normal</v>
      </c>
    </row>
    <row r="4108" spans="1:15" x14ac:dyDescent="0.3">
      <c r="A4108">
        <v>50545</v>
      </c>
      <c r="B4108" t="s">
        <v>2</v>
      </c>
      <c r="C4108">
        <v>41</v>
      </c>
      <c r="D4108">
        <v>0</v>
      </c>
      <c r="E4108">
        <v>0</v>
      </c>
      <c r="F4108" t="str">
        <f t="shared" si="194"/>
        <v>Lower Risk</v>
      </c>
      <c r="G4108" t="s">
        <v>3</v>
      </c>
      <c r="H4108" t="s">
        <v>15</v>
      </c>
      <c r="I4108" t="s">
        <v>5</v>
      </c>
      <c r="J4108">
        <v>84.1</v>
      </c>
      <c r="K4108">
        <v>29.3</v>
      </c>
      <c r="L4108" t="s">
        <v>11</v>
      </c>
      <c r="M4108">
        <v>0</v>
      </c>
      <c r="N4108" t="str">
        <f t="shared" si="192"/>
        <v>40–59</v>
      </c>
      <c r="O4108" t="str">
        <f t="shared" si="193"/>
        <v>Overweight</v>
      </c>
    </row>
    <row r="4109" spans="1:15" x14ac:dyDescent="0.3">
      <c r="A4109">
        <v>28435</v>
      </c>
      <c r="B4109" t="s">
        <v>7</v>
      </c>
      <c r="C4109">
        <v>59</v>
      </c>
      <c r="D4109">
        <v>0</v>
      </c>
      <c r="E4109">
        <v>0</v>
      </c>
      <c r="F4109" t="str">
        <f t="shared" si="194"/>
        <v>Lower Risk</v>
      </c>
      <c r="G4109" t="s">
        <v>3</v>
      </c>
      <c r="H4109" t="s">
        <v>8</v>
      </c>
      <c r="I4109" t="s">
        <v>5</v>
      </c>
      <c r="J4109">
        <v>77.599999999999994</v>
      </c>
      <c r="K4109">
        <v>23.4</v>
      </c>
      <c r="L4109" t="s">
        <v>14</v>
      </c>
      <c r="M4109">
        <v>0</v>
      </c>
      <c r="N4109" t="str">
        <f t="shared" si="192"/>
        <v>40–59</v>
      </c>
      <c r="O4109" t="str">
        <f t="shared" si="193"/>
        <v>Normal</v>
      </c>
    </row>
    <row r="4110" spans="1:15" x14ac:dyDescent="0.3">
      <c r="A4110">
        <v>4631</v>
      </c>
      <c r="B4110" t="s">
        <v>2</v>
      </c>
      <c r="C4110">
        <v>29</v>
      </c>
      <c r="D4110">
        <v>0</v>
      </c>
      <c r="E4110">
        <v>0</v>
      </c>
      <c r="F4110" t="str">
        <f t="shared" si="194"/>
        <v>Lower Risk</v>
      </c>
      <c r="G4110" t="s">
        <v>3</v>
      </c>
      <c r="H4110" t="s">
        <v>4</v>
      </c>
      <c r="I4110" t="s">
        <v>5</v>
      </c>
      <c r="J4110">
        <v>70.510000000000005</v>
      </c>
      <c r="K4110">
        <v>24.5</v>
      </c>
      <c r="L4110" t="s">
        <v>14</v>
      </c>
      <c r="M4110">
        <v>0</v>
      </c>
      <c r="N4110" t="str">
        <f t="shared" si="192"/>
        <v>Under 40</v>
      </c>
      <c r="O4110" t="str">
        <f t="shared" si="193"/>
        <v>Normal</v>
      </c>
    </row>
    <row r="4111" spans="1:15" x14ac:dyDescent="0.3">
      <c r="A4111">
        <v>9912</v>
      </c>
      <c r="B4111" t="s">
        <v>2</v>
      </c>
      <c r="C4111">
        <v>39</v>
      </c>
      <c r="D4111">
        <v>0</v>
      </c>
      <c r="E4111">
        <v>0</v>
      </c>
      <c r="F4111" t="str">
        <f t="shared" si="194"/>
        <v>Lower Risk</v>
      </c>
      <c r="G4111" t="s">
        <v>3</v>
      </c>
      <c r="H4111" t="s">
        <v>4</v>
      </c>
      <c r="I4111" t="s">
        <v>9</v>
      </c>
      <c r="J4111">
        <v>109.19</v>
      </c>
      <c r="K4111">
        <v>29.8</v>
      </c>
      <c r="L4111" t="s">
        <v>14</v>
      </c>
      <c r="M4111">
        <v>0</v>
      </c>
      <c r="N4111" t="str">
        <f t="shared" si="192"/>
        <v>Under 40</v>
      </c>
      <c r="O4111" t="str">
        <f t="shared" si="193"/>
        <v>Overweight</v>
      </c>
    </row>
    <row r="4112" spans="1:15" x14ac:dyDescent="0.3">
      <c r="A4112">
        <v>43028</v>
      </c>
      <c r="B4112" t="s">
        <v>2</v>
      </c>
      <c r="C4112">
        <v>66</v>
      </c>
      <c r="D4112">
        <v>0</v>
      </c>
      <c r="E4112">
        <v>0</v>
      </c>
      <c r="F4112" t="str">
        <f t="shared" si="194"/>
        <v>Moderate Risk</v>
      </c>
      <c r="G4112" t="s">
        <v>3</v>
      </c>
      <c r="H4112" t="s">
        <v>8</v>
      </c>
      <c r="I4112" t="s">
        <v>9</v>
      </c>
      <c r="J4112">
        <v>55.23</v>
      </c>
      <c r="K4112">
        <v>28.9</v>
      </c>
      <c r="L4112" t="s">
        <v>14</v>
      </c>
      <c r="M4112">
        <v>0</v>
      </c>
      <c r="N4112" t="str">
        <f t="shared" si="192"/>
        <v>60+</v>
      </c>
      <c r="O4112" t="str">
        <f t="shared" si="193"/>
        <v>Overweight</v>
      </c>
    </row>
    <row r="4113" spans="1:15" x14ac:dyDescent="0.3">
      <c r="A4113">
        <v>38894</v>
      </c>
      <c r="B4113" t="s">
        <v>7</v>
      </c>
      <c r="C4113">
        <v>35</v>
      </c>
      <c r="D4113">
        <v>0</v>
      </c>
      <c r="E4113">
        <v>0</v>
      </c>
      <c r="F4113" t="str">
        <f t="shared" si="194"/>
        <v>Lower Risk</v>
      </c>
      <c r="G4113" t="s">
        <v>3</v>
      </c>
      <c r="H4113" t="s">
        <v>4</v>
      </c>
      <c r="I4113" t="s">
        <v>5</v>
      </c>
      <c r="J4113">
        <v>120.15</v>
      </c>
      <c r="K4113">
        <v>27.3</v>
      </c>
      <c r="L4113" t="s">
        <v>11</v>
      </c>
      <c r="M4113">
        <v>0</v>
      </c>
      <c r="N4113" t="str">
        <f t="shared" si="192"/>
        <v>Under 40</v>
      </c>
      <c r="O4113" t="str">
        <f t="shared" si="193"/>
        <v>Overweight</v>
      </c>
    </row>
    <row r="4114" spans="1:15" x14ac:dyDescent="0.3">
      <c r="A4114">
        <v>41238</v>
      </c>
      <c r="B4114" t="s">
        <v>7</v>
      </c>
      <c r="C4114">
        <v>36</v>
      </c>
      <c r="D4114">
        <v>0</v>
      </c>
      <c r="E4114">
        <v>0</v>
      </c>
      <c r="F4114" t="str">
        <f t="shared" si="194"/>
        <v>Lower Risk</v>
      </c>
      <c r="G4114" t="s">
        <v>3</v>
      </c>
      <c r="H4114" t="s">
        <v>4</v>
      </c>
      <c r="I4114" t="s">
        <v>5</v>
      </c>
      <c r="J4114">
        <v>72.16</v>
      </c>
      <c r="K4114">
        <v>23.2</v>
      </c>
      <c r="L4114" t="s">
        <v>11</v>
      </c>
      <c r="M4114">
        <v>0</v>
      </c>
      <c r="N4114" t="str">
        <f t="shared" si="192"/>
        <v>Under 40</v>
      </c>
      <c r="O4114" t="str">
        <f t="shared" si="193"/>
        <v>Normal</v>
      </c>
    </row>
    <row r="4115" spans="1:15" x14ac:dyDescent="0.3">
      <c r="A4115">
        <v>51828</v>
      </c>
      <c r="B4115" t="s">
        <v>2</v>
      </c>
      <c r="C4115">
        <v>35</v>
      </c>
      <c r="D4115">
        <v>0</v>
      </c>
      <c r="E4115">
        <v>0</v>
      </c>
      <c r="F4115" t="str">
        <f t="shared" si="194"/>
        <v>Lower Risk</v>
      </c>
      <c r="G4115" t="s">
        <v>3</v>
      </c>
      <c r="H4115" t="s">
        <v>4</v>
      </c>
      <c r="I4115" t="s">
        <v>9</v>
      </c>
      <c r="J4115">
        <v>95.89</v>
      </c>
      <c r="K4115">
        <v>34.200000000000003</v>
      </c>
      <c r="L4115" t="s">
        <v>14</v>
      </c>
      <c r="M4115">
        <v>0</v>
      </c>
      <c r="N4115" t="str">
        <f t="shared" si="192"/>
        <v>Under 40</v>
      </c>
      <c r="O4115" t="str">
        <f t="shared" si="193"/>
        <v>Obese</v>
      </c>
    </row>
    <row r="4116" spans="1:15" x14ac:dyDescent="0.3">
      <c r="A4116">
        <v>64196</v>
      </c>
      <c r="B4116" t="s">
        <v>2</v>
      </c>
      <c r="C4116">
        <v>26</v>
      </c>
      <c r="D4116">
        <v>0</v>
      </c>
      <c r="E4116">
        <v>0</v>
      </c>
      <c r="F4116" t="str">
        <f t="shared" si="194"/>
        <v>Lower Risk</v>
      </c>
      <c r="G4116" t="s">
        <v>13</v>
      </c>
      <c r="H4116" t="s">
        <v>4</v>
      </c>
      <c r="I4116" t="s">
        <v>5</v>
      </c>
      <c r="J4116">
        <v>64.680000000000007</v>
      </c>
      <c r="K4116">
        <v>23.3</v>
      </c>
      <c r="L4116" t="s">
        <v>12</v>
      </c>
      <c r="M4116">
        <v>0</v>
      </c>
      <c r="N4116" t="str">
        <f t="shared" si="192"/>
        <v>Under 40</v>
      </c>
      <c r="O4116" t="str">
        <f t="shared" si="193"/>
        <v>Normal</v>
      </c>
    </row>
    <row r="4117" spans="1:15" x14ac:dyDescent="0.3">
      <c r="A4117">
        <v>10626</v>
      </c>
      <c r="B4117" t="s">
        <v>7</v>
      </c>
      <c r="C4117">
        <v>31</v>
      </c>
      <c r="D4117">
        <v>0</v>
      </c>
      <c r="E4117">
        <v>0</v>
      </c>
      <c r="F4117" t="str">
        <f t="shared" si="194"/>
        <v>Lower Risk</v>
      </c>
      <c r="G4117" t="s">
        <v>13</v>
      </c>
      <c r="H4117" t="s">
        <v>4</v>
      </c>
      <c r="I4117" t="s">
        <v>9</v>
      </c>
      <c r="J4117">
        <v>70.510000000000005</v>
      </c>
      <c r="K4117">
        <v>26.9</v>
      </c>
      <c r="L4117" t="s">
        <v>6</v>
      </c>
      <c r="M4117">
        <v>0</v>
      </c>
      <c r="N4117" t="str">
        <f t="shared" si="192"/>
        <v>Under 40</v>
      </c>
      <c r="O4117" t="str">
        <f t="shared" si="193"/>
        <v>Overweight</v>
      </c>
    </row>
    <row r="4118" spans="1:15" x14ac:dyDescent="0.3">
      <c r="A4118">
        <v>4117</v>
      </c>
      <c r="B4118" t="s">
        <v>7</v>
      </c>
      <c r="C4118">
        <v>56</v>
      </c>
      <c r="D4118">
        <v>0</v>
      </c>
      <c r="E4118">
        <v>0</v>
      </c>
      <c r="F4118" t="str">
        <f t="shared" si="194"/>
        <v>Lower Risk</v>
      </c>
      <c r="G4118" t="s">
        <v>3</v>
      </c>
      <c r="H4118" t="s">
        <v>8</v>
      </c>
      <c r="I4118" t="s">
        <v>9</v>
      </c>
      <c r="J4118">
        <v>81.77</v>
      </c>
      <c r="K4118">
        <v>21.8</v>
      </c>
      <c r="L4118" t="s">
        <v>11</v>
      </c>
      <c r="M4118">
        <v>0</v>
      </c>
      <c r="N4118" t="str">
        <f t="shared" si="192"/>
        <v>40–59</v>
      </c>
      <c r="O4118" t="str">
        <f t="shared" si="193"/>
        <v>Normal</v>
      </c>
    </row>
    <row r="4119" spans="1:15" x14ac:dyDescent="0.3">
      <c r="A4119">
        <v>37993</v>
      </c>
      <c r="B4119" t="s">
        <v>7</v>
      </c>
      <c r="C4119">
        <v>36</v>
      </c>
      <c r="D4119">
        <v>0</v>
      </c>
      <c r="E4119">
        <v>0</v>
      </c>
      <c r="F4119" t="str">
        <f t="shared" si="194"/>
        <v>Lower Risk</v>
      </c>
      <c r="G4119" t="s">
        <v>3</v>
      </c>
      <c r="H4119" t="s">
        <v>15</v>
      </c>
      <c r="I4119" t="s">
        <v>5</v>
      </c>
      <c r="J4119">
        <v>66.47</v>
      </c>
      <c r="K4119">
        <v>26.9</v>
      </c>
      <c r="L4119" t="s">
        <v>11</v>
      </c>
      <c r="M4119">
        <v>0</v>
      </c>
      <c r="N4119" t="str">
        <f t="shared" si="192"/>
        <v>Under 40</v>
      </c>
      <c r="O4119" t="str">
        <f t="shared" si="193"/>
        <v>Overweight</v>
      </c>
    </row>
    <row r="4120" spans="1:15" x14ac:dyDescent="0.3">
      <c r="A4120">
        <v>57765</v>
      </c>
      <c r="B4120" t="s">
        <v>7</v>
      </c>
      <c r="C4120">
        <v>41</v>
      </c>
      <c r="D4120">
        <v>0</v>
      </c>
      <c r="E4120">
        <v>0</v>
      </c>
      <c r="F4120" t="str">
        <f t="shared" si="194"/>
        <v>Lower Risk</v>
      </c>
      <c r="G4120" t="s">
        <v>3</v>
      </c>
      <c r="H4120" t="s">
        <v>15</v>
      </c>
      <c r="I4120" t="s">
        <v>9</v>
      </c>
      <c r="J4120">
        <v>146.08000000000001</v>
      </c>
      <c r="K4120">
        <v>29.9</v>
      </c>
      <c r="L4120" t="s">
        <v>11</v>
      </c>
      <c r="M4120">
        <v>0</v>
      </c>
      <c r="N4120" t="str">
        <f t="shared" si="192"/>
        <v>40–59</v>
      </c>
      <c r="O4120" t="str">
        <f t="shared" si="193"/>
        <v>Overweight</v>
      </c>
    </row>
    <row r="4121" spans="1:15" x14ac:dyDescent="0.3">
      <c r="A4121">
        <v>7841</v>
      </c>
      <c r="B4121" t="s">
        <v>7</v>
      </c>
      <c r="C4121">
        <v>50</v>
      </c>
      <c r="D4121">
        <v>0</v>
      </c>
      <c r="E4121">
        <v>0</v>
      </c>
      <c r="F4121" t="str">
        <f t="shared" si="194"/>
        <v>Lower Risk</v>
      </c>
      <c r="G4121" t="s">
        <v>3</v>
      </c>
      <c r="H4121" t="s">
        <v>4</v>
      </c>
      <c r="I4121" t="s">
        <v>5</v>
      </c>
      <c r="J4121">
        <v>91.68</v>
      </c>
      <c r="K4121">
        <v>22.4</v>
      </c>
      <c r="L4121" t="s">
        <v>11</v>
      </c>
      <c r="M4121">
        <v>0</v>
      </c>
      <c r="N4121" t="str">
        <f t="shared" si="192"/>
        <v>40–59</v>
      </c>
      <c r="O4121" t="str">
        <f t="shared" si="193"/>
        <v>Normal</v>
      </c>
    </row>
    <row r="4122" spans="1:15" x14ac:dyDescent="0.3">
      <c r="A4122">
        <v>18398</v>
      </c>
      <c r="B4122" t="s">
        <v>7</v>
      </c>
      <c r="C4122">
        <v>42</v>
      </c>
      <c r="D4122">
        <v>0</v>
      </c>
      <c r="E4122">
        <v>0</v>
      </c>
      <c r="F4122" t="str">
        <f t="shared" si="194"/>
        <v>Lower Risk</v>
      </c>
      <c r="G4122" t="s">
        <v>3</v>
      </c>
      <c r="H4122" t="s">
        <v>4</v>
      </c>
      <c r="I4122" t="s">
        <v>9</v>
      </c>
      <c r="J4122">
        <v>108.96</v>
      </c>
      <c r="K4122">
        <v>27.5</v>
      </c>
      <c r="L4122" t="s">
        <v>11</v>
      </c>
      <c r="M4122">
        <v>0</v>
      </c>
      <c r="N4122" t="str">
        <f t="shared" si="192"/>
        <v>40–59</v>
      </c>
      <c r="O4122" t="str">
        <f t="shared" si="193"/>
        <v>Overweight</v>
      </c>
    </row>
    <row r="4123" spans="1:15" x14ac:dyDescent="0.3">
      <c r="A4123">
        <v>50210</v>
      </c>
      <c r="B4123" t="s">
        <v>2</v>
      </c>
      <c r="C4123">
        <v>79</v>
      </c>
      <c r="D4123">
        <v>0</v>
      </c>
      <c r="E4123">
        <v>0</v>
      </c>
      <c r="F4123" t="str">
        <f t="shared" si="194"/>
        <v>Moderate Risk</v>
      </c>
      <c r="G4123" t="s">
        <v>3</v>
      </c>
      <c r="H4123" t="s">
        <v>8</v>
      </c>
      <c r="I4123" t="s">
        <v>5</v>
      </c>
      <c r="J4123">
        <v>113.41</v>
      </c>
      <c r="K4123">
        <v>35</v>
      </c>
      <c r="L4123" t="s">
        <v>11</v>
      </c>
      <c r="M4123">
        <v>0</v>
      </c>
      <c r="N4123" t="str">
        <f t="shared" si="192"/>
        <v>60+</v>
      </c>
      <c r="O4123" t="str">
        <f t="shared" si="193"/>
        <v>Obese</v>
      </c>
    </row>
    <row r="4124" spans="1:15" x14ac:dyDescent="0.3">
      <c r="A4124">
        <v>52461</v>
      </c>
      <c r="B4124" t="s">
        <v>2</v>
      </c>
      <c r="C4124">
        <v>57</v>
      </c>
      <c r="D4124">
        <v>0</v>
      </c>
      <c r="E4124">
        <v>0</v>
      </c>
      <c r="F4124" t="str">
        <f t="shared" si="194"/>
        <v>Lower Risk</v>
      </c>
      <c r="G4124" t="s">
        <v>3</v>
      </c>
      <c r="H4124" t="s">
        <v>4</v>
      </c>
      <c r="I4124" t="s">
        <v>5</v>
      </c>
      <c r="J4124">
        <v>111.08</v>
      </c>
      <c r="K4124">
        <v>27.9</v>
      </c>
      <c r="L4124" t="s">
        <v>11</v>
      </c>
      <c r="M4124">
        <v>0</v>
      </c>
      <c r="N4124" t="str">
        <f t="shared" si="192"/>
        <v>40–59</v>
      </c>
      <c r="O4124" t="str">
        <f t="shared" si="193"/>
        <v>Overweight</v>
      </c>
    </row>
    <row r="4125" spans="1:15" x14ac:dyDescent="0.3">
      <c r="A4125">
        <v>32523</v>
      </c>
      <c r="B4125" t="s">
        <v>2</v>
      </c>
      <c r="C4125">
        <v>68</v>
      </c>
      <c r="D4125">
        <v>0</v>
      </c>
      <c r="E4125">
        <v>1</v>
      </c>
      <c r="F4125" t="str">
        <f t="shared" si="194"/>
        <v>High Risk</v>
      </c>
      <c r="G4125" t="s">
        <v>3</v>
      </c>
      <c r="H4125" t="s">
        <v>4</v>
      </c>
      <c r="I4125" t="s">
        <v>5</v>
      </c>
      <c r="J4125">
        <v>217.74</v>
      </c>
      <c r="K4125">
        <v>25.5</v>
      </c>
      <c r="L4125" t="s">
        <v>14</v>
      </c>
      <c r="M4125">
        <v>0</v>
      </c>
      <c r="N4125" t="str">
        <f t="shared" si="192"/>
        <v>60+</v>
      </c>
      <c r="O4125" t="str">
        <f t="shared" si="193"/>
        <v>Overweight</v>
      </c>
    </row>
    <row r="4126" spans="1:15" x14ac:dyDescent="0.3">
      <c r="A4126">
        <v>49509</v>
      </c>
      <c r="B4126" t="s">
        <v>7</v>
      </c>
      <c r="C4126">
        <v>25</v>
      </c>
      <c r="D4126">
        <v>0</v>
      </c>
      <c r="E4126">
        <v>0</v>
      </c>
      <c r="F4126" t="str">
        <f t="shared" si="194"/>
        <v>Lower Risk</v>
      </c>
      <c r="G4126" t="s">
        <v>3</v>
      </c>
      <c r="H4126" t="s">
        <v>4</v>
      </c>
      <c r="I4126" t="s">
        <v>9</v>
      </c>
      <c r="J4126">
        <v>78.5</v>
      </c>
      <c r="K4126">
        <v>28.6</v>
      </c>
      <c r="L4126" t="s">
        <v>11</v>
      </c>
      <c r="M4126">
        <v>0</v>
      </c>
      <c r="N4126" t="str">
        <f t="shared" si="192"/>
        <v>Under 40</v>
      </c>
      <c r="O4126" t="str">
        <f t="shared" si="193"/>
        <v>Overweight</v>
      </c>
    </row>
    <row r="4127" spans="1:15" x14ac:dyDescent="0.3">
      <c r="A4127">
        <v>16377</v>
      </c>
      <c r="B4127" t="s">
        <v>2</v>
      </c>
      <c r="C4127">
        <v>69</v>
      </c>
      <c r="D4127">
        <v>0</v>
      </c>
      <c r="E4127">
        <v>0</v>
      </c>
      <c r="F4127" t="str">
        <f t="shared" si="194"/>
        <v>Moderate Risk</v>
      </c>
      <c r="G4127" t="s">
        <v>3</v>
      </c>
      <c r="H4127" t="s">
        <v>4</v>
      </c>
      <c r="I4127" t="s">
        <v>5</v>
      </c>
      <c r="J4127">
        <v>89.06</v>
      </c>
      <c r="K4127">
        <v>34.799999999999997</v>
      </c>
      <c r="L4127" t="s">
        <v>6</v>
      </c>
      <c r="M4127">
        <v>0</v>
      </c>
      <c r="N4127" t="str">
        <f t="shared" si="192"/>
        <v>60+</v>
      </c>
      <c r="O4127" t="str">
        <f t="shared" si="193"/>
        <v>Obese</v>
      </c>
    </row>
    <row r="4128" spans="1:15" x14ac:dyDescent="0.3">
      <c r="A4128">
        <v>13902</v>
      </c>
      <c r="B4128" t="s">
        <v>7</v>
      </c>
      <c r="C4128">
        <v>42</v>
      </c>
      <c r="D4128">
        <v>0</v>
      </c>
      <c r="E4128">
        <v>0</v>
      </c>
      <c r="F4128" t="str">
        <f t="shared" si="194"/>
        <v>Lower Risk</v>
      </c>
      <c r="G4128" t="s">
        <v>3</v>
      </c>
      <c r="H4128" t="s">
        <v>4</v>
      </c>
      <c r="I4128" t="s">
        <v>5</v>
      </c>
      <c r="J4128">
        <v>74.8</v>
      </c>
      <c r="K4128">
        <v>50.6</v>
      </c>
      <c r="L4128" t="s">
        <v>14</v>
      </c>
      <c r="M4128">
        <v>0</v>
      </c>
      <c r="N4128" t="str">
        <f t="shared" si="192"/>
        <v>40–59</v>
      </c>
      <c r="O4128" t="str">
        <f t="shared" si="193"/>
        <v>Obese</v>
      </c>
    </row>
    <row r="4129" spans="1:15" x14ac:dyDescent="0.3">
      <c r="A4129">
        <v>44047</v>
      </c>
      <c r="B4129" t="s">
        <v>2</v>
      </c>
      <c r="C4129">
        <v>37</v>
      </c>
      <c r="D4129">
        <v>0</v>
      </c>
      <c r="E4129">
        <v>0</v>
      </c>
      <c r="F4129" t="str">
        <f t="shared" si="194"/>
        <v>Lower Risk</v>
      </c>
      <c r="G4129" t="s">
        <v>3</v>
      </c>
      <c r="H4129" t="s">
        <v>15</v>
      </c>
      <c r="I4129" t="s">
        <v>9</v>
      </c>
      <c r="J4129">
        <v>80.2</v>
      </c>
      <c r="K4129">
        <v>30.9</v>
      </c>
      <c r="L4129" t="s">
        <v>11</v>
      </c>
      <c r="M4129">
        <v>0</v>
      </c>
      <c r="N4129" t="str">
        <f t="shared" si="192"/>
        <v>Under 40</v>
      </c>
      <c r="O4129" t="str">
        <f t="shared" si="193"/>
        <v>Obese</v>
      </c>
    </row>
    <row r="4130" spans="1:15" x14ac:dyDescent="0.3">
      <c r="A4130">
        <v>34184</v>
      </c>
      <c r="B4130" t="s">
        <v>7</v>
      </c>
      <c r="C4130">
        <v>2</v>
      </c>
      <c r="D4130">
        <v>0</v>
      </c>
      <c r="E4130">
        <v>0</v>
      </c>
      <c r="F4130" t="str">
        <f t="shared" si="194"/>
        <v>Lower Risk</v>
      </c>
      <c r="G4130" t="s">
        <v>13</v>
      </c>
      <c r="H4130" t="s">
        <v>16</v>
      </c>
      <c r="I4130" t="s">
        <v>9</v>
      </c>
      <c r="J4130">
        <v>76.52</v>
      </c>
      <c r="K4130">
        <v>14.8</v>
      </c>
      <c r="L4130" t="s">
        <v>14</v>
      </c>
      <c r="M4130">
        <v>0</v>
      </c>
      <c r="N4130" t="str">
        <f t="shared" si="192"/>
        <v>Under 40</v>
      </c>
      <c r="O4130" t="str">
        <f t="shared" si="193"/>
        <v>Underweight</v>
      </c>
    </row>
    <row r="4131" spans="1:15" x14ac:dyDescent="0.3">
      <c r="A4131">
        <v>11312</v>
      </c>
      <c r="B4131" t="s">
        <v>7</v>
      </c>
      <c r="C4131">
        <v>78</v>
      </c>
      <c r="D4131">
        <v>0</v>
      </c>
      <c r="E4131">
        <v>0</v>
      </c>
      <c r="F4131" t="str">
        <f t="shared" si="194"/>
        <v>Moderate Risk</v>
      </c>
      <c r="G4131" t="s">
        <v>3</v>
      </c>
      <c r="H4131" t="s">
        <v>8</v>
      </c>
      <c r="I4131" t="s">
        <v>9</v>
      </c>
      <c r="J4131">
        <v>208.99</v>
      </c>
      <c r="K4131">
        <v>31.4</v>
      </c>
      <c r="L4131" t="s">
        <v>6</v>
      </c>
      <c r="M4131">
        <v>0</v>
      </c>
      <c r="N4131" t="str">
        <f t="shared" si="192"/>
        <v>60+</v>
      </c>
      <c r="O4131" t="str">
        <f t="shared" si="193"/>
        <v>Obese</v>
      </c>
    </row>
    <row r="4132" spans="1:15" x14ac:dyDescent="0.3">
      <c r="A4132">
        <v>39616</v>
      </c>
      <c r="B4132" t="s">
        <v>7</v>
      </c>
      <c r="C4132">
        <v>36</v>
      </c>
      <c r="D4132">
        <v>0</v>
      </c>
      <c r="E4132">
        <v>0</v>
      </c>
      <c r="F4132" t="str">
        <f t="shared" si="194"/>
        <v>Lower Risk</v>
      </c>
      <c r="G4132" t="s">
        <v>3</v>
      </c>
      <c r="H4132" t="s">
        <v>4</v>
      </c>
      <c r="I4132" t="s">
        <v>5</v>
      </c>
      <c r="J4132">
        <v>99.72</v>
      </c>
      <c r="K4132">
        <v>22.3</v>
      </c>
      <c r="L4132" t="s">
        <v>12</v>
      </c>
      <c r="M4132">
        <v>0</v>
      </c>
      <c r="N4132" t="str">
        <f t="shared" si="192"/>
        <v>Under 40</v>
      </c>
      <c r="O4132" t="str">
        <f t="shared" si="193"/>
        <v>Normal</v>
      </c>
    </row>
    <row r="4133" spans="1:15" x14ac:dyDescent="0.3">
      <c r="A4133">
        <v>57322</v>
      </c>
      <c r="B4133" t="s">
        <v>2</v>
      </c>
      <c r="C4133">
        <v>10</v>
      </c>
      <c r="D4133">
        <v>0</v>
      </c>
      <c r="E4133">
        <v>0</v>
      </c>
      <c r="F4133" t="str">
        <f t="shared" si="194"/>
        <v>Lower Risk</v>
      </c>
      <c r="G4133" t="s">
        <v>13</v>
      </c>
      <c r="H4133" t="s">
        <v>16</v>
      </c>
      <c r="I4133" t="s">
        <v>5</v>
      </c>
      <c r="J4133">
        <v>102.97</v>
      </c>
      <c r="K4133">
        <v>19.100000000000001</v>
      </c>
      <c r="L4133" t="s">
        <v>14</v>
      </c>
      <c r="M4133">
        <v>0</v>
      </c>
      <c r="N4133" t="str">
        <f t="shared" si="192"/>
        <v>Under 40</v>
      </c>
      <c r="O4133" t="str">
        <f t="shared" si="193"/>
        <v>Normal</v>
      </c>
    </row>
    <row r="4134" spans="1:15" x14ac:dyDescent="0.3">
      <c r="A4134">
        <v>28011</v>
      </c>
      <c r="B4134" t="s">
        <v>2</v>
      </c>
      <c r="C4134">
        <v>39</v>
      </c>
      <c r="D4134">
        <v>1</v>
      </c>
      <c r="E4134">
        <v>0</v>
      </c>
      <c r="F4134" t="str">
        <f t="shared" si="194"/>
        <v>Lower Risk</v>
      </c>
      <c r="G4134" t="s">
        <v>3</v>
      </c>
      <c r="H4134" t="s">
        <v>4</v>
      </c>
      <c r="I4134" t="s">
        <v>9</v>
      </c>
      <c r="J4134">
        <v>197.36</v>
      </c>
      <c r="K4134">
        <v>27.4</v>
      </c>
      <c r="L4134" t="s">
        <v>14</v>
      </c>
      <c r="M4134">
        <v>0</v>
      </c>
      <c r="N4134" t="str">
        <f t="shared" si="192"/>
        <v>Under 40</v>
      </c>
      <c r="O4134" t="str">
        <f t="shared" si="193"/>
        <v>Overweight</v>
      </c>
    </row>
    <row r="4135" spans="1:15" x14ac:dyDescent="0.3">
      <c r="A4135">
        <v>242</v>
      </c>
      <c r="B4135" t="s">
        <v>2</v>
      </c>
      <c r="C4135">
        <v>4</v>
      </c>
      <c r="D4135">
        <v>0</v>
      </c>
      <c r="E4135">
        <v>0</v>
      </c>
      <c r="F4135" t="str">
        <f t="shared" si="194"/>
        <v>Lower Risk</v>
      </c>
      <c r="G4135" t="s">
        <v>13</v>
      </c>
      <c r="H4135" t="s">
        <v>16</v>
      </c>
      <c r="I4135" t="s">
        <v>5</v>
      </c>
      <c r="J4135">
        <v>98.56</v>
      </c>
      <c r="K4135">
        <v>17.5</v>
      </c>
      <c r="L4135" t="s">
        <v>14</v>
      </c>
      <c r="M4135">
        <v>0</v>
      </c>
      <c r="N4135" t="str">
        <f t="shared" si="192"/>
        <v>Under 40</v>
      </c>
      <c r="O4135" t="str">
        <f t="shared" si="193"/>
        <v>Underweight</v>
      </c>
    </row>
    <row r="4136" spans="1:15" x14ac:dyDescent="0.3">
      <c r="A4136">
        <v>18178</v>
      </c>
      <c r="B4136" t="s">
        <v>7</v>
      </c>
      <c r="C4136">
        <v>48</v>
      </c>
      <c r="D4136">
        <v>0</v>
      </c>
      <c r="E4136">
        <v>0</v>
      </c>
      <c r="F4136" t="str">
        <f t="shared" si="194"/>
        <v>Lower Risk</v>
      </c>
      <c r="G4136" t="s">
        <v>3</v>
      </c>
      <c r="H4136" t="s">
        <v>4</v>
      </c>
      <c r="I4136" t="s">
        <v>5</v>
      </c>
      <c r="J4136">
        <v>86.06</v>
      </c>
      <c r="K4136">
        <v>36.200000000000003</v>
      </c>
      <c r="L4136" t="s">
        <v>11</v>
      </c>
      <c r="M4136">
        <v>0</v>
      </c>
      <c r="N4136" t="str">
        <f t="shared" si="192"/>
        <v>40–59</v>
      </c>
      <c r="O4136" t="str">
        <f t="shared" si="193"/>
        <v>Obese</v>
      </c>
    </row>
    <row r="4137" spans="1:15" x14ac:dyDescent="0.3">
      <c r="A4137">
        <v>51823</v>
      </c>
      <c r="B4137" t="s">
        <v>2</v>
      </c>
      <c r="C4137">
        <v>72</v>
      </c>
      <c r="D4137">
        <v>0</v>
      </c>
      <c r="E4137">
        <v>0</v>
      </c>
      <c r="F4137" t="str">
        <f t="shared" si="194"/>
        <v>Moderate Risk</v>
      </c>
      <c r="G4137" t="s">
        <v>3</v>
      </c>
      <c r="H4137" t="s">
        <v>8</v>
      </c>
      <c r="I4137" t="s">
        <v>5</v>
      </c>
      <c r="J4137">
        <v>123.08</v>
      </c>
      <c r="K4137">
        <v>25.4</v>
      </c>
      <c r="L4137" t="s">
        <v>12</v>
      </c>
      <c r="M4137">
        <v>0</v>
      </c>
      <c r="N4137" t="str">
        <f t="shared" si="192"/>
        <v>60+</v>
      </c>
      <c r="O4137" t="str">
        <f t="shared" si="193"/>
        <v>Overweight</v>
      </c>
    </row>
    <row r="4138" spans="1:15" x14ac:dyDescent="0.3">
      <c r="A4138">
        <v>23439</v>
      </c>
      <c r="B4138" t="s">
        <v>2</v>
      </c>
      <c r="C4138">
        <v>63</v>
      </c>
      <c r="D4138">
        <v>0</v>
      </c>
      <c r="E4138">
        <v>1</v>
      </c>
      <c r="F4138" t="str">
        <f t="shared" si="194"/>
        <v>High Risk</v>
      </c>
      <c r="G4138" t="s">
        <v>13</v>
      </c>
      <c r="H4138" t="s">
        <v>4</v>
      </c>
      <c r="I4138" t="s">
        <v>5</v>
      </c>
      <c r="J4138">
        <v>75</v>
      </c>
      <c r="K4138">
        <v>25.7</v>
      </c>
      <c r="L4138" t="s">
        <v>12</v>
      </c>
      <c r="M4138">
        <v>0</v>
      </c>
      <c r="N4138" t="str">
        <f t="shared" si="192"/>
        <v>60+</v>
      </c>
      <c r="O4138" t="str">
        <f t="shared" si="193"/>
        <v>Overweight</v>
      </c>
    </row>
    <row r="4139" spans="1:15" x14ac:dyDescent="0.3">
      <c r="A4139">
        <v>12594</v>
      </c>
      <c r="B4139" t="s">
        <v>7</v>
      </c>
      <c r="C4139">
        <v>28</v>
      </c>
      <c r="D4139">
        <v>0</v>
      </c>
      <c r="E4139">
        <v>0</v>
      </c>
      <c r="F4139" t="str">
        <f t="shared" si="194"/>
        <v>Lower Risk</v>
      </c>
      <c r="G4139" t="s">
        <v>3</v>
      </c>
      <c r="H4139" t="s">
        <v>4</v>
      </c>
      <c r="I4139" t="s">
        <v>9</v>
      </c>
      <c r="J4139">
        <v>105.9</v>
      </c>
      <c r="K4139">
        <v>28.6</v>
      </c>
      <c r="L4139" t="s">
        <v>12</v>
      </c>
      <c r="M4139">
        <v>0</v>
      </c>
      <c r="N4139" t="str">
        <f t="shared" si="192"/>
        <v>Under 40</v>
      </c>
      <c r="O4139" t="str">
        <f t="shared" si="193"/>
        <v>Overweight</v>
      </c>
    </row>
    <row r="4140" spans="1:15" x14ac:dyDescent="0.3">
      <c r="A4140">
        <v>2692</v>
      </c>
      <c r="B4140" t="s">
        <v>7</v>
      </c>
      <c r="C4140">
        <v>80</v>
      </c>
      <c r="D4140">
        <v>0</v>
      </c>
      <c r="E4140">
        <v>0</v>
      </c>
      <c r="F4140" t="str">
        <f t="shared" si="194"/>
        <v>Moderate Risk</v>
      </c>
      <c r="G4140" t="s">
        <v>3</v>
      </c>
      <c r="H4140" t="s">
        <v>8</v>
      </c>
      <c r="I4140" t="s">
        <v>5</v>
      </c>
      <c r="J4140">
        <v>73.87</v>
      </c>
      <c r="K4140">
        <v>33.700000000000003</v>
      </c>
      <c r="L4140" t="s">
        <v>11</v>
      </c>
      <c r="M4140">
        <v>0</v>
      </c>
      <c r="N4140" t="str">
        <f t="shared" si="192"/>
        <v>60+</v>
      </c>
      <c r="O4140" t="str">
        <f t="shared" si="193"/>
        <v>Obese</v>
      </c>
    </row>
    <row r="4141" spans="1:15" x14ac:dyDescent="0.3">
      <c r="A4141">
        <v>26062</v>
      </c>
      <c r="B4141" t="s">
        <v>2</v>
      </c>
      <c r="C4141">
        <v>49</v>
      </c>
      <c r="D4141">
        <v>0</v>
      </c>
      <c r="E4141">
        <v>0</v>
      </c>
      <c r="F4141" t="str">
        <f t="shared" si="194"/>
        <v>Lower Risk</v>
      </c>
      <c r="G4141" t="s">
        <v>3</v>
      </c>
      <c r="H4141" t="s">
        <v>4</v>
      </c>
      <c r="I4141" t="s">
        <v>9</v>
      </c>
      <c r="J4141">
        <v>78.040000000000006</v>
      </c>
      <c r="K4141">
        <v>37.9</v>
      </c>
      <c r="L4141" t="s">
        <v>11</v>
      </c>
      <c r="M4141">
        <v>0</v>
      </c>
      <c r="N4141" t="str">
        <f t="shared" si="192"/>
        <v>40–59</v>
      </c>
      <c r="O4141" t="str">
        <f t="shared" si="193"/>
        <v>Obese</v>
      </c>
    </row>
    <row r="4142" spans="1:15" x14ac:dyDescent="0.3">
      <c r="A4142">
        <v>6805</v>
      </c>
      <c r="B4142" t="s">
        <v>2</v>
      </c>
      <c r="C4142">
        <v>57</v>
      </c>
      <c r="D4142">
        <v>0</v>
      </c>
      <c r="E4142">
        <v>0</v>
      </c>
      <c r="F4142" t="str">
        <f t="shared" si="194"/>
        <v>Lower Risk</v>
      </c>
      <c r="G4142" t="s">
        <v>13</v>
      </c>
      <c r="H4142" t="s">
        <v>4</v>
      </c>
      <c r="I4142" t="s">
        <v>5</v>
      </c>
      <c r="J4142">
        <v>107.74</v>
      </c>
      <c r="K4142">
        <v>28.4</v>
      </c>
      <c r="L4142" t="s">
        <v>14</v>
      </c>
      <c r="M4142">
        <v>0</v>
      </c>
      <c r="N4142" t="str">
        <f t="shared" si="192"/>
        <v>40–59</v>
      </c>
      <c r="O4142" t="str">
        <f t="shared" si="193"/>
        <v>Overweight</v>
      </c>
    </row>
    <row r="4143" spans="1:15" x14ac:dyDescent="0.3">
      <c r="A4143">
        <v>45817</v>
      </c>
      <c r="B4143" t="s">
        <v>7</v>
      </c>
      <c r="C4143">
        <v>59</v>
      </c>
      <c r="D4143">
        <v>0</v>
      </c>
      <c r="E4143">
        <v>0</v>
      </c>
      <c r="F4143" t="str">
        <f t="shared" si="194"/>
        <v>Lower Risk</v>
      </c>
      <c r="G4143" t="s">
        <v>3</v>
      </c>
      <c r="H4143" t="s">
        <v>4</v>
      </c>
      <c r="I4143" t="s">
        <v>9</v>
      </c>
      <c r="J4143">
        <v>60.64</v>
      </c>
      <c r="K4143">
        <v>20</v>
      </c>
      <c r="L4143" t="s">
        <v>11</v>
      </c>
      <c r="M4143">
        <v>0</v>
      </c>
      <c r="N4143" t="str">
        <f t="shared" si="192"/>
        <v>40–59</v>
      </c>
      <c r="O4143" t="str">
        <f t="shared" si="193"/>
        <v>Normal</v>
      </c>
    </row>
    <row r="4144" spans="1:15" x14ac:dyDescent="0.3">
      <c r="A4144">
        <v>66306</v>
      </c>
      <c r="B4144" t="s">
        <v>7</v>
      </c>
      <c r="C4144">
        <v>43</v>
      </c>
      <c r="D4144">
        <v>0</v>
      </c>
      <c r="E4144">
        <v>0</v>
      </c>
      <c r="F4144" t="str">
        <f t="shared" si="194"/>
        <v>Lower Risk</v>
      </c>
      <c r="G4144" t="s">
        <v>3</v>
      </c>
      <c r="H4144" t="s">
        <v>4</v>
      </c>
      <c r="I4144" t="s">
        <v>9</v>
      </c>
      <c r="J4144">
        <v>82.57</v>
      </c>
      <c r="K4144">
        <v>29.1</v>
      </c>
      <c r="L4144" t="s">
        <v>11</v>
      </c>
      <c r="M4144">
        <v>0</v>
      </c>
      <c r="N4144" t="str">
        <f t="shared" si="192"/>
        <v>40–59</v>
      </c>
      <c r="O4144" t="str">
        <f t="shared" si="193"/>
        <v>Overweight</v>
      </c>
    </row>
    <row r="4145" spans="1:15" x14ac:dyDescent="0.3">
      <c r="A4145">
        <v>62167</v>
      </c>
      <c r="B4145" t="s">
        <v>7</v>
      </c>
      <c r="C4145">
        <v>47</v>
      </c>
      <c r="D4145">
        <v>0</v>
      </c>
      <c r="E4145">
        <v>0</v>
      </c>
      <c r="F4145" t="str">
        <f t="shared" si="194"/>
        <v>Lower Risk</v>
      </c>
      <c r="G4145" t="s">
        <v>3</v>
      </c>
      <c r="H4145" t="s">
        <v>4</v>
      </c>
      <c r="I4145" t="s">
        <v>9</v>
      </c>
      <c r="J4145">
        <v>115.98</v>
      </c>
      <c r="K4145">
        <v>27.6</v>
      </c>
      <c r="L4145" t="s">
        <v>14</v>
      </c>
      <c r="M4145">
        <v>0</v>
      </c>
      <c r="N4145" t="str">
        <f t="shared" si="192"/>
        <v>40–59</v>
      </c>
      <c r="O4145" t="str">
        <f t="shared" si="193"/>
        <v>Overweight</v>
      </c>
    </row>
    <row r="4146" spans="1:15" x14ac:dyDescent="0.3">
      <c r="A4146">
        <v>16627</v>
      </c>
      <c r="B4146" t="s">
        <v>2</v>
      </c>
      <c r="C4146">
        <v>54</v>
      </c>
      <c r="D4146">
        <v>0</v>
      </c>
      <c r="E4146">
        <v>0</v>
      </c>
      <c r="F4146" t="str">
        <f t="shared" si="194"/>
        <v>Lower Risk</v>
      </c>
      <c r="G4146" t="s">
        <v>3</v>
      </c>
      <c r="H4146" t="s">
        <v>8</v>
      </c>
      <c r="I4146" t="s">
        <v>9</v>
      </c>
      <c r="J4146">
        <v>110.38</v>
      </c>
      <c r="K4146">
        <v>27.6</v>
      </c>
      <c r="L4146" t="s">
        <v>6</v>
      </c>
      <c r="M4146">
        <v>0</v>
      </c>
      <c r="N4146" t="str">
        <f t="shared" si="192"/>
        <v>40–59</v>
      </c>
      <c r="O4146" t="str">
        <f t="shared" si="193"/>
        <v>Overweight</v>
      </c>
    </row>
    <row r="4147" spans="1:15" x14ac:dyDescent="0.3">
      <c r="A4147">
        <v>34285</v>
      </c>
      <c r="B4147" t="s">
        <v>2</v>
      </c>
      <c r="C4147">
        <v>57</v>
      </c>
      <c r="D4147">
        <v>0</v>
      </c>
      <c r="E4147">
        <v>0</v>
      </c>
      <c r="F4147" t="str">
        <f t="shared" si="194"/>
        <v>Lower Risk</v>
      </c>
      <c r="G4147" t="s">
        <v>3</v>
      </c>
      <c r="H4147" t="s">
        <v>4</v>
      </c>
      <c r="I4147" t="s">
        <v>9</v>
      </c>
      <c r="J4147">
        <v>92.59</v>
      </c>
      <c r="K4147">
        <v>24.2</v>
      </c>
      <c r="L4147" t="s">
        <v>14</v>
      </c>
      <c r="M4147">
        <v>0</v>
      </c>
      <c r="N4147" t="str">
        <f t="shared" si="192"/>
        <v>40–59</v>
      </c>
      <c r="O4147" t="str">
        <f t="shared" si="193"/>
        <v>Normal</v>
      </c>
    </row>
    <row r="4148" spans="1:15" x14ac:dyDescent="0.3">
      <c r="A4148">
        <v>71151</v>
      </c>
      <c r="B4148" t="s">
        <v>2</v>
      </c>
      <c r="C4148">
        <v>56</v>
      </c>
      <c r="D4148">
        <v>0</v>
      </c>
      <c r="E4148">
        <v>0</v>
      </c>
      <c r="F4148" t="str">
        <f t="shared" si="194"/>
        <v>Lower Risk</v>
      </c>
      <c r="G4148" t="s">
        <v>3</v>
      </c>
      <c r="H4148" t="s">
        <v>4</v>
      </c>
      <c r="I4148" t="s">
        <v>5</v>
      </c>
      <c r="J4148">
        <v>82.64</v>
      </c>
      <c r="K4148">
        <v>31</v>
      </c>
      <c r="L4148" t="s">
        <v>11</v>
      </c>
      <c r="M4148">
        <v>0</v>
      </c>
      <c r="N4148" t="str">
        <f t="shared" si="192"/>
        <v>40–59</v>
      </c>
      <c r="O4148" t="str">
        <f t="shared" si="193"/>
        <v>Obese</v>
      </c>
    </row>
    <row r="4149" spans="1:15" x14ac:dyDescent="0.3">
      <c r="A4149">
        <v>2580</v>
      </c>
      <c r="B4149" t="s">
        <v>2</v>
      </c>
      <c r="C4149">
        <v>66</v>
      </c>
      <c r="D4149">
        <v>0</v>
      </c>
      <c r="E4149">
        <v>1</v>
      </c>
      <c r="F4149" t="str">
        <f t="shared" si="194"/>
        <v>High Risk</v>
      </c>
      <c r="G4149" t="s">
        <v>13</v>
      </c>
      <c r="H4149" t="s">
        <v>15</v>
      </c>
      <c r="I4149" t="s">
        <v>5</v>
      </c>
      <c r="J4149">
        <v>70.28</v>
      </c>
      <c r="K4149">
        <v>34.5</v>
      </c>
      <c r="L4149" t="s">
        <v>11</v>
      </c>
      <c r="M4149">
        <v>0</v>
      </c>
      <c r="N4149" t="str">
        <f t="shared" si="192"/>
        <v>60+</v>
      </c>
      <c r="O4149" t="str">
        <f t="shared" si="193"/>
        <v>Obese</v>
      </c>
    </row>
    <row r="4150" spans="1:15" x14ac:dyDescent="0.3">
      <c r="A4150">
        <v>11891</v>
      </c>
      <c r="B4150" t="s">
        <v>2</v>
      </c>
      <c r="C4150">
        <v>18</v>
      </c>
      <c r="D4150">
        <v>0</v>
      </c>
      <c r="E4150">
        <v>0</v>
      </c>
      <c r="F4150" t="str">
        <f t="shared" si="194"/>
        <v>Lower Risk</v>
      </c>
      <c r="G4150" t="s">
        <v>13</v>
      </c>
      <c r="H4150" t="s">
        <v>15</v>
      </c>
      <c r="I4150" t="s">
        <v>5</v>
      </c>
      <c r="J4150">
        <v>106.54</v>
      </c>
      <c r="K4150">
        <v>27</v>
      </c>
      <c r="L4150" t="s">
        <v>11</v>
      </c>
      <c r="M4150">
        <v>0</v>
      </c>
      <c r="N4150" t="str">
        <f t="shared" si="192"/>
        <v>Under 40</v>
      </c>
      <c r="O4150" t="str">
        <f t="shared" si="193"/>
        <v>Overweight</v>
      </c>
    </row>
    <row r="4151" spans="1:15" x14ac:dyDescent="0.3">
      <c r="A4151">
        <v>57080</v>
      </c>
      <c r="B4151" t="s">
        <v>7</v>
      </c>
      <c r="C4151">
        <v>81</v>
      </c>
      <c r="D4151">
        <v>1</v>
      </c>
      <c r="E4151">
        <v>1</v>
      </c>
      <c r="F4151" t="str">
        <f t="shared" si="194"/>
        <v>High Risk</v>
      </c>
      <c r="G4151" t="s">
        <v>3</v>
      </c>
      <c r="H4151" t="s">
        <v>8</v>
      </c>
      <c r="I4151" t="s">
        <v>5</v>
      </c>
      <c r="J4151">
        <v>59.11</v>
      </c>
      <c r="K4151">
        <v>20.7</v>
      </c>
      <c r="L4151" t="s">
        <v>6</v>
      </c>
      <c r="M4151">
        <v>0</v>
      </c>
      <c r="N4151" t="str">
        <f t="shared" si="192"/>
        <v>60+</v>
      </c>
      <c r="O4151" t="str">
        <f t="shared" si="193"/>
        <v>Normal</v>
      </c>
    </row>
    <row r="4152" spans="1:15" x14ac:dyDescent="0.3">
      <c r="A4152">
        <v>47456</v>
      </c>
      <c r="B4152" t="s">
        <v>2</v>
      </c>
      <c r="C4152">
        <v>30</v>
      </c>
      <c r="D4152">
        <v>0</v>
      </c>
      <c r="E4152">
        <v>0</v>
      </c>
      <c r="F4152" t="str">
        <f t="shared" si="194"/>
        <v>Lower Risk</v>
      </c>
      <c r="G4152" t="s">
        <v>3</v>
      </c>
      <c r="H4152" t="s">
        <v>4</v>
      </c>
      <c r="I4152" t="s">
        <v>9</v>
      </c>
      <c r="J4152">
        <v>58.89</v>
      </c>
      <c r="K4152">
        <v>26.1</v>
      </c>
      <c r="L4152" t="s">
        <v>6</v>
      </c>
      <c r="M4152">
        <v>0</v>
      </c>
      <c r="N4152" t="str">
        <f t="shared" si="192"/>
        <v>Under 40</v>
      </c>
      <c r="O4152" t="str">
        <f t="shared" si="193"/>
        <v>Overweight</v>
      </c>
    </row>
    <row r="4153" spans="1:15" x14ac:dyDescent="0.3">
      <c r="A4153">
        <v>56139</v>
      </c>
      <c r="B4153" t="s">
        <v>2</v>
      </c>
      <c r="C4153">
        <v>8</v>
      </c>
      <c r="D4153">
        <v>0</v>
      </c>
      <c r="E4153">
        <v>0</v>
      </c>
      <c r="F4153" t="str">
        <f t="shared" si="194"/>
        <v>Lower Risk</v>
      </c>
      <c r="G4153" t="s">
        <v>13</v>
      </c>
      <c r="H4153" t="s">
        <v>16</v>
      </c>
      <c r="I4153" t="s">
        <v>5</v>
      </c>
      <c r="J4153">
        <v>129.66</v>
      </c>
      <c r="K4153">
        <v>19.2</v>
      </c>
      <c r="L4153" t="s">
        <v>14</v>
      </c>
      <c r="M4153">
        <v>0</v>
      </c>
      <c r="N4153" t="str">
        <f t="shared" si="192"/>
        <v>Under 40</v>
      </c>
      <c r="O4153" t="str">
        <f t="shared" si="193"/>
        <v>Normal</v>
      </c>
    </row>
    <row r="4154" spans="1:15" x14ac:dyDescent="0.3">
      <c r="A4154">
        <v>12857</v>
      </c>
      <c r="B4154" t="s">
        <v>2</v>
      </c>
      <c r="C4154">
        <v>55</v>
      </c>
      <c r="D4154">
        <v>0</v>
      </c>
      <c r="E4154">
        <v>0</v>
      </c>
      <c r="F4154" t="str">
        <f t="shared" si="194"/>
        <v>Lower Risk</v>
      </c>
      <c r="G4154" t="s">
        <v>3</v>
      </c>
      <c r="H4154" t="s">
        <v>8</v>
      </c>
      <c r="I4154" t="s">
        <v>9</v>
      </c>
      <c r="J4154">
        <v>73.569999999999993</v>
      </c>
      <c r="K4154">
        <v>28</v>
      </c>
      <c r="L4154" t="s">
        <v>12</v>
      </c>
      <c r="M4154">
        <v>0</v>
      </c>
      <c r="N4154" t="str">
        <f t="shared" si="192"/>
        <v>40–59</v>
      </c>
      <c r="O4154" t="str">
        <f t="shared" si="193"/>
        <v>Overweight</v>
      </c>
    </row>
    <row r="4155" spans="1:15" x14ac:dyDescent="0.3">
      <c r="A4155">
        <v>40980</v>
      </c>
      <c r="B4155" t="s">
        <v>2</v>
      </c>
      <c r="C4155">
        <v>79</v>
      </c>
      <c r="D4155">
        <v>1</v>
      </c>
      <c r="E4155">
        <v>0</v>
      </c>
      <c r="F4155" t="str">
        <f t="shared" si="194"/>
        <v>High Risk</v>
      </c>
      <c r="G4155" t="s">
        <v>3</v>
      </c>
      <c r="H4155" t="s">
        <v>8</v>
      </c>
      <c r="I4155" t="s">
        <v>5</v>
      </c>
      <c r="J4155">
        <v>72.040000000000006</v>
      </c>
      <c r="K4155">
        <v>23.6</v>
      </c>
      <c r="L4155" t="s">
        <v>6</v>
      </c>
      <c r="M4155">
        <v>0</v>
      </c>
      <c r="N4155" t="str">
        <f t="shared" si="192"/>
        <v>60+</v>
      </c>
      <c r="O4155" t="str">
        <f t="shared" si="193"/>
        <v>Normal</v>
      </c>
    </row>
    <row r="4156" spans="1:15" x14ac:dyDescent="0.3">
      <c r="A4156">
        <v>47668</v>
      </c>
      <c r="B4156" t="s">
        <v>7</v>
      </c>
      <c r="C4156">
        <v>49</v>
      </c>
      <c r="D4156">
        <v>0</v>
      </c>
      <c r="E4156">
        <v>0</v>
      </c>
      <c r="F4156" t="str">
        <f t="shared" si="194"/>
        <v>Lower Risk</v>
      </c>
      <c r="G4156" t="s">
        <v>3</v>
      </c>
      <c r="H4156" t="s">
        <v>4</v>
      </c>
      <c r="I4156" t="s">
        <v>9</v>
      </c>
      <c r="J4156">
        <v>125.63</v>
      </c>
      <c r="K4156">
        <v>57.2</v>
      </c>
      <c r="L4156" t="s">
        <v>14</v>
      </c>
      <c r="M4156">
        <v>0</v>
      </c>
      <c r="N4156" t="str">
        <f t="shared" si="192"/>
        <v>40–59</v>
      </c>
      <c r="O4156" t="str">
        <f t="shared" si="193"/>
        <v>Obese</v>
      </c>
    </row>
    <row r="4157" spans="1:15" x14ac:dyDescent="0.3">
      <c r="A4157">
        <v>72792</v>
      </c>
      <c r="B4157" t="s">
        <v>7</v>
      </c>
      <c r="C4157">
        <v>53</v>
      </c>
      <c r="D4157">
        <v>1</v>
      </c>
      <c r="E4157">
        <v>0</v>
      </c>
      <c r="F4157" t="str">
        <f t="shared" si="194"/>
        <v>Lower Risk</v>
      </c>
      <c r="G4157" t="s">
        <v>3</v>
      </c>
      <c r="H4157" t="s">
        <v>4</v>
      </c>
      <c r="I4157" t="s">
        <v>9</v>
      </c>
      <c r="J4157">
        <v>77.94</v>
      </c>
      <c r="K4157">
        <v>33</v>
      </c>
      <c r="L4157" t="s">
        <v>11</v>
      </c>
      <c r="M4157">
        <v>0</v>
      </c>
      <c r="N4157" t="str">
        <f t="shared" si="192"/>
        <v>40–59</v>
      </c>
      <c r="O4157" t="str">
        <f t="shared" si="193"/>
        <v>Obese</v>
      </c>
    </row>
    <row r="4158" spans="1:15" x14ac:dyDescent="0.3">
      <c r="A4158">
        <v>37728</v>
      </c>
      <c r="B4158" t="s">
        <v>7</v>
      </c>
      <c r="C4158">
        <v>26</v>
      </c>
      <c r="D4158">
        <v>0</v>
      </c>
      <c r="E4158">
        <v>0</v>
      </c>
      <c r="F4158" t="str">
        <f t="shared" si="194"/>
        <v>Lower Risk</v>
      </c>
      <c r="G4158" t="s">
        <v>3</v>
      </c>
      <c r="H4158" t="s">
        <v>4</v>
      </c>
      <c r="I4158" t="s">
        <v>5</v>
      </c>
      <c r="J4158">
        <v>68.989999999999995</v>
      </c>
      <c r="K4158">
        <v>22.2</v>
      </c>
      <c r="L4158" t="s">
        <v>11</v>
      </c>
      <c r="M4158">
        <v>0</v>
      </c>
      <c r="N4158" t="str">
        <f t="shared" si="192"/>
        <v>Under 40</v>
      </c>
      <c r="O4158" t="str">
        <f t="shared" si="193"/>
        <v>Normal</v>
      </c>
    </row>
    <row r="4159" spans="1:15" x14ac:dyDescent="0.3">
      <c r="A4159">
        <v>47410</v>
      </c>
      <c r="B4159" t="s">
        <v>7</v>
      </c>
      <c r="C4159">
        <v>14</v>
      </c>
      <c r="D4159">
        <v>0</v>
      </c>
      <c r="E4159">
        <v>0</v>
      </c>
      <c r="F4159" t="str">
        <f t="shared" si="194"/>
        <v>Lower Risk</v>
      </c>
      <c r="G4159" t="s">
        <v>13</v>
      </c>
      <c r="H4159" t="s">
        <v>16</v>
      </c>
      <c r="I4159" t="s">
        <v>9</v>
      </c>
      <c r="J4159">
        <v>111.76</v>
      </c>
      <c r="K4159">
        <v>24.8</v>
      </c>
      <c r="L4159" t="s">
        <v>14</v>
      </c>
      <c r="M4159">
        <v>0</v>
      </c>
      <c r="N4159" t="str">
        <f t="shared" si="192"/>
        <v>Under 40</v>
      </c>
      <c r="O4159" t="str">
        <f t="shared" si="193"/>
        <v>Normal</v>
      </c>
    </row>
    <row r="4160" spans="1:15" x14ac:dyDescent="0.3">
      <c r="A4160">
        <v>56450</v>
      </c>
      <c r="B4160" t="s">
        <v>2</v>
      </c>
      <c r="C4160">
        <v>25</v>
      </c>
      <c r="D4160">
        <v>0</v>
      </c>
      <c r="E4160">
        <v>0</v>
      </c>
      <c r="F4160" t="str">
        <f t="shared" si="194"/>
        <v>Lower Risk</v>
      </c>
      <c r="G4160" t="s">
        <v>13</v>
      </c>
      <c r="H4160" t="s">
        <v>4</v>
      </c>
      <c r="I4160" t="s">
        <v>9</v>
      </c>
      <c r="J4160">
        <v>65.36</v>
      </c>
      <c r="K4160">
        <v>24.7</v>
      </c>
      <c r="L4160" t="s">
        <v>11</v>
      </c>
      <c r="M4160">
        <v>0</v>
      </c>
      <c r="N4160" t="str">
        <f t="shared" si="192"/>
        <v>Under 40</v>
      </c>
      <c r="O4160" t="str">
        <f t="shared" si="193"/>
        <v>Normal</v>
      </c>
    </row>
    <row r="4161" spans="1:15" x14ac:dyDescent="0.3">
      <c r="A4161">
        <v>9189</v>
      </c>
      <c r="B4161" t="s">
        <v>7</v>
      </c>
      <c r="C4161">
        <v>20</v>
      </c>
      <c r="D4161">
        <v>0</v>
      </c>
      <c r="E4161">
        <v>0</v>
      </c>
      <c r="F4161" t="str">
        <f t="shared" si="194"/>
        <v>Lower Risk</v>
      </c>
      <c r="G4161" t="s">
        <v>13</v>
      </c>
      <c r="H4161" t="s">
        <v>4</v>
      </c>
      <c r="I4161" t="s">
        <v>5</v>
      </c>
      <c r="J4161">
        <v>80.27</v>
      </c>
      <c r="K4161">
        <v>27.9</v>
      </c>
      <c r="L4161" t="s">
        <v>11</v>
      </c>
      <c r="M4161">
        <v>0</v>
      </c>
      <c r="N4161" t="str">
        <f t="shared" si="192"/>
        <v>Under 40</v>
      </c>
      <c r="O4161" t="str">
        <f t="shared" si="193"/>
        <v>Overweight</v>
      </c>
    </row>
    <row r="4162" spans="1:15" x14ac:dyDescent="0.3">
      <c r="A4162">
        <v>71966</v>
      </c>
      <c r="B4162" t="s">
        <v>7</v>
      </c>
      <c r="C4162">
        <v>18</v>
      </c>
      <c r="D4162">
        <v>0</v>
      </c>
      <c r="E4162">
        <v>0</v>
      </c>
      <c r="F4162" t="str">
        <f t="shared" si="194"/>
        <v>Lower Risk</v>
      </c>
      <c r="G4162" t="s">
        <v>13</v>
      </c>
      <c r="H4162" t="s">
        <v>17</v>
      </c>
      <c r="I4162" t="s">
        <v>5</v>
      </c>
      <c r="J4162">
        <v>81.73</v>
      </c>
      <c r="K4162">
        <v>21.6</v>
      </c>
      <c r="L4162" t="s">
        <v>11</v>
      </c>
      <c r="M4162">
        <v>0</v>
      </c>
      <c r="N4162" t="str">
        <f t="shared" ref="N4162:N4225" si="195">IF(C4162&lt;40,"Under 40",IF(C4162&lt;60,"40–59","60+"))</f>
        <v>Under 40</v>
      </c>
      <c r="O4162" t="str">
        <f t="shared" ref="O4162:O4225" si="196">IF(K4162="N/A","Unknown",
IF(K4162="","Unknown",
IF(K4162&lt;18.5,"Underweight",
IF(K4162&lt;25,"Normal",
IF(K4162&lt;30,"Overweight","Obese")))))</f>
        <v>Normal</v>
      </c>
    </row>
    <row r="4163" spans="1:15" x14ac:dyDescent="0.3">
      <c r="A4163">
        <v>59272</v>
      </c>
      <c r="B4163" t="s">
        <v>2</v>
      </c>
      <c r="C4163">
        <v>38</v>
      </c>
      <c r="D4163">
        <v>0</v>
      </c>
      <c r="E4163">
        <v>0</v>
      </c>
      <c r="F4163" t="str">
        <f t="shared" ref="F4163:F4226" si="197">IF(C4163&gt;=60,
IF(OR(D4163=1,E4163=1),"High Risk","Moderate Risk"),
"Lower Risk")</f>
        <v>Lower Risk</v>
      </c>
      <c r="G4163" t="s">
        <v>3</v>
      </c>
      <c r="H4163" t="s">
        <v>4</v>
      </c>
      <c r="I4163" t="s">
        <v>9</v>
      </c>
      <c r="J4163">
        <v>79.22</v>
      </c>
      <c r="K4163">
        <v>34.799999999999997</v>
      </c>
      <c r="L4163" t="s">
        <v>12</v>
      </c>
      <c r="M4163">
        <v>0</v>
      </c>
      <c r="N4163" t="str">
        <f t="shared" si="195"/>
        <v>Under 40</v>
      </c>
      <c r="O4163" t="str">
        <f t="shared" si="196"/>
        <v>Obese</v>
      </c>
    </row>
    <row r="4164" spans="1:15" x14ac:dyDescent="0.3">
      <c r="A4164">
        <v>45563</v>
      </c>
      <c r="B4164" t="s">
        <v>7</v>
      </c>
      <c r="C4164">
        <v>72</v>
      </c>
      <c r="D4164">
        <v>0</v>
      </c>
      <c r="E4164">
        <v>1</v>
      </c>
      <c r="F4164" t="str">
        <f t="shared" si="197"/>
        <v>High Risk</v>
      </c>
      <c r="G4164" t="s">
        <v>3</v>
      </c>
      <c r="H4164" t="s">
        <v>8</v>
      </c>
      <c r="I4164" t="s">
        <v>5</v>
      </c>
      <c r="J4164">
        <v>142.63</v>
      </c>
      <c r="K4164">
        <v>32.9</v>
      </c>
      <c r="L4164" t="s">
        <v>12</v>
      </c>
      <c r="M4164">
        <v>0</v>
      </c>
      <c r="N4164" t="str">
        <f t="shared" si="195"/>
        <v>60+</v>
      </c>
      <c r="O4164" t="str">
        <f t="shared" si="196"/>
        <v>Obese</v>
      </c>
    </row>
    <row r="4165" spans="1:15" x14ac:dyDescent="0.3">
      <c r="A4165">
        <v>19907</v>
      </c>
      <c r="B4165" t="s">
        <v>7</v>
      </c>
      <c r="C4165">
        <v>52</v>
      </c>
      <c r="D4165">
        <v>0</v>
      </c>
      <c r="E4165">
        <v>0</v>
      </c>
      <c r="F4165" t="str">
        <f t="shared" si="197"/>
        <v>Lower Risk</v>
      </c>
      <c r="G4165" t="s">
        <v>3</v>
      </c>
      <c r="H4165" t="s">
        <v>4</v>
      </c>
      <c r="I4165" t="s">
        <v>9</v>
      </c>
      <c r="J4165">
        <v>97.05</v>
      </c>
      <c r="K4165">
        <v>28</v>
      </c>
      <c r="L4165" t="s">
        <v>14</v>
      </c>
      <c r="M4165">
        <v>0</v>
      </c>
      <c r="N4165" t="str">
        <f t="shared" si="195"/>
        <v>40–59</v>
      </c>
      <c r="O4165" t="str">
        <f t="shared" si="196"/>
        <v>Overweight</v>
      </c>
    </row>
    <row r="4166" spans="1:15" x14ac:dyDescent="0.3">
      <c r="A4166">
        <v>40163</v>
      </c>
      <c r="B4166" t="s">
        <v>7</v>
      </c>
      <c r="C4166">
        <v>82</v>
      </c>
      <c r="D4166">
        <v>1</v>
      </c>
      <c r="E4166">
        <v>0</v>
      </c>
      <c r="F4166" t="str">
        <f t="shared" si="197"/>
        <v>High Risk</v>
      </c>
      <c r="G4166" t="s">
        <v>3</v>
      </c>
      <c r="H4166" t="s">
        <v>4</v>
      </c>
      <c r="I4166" t="s">
        <v>5</v>
      </c>
      <c r="J4166">
        <v>222.52</v>
      </c>
      <c r="K4166" t="s">
        <v>10</v>
      </c>
      <c r="L4166" t="s">
        <v>6</v>
      </c>
      <c r="M4166">
        <v>0</v>
      </c>
      <c r="N4166" t="str">
        <f t="shared" si="195"/>
        <v>60+</v>
      </c>
      <c r="O4166" t="str">
        <f t="shared" si="196"/>
        <v>Unknown</v>
      </c>
    </row>
    <row r="4167" spans="1:15" x14ac:dyDescent="0.3">
      <c r="A4167">
        <v>62738</v>
      </c>
      <c r="B4167" t="s">
        <v>2</v>
      </c>
      <c r="C4167">
        <v>71</v>
      </c>
      <c r="D4167">
        <v>0</v>
      </c>
      <c r="E4167">
        <v>1</v>
      </c>
      <c r="F4167" t="str">
        <f t="shared" si="197"/>
        <v>High Risk</v>
      </c>
      <c r="G4167" t="s">
        <v>3</v>
      </c>
      <c r="H4167" t="s">
        <v>4</v>
      </c>
      <c r="I4167" t="s">
        <v>9</v>
      </c>
      <c r="J4167">
        <v>70.38</v>
      </c>
      <c r="K4167">
        <v>25</v>
      </c>
      <c r="L4167" t="s">
        <v>12</v>
      </c>
      <c r="M4167">
        <v>0</v>
      </c>
      <c r="N4167" t="str">
        <f t="shared" si="195"/>
        <v>60+</v>
      </c>
      <c r="O4167" t="str">
        <f t="shared" si="196"/>
        <v>Overweight</v>
      </c>
    </row>
    <row r="4168" spans="1:15" x14ac:dyDescent="0.3">
      <c r="A4168">
        <v>51651</v>
      </c>
      <c r="B4168" t="s">
        <v>2</v>
      </c>
      <c r="C4168">
        <v>46</v>
      </c>
      <c r="D4168">
        <v>0</v>
      </c>
      <c r="E4168">
        <v>0</v>
      </c>
      <c r="F4168" t="str">
        <f t="shared" si="197"/>
        <v>Lower Risk</v>
      </c>
      <c r="G4168" t="s">
        <v>3</v>
      </c>
      <c r="H4168" t="s">
        <v>4</v>
      </c>
      <c r="I4168" t="s">
        <v>9</v>
      </c>
      <c r="J4168">
        <v>114.46</v>
      </c>
      <c r="K4168">
        <v>24.7</v>
      </c>
      <c r="L4168" t="s">
        <v>6</v>
      </c>
      <c r="M4168">
        <v>0</v>
      </c>
      <c r="N4168" t="str">
        <f t="shared" si="195"/>
        <v>40–59</v>
      </c>
      <c r="O4168" t="str">
        <f t="shared" si="196"/>
        <v>Normal</v>
      </c>
    </row>
    <row r="4169" spans="1:15" x14ac:dyDescent="0.3">
      <c r="A4169">
        <v>39940</v>
      </c>
      <c r="B4169" t="s">
        <v>7</v>
      </c>
      <c r="C4169">
        <v>33</v>
      </c>
      <c r="D4169">
        <v>0</v>
      </c>
      <c r="E4169">
        <v>0</v>
      </c>
      <c r="F4169" t="str">
        <f t="shared" si="197"/>
        <v>Lower Risk</v>
      </c>
      <c r="G4169" t="s">
        <v>3</v>
      </c>
      <c r="H4169" t="s">
        <v>4</v>
      </c>
      <c r="I4169" t="s">
        <v>5</v>
      </c>
      <c r="J4169">
        <v>64.62</v>
      </c>
      <c r="K4169">
        <v>27.3</v>
      </c>
      <c r="L4169" t="s">
        <v>11</v>
      </c>
      <c r="M4169">
        <v>0</v>
      </c>
      <c r="N4169" t="str">
        <f t="shared" si="195"/>
        <v>Under 40</v>
      </c>
      <c r="O4169" t="str">
        <f t="shared" si="196"/>
        <v>Overweight</v>
      </c>
    </row>
    <row r="4170" spans="1:15" x14ac:dyDescent="0.3">
      <c r="A4170">
        <v>8122</v>
      </c>
      <c r="B4170" t="s">
        <v>7</v>
      </c>
      <c r="C4170">
        <v>37</v>
      </c>
      <c r="D4170">
        <v>0</v>
      </c>
      <c r="E4170">
        <v>0</v>
      </c>
      <c r="F4170" t="str">
        <f t="shared" si="197"/>
        <v>Lower Risk</v>
      </c>
      <c r="G4170" t="s">
        <v>3</v>
      </c>
      <c r="H4170" t="s">
        <v>4</v>
      </c>
      <c r="I4170" t="s">
        <v>5</v>
      </c>
      <c r="J4170">
        <v>94.12</v>
      </c>
      <c r="K4170">
        <v>34.200000000000003</v>
      </c>
      <c r="L4170" t="s">
        <v>14</v>
      </c>
      <c r="M4170">
        <v>0</v>
      </c>
      <c r="N4170" t="str">
        <f t="shared" si="195"/>
        <v>Under 40</v>
      </c>
      <c r="O4170" t="str">
        <f t="shared" si="196"/>
        <v>Obese</v>
      </c>
    </row>
    <row r="4171" spans="1:15" x14ac:dyDescent="0.3">
      <c r="A4171">
        <v>71057</v>
      </c>
      <c r="B4171" t="s">
        <v>7</v>
      </c>
      <c r="C4171">
        <v>54</v>
      </c>
      <c r="D4171">
        <v>0</v>
      </c>
      <c r="E4171">
        <v>0</v>
      </c>
      <c r="F4171" t="str">
        <f t="shared" si="197"/>
        <v>Lower Risk</v>
      </c>
      <c r="G4171" t="s">
        <v>3</v>
      </c>
      <c r="H4171" t="s">
        <v>4</v>
      </c>
      <c r="I4171" t="s">
        <v>9</v>
      </c>
      <c r="J4171">
        <v>70.19</v>
      </c>
      <c r="K4171">
        <v>39.1</v>
      </c>
      <c r="L4171" t="s">
        <v>12</v>
      </c>
      <c r="M4171">
        <v>0</v>
      </c>
      <c r="N4171" t="str">
        <f t="shared" si="195"/>
        <v>40–59</v>
      </c>
      <c r="O4171" t="str">
        <f t="shared" si="196"/>
        <v>Obese</v>
      </c>
    </row>
    <row r="4172" spans="1:15" x14ac:dyDescent="0.3">
      <c r="A4172">
        <v>67921</v>
      </c>
      <c r="B4172" t="s">
        <v>7</v>
      </c>
      <c r="C4172">
        <v>5</v>
      </c>
      <c r="D4172">
        <v>0</v>
      </c>
      <c r="E4172">
        <v>0</v>
      </c>
      <c r="F4172" t="str">
        <f t="shared" si="197"/>
        <v>Lower Risk</v>
      </c>
      <c r="G4172" t="s">
        <v>13</v>
      </c>
      <c r="H4172" t="s">
        <v>16</v>
      </c>
      <c r="I4172" t="s">
        <v>5</v>
      </c>
      <c r="J4172">
        <v>55.35</v>
      </c>
      <c r="K4172">
        <v>22.7</v>
      </c>
      <c r="L4172" t="s">
        <v>14</v>
      </c>
      <c r="M4172">
        <v>0</v>
      </c>
      <c r="N4172" t="str">
        <f t="shared" si="195"/>
        <v>Under 40</v>
      </c>
      <c r="O4172" t="str">
        <f t="shared" si="196"/>
        <v>Normal</v>
      </c>
    </row>
    <row r="4173" spans="1:15" x14ac:dyDescent="0.3">
      <c r="A4173">
        <v>12834</v>
      </c>
      <c r="B4173" t="s">
        <v>2</v>
      </c>
      <c r="C4173">
        <v>45</v>
      </c>
      <c r="D4173">
        <v>0</v>
      </c>
      <c r="E4173">
        <v>0</v>
      </c>
      <c r="F4173" t="str">
        <f t="shared" si="197"/>
        <v>Lower Risk</v>
      </c>
      <c r="G4173" t="s">
        <v>3</v>
      </c>
      <c r="H4173" t="s">
        <v>4</v>
      </c>
      <c r="I4173" t="s">
        <v>5</v>
      </c>
      <c r="J4173">
        <v>115.52</v>
      </c>
      <c r="K4173">
        <v>33.9</v>
      </c>
      <c r="L4173" t="s">
        <v>6</v>
      </c>
      <c r="M4173">
        <v>0</v>
      </c>
      <c r="N4173" t="str">
        <f t="shared" si="195"/>
        <v>40–59</v>
      </c>
      <c r="O4173" t="str">
        <f t="shared" si="196"/>
        <v>Obese</v>
      </c>
    </row>
    <row r="4174" spans="1:15" x14ac:dyDescent="0.3">
      <c r="A4174">
        <v>56567</v>
      </c>
      <c r="B4174" t="s">
        <v>2</v>
      </c>
      <c r="C4174">
        <v>14</v>
      </c>
      <c r="D4174">
        <v>0</v>
      </c>
      <c r="E4174">
        <v>0</v>
      </c>
      <c r="F4174" t="str">
        <f t="shared" si="197"/>
        <v>Lower Risk</v>
      </c>
      <c r="G4174" t="s">
        <v>13</v>
      </c>
      <c r="H4174" t="s">
        <v>16</v>
      </c>
      <c r="I4174" t="s">
        <v>5</v>
      </c>
      <c r="J4174">
        <v>60.7</v>
      </c>
      <c r="K4174">
        <v>18.600000000000001</v>
      </c>
      <c r="L4174" t="s">
        <v>14</v>
      </c>
      <c r="M4174">
        <v>0</v>
      </c>
      <c r="N4174" t="str">
        <f t="shared" si="195"/>
        <v>Under 40</v>
      </c>
      <c r="O4174" t="str">
        <f t="shared" si="196"/>
        <v>Normal</v>
      </c>
    </row>
    <row r="4175" spans="1:15" x14ac:dyDescent="0.3">
      <c r="A4175">
        <v>11872</v>
      </c>
      <c r="B4175" t="s">
        <v>2</v>
      </c>
      <c r="C4175">
        <v>5</v>
      </c>
      <c r="D4175">
        <v>0</v>
      </c>
      <c r="E4175">
        <v>0</v>
      </c>
      <c r="F4175" t="str">
        <f t="shared" si="197"/>
        <v>Lower Risk</v>
      </c>
      <c r="G4175" t="s">
        <v>13</v>
      </c>
      <c r="H4175" t="s">
        <v>16</v>
      </c>
      <c r="I4175" t="s">
        <v>5</v>
      </c>
      <c r="J4175">
        <v>69.239999999999995</v>
      </c>
      <c r="K4175">
        <v>16.7</v>
      </c>
      <c r="L4175" t="s">
        <v>14</v>
      </c>
      <c r="M4175">
        <v>0</v>
      </c>
      <c r="N4175" t="str">
        <f t="shared" si="195"/>
        <v>Under 40</v>
      </c>
      <c r="O4175" t="str">
        <f t="shared" si="196"/>
        <v>Underweight</v>
      </c>
    </row>
    <row r="4176" spans="1:15" x14ac:dyDescent="0.3">
      <c r="A4176">
        <v>6574</v>
      </c>
      <c r="B4176" t="s">
        <v>7</v>
      </c>
      <c r="C4176">
        <v>35</v>
      </c>
      <c r="D4176">
        <v>0</v>
      </c>
      <c r="E4176">
        <v>0</v>
      </c>
      <c r="F4176" t="str">
        <f t="shared" si="197"/>
        <v>Lower Risk</v>
      </c>
      <c r="G4176" t="s">
        <v>3</v>
      </c>
      <c r="H4176" t="s">
        <v>8</v>
      </c>
      <c r="I4176" t="s">
        <v>5</v>
      </c>
      <c r="J4176">
        <v>103.29</v>
      </c>
      <c r="K4176">
        <v>20.6</v>
      </c>
      <c r="L4176" t="s">
        <v>11</v>
      </c>
      <c r="M4176">
        <v>0</v>
      </c>
      <c r="N4176" t="str">
        <f t="shared" si="195"/>
        <v>Under 40</v>
      </c>
      <c r="O4176" t="str">
        <f t="shared" si="196"/>
        <v>Normal</v>
      </c>
    </row>
    <row r="4177" spans="1:15" x14ac:dyDescent="0.3">
      <c r="A4177">
        <v>5294</v>
      </c>
      <c r="B4177" t="s">
        <v>7</v>
      </c>
      <c r="C4177">
        <v>20</v>
      </c>
      <c r="D4177">
        <v>0</v>
      </c>
      <c r="E4177">
        <v>0</v>
      </c>
      <c r="F4177" t="str">
        <f t="shared" si="197"/>
        <v>Lower Risk</v>
      </c>
      <c r="G4177" t="s">
        <v>3</v>
      </c>
      <c r="H4177" t="s">
        <v>4</v>
      </c>
      <c r="I4177" t="s">
        <v>9</v>
      </c>
      <c r="J4177">
        <v>92.74</v>
      </c>
      <c r="K4177">
        <v>20.100000000000001</v>
      </c>
      <c r="L4177" t="s">
        <v>14</v>
      </c>
      <c r="M4177">
        <v>0</v>
      </c>
      <c r="N4177" t="str">
        <f t="shared" si="195"/>
        <v>Under 40</v>
      </c>
      <c r="O4177" t="str">
        <f t="shared" si="196"/>
        <v>Normal</v>
      </c>
    </row>
    <row r="4178" spans="1:15" x14ac:dyDescent="0.3">
      <c r="A4178">
        <v>10870</v>
      </c>
      <c r="B4178" t="s">
        <v>2</v>
      </c>
      <c r="C4178">
        <v>51</v>
      </c>
      <c r="D4178">
        <v>0</v>
      </c>
      <c r="E4178">
        <v>0</v>
      </c>
      <c r="F4178" t="str">
        <f t="shared" si="197"/>
        <v>Lower Risk</v>
      </c>
      <c r="G4178" t="s">
        <v>3</v>
      </c>
      <c r="H4178" t="s">
        <v>4</v>
      </c>
      <c r="I4178" t="s">
        <v>9</v>
      </c>
      <c r="J4178">
        <v>232.64</v>
      </c>
      <c r="K4178">
        <v>45.2</v>
      </c>
      <c r="L4178" t="s">
        <v>11</v>
      </c>
      <c r="M4178">
        <v>0</v>
      </c>
      <c r="N4178" t="str">
        <f t="shared" si="195"/>
        <v>40–59</v>
      </c>
      <c r="O4178" t="str">
        <f t="shared" si="196"/>
        <v>Obese</v>
      </c>
    </row>
    <row r="4179" spans="1:15" x14ac:dyDescent="0.3">
      <c r="A4179">
        <v>15062</v>
      </c>
      <c r="B4179" t="s">
        <v>2</v>
      </c>
      <c r="C4179">
        <v>40</v>
      </c>
      <c r="D4179">
        <v>0</v>
      </c>
      <c r="E4179">
        <v>0</v>
      </c>
      <c r="F4179" t="str">
        <f t="shared" si="197"/>
        <v>Lower Risk</v>
      </c>
      <c r="G4179" t="s">
        <v>3</v>
      </c>
      <c r="H4179" t="s">
        <v>15</v>
      </c>
      <c r="I4179" t="s">
        <v>5</v>
      </c>
      <c r="J4179">
        <v>82.46</v>
      </c>
      <c r="K4179">
        <v>25.3</v>
      </c>
      <c r="L4179" t="s">
        <v>12</v>
      </c>
      <c r="M4179">
        <v>0</v>
      </c>
      <c r="N4179" t="str">
        <f t="shared" si="195"/>
        <v>40–59</v>
      </c>
      <c r="O4179" t="str">
        <f t="shared" si="196"/>
        <v>Overweight</v>
      </c>
    </row>
    <row r="4180" spans="1:15" x14ac:dyDescent="0.3">
      <c r="A4180">
        <v>46454</v>
      </c>
      <c r="B4180" t="s">
        <v>7</v>
      </c>
      <c r="C4180">
        <v>79</v>
      </c>
      <c r="D4180">
        <v>0</v>
      </c>
      <c r="E4180">
        <v>0</v>
      </c>
      <c r="F4180" t="str">
        <f t="shared" si="197"/>
        <v>Moderate Risk</v>
      </c>
      <c r="G4180" t="s">
        <v>3</v>
      </c>
      <c r="H4180" t="s">
        <v>15</v>
      </c>
      <c r="I4180" t="s">
        <v>5</v>
      </c>
      <c r="J4180">
        <v>63.57</v>
      </c>
      <c r="K4180">
        <v>32.4</v>
      </c>
      <c r="L4180" t="s">
        <v>11</v>
      </c>
      <c r="M4180">
        <v>0</v>
      </c>
      <c r="N4180" t="str">
        <f t="shared" si="195"/>
        <v>60+</v>
      </c>
      <c r="O4180" t="str">
        <f t="shared" si="196"/>
        <v>Obese</v>
      </c>
    </row>
    <row r="4181" spans="1:15" x14ac:dyDescent="0.3">
      <c r="A4181">
        <v>31795</v>
      </c>
      <c r="B4181" t="s">
        <v>2</v>
      </c>
      <c r="C4181">
        <v>61</v>
      </c>
      <c r="D4181">
        <v>0</v>
      </c>
      <c r="E4181">
        <v>0</v>
      </c>
      <c r="F4181" t="str">
        <f t="shared" si="197"/>
        <v>Moderate Risk</v>
      </c>
      <c r="G4181" t="s">
        <v>3</v>
      </c>
      <c r="H4181" t="s">
        <v>8</v>
      </c>
      <c r="I4181" t="s">
        <v>5</v>
      </c>
      <c r="J4181">
        <v>73.239999999999995</v>
      </c>
      <c r="K4181">
        <v>34.9</v>
      </c>
      <c r="L4181" t="s">
        <v>11</v>
      </c>
      <c r="M4181">
        <v>0</v>
      </c>
      <c r="N4181" t="str">
        <f t="shared" si="195"/>
        <v>60+</v>
      </c>
      <c r="O4181" t="str">
        <f t="shared" si="196"/>
        <v>Obese</v>
      </c>
    </row>
    <row r="4182" spans="1:15" x14ac:dyDescent="0.3">
      <c r="A4182">
        <v>62395</v>
      </c>
      <c r="B4182" t="s">
        <v>2</v>
      </c>
      <c r="C4182">
        <v>33</v>
      </c>
      <c r="D4182">
        <v>0</v>
      </c>
      <c r="E4182">
        <v>0</v>
      </c>
      <c r="F4182" t="str">
        <f t="shared" si="197"/>
        <v>Lower Risk</v>
      </c>
      <c r="G4182" t="s">
        <v>3</v>
      </c>
      <c r="H4182" t="s">
        <v>4</v>
      </c>
      <c r="I4182" t="s">
        <v>5</v>
      </c>
      <c r="J4182">
        <v>78.430000000000007</v>
      </c>
      <c r="K4182">
        <v>43.7</v>
      </c>
      <c r="L4182" t="s">
        <v>12</v>
      </c>
      <c r="M4182">
        <v>0</v>
      </c>
      <c r="N4182" t="str">
        <f t="shared" si="195"/>
        <v>Under 40</v>
      </c>
      <c r="O4182" t="str">
        <f t="shared" si="196"/>
        <v>Obese</v>
      </c>
    </row>
    <row r="4183" spans="1:15" x14ac:dyDescent="0.3">
      <c r="A4183">
        <v>42760</v>
      </c>
      <c r="B4183" t="s">
        <v>7</v>
      </c>
      <c r="C4183">
        <v>27</v>
      </c>
      <c r="D4183">
        <v>0</v>
      </c>
      <c r="E4183">
        <v>0</v>
      </c>
      <c r="F4183" t="str">
        <f t="shared" si="197"/>
        <v>Lower Risk</v>
      </c>
      <c r="G4183" t="s">
        <v>3</v>
      </c>
      <c r="H4183" t="s">
        <v>4</v>
      </c>
      <c r="I4183" t="s">
        <v>5</v>
      </c>
      <c r="J4183">
        <v>57.46</v>
      </c>
      <c r="K4183">
        <v>23</v>
      </c>
      <c r="L4183" t="s">
        <v>12</v>
      </c>
      <c r="M4183">
        <v>0</v>
      </c>
      <c r="N4183" t="str">
        <f t="shared" si="195"/>
        <v>Under 40</v>
      </c>
      <c r="O4183" t="str">
        <f t="shared" si="196"/>
        <v>Normal</v>
      </c>
    </row>
    <row r="4184" spans="1:15" x14ac:dyDescent="0.3">
      <c r="A4184">
        <v>27119</v>
      </c>
      <c r="B4184" t="s">
        <v>7</v>
      </c>
      <c r="C4184">
        <v>28</v>
      </c>
      <c r="D4184">
        <v>0</v>
      </c>
      <c r="E4184">
        <v>0</v>
      </c>
      <c r="F4184" t="str">
        <f t="shared" si="197"/>
        <v>Lower Risk</v>
      </c>
      <c r="G4184" t="s">
        <v>13</v>
      </c>
      <c r="H4184" t="s">
        <v>4</v>
      </c>
      <c r="I4184" t="s">
        <v>9</v>
      </c>
      <c r="J4184">
        <v>104.16</v>
      </c>
      <c r="K4184">
        <v>21.5</v>
      </c>
      <c r="L4184" t="s">
        <v>11</v>
      </c>
      <c r="M4184">
        <v>0</v>
      </c>
      <c r="N4184" t="str">
        <f t="shared" si="195"/>
        <v>Under 40</v>
      </c>
      <c r="O4184" t="str">
        <f t="shared" si="196"/>
        <v>Normal</v>
      </c>
    </row>
    <row r="4185" spans="1:15" x14ac:dyDescent="0.3">
      <c r="A4185">
        <v>47113</v>
      </c>
      <c r="B4185" t="s">
        <v>7</v>
      </c>
      <c r="C4185">
        <v>67</v>
      </c>
      <c r="D4185">
        <v>0</v>
      </c>
      <c r="E4185">
        <v>0</v>
      </c>
      <c r="F4185" t="str">
        <f t="shared" si="197"/>
        <v>Moderate Risk</v>
      </c>
      <c r="G4185" t="s">
        <v>3</v>
      </c>
      <c r="H4185" t="s">
        <v>8</v>
      </c>
      <c r="I4185" t="s">
        <v>9</v>
      </c>
      <c r="J4185">
        <v>110.42</v>
      </c>
      <c r="K4185">
        <v>24.9</v>
      </c>
      <c r="L4185" t="s">
        <v>11</v>
      </c>
      <c r="M4185">
        <v>0</v>
      </c>
      <c r="N4185" t="str">
        <f t="shared" si="195"/>
        <v>60+</v>
      </c>
      <c r="O4185" t="str">
        <f t="shared" si="196"/>
        <v>Normal</v>
      </c>
    </row>
    <row r="4186" spans="1:15" x14ac:dyDescent="0.3">
      <c r="A4186">
        <v>36045</v>
      </c>
      <c r="B4186" t="s">
        <v>7</v>
      </c>
      <c r="C4186">
        <v>35</v>
      </c>
      <c r="D4186">
        <v>0</v>
      </c>
      <c r="E4186">
        <v>0</v>
      </c>
      <c r="F4186" t="str">
        <f t="shared" si="197"/>
        <v>Lower Risk</v>
      </c>
      <c r="G4186" t="s">
        <v>3</v>
      </c>
      <c r="H4186" t="s">
        <v>4</v>
      </c>
      <c r="I4186" t="s">
        <v>9</v>
      </c>
      <c r="J4186">
        <v>119.4</v>
      </c>
      <c r="K4186">
        <v>22.9</v>
      </c>
      <c r="L4186" t="s">
        <v>11</v>
      </c>
      <c r="M4186">
        <v>0</v>
      </c>
      <c r="N4186" t="str">
        <f t="shared" si="195"/>
        <v>Under 40</v>
      </c>
      <c r="O4186" t="str">
        <f t="shared" si="196"/>
        <v>Normal</v>
      </c>
    </row>
    <row r="4187" spans="1:15" x14ac:dyDescent="0.3">
      <c r="A4187">
        <v>54871</v>
      </c>
      <c r="B4187" t="s">
        <v>7</v>
      </c>
      <c r="C4187">
        <v>78</v>
      </c>
      <c r="D4187">
        <v>0</v>
      </c>
      <c r="E4187">
        <v>0</v>
      </c>
      <c r="F4187" t="str">
        <f t="shared" si="197"/>
        <v>Moderate Risk</v>
      </c>
      <c r="G4187" t="s">
        <v>3</v>
      </c>
      <c r="H4187" t="s">
        <v>4</v>
      </c>
      <c r="I4187" t="s">
        <v>5</v>
      </c>
      <c r="J4187">
        <v>119.13</v>
      </c>
      <c r="K4187">
        <v>25</v>
      </c>
      <c r="L4187" t="s">
        <v>11</v>
      </c>
      <c r="M4187">
        <v>0</v>
      </c>
      <c r="N4187" t="str">
        <f t="shared" si="195"/>
        <v>60+</v>
      </c>
      <c r="O4187" t="str">
        <f t="shared" si="196"/>
        <v>Overweight</v>
      </c>
    </row>
    <row r="4188" spans="1:15" x14ac:dyDescent="0.3">
      <c r="A4188">
        <v>48824</v>
      </c>
      <c r="B4188" t="s">
        <v>7</v>
      </c>
      <c r="C4188">
        <v>20</v>
      </c>
      <c r="D4188">
        <v>0</v>
      </c>
      <c r="E4188">
        <v>0</v>
      </c>
      <c r="F4188" t="str">
        <f t="shared" si="197"/>
        <v>Lower Risk</v>
      </c>
      <c r="G4188" t="s">
        <v>13</v>
      </c>
      <c r="H4188" t="s">
        <v>4</v>
      </c>
      <c r="I4188" t="s">
        <v>9</v>
      </c>
      <c r="J4188">
        <v>120.22</v>
      </c>
      <c r="K4188">
        <v>21.3</v>
      </c>
      <c r="L4188" t="s">
        <v>11</v>
      </c>
      <c r="M4188">
        <v>0</v>
      </c>
      <c r="N4188" t="str">
        <f t="shared" si="195"/>
        <v>Under 40</v>
      </c>
      <c r="O4188" t="str">
        <f t="shared" si="196"/>
        <v>Normal</v>
      </c>
    </row>
    <row r="4189" spans="1:15" x14ac:dyDescent="0.3">
      <c r="A4189">
        <v>67356</v>
      </c>
      <c r="B4189" t="s">
        <v>7</v>
      </c>
      <c r="C4189">
        <v>43</v>
      </c>
      <c r="D4189">
        <v>0</v>
      </c>
      <c r="E4189">
        <v>0</v>
      </c>
      <c r="F4189" t="str">
        <f t="shared" si="197"/>
        <v>Lower Risk</v>
      </c>
      <c r="G4189" t="s">
        <v>3</v>
      </c>
      <c r="H4189" t="s">
        <v>4</v>
      </c>
      <c r="I4189" t="s">
        <v>5</v>
      </c>
      <c r="J4189">
        <v>80.8</v>
      </c>
      <c r="K4189">
        <v>46.1</v>
      </c>
      <c r="L4189" t="s">
        <v>11</v>
      </c>
      <c r="M4189">
        <v>0</v>
      </c>
      <c r="N4189" t="str">
        <f t="shared" si="195"/>
        <v>40–59</v>
      </c>
      <c r="O4189" t="str">
        <f t="shared" si="196"/>
        <v>Obese</v>
      </c>
    </row>
    <row r="4190" spans="1:15" x14ac:dyDescent="0.3">
      <c r="A4190">
        <v>70670</v>
      </c>
      <c r="B4190" t="s">
        <v>7</v>
      </c>
      <c r="C4190">
        <v>27</v>
      </c>
      <c r="D4190">
        <v>0</v>
      </c>
      <c r="E4190">
        <v>0</v>
      </c>
      <c r="F4190" t="str">
        <f t="shared" si="197"/>
        <v>Lower Risk</v>
      </c>
      <c r="G4190" t="s">
        <v>3</v>
      </c>
      <c r="H4190" t="s">
        <v>4</v>
      </c>
      <c r="I4190" t="s">
        <v>9</v>
      </c>
      <c r="J4190">
        <v>57.96</v>
      </c>
      <c r="K4190">
        <v>64.400000000000006</v>
      </c>
      <c r="L4190" t="s">
        <v>11</v>
      </c>
      <c r="M4190">
        <v>0</v>
      </c>
      <c r="N4190" t="str">
        <f t="shared" si="195"/>
        <v>Under 40</v>
      </c>
      <c r="O4190" t="str">
        <f t="shared" si="196"/>
        <v>Obese</v>
      </c>
    </row>
    <row r="4191" spans="1:15" x14ac:dyDescent="0.3">
      <c r="A4191">
        <v>58477</v>
      </c>
      <c r="B4191" t="s">
        <v>7</v>
      </c>
      <c r="C4191">
        <v>45</v>
      </c>
      <c r="D4191">
        <v>0</v>
      </c>
      <c r="E4191">
        <v>0</v>
      </c>
      <c r="F4191" t="str">
        <f t="shared" si="197"/>
        <v>Lower Risk</v>
      </c>
      <c r="G4191" t="s">
        <v>3</v>
      </c>
      <c r="H4191" t="s">
        <v>4</v>
      </c>
      <c r="I4191" t="s">
        <v>5</v>
      </c>
      <c r="J4191">
        <v>81.239999999999995</v>
      </c>
      <c r="K4191">
        <v>37</v>
      </c>
      <c r="L4191" t="s">
        <v>11</v>
      </c>
      <c r="M4191">
        <v>0</v>
      </c>
      <c r="N4191" t="str">
        <f t="shared" si="195"/>
        <v>40–59</v>
      </c>
      <c r="O4191" t="str">
        <f t="shared" si="196"/>
        <v>Obese</v>
      </c>
    </row>
    <row r="4192" spans="1:15" x14ac:dyDescent="0.3">
      <c r="A4192">
        <v>53636</v>
      </c>
      <c r="B4192" t="s">
        <v>7</v>
      </c>
      <c r="C4192">
        <v>11</v>
      </c>
      <c r="D4192">
        <v>0</v>
      </c>
      <c r="E4192">
        <v>0</v>
      </c>
      <c r="F4192" t="str">
        <f t="shared" si="197"/>
        <v>Lower Risk</v>
      </c>
      <c r="G4192" t="s">
        <v>13</v>
      </c>
      <c r="H4192" t="s">
        <v>16</v>
      </c>
      <c r="I4192" t="s">
        <v>5</v>
      </c>
      <c r="J4192">
        <v>88.79</v>
      </c>
      <c r="K4192">
        <v>21.3</v>
      </c>
      <c r="L4192" t="s">
        <v>11</v>
      </c>
      <c r="M4192">
        <v>0</v>
      </c>
      <c r="N4192" t="str">
        <f t="shared" si="195"/>
        <v>Under 40</v>
      </c>
      <c r="O4192" t="str">
        <f t="shared" si="196"/>
        <v>Normal</v>
      </c>
    </row>
    <row r="4193" spans="1:15" x14ac:dyDescent="0.3">
      <c r="A4193">
        <v>24262</v>
      </c>
      <c r="B4193" t="s">
        <v>7</v>
      </c>
      <c r="C4193">
        <v>31</v>
      </c>
      <c r="D4193">
        <v>0</v>
      </c>
      <c r="E4193">
        <v>0</v>
      </c>
      <c r="F4193" t="str">
        <f t="shared" si="197"/>
        <v>Lower Risk</v>
      </c>
      <c r="G4193" t="s">
        <v>3</v>
      </c>
      <c r="H4193" t="s">
        <v>4</v>
      </c>
      <c r="I4193" t="s">
        <v>9</v>
      </c>
      <c r="J4193">
        <v>70.91</v>
      </c>
      <c r="K4193">
        <v>28.3</v>
      </c>
      <c r="L4193" t="s">
        <v>11</v>
      </c>
      <c r="M4193">
        <v>0</v>
      </c>
      <c r="N4193" t="str">
        <f t="shared" si="195"/>
        <v>Under 40</v>
      </c>
      <c r="O4193" t="str">
        <f t="shared" si="196"/>
        <v>Overweight</v>
      </c>
    </row>
    <row r="4194" spans="1:15" x14ac:dyDescent="0.3">
      <c r="A4194">
        <v>33886</v>
      </c>
      <c r="B4194" t="s">
        <v>7</v>
      </c>
      <c r="C4194">
        <v>30</v>
      </c>
      <c r="D4194">
        <v>0</v>
      </c>
      <c r="E4194">
        <v>0</v>
      </c>
      <c r="F4194" t="str">
        <f t="shared" si="197"/>
        <v>Lower Risk</v>
      </c>
      <c r="G4194" t="s">
        <v>13</v>
      </c>
      <c r="H4194" t="s">
        <v>4</v>
      </c>
      <c r="I4194" t="s">
        <v>9</v>
      </c>
      <c r="J4194">
        <v>87.12</v>
      </c>
      <c r="K4194">
        <v>31.1</v>
      </c>
      <c r="L4194" t="s">
        <v>12</v>
      </c>
      <c r="M4194">
        <v>0</v>
      </c>
      <c r="N4194" t="str">
        <f t="shared" si="195"/>
        <v>Under 40</v>
      </c>
      <c r="O4194" t="str">
        <f t="shared" si="196"/>
        <v>Obese</v>
      </c>
    </row>
    <row r="4195" spans="1:15" x14ac:dyDescent="0.3">
      <c r="A4195">
        <v>59126</v>
      </c>
      <c r="B4195" t="s">
        <v>7</v>
      </c>
      <c r="C4195">
        <v>27</v>
      </c>
      <c r="D4195">
        <v>0</v>
      </c>
      <c r="E4195">
        <v>0</v>
      </c>
      <c r="F4195" t="str">
        <f t="shared" si="197"/>
        <v>Lower Risk</v>
      </c>
      <c r="G4195" t="s">
        <v>13</v>
      </c>
      <c r="H4195" t="s">
        <v>4</v>
      </c>
      <c r="I4195" t="s">
        <v>5</v>
      </c>
      <c r="J4195">
        <v>126.09</v>
      </c>
      <c r="K4195">
        <v>25.1</v>
      </c>
      <c r="L4195" t="s">
        <v>14</v>
      </c>
      <c r="M4195">
        <v>0</v>
      </c>
      <c r="N4195" t="str">
        <f t="shared" si="195"/>
        <v>Under 40</v>
      </c>
      <c r="O4195" t="str">
        <f t="shared" si="196"/>
        <v>Overweight</v>
      </c>
    </row>
    <row r="4196" spans="1:15" x14ac:dyDescent="0.3">
      <c r="A4196">
        <v>31697</v>
      </c>
      <c r="B4196" t="s">
        <v>7</v>
      </c>
      <c r="C4196">
        <v>34</v>
      </c>
      <c r="D4196">
        <v>0</v>
      </c>
      <c r="E4196">
        <v>0</v>
      </c>
      <c r="F4196" t="str">
        <f t="shared" si="197"/>
        <v>Lower Risk</v>
      </c>
      <c r="G4196" t="s">
        <v>3</v>
      </c>
      <c r="H4196" t="s">
        <v>4</v>
      </c>
      <c r="I4196" t="s">
        <v>5</v>
      </c>
      <c r="J4196">
        <v>76.42</v>
      </c>
      <c r="K4196">
        <v>27.6</v>
      </c>
      <c r="L4196" t="s">
        <v>12</v>
      </c>
      <c r="M4196">
        <v>0</v>
      </c>
      <c r="N4196" t="str">
        <f t="shared" si="195"/>
        <v>Under 40</v>
      </c>
      <c r="O4196" t="str">
        <f t="shared" si="196"/>
        <v>Overweight</v>
      </c>
    </row>
    <row r="4197" spans="1:15" x14ac:dyDescent="0.3">
      <c r="A4197">
        <v>10018</v>
      </c>
      <c r="B4197" t="s">
        <v>2</v>
      </c>
      <c r="C4197">
        <v>19</v>
      </c>
      <c r="D4197">
        <v>0</v>
      </c>
      <c r="E4197">
        <v>0</v>
      </c>
      <c r="F4197" t="str">
        <f t="shared" si="197"/>
        <v>Lower Risk</v>
      </c>
      <c r="G4197" t="s">
        <v>13</v>
      </c>
      <c r="H4197" t="s">
        <v>4</v>
      </c>
      <c r="I4197" t="s">
        <v>9</v>
      </c>
      <c r="J4197">
        <v>56.33</v>
      </c>
      <c r="K4197">
        <v>29.4</v>
      </c>
      <c r="L4197" t="s">
        <v>14</v>
      </c>
      <c r="M4197">
        <v>0</v>
      </c>
      <c r="N4197" t="str">
        <f t="shared" si="195"/>
        <v>Under 40</v>
      </c>
      <c r="O4197" t="str">
        <f t="shared" si="196"/>
        <v>Overweight</v>
      </c>
    </row>
    <row r="4198" spans="1:15" x14ac:dyDescent="0.3">
      <c r="A4198">
        <v>52447</v>
      </c>
      <c r="B4198" t="s">
        <v>7</v>
      </c>
      <c r="C4198">
        <v>3</v>
      </c>
      <c r="D4198">
        <v>0</v>
      </c>
      <c r="E4198">
        <v>0</v>
      </c>
      <c r="F4198" t="str">
        <f t="shared" si="197"/>
        <v>Lower Risk</v>
      </c>
      <c r="G4198" t="s">
        <v>13</v>
      </c>
      <c r="H4198" t="s">
        <v>16</v>
      </c>
      <c r="I4198" t="s">
        <v>9</v>
      </c>
      <c r="J4198">
        <v>131.81</v>
      </c>
      <c r="K4198">
        <v>14.1</v>
      </c>
      <c r="L4198" t="s">
        <v>14</v>
      </c>
      <c r="M4198">
        <v>0</v>
      </c>
      <c r="N4198" t="str">
        <f t="shared" si="195"/>
        <v>Under 40</v>
      </c>
      <c r="O4198" t="str">
        <f t="shared" si="196"/>
        <v>Underweight</v>
      </c>
    </row>
    <row r="4199" spans="1:15" x14ac:dyDescent="0.3">
      <c r="A4199">
        <v>23238</v>
      </c>
      <c r="B4199" t="s">
        <v>2</v>
      </c>
      <c r="C4199">
        <v>53</v>
      </c>
      <c r="D4199">
        <v>0</v>
      </c>
      <c r="E4199">
        <v>1</v>
      </c>
      <c r="F4199" t="str">
        <f t="shared" si="197"/>
        <v>Lower Risk</v>
      </c>
      <c r="G4199" t="s">
        <v>3</v>
      </c>
      <c r="H4199" t="s">
        <v>4</v>
      </c>
      <c r="I4199" t="s">
        <v>9</v>
      </c>
      <c r="J4199">
        <v>95.23</v>
      </c>
      <c r="K4199">
        <v>35.200000000000003</v>
      </c>
      <c r="L4199" t="s">
        <v>12</v>
      </c>
      <c r="M4199">
        <v>0</v>
      </c>
      <c r="N4199" t="str">
        <f t="shared" si="195"/>
        <v>40–59</v>
      </c>
      <c r="O4199" t="str">
        <f t="shared" si="196"/>
        <v>Obese</v>
      </c>
    </row>
    <row r="4200" spans="1:15" x14ac:dyDescent="0.3">
      <c r="A4200">
        <v>4148</v>
      </c>
      <c r="B4200" t="s">
        <v>2</v>
      </c>
      <c r="C4200">
        <v>81</v>
      </c>
      <c r="D4200">
        <v>0</v>
      </c>
      <c r="E4200">
        <v>0</v>
      </c>
      <c r="F4200" t="str">
        <f t="shared" si="197"/>
        <v>Moderate Risk</v>
      </c>
      <c r="G4200" t="s">
        <v>3</v>
      </c>
      <c r="H4200" t="s">
        <v>8</v>
      </c>
      <c r="I4200" t="s">
        <v>5</v>
      </c>
      <c r="J4200">
        <v>71.180000000000007</v>
      </c>
      <c r="K4200">
        <v>23.9</v>
      </c>
      <c r="L4200" t="s">
        <v>6</v>
      </c>
      <c r="M4200">
        <v>0</v>
      </c>
      <c r="N4200" t="str">
        <f t="shared" si="195"/>
        <v>60+</v>
      </c>
      <c r="O4200" t="str">
        <f t="shared" si="196"/>
        <v>Normal</v>
      </c>
    </row>
    <row r="4201" spans="1:15" x14ac:dyDescent="0.3">
      <c r="A4201">
        <v>63404</v>
      </c>
      <c r="B4201" t="s">
        <v>7</v>
      </c>
      <c r="C4201">
        <v>44</v>
      </c>
      <c r="D4201">
        <v>0</v>
      </c>
      <c r="E4201">
        <v>0</v>
      </c>
      <c r="F4201" t="str">
        <f t="shared" si="197"/>
        <v>Lower Risk</v>
      </c>
      <c r="G4201" t="s">
        <v>3</v>
      </c>
      <c r="H4201" t="s">
        <v>4</v>
      </c>
      <c r="I4201" t="s">
        <v>9</v>
      </c>
      <c r="J4201">
        <v>87.71</v>
      </c>
      <c r="K4201">
        <v>34</v>
      </c>
      <c r="L4201" t="s">
        <v>6</v>
      </c>
      <c r="M4201">
        <v>0</v>
      </c>
      <c r="N4201" t="str">
        <f t="shared" si="195"/>
        <v>40–59</v>
      </c>
      <c r="O4201" t="str">
        <f t="shared" si="196"/>
        <v>Obese</v>
      </c>
    </row>
    <row r="4202" spans="1:15" x14ac:dyDescent="0.3">
      <c r="A4202">
        <v>13540</v>
      </c>
      <c r="B4202" t="s">
        <v>7</v>
      </c>
      <c r="C4202">
        <v>59</v>
      </c>
      <c r="D4202">
        <v>0</v>
      </c>
      <c r="E4202">
        <v>0</v>
      </c>
      <c r="F4202" t="str">
        <f t="shared" si="197"/>
        <v>Lower Risk</v>
      </c>
      <c r="G4202" t="s">
        <v>3</v>
      </c>
      <c r="H4202" t="s">
        <v>8</v>
      </c>
      <c r="I4202" t="s">
        <v>9</v>
      </c>
      <c r="J4202">
        <v>115.68</v>
      </c>
      <c r="K4202">
        <v>27.1</v>
      </c>
      <c r="L4202" t="s">
        <v>14</v>
      </c>
      <c r="M4202">
        <v>0</v>
      </c>
      <c r="N4202" t="str">
        <f t="shared" si="195"/>
        <v>40–59</v>
      </c>
      <c r="O4202" t="str">
        <f t="shared" si="196"/>
        <v>Overweight</v>
      </c>
    </row>
    <row r="4203" spans="1:15" x14ac:dyDescent="0.3">
      <c r="A4203">
        <v>44288</v>
      </c>
      <c r="B4203" t="s">
        <v>2</v>
      </c>
      <c r="C4203">
        <v>43</v>
      </c>
      <c r="D4203">
        <v>0</v>
      </c>
      <c r="E4203">
        <v>0</v>
      </c>
      <c r="F4203" t="str">
        <f t="shared" si="197"/>
        <v>Lower Risk</v>
      </c>
      <c r="G4203" t="s">
        <v>3</v>
      </c>
      <c r="H4203" t="s">
        <v>4</v>
      </c>
      <c r="I4203" t="s">
        <v>9</v>
      </c>
      <c r="J4203">
        <v>207.37</v>
      </c>
      <c r="K4203">
        <v>29.5</v>
      </c>
      <c r="L4203" t="s">
        <v>6</v>
      </c>
      <c r="M4203">
        <v>0</v>
      </c>
      <c r="N4203" t="str">
        <f t="shared" si="195"/>
        <v>40–59</v>
      </c>
      <c r="O4203" t="str">
        <f t="shared" si="196"/>
        <v>Overweight</v>
      </c>
    </row>
    <row r="4204" spans="1:15" x14ac:dyDescent="0.3">
      <c r="A4204">
        <v>23194</v>
      </c>
      <c r="B4204" t="s">
        <v>2</v>
      </c>
      <c r="C4204">
        <v>32</v>
      </c>
      <c r="D4204">
        <v>1</v>
      </c>
      <c r="E4204">
        <v>0</v>
      </c>
      <c r="F4204" t="str">
        <f t="shared" si="197"/>
        <v>Lower Risk</v>
      </c>
      <c r="G4204" t="s">
        <v>13</v>
      </c>
      <c r="H4204" t="s">
        <v>4</v>
      </c>
      <c r="I4204" t="s">
        <v>9</v>
      </c>
      <c r="J4204">
        <v>74.430000000000007</v>
      </c>
      <c r="K4204" t="s">
        <v>10</v>
      </c>
      <c r="L4204" t="s">
        <v>14</v>
      </c>
      <c r="M4204">
        <v>0</v>
      </c>
      <c r="N4204" t="str">
        <f t="shared" si="195"/>
        <v>Under 40</v>
      </c>
      <c r="O4204" t="str">
        <f t="shared" si="196"/>
        <v>Unknown</v>
      </c>
    </row>
    <row r="4205" spans="1:15" x14ac:dyDescent="0.3">
      <c r="A4205">
        <v>751</v>
      </c>
      <c r="B4205" t="s">
        <v>7</v>
      </c>
      <c r="C4205">
        <v>5</v>
      </c>
      <c r="D4205">
        <v>0</v>
      </c>
      <c r="E4205">
        <v>0</v>
      </c>
      <c r="F4205" t="str">
        <f t="shared" si="197"/>
        <v>Lower Risk</v>
      </c>
      <c r="G4205" t="s">
        <v>13</v>
      </c>
      <c r="H4205" t="s">
        <v>16</v>
      </c>
      <c r="I4205" t="s">
        <v>9</v>
      </c>
      <c r="J4205">
        <v>75.099999999999994</v>
      </c>
      <c r="K4205">
        <v>20.7</v>
      </c>
      <c r="L4205" t="s">
        <v>14</v>
      </c>
      <c r="M4205">
        <v>0</v>
      </c>
      <c r="N4205" t="str">
        <f t="shared" si="195"/>
        <v>Under 40</v>
      </c>
      <c r="O4205" t="str">
        <f t="shared" si="196"/>
        <v>Normal</v>
      </c>
    </row>
    <row r="4206" spans="1:15" x14ac:dyDescent="0.3">
      <c r="A4206">
        <v>7047</v>
      </c>
      <c r="B4206" t="s">
        <v>7</v>
      </c>
      <c r="C4206">
        <v>31</v>
      </c>
      <c r="D4206">
        <v>0</v>
      </c>
      <c r="E4206">
        <v>0</v>
      </c>
      <c r="F4206" t="str">
        <f t="shared" si="197"/>
        <v>Lower Risk</v>
      </c>
      <c r="G4206" t="s">
        <v>3</v>
      </c>
      <c r="H4206" t="s">
        <v>4</v>
      </c>
      <c r="I4206" t="s">
        <v>9</v>
      </c>
      <c r="J4206">
        <v>69.72</v>
      </c>
      <c r="K4206">
        <v>39.5</v>
      </c>
      <c r="L4206" t="s">
        <v>12</v>
      </c>
      <c r="M4206">
        <v>0</v>
      </c>
      <c r="N4206" t="str">
        <f t="shared" si="195"/>
        <v>Under 40</v>
      </c>
      <c r="O4206" t="str">
        <f t="shared" si="196"/>
        <v>Obese</v>
      </c>
    </row>
    <row r="4207" spans="1:15" x14ac:dyDescent="0.3">
      <c r="A4207">
        <v>68020</v>
      </c>
      <c r="B4207" t="s">
        <v>2</v>
      </c>
      <c r="C4207">
        <v>47</v>
      </c>
      <c r="D4207">
        <v>0</v>
      </c>
      <c r="E4207">
        <v>0</v>
      </c>
      <c r="F4207" t="str">
        <f t="shared" si="197"/>
        <v>Lower Risk</v>
      </c>
      <c r="G4207" t="s">
        <v>3</v>
      </c>
      <c r="H4207" t="s">
        <v>4</v>
      </c>
      <c r="I4207" t="s">
        <v>5</v>
      </c>
      <c r="J4207">
        <v>111.84</v>
      </c>
      <c r="K4207">
        <v>33.700000000000003</v>
      </c>
      <c r="L4207" t="s">
        <v>14</v>
      </c>
      <c r="M4207">
        <v>0</v>
      </c>
      <c r="N4207" t="str">
        <f t="shared" si="195"/>
        <v>40–59</v>
      </c>
      <c r="O4207" t="str">
        <f t="shared" si="196"/>
        <v>Obese</v>
      </c>
    </row>
    <row r="4208" spans="1:15" x14ac:dyDescent="0.3">
      <c r="A4208">
        <v>11325</v>
      </c>
      <c r="B4208" t="s">
        <v>7</v>
      </c>
      <c r="C4208">
        <v>12</v>
      </c>
      <c r="D4208">
        <v>0</v>
      </c>
      <c r="E4208">
        <v>0</v>
      </c>
      <c r="F4208" t="str">
        <f t="shared" si="197"/>
        <v>Lower Risk</v>
      </c>
      <c r="G4208" t="s">
        <v>13</v>
      </c>
      <c r="H4208" t="s">
        <v>16</v>
      </c>
      <c r="I4208" t="s">
        <v>9</v>
      </c>
      <c r="J4208">
        <v>111.08</v>
      </c>
      <c r="K4208">
        <v>23.2</v>
      </c>
      <c r="L4208" t="s">
        <v>11</v>
      </c>
      <c r="M4208">
        <v>0</v>
      </c>
      <c r="N4208" t="str">
        <f t="shared" si="195"/>
        <v>Under 40</v>
      </c>
      <c r="O4208" t="str">
        <f t="shared" si="196"/>
        <v>Normal</v>
      </c>
    </row>
    <row r="4209" spans="1:15" x14ac:dyDescent="0.3">
      <c r="A4209">
        <v>25636</v>
      </c>
      <c r="B4209" t="s">
        <v>2</v>
      </c>
      <c r="C4209">
        <v>40</v>
      </c>
      <c r="D4209">
        <v>0</v>
      </c>
      <c r="E4209">
        <v>0</v>
      </c>
      <c r="F4209" t="str">
        <f t="shared" si="197"/>
        <v>Lower Risk</v>
      </c>
      <c r="G4209" t="s">
        <v>3</v>
      </c>
      <c r="H4209" t="s">
        <v>4</v>
      </c>
      <c r="I4209" t="s">
        <v>9</v>
      </c>
      <c r="J4209">
        <v>201.96</v>
      </c>
      <c r="K4209">
        <v>30.1</v>
      </c>
      <c r="L4209" t="s">
        <v>14</v>
      </c>
      <c r="M4209">
        <v>0</v>
      </c>
      <c r="N4209" t="str">
        <f t="shared" si="195"/>
        <v>40–59</v>
      </c>
      <c r="O4209" t="str">
        <f t="shared" si="196"/>
        <v>Obese</v>
      </c>
    </row>
    <row r="4210" spans="1:15" x14ac:dyDescent="0.3">
      <c r="A4210">
        <v>60602</v>
      </c>
      <c r="B4210" t="s">
        <v>7</v>
      </c>
      <c r="C4210">
        <v>49</v>
      </c>
      <c r="D4210">
        <v>0</v>
      </c>
      <c r="E4210">
        <v>0</v>
      </c>
      <c r="F4210" t="str">
        <f t="shared" si="197"/>
        <v>Lower Risk</v>
      </c>
      <c r="G4210" t="s">
        <v>3</v>
      </c>
      <c r="H4210" t="s">
        <v>15</v>
      </c>
      <c r="I4210" t="s">
        <v>5</v>
      </c>
      <c r="J4210">
        <v>68.680000000000007</v>
      </c>
      <c r="K4210">
        <v>28.8</v>
      </c>
      <c r="L4210" t="s">
        <v>11</v>
      </c>
      <c r="M4210">
        <v>0</v>
      </c>
      <c r="N4210" t="str">
        <f t="shared" si="195"/>
        <v>40–59</v>
      </c>
      <c r="O4210" t="str">
        <f t="shared" si="196"/>
        <v>Overweight</v>
      </c>
    </row>
    <row r="4211" spans="1:15" x14ac:dyDescent="0.3">
      <c r="A4211">
        <v>51856</v>
      </c>
      <c r="B4211" t="s">
        <v>2</v>
      </c>
      <c r="C4211">
        <v>38</v>
      </c>
      <c r="D4211">
        <v>1</v>
      </c>
      <c r="E4211">
        <v>0</v>
      </c>
      <c r="F4211" t="str">
        <f t="shared" si="197"/>
        <v>Lower Risk</v>
      </c>
      <c r="G4211" t="s">
        <v>3</v>
      </c>
      <c r="H4211" t="s">
        <v>4</v>
      </c>
      <c r="I4211" t="s">
        <v>9</v>
      </c>
      <c r="J4211">
        <v>56.9</v>
      </c>
      <c r="K4211">
        <v>92</v>
      </c>
      <c r="L4211" t="s">
        <v>11</v>
      </c>
      <c r="M4211">
        <v>0</v>
      </c>
      <c r="N4211" t="str">
        <f t="shared" si="195"/>
        <v>Under 40</v>
      </c>
      <c r="O4211" t="str">
        <f t="shared" si="196"/>
        <v>Obese</v>
      </c>
    </row>
    <row r="4212" spans="1:15" x14ac:dyDescent="0.3">
      <c r="A4212">
        <v>13031</v>
      </c>
      <c r="B4212" t="s">
        <v>7</v>
      </c>
      <c r="C4212">
        <v>15</v>
      </c>
      <c r="D4212">
        <v>0</v>
      </c>
      <c r="E4212">
        <v>0</v>
      </c>
      <c r="F4212" t="str">
        <f t="shared" si="197"/>
        <v>Lower Risk</v>
      </c>
      <c r="G4212" t="s">
        <v>13</v>
      </c>
      <c r="H4212" t="s">
        <v>16</v>
      </c>
      <c r="I4212" t="s">
        <v>5</v>
      </c>
      <c r="J4212">
        <v>91.16</v>
      </c>
      <c r="K4212">
        <v>38</v>
      </c>
      <c r="L4212" t="s">
        <v>11</v>
      </c>
      <c r="M4212">
        <v>0</v>
      </c>
      <c r="N4212" t="str">
        <f t="shared" si="195"/>
        <v>Under 40</v>
      </c>
      <c r="O4212" t="str">
        <f t="shared" si="196"/>
        <v>Obese</v>
      </c>
    </row>
    <row r="4213" spans="1:15" x14ac:dyDescent="0.3">
      <c r="A4213">
        <v>19498</v>
      </c>
      <c r="B4213" t="s">
        <v>7</v>
      </c>
      <c r="C4213">
        <v>81</v>
      </c>
      <c r="D4213">
        <v>0</v>
      </c>
      <c r="E4213">
        <v>1</v>
      </c>
      <c r="F4213" t="str">
        <f t="shared" si="197"/>
        <v>High Risk</v>
      </c>
      <c r="G4213" t="s">
        <v>13</v>
      </c>
      <c r="H4213" t="s">
        <v>8</v>
      </c>
      <c r="I4213" t="s">
        <v>5</v>
      </c>
      <c r="J4213">
        <v>99.44</v>
      </c>
      <c r="K4213">
        <v>27.7</v>
      </c>
      <c r="L4213" t="s">
        <v>14</v>
      </c>
      <c r="M4213">
        <v>0</v>
      </c>
      <c r="N4213" t="str">
        <f t="shared" si="195"/>
        <v>60+</v>
      </c>
      <c r="O4213" t="str">
        <f t="shared" si="196"/>
        <v>Overweight</v>
      </c>
    </row>
    <row r="4214" spans="1:15" x14ac:dyDescent="0.3">
      <c r="A4214">
        <v>51476</v>
      </c>
      <c r="B4214" t="s">
        <v>2</v>
      </c>
      <c r="C4214">
        <v>48</v>
      </c>
      <c r="D4214">
        <v>0</v>
      </c>
      <c r="E4214">
        <v>0</v>
      </c>
      <c r="F4214" t="str">
        <f t="shared" si="197"/>
        <v>Lower Risk</v>
      </c>
      <c r="G4214" t="s">
        <v>3</v>
      </c>
      <c r="H4214" t="s">
        <v>4</v>
      </c>
      <c r="I4214" t="s">
        <v>5</v>
      </c>
      <c r="J4214">
        <v>78.849999999999994</v>
      </c>
      <c r="K4214">
        <v>43.2</v>
      </c>
      <c r="L4214" t="s">
        <v>11</v>
      </c>
      <c r="M4214">
        <v>0</v>
      </c>
      <c r="N4214" t="str">
        <f t="shared" si="195"/>
        <v>40–59</v>
      </c>
      <c r="O4214" t="str">
        <f t="shared" si="196"/>
        <v>Obese</v>
      </c>
    </row>
    <row r="4215" spans="1:15" x14ac:dyDescent="0.3">
      <c r="A4215">
        <v>49762</v>
      </c>
      <c r="B4215" t="s">
        <v>7</v>
      </c>
      <c r="C4215">
        <v>24</v>
      </c>
      <c r="D4215">
        <v>0</v>
      </c>
      <c r="E4215">
        <v>0</v>
      </c>
      <c r="F4215" t="str">
        <f t="shared" si="197"/>
        <v>Lower Risk</v>
      </c>
      <c r="G4215" t="s">
        <v>13</v>
      </c>
      <c r="H4215" t="s">
        <v>4</v>
      </c>
      <c r="I4215" t="s">
        <v>9</v>
      </c>
      <c r="J4215">
        <v>123.89</v>
      </c>
      <c r="K4215">
        <v>24.1</v>
      </c>
      <c r="L4215" t="s">
        <v>12</v>
      </c>
      <c r="M4215">
        <v>0</v>
      </c>
      <c r="N4215" t="str">
        <f t="shared" si="195"/>
        <v>Under 40</v>
      </c>
      <c r="O4215" t="str">
        <f t="shared" si="196"/>
        <v>Normal</v>
      </c>
    </row>
    <row r="4216" spans="1:15" x14ac:dyDescent="0.3">
      <c r="A4216">
        <v>23449</v>
      </c>
      <c r="B4216" t="s">
        <v>2</v>
      </c>
      <c r="C4216">
        <v>47</v>
      </c>
      <c r="D4216">
        <v>0</v>
      </c>
      <c r="E4216">
        <v>0</v>
      </c>
      <c r="F4216" t="str">
        <f t="shared" si="197"/>
        <v>Lower Risk</v>
      </c>
      <c r="G4216" t="s">
        <v>3</v>
      </c>
      <c r="H4216" t="s">
        <v>8</v>
      </c>
      <c r="I4216" t="s">
        <v>9</v>
      </c>
      <c r="J4216">
        <v>90.44</v>
      </c>
      <c r="K4216">
        <v>28.7</v>
      </c>
      <c r="L4216" t="s">
        <v>11</v>
      </c>
      <c r="M4216">
        <v>0</v>
      </c>
      <c r="N4216" t="str">
        <f t="shared" si="195"/>
        <v>40–59</v>
      </c>
      <c r="O4216" t="str">
        <f t="shared" si="196"/>
        <v>Overweight</v>
      </c>
    </row>
    <row r="4217" spans="1:15" x14ac:dyDescent="0.3">
      <c r="A4217">
        <v>51374</v>
      </c>
      <c r="B4217" t="s">
        <v>7</v>
      </c>
      <c r="C4217">
        <v>13</v>
      </c>
      <c r="D4217">
        <v>0</v>
      </c>
      <c r="E4217">
        <v>0</v>
      </c>
      <c r="F4217" t="str">
        <f t="shared" si="197"/>
        <v>Lower Risk</v>
      </c>
      <c r="G4217" t="s">
        <v>13</v>
      </c>
      <c r="H4217" t="s">
        <v>16</v>
      </c>
      <c r="I4217" t="s">
        <v>9</v>
      </c>
      <c r="J4217">
        <v>138.44</v>
      </c>
      <c r="K4217">
        <v>34.799999999999997</v>
      </c>
      <c r="L4217" t="s">
        <v>14</v>
      </c>
      <c r="M4217">
        <v>0</v>
      </c>
      <c r="N4217" t="str">
        <f t="shared" si="195"/>
        <v>Under 40</v>
      </c>
      <c r="O4217" t="str">
        <f t="shared" si="196"/>
        <v>Obese</v>
      </c>
    </row>
    <row r="4218" spans="1:15" x14ac:dyDescent="0.3">
      <c r="A4218">
        <v>41263</v>
      </c>
      <c r="B4218" t="s">
        <v>7</v>
      </c>
      <c r="C4218">
        <v>16</v>
      </c>
      <c r="D4218">
        <v>0</v>
      </c>
      <c r="E4218">
        <v>0</v>
      </c>
      <c r="F4218" t="str">
        <f t="shared" si="197"/>
        <v>Lower Risk</v>
      </c>
      <c r="G4218" t="s">
        <v>13</v>
      </c>
      <c r="H4218" t="s">
        <v>4</v>
      </c>
      <c r="I4218" t="s">
        <v>5</v>
      </c>
      <c r="J4218">
        <v>75.06</v>
      </c>
      <c r="K4218">
        <v>23.5</v>
      </c>
      <c r="L4218" t="s">
        <v>11</v>
      </c>
      <c r="M4218">
        <v>0</v>
      </c>
      <c r="N4218" t="str">
        <f t="shared" si="195"/>
        <v>Under 40</v>
      </c>
      <c r="O4218" t="str">
        <f t="shared" si="196"/>
        <v>Normal</v>
      </c>
    </row>
    <row r="4219" spans="1:15" x14ac:dyDescent="0.3">
      <c r="A4219">
        <v>6599</v>
      </c>
      <c r="B4219" t="s">
        <v>2</v>
      </c>
      <c r="C4219">
        <v>64</v>
      </c>
      <c r="D4219">
        <v>1</v>
      </c>
      <c r="E4219">
        <v>0</v>
      </c>
      <c r="F4219" t="str">
        <f t="shared" si="197"/>
        <v>High Risk</v>
      </c>
      <c r="G4219" t="s">
        <v>3</v>
      </c>
      <c r="H4219" t="s">
        <v>8</v>
      </c>
      <c r="I4219" t="s">
        <v>9</v>
      </c>
      <c r="J4219">
        <v>85.66</v>
      </c>
      <c r="K4219">
        <v>28.5</v>
      </c>
      <c r="L4219" t="s">
        <v>11</v>
      </c>
      <c r="M4219">
        <v>0</v>
      </c>
      <c r="N4219" t="str">
        <f t="shared" si="195"/>
        <v>60+</v>
      </c>
      <c r="O4219" t="str">
        <f t="shared" si="196"/>
        <v>Overweight</v>
      </c>
    </row>
    <row r="4220" spans="1:15" x14ac:dyDescent="0.3">
      <c r="A4220">
        <v>16320</v>
      </c>
      <c r="B4220" t="s">
        <v>7</v>
      </c>
      <c r="C4220">
        <v>11</v>
      </c>
      <c r="D4220">
        <v>0</v>
      </c>
      <c r="E4220">
        <v>0</v>
      </c>
      <c r="F4220" t="str">
        <f t="shared" si="197"/>
        <v>Lower Risk</v>
      </c>
      <c r="G4220" t="s">
        <v>13</v>
      </c>
      <c r="H4220" t="s">
        <v>16</v>
      </c>
      <c r="I4220" t="s">
        <v>5</v>
      </c>
      <c r="J4220">
        <v>102.76</v>
      </c>
      <c r="K4220">
        <v>20.3</v>
      </c>
      <c r="L4220" t="s">
        <v>14</v>
      </c>
      <c r="M4220">
        <v>0</v>
      </c>
      <c r="N4220" t="str">
        <f t="shared" si="195"/>
        <v>Under 40</v>
      </c>
      <c r="O4220" t="str">
        <f t="shared" si="196"/>
        <v>Normal</v>
      </c>
    </row>
    <row r="4221" spans="1:15" x14ac:dyDescent="0.3">
      <c r="A4221">
        <v>64670</v>
      </c>
      <c r="B4221" t="s">
        <v>7</v>
      </c>
      <c r="C4221">
        <v>55</v>
      </c>
      <c r="D4221">
        <v>0</v>
      </c>
      <c r="E4221">
        <v>0</v>
      </c>
      <c r="F4221" t="str">
        <f t="shared" si="197"/>
        <v>Lower Risk</v>
      </c>
      <c r="G4221" t="s">
        <v>3</v>
      </c>
      <c r="H4221" t="s">
        <v>15</v>
      </c>
      <c r="I4221" t="s">
        <v>5</v>
      </c>
      <c r="J4221">
        <v>71.790000000000006</v>
      </c>
      <c r="K4221">
        <v>43</v>
      </c>
      <c r="L4221" t="s">
        <v>6</v>
      </c>
      <c r="M4221">
        <v>0</v>
      </c>
      <c r="N4221" t="str">
        <f t="shared" si="195"/>
        <v>40–59</v>
      </c>
      <c r="O4221" t="str">
        <f t="shared" si="196"/>
        <v>Obese</v>
      </c>
    </row>
    <row r="4222" spans="1:15" x14ac:dyDescent="0.3">
      <c r="A4222">
        <v>35941</v>
      </c>
      <c r="B4222" t="s">
        <v>2</v>
      </c>
      <c r="C4222">
        <v>38</v>
      </c>
      <c r="D4222">
        <v>0</v>
      </c>
      <c r="E4222">
        <v>0</v>
      </c>
      <c r="F4222" t="str">
        <f t="shared" si="197"/>
        <v>Lower Risk</v>
      </c>
      <c r="G4222" t="s">
        <v>3</v>
      </c>
      <c r="H4222" t="s">
        <v>4</v>
      </c>
      <c r="I4222" t="s">
        <v>5</v>
      </c>
      <c r="J4222">
        <v>167.16</v>
      </c>
      <c r="K4222">
        <v>18.3</v>
      </c>
      <c r="L4222" t="s">
        <v>11</v>
      </c>
      <c r="M4222">
        <v>0</v>
      </c>
      <c r="N4222" t="str">
        <f t="shared" si="195"/>
        <v>Under 40</v>
      </c>
      <c r="O4222" t="str">
        <f t="shared" si="196"/>
        <v>Underweight</v>
      </c>
    </row>
    <row r="4223" spans="1:15" x14ac:dyDescent="0.3">
      <c r="A4223">
        <v>64931</v>
      </c>
      <c r="B4223" t="s">
        <v>2</v>
      </c>
      <c r="C4223">
        <v>37</v>
      </c>
      <c r="D4223">
        <v>0</v>
      </c>
      <c r="E4223">
        <v>0</v>
      </c>
      <c r="F4223" t="str">
        <f t="shared" si="197"/>
        <v>Lower Risk</v>
      </c>
      <c r="G4223" t="s">
        <v>3</v>
      </c>
      <c r="H4223" t="s">
        <v>4</v>
      </c>
      <c r="I4223" t="s">
        <v>9</v>
      </c>
      <c r="J4223">
        <v>131.05000000000001</v>
      </c>
      <c r="K4223">
        <v>27.2</v>
      </c>
      <c r="L4223" t="s">
        <v>11</v>
      </c>
      <c r="M4223">
        <v>0</v>
      </c>
      <c r="N4223" t="str">
        <f t="shared" si="195"/>
        <v>Under 40</v>
      </c>
      <c r="O4223" t="str">
        <f t="shared" si="196"/>
        <v>Overweight</v>
      </c>
    </row>
    <row r="4224" spans="1:15" x14ac:dyDescent="0.3">
      <c r="A4224">
        <v>27416</v>
      </c>
      <c r="B4224" t="s">
        <v>7</v>
      </c>
      <c r="C4224">
        <v>34</v>
      </c>
      <c r="D4224">
        <v>0</v>
      </c>
      <c r="E4224">
        <v>0</v>
      </c>
      <c r="F4224" t="str">
        <f t="shared" si="197"/>
        <v>Lower Risk</v>
      </c>
      <c r="G4224" t="s">
        <v>3</v>
      </c>
      <c r="H4224" t="s">
        <v>4</v>
      </c>
      <c r="I4224" t="s">
        <v>9</v>
      </c>
      <c r="J4224">
        <v>86.92</v>
      </c>
      <c r="K4224">
        <v>22</v>
      </c>
      <c r="L4224" t="s">
        <v>14</v>
      </c>
      <c r="M4224">
        <v>0</v>
      </c>
      <c r="N4224" t="str">
        <f t="shared" si="195"/>
        <v>Under 40</v>
      </c>
      <c r="O4224" t="str">
        <f t="shared" si="196"/>
        <v>Normal</v>
      </c>
    </row>
    <row r="4225" spans="1:15" x14ac:dyDescent="0.3">
      <c r="A4225">
        <v>43433</v>
      </c>
      <c r="B4225" t="s">
        <v>7</v>
      </c>
      <c r="C4225">
        <v>52</v>
      </c>
      <c r="D4225">
        <v>0</v>
      </c>
      <c r="E4225">
        <v>0</v>
      </c>
      <c r="F4225" t="str">
        <f t="shared" si="197"/>
        <v>Lower Risk</v>
      </c>
      <c r="G4225" t="s">
        <v>3</v>
      </c>
      <c r="H4225" t="s">
        <v>8</v>
      </c>
      <c r="I4225" t="s">
        <v>9</v>
      </c>
      <c r="J4225">
        <v>59.62</v>
      </c>
      <c r="K4225">
        <v>50.8</v>
      </c>
      <c r="L4225" t="s">
        <v>14</v>
      </c>
      <c r="M4225">
        <v>0</v>
      </c>
      <c r="N4225" t="str">
        <f t="shared" si="195"/>
        <v>40–59</v>
      </c>
      <c r="O4225" t="str">
        <f t="shared" si="196"/>
        <v>Obese</v>
      </c>
    </row>
    <row r="4226" spans="1:15" x14ac:dyDescent="0.3">
      <c r="A4226">
        <v>21366</v>
      </c>
      <c r="B4226" t="s">
        <v>7</v>
      </c>
      <c r="C4226">
        <v>50</v>
      </c>
      <c r="D4226">
        <v>0</v>
      </c>
      <c r="E4226">
        <v>0</v>
      </c>
      <c r="F4226" t="str">
        <f t="shared" si="197"/>
        <v>Lower Risk</v>
      </c>
      <c r="G4226" t="s">
        <v>3</v>
      </c>
      <c r="H4226" t="s">
        <v>4</v>
      </c>
      <c r="I4226" t="s">
        <v>5</v>
      </c>
      <c r="J4226">
        <v>103.72</v>
      </c>
      <c r="K4226">
        <v>35.4</v>
      </c>
      <c r="L4226" t="s">
        <v>6</v>
      </c>
      <c r="M4226">
        <v>0</v>
      </c>
      <c r="N4226" t="str">
        <f t="shared" ref="N4226:N4289" si="198">IF(C4226&lt;40,"Under 40",IF(C4226&lt;60,"40–59","60+"))</f>
        <v>40–59</v>
      </c>
      <c r="O4226" t="str">
        <f t="shared" ref="O4226:O4289" si="199">IF(K4226="N/A","Unknown",
IF(K4226="","Unknown",
IF(K4226&lt;18.5,"Underweight",
IF(K4226&lt;25,"Normal",
IF(K4226&lt;30,"Overweight","Obese")))))</f>
        <v>Obese</v>
      </c>
    </row>
    <row r="4227" spans="1:15" x14ac:dyDescent="0.3">
      <c r="A4227">
        <v>14658</v>
      </c>
      <c r="B4227" t="s">
        <v>7</v>
      </c>
      <c r="C4227">
        <v>37</v>
      </c>
      <c r="D4227">
        <v>0</v>
      </c>
      <c r="E4227">
        <v>0</v>
      </c>
      <c r="F4227" t="str">
        <f t="shared" ref="F4227:F4290" si="200">IF(C4227&gt;=60,
IF(OR(D4227=1,E4227=1),"High Risk","Moderate Risk"),
"Lower Risk")</f>
        <v>Lower Risk</v>
      </c>
      <c r="G4227" t="s">
        <v>3</v>
      </c>
      <c r="H4227" t="s">
        <v>4</v>
      </c>
      <c r="I4227" t="s">
        <v>9</v>
      </c>
      <c r="J4227">
        <v>77.099999999999994</v>
      </c>
      <c r="K4227">
        <v>55.9</v>
      </c>
      <c r="L4227" t="s">
        <v>14</v>
      </c>
      <c r="M4227">
        <v>0</v>
      </c>
      <c r="N4227" t="str">
        <f t="shared" si="198"/>
        <v>Under 40</v>
      </c>
      <c r="O4227" t="str">
        <f t="shared" si="199"/>
        <v>Obese</v>
      </c>
    </row>
    <row r="4228" spans="1:15" x14ac:dyDescent="0.3">
      <c r="A4228">
        <v>7538</v>
      </c>
      <c r="B4228" t="s">
        <v>7</v>
      </c>
      <c r="C4228">
        <v>55</v>
      </c>
      <c r="D4228">
        <v>0</v>
      </c>
      <c r="E4228">
        <v>0</v>
      </c>
      <c r="F4228" t="str">
        <f t="shared" si="200"/>
        <v>Lower Risk</v>
      </c>
      <c r="G4228" t="s">
        <v>3</v>
      </c>
      <c r="H4228" t="s">
        <v>8</v>
      </c>
      <c r="I4228" t="s">
        <v>9</v>
      </c>
      <c r="J4228">
        <v>94.75</v>
      </c>
      <c r="K4228">
        <v>27.9</v>
      </c>
      <c r="L4228" t="s">
        <v>12</v>
      </c>
      <c r="M4228">
        <v>0</v>
      </c>
      <c r="N4228" t="str">
        <f t="shared" si="198"/>
        <v>40–59</v>
      </c>
      <c r="O4228" t="str">
        <f t="shared" si="199"/>
        <v>Overweight</v>
      </c>
    </row>
    <row r="4229" spans="1:15" x14ac:dyDescent="0.3">
      <c r="A4229">
        <v>52092</v>
      </c>
      <c r="B4229" t="s">
        <v>7</v>
      </c>
      <c r="C4229">
        <v>2</v>
      </c>
      <c r="D4229">
        <v>0</v>
      </c>
      <c r="E4229">
        <v>0</v>
      </c>
      <c r="F4229" t="str">
        <f t="shared" si="200"/>
        <v>Lower Risk</v>
      </c>
      <c r="G4229" t="s">
        <v>13</v>
      </c>
      <c r="H4229" t="s">
        <v>16</v>
      </c>
      <c r="I4229" t="s">
        <v>9</v>
      </c>
      <c r="J4229">
        <v>77.72</v>
      </c>
      <c r="K4229">
        <v>19.8</v>
      </c>
      <c r="L4229" t="s">
        <v>14</v>
      </c>
      <c r="M4229">
        <v>0</v>
      </c>
      <c r="N4229" t="str">
        <f t="shared" si="198"/>
        <v>Under 40</v>
      </c>
      <c r="O4229" t="str">
        <f t="shared" si="199"/>
        <v>Normal</v>
      </c>
    </row>
    <row r="4230" spans="1:15" x14ac:dyDescent="0.3">
      <c r="A4230">
        <v>45372</v>
      </c>
      <c r="B4230" t="s">
        <v>2</v>
      </c>
      <c r="C4230">
        <v>68</v>
      </c>
      <c r="D4230">
        <v>0</v>
      </c>
      <c r="E4230">
        <v>0</v>
      </c>
      <c r="F4230" t="str">
        <f t="shared" si="200"/>
        <v>Moderate Risk</v>
      </c>
      <c r="G4230" t="s">
        <v>3</v>
      </c>
      <c r="H4230" t="s">
        <v>8</v>
      </c>
      <c r="I4230" t="s">
        <v>9</v>
      </c>
      <c r="J4230">
        <v>76.09</v>
      </c>
      <c r="K4230">
        <v>26</v>
      </c>
      <c r="L4230" t="s">
        <v>12</v>
      </c>
      <c r="M4230">
        <v>0</v>
      </c>
      <c r="N4230" t="str">
        <f t="shared" si="198"/>
        <v>60+</v>
      </c>
      <c r="O4230" t="str">
        <f t="shared" si="199"/>
        <v>Overweight</v>
      </c>
    </row>
    <row r="4231" spans="1:15" x14ac:dyDescent="0.3">
      <c r="A4231">
        <v>63043</v>
      </c>
      <c r="B4231" t="s">
        <v>7</v>
      </c>
      <c r="C4231">
        <v>27</v>
      </c>
      <c r="D4231">
        <v>0</v>
      </c>
      <c r="E4231">
        <v>0</v>
      </c>
      <c r="F4231" t="str">
        <f t="shared" si="200"/>
        <v>Lower Risk</v>
      </c>
      <c r="G4231" t="s">
        <v>13</v>
      </c>
      <c r="H4231" t="s">
        <v>4</v>
      </c>
      <c r="I4231" t="s">
        <v>5</v>
      </c>
      <c r="J4231">
        <v>61.8</v>
      </c>
      <c r="K4231">
        <v>26.8</v>
      </c>
      <c r="L4231" t="s">
        <v>6</v>
      </c>
      <c r="M4231">
        <v>0</v>
      </c>
      <c r="N4231" t="str">
        <f t="shared" si="198"/>
        <v>Under 40</v>
      </c>
      <c r="O4231" t="str">
        <f t="shared" si="199"/>
        <v>Overweight</v>
      </c>
    </row>
    <row r="4232" spans="1:15" x14ac:dyDescent="0.3">
      <c r="A4232">
        <v>67</v>
      </c>
      <c r="B4232" t="s">
        <v>7</v>
      </c>
      <c r="C4232">
        <v>17</v>
      </c>
      <c r="D4232">
        <v>0</v>
      </c>
      <c r="E4232">
        <v>0</v>
      </c>
      <c r="F4232" t="str">
        <f t="shared" si="200"/>
        <v>Lower Risk</v>
      </c>
      <c r="G4232" t="s">
        <v>13</v>
      </c>
      <c r="H4232" t="s">
        <v>4</v>
      </c>
      <c r="I4232" t="s">
        <v>5</v>
      </c>
      <c r="J4232">
        <v>92.97</v>
      </c>
      <c r="K4232" t="s">
        <v>10</v>
      </c>
      <c r="L4232" t="s">
        <v>6</v>
      </c>
      <c r="M4232">
        <v>0</v>
      </c>
      <c r="N4232" t="str">
        <f t="shared" si="198"/>
        <v>Under 40</v>
      </c>
      <c r="O4232" t="str">
        <f t="shared" si="199"/>
        <v>Unknown</v>
      </c>
    </row>
    <row r="4233" spans="1:15" x14ac:dyDescent="0.3">
      <c r="A4233">
        <v>68034</v>
      </c>
      <c r="B4233" t="s">
        <v>7</v>
      </c>
      <c r="C4233">
        <v>53</v>
      </c>
      <c r="D4233">
        <v>1</v>
      </c>
      <c r="E4233">
        <v>0</v>
      </c>
      <c r="F4233" t="str">
        <f t="shared" si="200"/>
        <v>Lower Risk</v>
      </c>
      <c r="G4233" t="s">
        <v>3</v>
      </c>
      <c r="H4233" t="s">
        <v>15</v>
      </c>
      <c r="I4233" t="s">
        <v>5</v>
      </c>
      <c r="J4233">
        <v>83.73</v>
      </c>
      <c r="K4233">
        <v>32.5</v>
      </c>
      <c r="L4233" t="s">
        <v>11</v>
      </c>
      <c r="M4233">
        <v>0</v>
      </c>
      <c r="N4233" t="str">
        <f t="shared" si="198"/>
        <v>40–59</v>
      </c>
      <c r="O4233" t="str">
        <f t="shared" si="199"/>
        <v>Obese</v>
      </c>
    </row>
    <row r="4234" spans="1:15" x14ac:dyDescent="0.3">
      <c r="A4234">
        <v>63026</v>
      </c>
      <c r="B4234" t="s">
        <v>2</v>
      </c>
      <c r="C4234">
        <v>5</v>
      </c>
      <c r="D4234">
        <v>0</v>
      </c>
      <c r="E4234">
        <v>0</v>
      </c>
      <c r="F4234" t="str">
        <f t="shared" si="200"/>
        <v>Lower Risk</v>
      </c>
      <c r="G4234" t="s">
        <v>13</v>
      </c>
      <c r="H4234" t="s">
        <v>16</v>
      </c>
      <c r="I4234" t="s">
        <v>9</v>
      </c>
      <c r="J4234">
        <v>79.33</v>
      </c>
      <c r="K4234">
        <v>15</v>
      </c>
      <c r="L4234" t="s">
        <v>14</v>
      </c>
      <c r="M4234">
        <v>0</v>
      </c>
      <c r="N4234" t="str">
        <f t="shared" si="198"/>
        <v>Under 40</v>
      </c>
      <c r="O4234" t="str">
        <f t="shared" si="199"/>
        <v>Underweight</v>
      </c>
    </row>
    <row r="4235" spans="1:15" x14ac:dyDescent="0.3">
      <c r="A4235">
        <v>18352</v>
      </c>
      <c r="B4235" t="s">
        <v>7</v>
      </c>
      <c r="C4235">
        <v>3</v>
      </c>
      <c r="D4235">
        <v>0</v>
      </c>
      <c r="E4235">
        <v>0</v>
      </c>
      <c r="F4235" t="str">
        <f t="shared" si="200"/>
        <v>Lower Risk</v>
      </c>
      <c r="G4235" t="s">
        <v>13</v>
      </c>
      <c r="H4235" t="s">
        <v>16</v>
      </c>
      <c r="I4235" t="s">
        <v>9</v>
      </c>
      <c r="J4235">
        <v>108.32</v>
      </c>
      <c r="K4235">
        <v>14.2</v>
      </c>
      <c r="L4235" t="s">
        <v>14</v>
      </c>
      <c r="M4235">
        <v>0</v>
      </c>
      <c r="N4235" t="str">
        <f t="shared" si="198"/>
        <v>Under 40</v>
      </c>
      <c r="O4235" t="str">
        <f t="shared" si="199"/>
        <v>Underweight</v>
      </c>
    </row>
    <row r="4236" spans="1:15" x14ac:dyDescent="0.3">
      <c r="A4236">
        <v>36087</v>
      </c>
      <c r="B4236" t="s">
        <v>7</v>
      </c>
      <c r="C4236">
        <v>20</v>
      </c>
      <c r="D4236">
        <v>0</v>
      </c>
      <c r="E4236">
        <v>0</v>
      </c>
      <c r="F4236" t="str">
        <f t="shared" si="200"/>
        <v>Lower Risk</v>
      </c>
      <c r="G4236" t="s">
        <v>13</v>
      </c>
      <c r="H4236" t="s">
        <v>4</v>
      </c>
      <c r="I4236" t="s">
        <v>9</v>
      </c>
      <c r="J4236">
        <v>103.65</v>
      </c>
      <c r="K4236">
        <v>17</v>
      </c>
      <c r="L4236" t="s">
        <v>6</v>
      </c>
      <c r="M4236">
        <v>0</v>
      </c>
      <c r="N4236" t="str">
        <f t="shared" si="198"/>
        <v>Under 40</v>
      </c>
      <c r="O4236" t="str">
        <f t="shared" si="199"/>
        <v>Underweight</v>
      </c>
    </row>
    <row r="4237" spans="1:15" x14ac:dyDescent="0.3">
      <c r="A4237">
        <v>27480</v>
      </c>
      <c r="B4237" t="s">
        <v>2</v>
      </c>
      <c r="C4237">
        <v>19</v>
      </c>
      <c r="D4237">
        <v>0</v>
      </c>
      <c r="E4237">
        <v>0</v>
      </c>
      <c r="F4237" t="str">
        <f t="shared" si="200"/>
        <v>Lower Risk</v>
      </c>
      <c r="G4237" t="s">
        <v>13</v>
      </c>
      <c r="H4237" t="s">
        <v>4</v>
      </c>
      <c r="I4237" t="s">
        <v>9</v>
      </c>
      <c r="J4237">
        <v>86.19</v>
      </c>
      <c r="K4237">
        <v>26.2</v>
      </c>
      <c r="L4237" t="s">
        <v>11</v>
      </c>
      <c r="M4237">
        <v>0</v>
      </c>
      <c r="N4237" t="str">
        <f t="shared" si="198"/>
        <v>Under 40</v>
      </c>
      <c r="O4237" t="str">
        <f t="shared" si="199"/>
        <v>Overweight</v>
      </c>
    </row>
    <row r="4238" spans="1:15" x14ac:dyDescent="0.3">
      <c r="A4238">
        <v>38074</v>
      </c>
      <c r="B4238" t="s">
        <v>7</v>
      </c>
      <c r="C4238">
        <v>31</v>
      </c>
      <c r="D4238">
        <v>0</v>
      </c>
      <c r="E4238">
        <v>0</v>
      </c>
      <c r="F4238" t="str">
        <f t="shared" si="200"/>
        <v>Lower Risk</v>
      </c>
      <c r="G4238" t="s">
        <v>3</v>
      </c>
      <c r="H4238" t="s">
        <v>4</v>
      </c>
      <c r="I4238" t="s">
        <v>5</v>
      </c>
      <c r="J4238">
        <v>131.41999999999999</v>
      </c>
      <c r="K4238">
        <v>24.9</v>
      </c>
      <c r="L4238" t="s">
        <v>12</v>
      </c>
      <c r="M4238">
        <v>0</v>
      </c>
      <c r="N4238" t="str">
        <f t="shared" si="198"/>
        <v>Under 40</v>
      </c>
      <c r="O4238" t="str">
        <f t="shared" si="199"/>
        <v>Normal</v>
      </c>
    </row>
    <row r="4239" spans="1:15" x14ac:dyDescent="0.3">
      <c r="A4239">
        <v>66690</v>
      </c>
      <c r="B4239" t="s">
        <v>7</v>
      </c>
      <c r="C4239">
        <v>63</v>
      </c>
      <c r="D4239">
        <v>0</v>
      </c>
      <c r="E4239">
        <v>0</v>
      </c>
      <c r="F4239" t="str">
        <f t="shared" si="200"/>
        <v>Moderate Risk</v>
      </c>
      <c r="G4239" t="s">
        <v>3</v>
      </c>
      <c r="H4239" t="s">
        <v>8</v>
      </c>
      <c r="I4239" t="s">
        <v>5</v>
      </c>
      <c r="J4239">
        <v>69.459999999999994</v>
      </c>
      <c r="K4239">
        <v>26.6</v>
      </c>
      <c r="L4239" t="s">
        <v>11</v>
      </c>
      <c r="M4239">
        <v>0</v>
      </c>
      <c r="N4239" t="str">
        <f t="shared" si="198"/>
        <v>60+</v>
      </c>
      <c r="O4239" t="str">
        <f t="shared" si="199"/>
        <v>Overweight</v>
      </c>
    </row>
    <row r="4240" spans="1:15" x14ac:dyDescent="0.3">
      <c r="A4240">
        <v>31131</v>
      </c>
      <c r="B4240" t="s">
        <v>7</v>
      </c>
      <c r="C4240">
        <v>49</v>
      </c>
      <c r="D4240">
        <v>0</v>
      </c>
      <c r="E4240">
        <v>1</v>
      </c>
      <c r="F4240" t="str">
        <f t="shared" si="200"/>
        <v>Lower Risk</v>
      </c>
      <c r="G4240" t="s">
        <v>3</v>
      </c>
      <c r="H4240" t="s">
        <v>4</v>
      </c>
      <c r="I4240" t="s">
        <v>9</v>
      </c>
      <c r="J4240">
        <v>76.78</v>
      </c>
      <c r="K4240">
        <v>22.7</v>
      </c>
      <c r="L4240" t="s">
        <v>12</v>
      </c>
      <c r="M4240">
        <v>0</v>
      </c>
      <c r="N4240" t="str">
        <f t="shared" si="198"/>
        <v>40–59</v>
      </c>
      <c r="O4240" t="str">
        <f t="shared" si="199"/>
        <v>Normal</v>
      </c>
    </row>
    <row r="4241" spans="1:15" x14ac:dyDescent="0.3">
      <c r="A4241">
        <v>26884</v>
      </c>
      <c r="B4241" t="s">
        <v>7</v>
      </c>
      <c r="C4241">
        <v>72</v>
      </c>
      <c r="D4241">
        <v>0</v>
      </c>
      <c r="E4241">
        <v>0</v>
      </c>
      <c r="F4241" t="str">
        <f t="shared" si="200"/>
        <v>Moderate Risk</v>
      </c>
      <c r="G4241" t="s">
        <v>3</v>
      </c>
      <c r="H4241" t="s">
        <v>8</v>
      </c>
      <c r="I4241" t="s">
        <v>5</v>
      </c>
      <c r="J4241">
        <v>103.78</v>
      </c>
      <c r="K4241">
        <v>32.700000000000003</v>
      </c>
      <c r="L4241" t="s">
        <v>6</v>
      </c>
      <c r="M4241">
        <v>0</v>
      </c>
      <c r="N4241" t="str">
        <f t="shared" si="198"/>
        <v>60+</v>
      </c>
      <c r="O4241" t="str">
        <f t="shared" si="199"/>
        <v>Obese</v>
      </c>
    </row>
    <row r="4242" spans="1:15" x14ac:dyDescent="0.3">
      <c r="A4242">
        <v>26935</v>
      </c>
      <c r="B4242" t="s">
        <v>7</v>
      </c>
      <c r="C4242">
        <v>50</v>
      </c>
      <c r="D4242">
        <v>1</v>
      </c>
      <c r="E4242">
        <v>0</v>
      </c>
      <c r="F4242" t="str">
        <f t="shared" si="200"/>
        <v>Lower Risk</v>
      </c>
      <c r="G4242" t="s">
        <v>3</v>
      </c>
      <c r="H4242" t="s">
        <v>4</v>
      </c>
      <c r="I4242" t="s">
        <v>5</v>
      </c>
      <c r="J4242">
        <v>213.43</v>
      </c>
      <c r="K4242">
        <v>36.700000000000003</v>
      </c>
      <c r="L4242" t="s">
        <v>12</v>
      </c>
      <c r="M4242">
        <v>0</v>
      </c>
      <c r="N4242" t="str">
        <f t="shared" si="198"/>
        <v>40–59</v>
      </c>
      <c r="O4242" t="str">
        <f t="shared" si="199"/>
        <v>Obese</v>
      </c>
    </row>
    <row r="4243" spans="1:15" x14ac:dyDescent="0.3">
      <c r="A4243">
        <v>17569</v>
      </c>
      <c r="B4243" t="s">
        <v>2</v>
      </c>
      <c r="C4243">
        <v>41</v>
      </c>
      <c r="D4243">
        <v>0</v>
      </c>
      <c r="E4243">
        <v>0</v>
      </c>
      <c r="F4243" t="str">
        <f t="shared" si="200"/>
        <v>Lower Risk</v>
      </c>
      <c r="G4243" t="s">
        <v>3</v>
      </c>
      <c r="H4243" t="s">
        <v>8</v>
      </c>
      <c r="I4243" t="s">
        <v>9</v>
      </c>
      <c r="J4243">
        <v>93.52</v>
      </c>
      <c r="K4243">
        <v>31.5</v>
      </c>
      <c r="L4243" t="s">
        <v>14</v>
      </c>
      <c r="M4243">
        <v>0</v>
      </c>
      <c r="N4243" t="str">
        <f t="shared" si="198"/>
        <v>40–59</v>
      </c>
      <c r="O4243" t="str">
        <f t="shared" si="199"/>
        <v>Obese</v>
      </c>
    </row>
    <row r="4244" spans="1:15" x14ac:dyDescent="0.3">
      <c r="A4244">
        <v>24585</v>
      </c>
      <c r="B4244" t="s">
        <v>2</v>
      </c>
      <c r="C4244">
        <v>40</v>
      </c>
      <c r="D4244">
        <v>0</v>
      </c>
      <c r="E4244">
        <v>0</v>
      </c>
      <c r="F4244" t="str">
        <f t="shared" si="200"/>
        <v>Lower Risk</v>
      </c>
      <c r="G4244" t="s">
        <v>3</v>
      </c>
      <c r="H4244" t="s">
        <v>15</v>
      </c>
      <c r="I4244" t="s">
        <v>5</v>
      </c>
      <c r="J4244">
        <v>115.07</v>
      </c>
      <c r="K4244">
        <v>36.9</v>
      </c>
      <c r="L4244" t="s">
        <v>11</v>
      </c>
      <c r="M4244">
        <v>0</v>
      </c>
      <c r="N4244" t="str">
        <f t="shared" si="198"/>
        <v>40–59</v>
      </c>
      <c r="O4244" t="str">
        <f t="shared" si="199"/>
        <v>Obese</v>
      </c>
    </row>
    <row r="4245" spans="1:15" x14ac:dyDescent="0.3">
      <c r="A4245">
        <v>53954</v>
      </c>
      <c r="B4245" t="s">
        <v>2</v>
      </c>
      <c r="C4245">
        <v>17</v>
      </c>
      <c r="D4245">
        <v>0</v>
      </c>
      <c r="E4245">
        <v>0</v>
      </c>
      <c r="F4245" t="str">
        <f t="shared" si="200"/>
        <v>Lower Risk</v>
      </c>
      <c r="G4245" t="s">
        <v>13</v>
      </c>
      <c r="H4245" t="s">
        <v>4</v>
      </c>
      <c r="I4245" t="s">
        <v>9</v>
      </c>
      <c r="J4245">
        <v>69.45</v>
      </c>
      <c r="K4245">
        <v>27.6</v>
      </c>
      <c r="L4245" t="s">
        <v>14</v>
      </c>
      <c r="M4245">
        <v>0</v>
      </c>
      <c r="N4245" t="str">
        <f t="shared" si="198"/>
        <v>Under 40</v>
      </c>
      <c r="O4245" t="str">
        <f t="shared" si="199"/>
        <v>Overweight</v>
      </c>
    </row>
    <row r="4246" spans="1:15" x14ac:dyDescent="0.3">
      <c r="A4246">
        <v>13286</v>
      </c>
      <c r="B4246" t="s">
        <v>2</v>
      </c>
      <c r="C4246">
        <v>3</v>
      </c>
      <c r="D4246">
        <v>0</v>
      </c>
      <c r="E4246">
        <v>0</v>
      </c>
      <c r="F4246" t="str">
        <f t="shared" si="200"/>
        <v>Lower Risk</v>
      </c>
      <c r="G4246" t="s">
        <v>13</v>
      </c>
      <c r="H4246" t="s">
        <v>16</v>
      </c>
      <c r="I4246" t="s">
        <v>9</v>
      </c>
      <c r="J4246">
        <v>81</v>
      </c>
      <c r="K4246">
        <v>20.7</v>
      </c>
      <c r="L4246" t="s">
        <v>14</v>
      </c>
      <c r="M4246">
        <v>0</v>
      </c>
      <c r="N4246" t="str">
        <f t="shared" si="198"/>
        <v>Under 40</v>
      </c>
      <c r="O4246" t="str">
        <f t="shared" si="199"/>
        <v>Normal</v>
      </c>
    </row>
    <row r="4247" spans="1:15" x14ac:dyDescent="0.3">
      <c r="A4247">
        <v>7653</v>
      </c>
      <c r="B4247" t="s">
        <v>7</v>
      </c>
      <c r="C4247">
        <v>33</v>
      </c>
      <c r="D4247">
        <v>0</v>
      </c>
      <c r="E4247">
        <v>0</v>
      </c>
      <c r="F4247" t="str">
        <f t="shared" si="200"/>
        <v>Lower Risk</v>
      </c>
      <c r="G4247" t="s">
        <v>13</v>
      </c>
      <c r="H4247" t="s">
        <v>4</v>
      </c>
      <c r="I4247" t="s">
        <v>5</v>
      </c>
      <c r="J4247">
        <v>83.16</v>
      </c>
      <c r="K4247">
        <v>20.2</v>
      </c>
      <c r="L4247" t="s">
        <v>14</v>
      </c>
      <c r="M4247">
        <v>0</v>
      </c>
      <c r="N4247" t="str">
        <f t="shared" si="198"/>
        <v>Under 40</v>
      </c>
      <c r="O4247" t="str">
        <f t="shared" si="199"/>
        <v>Normal</v>
      </c>
    </row>
    <row r="4248" spans="1:15" x14ac:dyDescent="0.3">
      <c r="A4248">
        <v>59027</v>
      </c>
      <c r="B4248" t="s">
        <v>7</v>
      </c>
      <c r="C4248">
        <v>12</v>
      </c>
      <c r="D4248">
        <v>0</v>
      </c>
      <c r="E4248">
        <v>0</v>
      </c>
      <c r="F4248" t="str">
        <f t="shared" si="200"/>
        <v>Lower Risk</v>
      </c>
      <c r="G4248" t="s">
        <v>13</v>
      </c>
      <c r="H4248" t="s">
        <v>16</v>
      </c>
      <c r="I4248" t="s">
        <v>9</v>
      </c>
      <c r="J4248">
        <v>108.63</v>
      </c>
      <c r="K4248">
        <v>23.4</v>
      </c>
      <c r="L4248" t="s">
        <v>11</v>
      </c>
      <c r="M4248">
        <v>0</v>
      </c>
      <c r="N4248" t="str">
        <f t="shared" si="198"/>
        <v>Under 40</v>
      </c>
      <c r="O4248" t="str">
        <f t="shared" si="199"/>
        <v>Normal</v>
      </c>
    </row>
    <row r="4249" spans="1:15" x14ac:dyDescent="0.3">
      <c r="A4249">
        <v>70318</v>
      </c>
      <c r="B4249" t="s">
        <v>2</v>
      </c>
      <c r="C4249">
        <v>23</v>
      </c>
      <c r="D4249">
        <v>0</v>
      </c>
      <c r="E4249">
        <v>0</v>
      </c>
      <c r="F4249" t="str">
        <f t="shared" si="200"/>
        <v>Lower Risk</v>
      </c>
      <c r="G4249" t="s">
        <v>13</v>
      </c>
      <c r="H4249" t="s">
        <v>4</v>
      </c>
      <c r="I4249" t="s">
        <v>9</v>
      </c>
      <c r="J4249">
        <v>88.06</v>
      </c>
      <c r="K4249">
        <v>25.3</v>
      </c>
      <c r="L4249" t="s">
        <v>14</v>
      </c>
      <c r="M4249">
        <v>0</v>
      </c>
      <c r="N4249" t="str">
        <f t="shared" si="198"/>
        <v>Under 40</v>
      </c>
      <c r="O4249" t="str">
        <f t="shared" si="199"/>
        <v>Overweight</v>
      </c>
    </row>
    <row r="4250" spans="1:15" x14ac:dyDescent="0.3">
      <c r="A4250">
        <v>15422</v>
      </c>
      <c r="B4250" t="s">
        <v>2</v>
      </c>
      <c r="C4250">
        <v>31</v>
      </c>
      <c r="D4250">
        <v>0</v>
      </c>
      <c r="E4250">
        <v>0</v>
      </c>
      <c r="F4250" t="str">
        <f t="shared" si="200"/>
        <v>Lower Risk</v>
      </c>
      <c r="G4250" t="s">
        <v>13</v>
      </c>
      <c r="H4250" t="s">
        <v>15</v>
      </c>
      <c r="I4250" t="s">
        <v>9</v>
      </c>
      <c r="J4250">
        <v>80.569999999999993</v>
      </c>
      <c r="K4250">
        <v>28.2</v>
      </c>
      <c r="L4250" t="s">
        <v>6</v>
      </c>
      <c r="M4250">
        <v>0</v>
      </c>
      <c r="N4250" t="str">
        <f t="shared" si="198"/>
        <v>Under 40</v>
      </c>
      <c r="O4250" t="str">
        <f t="shared" si="199"/>
        <v>Overweight</v>
      </c>
    </row>
    <row r="4251" spans="1:15" x14ac:dyDescent="0.3">
      <c r="A4251">
        <v>56692</v>
      </c>
      <c r="B4251" t="s">
        <v>7</v>
      </c>
      <c r="C4251">
        <v>65</v>
      </c>
      <c r="D4251">
        <v>0</v>
      </c>
      <c r="E4251">
        <v>0</v>
      </c>
      <c r="F4251" t="str">
        <f t="shared" si="200"/>
        <v>Moderate Risk</v>
      </c>
      <c r="G4251" t="s">
        <v>3</v>
      </c>
      <c r="H4251" t="s">
        <v>8</v>
      </c>
      <c r="I4251" t="s">
        <v>5</v>
      </c>
      <c r="J4251">
        <v>248.24</v>
      </c>
      <c r="K4251">
        <v>27</v>
      </c>
      <c r="L4251" t="s">
        <v>12</v>
      </c>
      <c r="M4251">
        <v>0</v>
      </c>
      <c r="N4251" t="str">
        <f t="shared" si="198"/>
        <v>60+</v>
      </c>
      <c r="O4251" t="str">
        <f t="shared" si="199"/>
        <v>Overweight</v>
      </c>
    </row>
    <row r="4252" spans="1:15" x14ac:dyDescent="0.3">
      <c r="A4252">
        <v>45395</v>
      </c>
      <c r="B4252" t="s">
        <v>7</v>
      </c>
      <c r="C4252">
        <v>43</v>
      </c>
      <c r="D4252">
        <v>0</v>
      </c>
      <c r="E4252">
        <v>0</v>
      </c>
      <c r="F4252" t="str">
        <f t="shared" si="200"/>
        <v>Lower Risk</v>
      </c>
      <c r="G4252" t="s">
        <v>3</v>
      </c>
      <c r="H4252" t="s">
        <v>4</v>
      </c>
      <c r="I4252" t="s">
        <v>5</v>
      </c>
      <c r="J4252">
        <v>57.79</v>
      </c>
      <c r="K4252">
        <v>24.8</v>
      </c>
      <c r="L4252" t="s">
        <v>12</v>
      </c>
      <c r="M4252">
        <v>0</v>
      </c>
      <c r="N4252" t="str">
        <f t="shared" si="198"/>
        <v>40–59</v>
      </c>
      <c r="O4252" t="str">
        <f t="shared" si="199"/>
        <v>Normal</v>
      </c>
    </row>
    <row r="4253" spans="1:15" x14ac:dyDescent="0.3">
      <c r="A4253">
        <v>39977</v>
      </c>
      <c r="B4253" t="s">
        <v>7</v>
      </c>
      <c r="C4253">
        <v>22</v>
      </c>
      <c r="D4253">
        <v>0</v>
      </c>
      <c r="E4253">
        <v>0</v>
      </c>
      <c r="F4253" t="str">
        <f t="shared" si="200"/>
        <v>Lower Risk</v>
      </c>
      <c r="G4253" t="s">
        <v>13</v>
      </c>
      <c r="H4253" t="s">
        <v>4</v>
      </c>
      <c r="I4253" t="s">
        <v>5</v>
      </c>
      <c r="J4253">
        <v>87.4</v>
      </c>
      <c r="K4253">
        <v>34.799999999999997</v>
      </c>
      <c r="L4253" t="s">
        <v>11</v>
      </c>
      <c r="M4253">
        <v>0</v>
      </c>
      <c r="N4253" t="str">
        <f t="shared" si="198"/>
        <v>Under 40</v>
      </c>
      <c r="O4253" t="str">
        <f t="shared" si="199"/>
        <v>Obese</v>
      </c>
    </row>
    <row r="4254" spans="1:15" x14ac:dyDescent="0.3">
      <c r="A4254">
        <v>14553</v>
      </c>
      <c r="B4254" t="s">
        <v>2</v>
      </c>
      <c r="C4254">
        <v>7</v>
      </c>
      <c r="D4254">
        <v>0</v>
      </c>
      <c r="E4254">
        <v>0</v>
      </c>
      <c r="F4254" t="str">
        <f t="shared" si="200"/>
        <v>Lower Risk</v>
      </c>
      <c r="G4254" t="s">
        <v>13</v>
      </c>
      <c r="H4254" t="s">
        <v>16</v>
      </c>
      <c r="I4254" t="s">
        <v>5</v>
      </c>
      <c r="J4254">
        <v>76.63</v>
      </c>
      <c r="K4254">
        <v>17.3</v>
      </c>
      <c r="L4254" t="s">
        <v>14</v>
      </c>
      <c r="M4254">
        <v>0</v>
      </c>
      <c r="N4254" t="str">
        <f t="shared" si="198"/>
        <v>Under 40</v>
      </c>
      <c r="O4254" t="str">
        <f t="shared" si="199"/>
        <v>Underweight</v>
      </c>
    </row>
    <row r="4255" spans="1:15" x14ac:dyDescent="0.3">
      <c r="A4255">
        <v>40998</v>
      </c>
      <c r="B4255" t="s">
        <v>7</v>
      </c>
      <c r="C4255">
        <v>81</v>
      </c>
      <c r="D4255">
        <v>0</v>
      </c>
      <c r="E4255">
        <v>0</v>
      </c>
      <c r="F4255" t="str">
        <f t="shared" si="200"/>
        <v>Moderate Risk</v>
      </c>
      <c r="G4255" t="s">
        <v>3</v>
      </c>
      <c r="H4255" t="s">
        <v>8</v>
      </c>
      <c r="I4255" t="s">
        <v>9</v>
      </c>
      <c r="J4255">
        <v>58.01</v>
      </c>
      <c r="K4255">
        <v>27.8</v>
      </c>
      <c r="L4255" t="s">
        <v>11</v>
      </c>
      <c r="M4255">
        <v>0</v>
      </c>
      <c r="N4255" t="str">
        <f t="shared" si="198"/>
        <v>60+</v>
      </c>
      <c r="O4255" t="str">
        <f t="shared" si="199"/>
        <v>Overweight</v>
      </c>
    </row>
    <row r="4256" spans="1:15" x14ac:dyDescent="0.3">
      <c r="A4256">
        <v>71900</v>
      </c>
      <c r="B4256" t="s">
        <v>7</v>
      </c>
      <c r="C4256">
        <v>10</v>
      </c>
      <c r="D4256">
        <v>0</v>
      </c>
      <c r="E4256">
        <v>0</v>
      </c>
      <c r="F4256" t="str">
        <f t="shared" si="200"/>
        <v>Lower Risk</v>
      </c>
      <c r="G4256" t="s">
        <v>13</v>
      </c>
      <c r="H4256" t="s">
        <v>16</v>
      </c>
      <c r="I4256" t="s">
        <v>5</v>
      </c>
      <c r="J4256">
        <v>77.430000000000007</v>
      </c>
      <c r="K4256">
        <v>16.2</v>
      </c>
      <c r="L4256" t="s">
        <v>14</v>
      </c>
      <c r="M4256">
        <v>0</v>
      </c>
      <c r="N4256" t="str">
        <f t="shared" si="198"/>
        <v>Under 40</v>
      </c>
      <c r="O4256" t="str">
        <f t="shared" si="199"/>
        <v>Underweight</v>
      </c>
    </row>
    <row r="4257" spans="1:15" x14ac:dyDescent="0.3">
      <c r="A4257">
        <v>3318</v>
      </c>
      <c r="B4257" t="s">
        <v>7</v>
      </c>
      <c r="C4257">
        <v>18</v>
      </c>
      <c r="D4257">
        <v>0</v>
      </c>
      <c r="E4257">
        <v>0</v>
      </c>
      <c r="F4257" t="str">
        <f t="shared" si="200"/>
        <v>Lower Risk</v>
      </c>
      <c r="G4257" t="s">
        <v>13</v>
      </c>
      <c r="H4257" t="s">
        <v>4</v>
      </c>
      <c r="I4257" t="s">
        <v>9</v>
      </c>
      <c r="J4257">
        <v>101.12</v>
      </c>
      <c r="K4257" t="s">
        <v>10</v>
      </c>
      <c r="L4257" t="s">
        <v>12</v>
      </c>
      <c r="M4257">
        <v>0</v>
      </c>
      <c r="N4257" t="str">
        <f t="shared" si="198"/>
        <v>Under 40</v>
      </c>
      <c r="O4257" t="str">
        <f t="shared" si="199"/>
        <v>Unknown</v>
      </c>
    </row>
    <row r="4258" spans="1:15" x14ac:dyDescent="0.3">
      <c r="A4258">
        <v>41481</v>
      </c>
      <c r="B4258" t="s">
        <v>7</v>
      </c>
      <c r="C4258">
        <v>5</v>
      </c>
      <c r="D4258">
        <v>0</v>
      </c>
      <c r="E4258">
        <v>0</v>
      </c>
      <c r="F4258" t="str">
        <f t="shared" si="200"/>
        <v>Lower Risk</v>
      </c>
      <c r="G4258" t="s">
        <v>13</v>
      </c>
      <c r="H4258" t="s">
        <v>16</v>
      </c>
      <c r="I4258" t="s">
        <v>9</v>
      </c>
      <c r="J4258">
        <v>64.45</v>
      </c>
      <c r="K4258">
        <v>21.7</v>
      </c>
      <c r="L4258" t="s">
        <v>14</v>
      </c>
      <c r="M4258">
        <v>0</v>
      </c>
      <c r="N4258" t="str">
        <f t="shared" si="198"/>
        <v>Under 40</v>
      </c>
      <c r="O4258" t="str">
        <f t="shared" si="199"/>
        <v>Normal</v>
      </c>
    </row>
    <row r="4259" spans="1:15" x14ac:dyDescent="0.3">
      <c r="A4259">
        <v>24854</v>
      </c>
      <c r="B4259" t="s">
        <v>7</v>
      </c>
      <c r="C4259">
        <v>24</v>
      </c>
      <c r="D4259">
        <v>0</v>
      </c>
      <c r="E4259">
        <v>0</v>
      </c>
      <c r="F4259" t="str">
        <f t="shared" si="200"/>
        <v>Lower Risk</v>
      </c>
      <c r="G4259" t="s">
        <v>13</v>
      </c>
      <c r="H4259" t="s">
        <v>8</v>
      </c>
      <c r="I4259" t="s">
        <v>5</v>
      </c>
      <c r="J4259">
        <v>79.42</v>
      </c>
      <c r="K4259">
        <v>21.4</v>
      </c>
      <c r="L4259" t="s">
        <v>11</v>
      </c>
      <c r="M4259">
        <v>0</v>
      </c>
      <c r="N4259" t="str">
        <f t="shared" si="198"/>
        <v>Under 40</v>
      </c>
      <c r="O4259" t="str">
        <f t="shared" si="199"/>
        <v>Normal</v>
      </c>
    </row>
    <row r="4260" spans="1:15" x14ac:dyDescent="0.3">
      <c r="A4260">
        <v>22330</v>
      </c>
      <c r="B4260" t="s">
        <v>7</v>
      </c>
      <c r="C4260">
        <v>45</v>
      </c>
      <c r="D4260">
        <v>0</v>
      </c>
      <c r="E4260">
        <v>0</v>
      </c>
      <c r="F4260" t="str">
        <f t="shared" si="200"/>
        <v>Lower Risk</v>
      </c>
      <c r="G4260" t="s">
        <v>3</v>
      </c>
      <c r="H4260" t="s">
        <v>8</v>
      </c>
      <c r="I4260" t="s">
        <v>5</v>
      </c>
      <c r="J4260">
        <v>82.94</v>
      </c>
      <c r="K4260">
        <v>29.3</v>
      </c>
      <c r="L4260" t="s">
        <v>14</v>
      </c>
      <c r="M4260">
        <v>0</v>
      </c>
      <c r="N4260" t="str">
        <f t="shared" si="198"/>
        <v>40–59</v>
      </c>
      <c r="O4260" t="str">
        <f t="shared" si="199"/>
        <v>Overweight</v>
      </c>
    </row>
    <row r="4261" spans="1:15" x14ac:dyDescent="0.3">
      <c r="A4261">
        <v>14892</v>
      </c>
      <c r="B4261" t="s">
        <v>7</v>
      </c>
      <c r="C4261">
        <v>46</v>
      </c>
      <c r="D4261">
        <v>1</v>
      </c>
      <c r="E4261">
        <v>0</v>
      </c>
      <c r="F4261" t="str">
        <f t="shared" si="200"/>
        <v>Lower Risk</v>
      </c>
      <c r="G4261" t="s">
        <v>3</v>
      </c>
      <c r="H4261" t="s">
        <v>4</v>
      </c>
      <c r="I4261" t="s">
        <v>9</v>
      </c>
      <c r="J4261">
        <v>81.58</v>
      </c>
      <c r="K4261">
        <v>36.200000000000003</v>
      </c>
      <c r="L4261" t="s">
        <v>11</v>
      </c>
      <c r="M4261">
        <v>0</v>
      </c>
      <c r="N4261" t="str">
        <f t="shared" si="198"/>
        <v>40–59</v>
      </c>
      <c r="O4261" t="str">
        <f t="shared" si="199"/>
        <v>Obese</v>
      </c>
    </row>
    <row r="4262" spans="1:15" x14ac:dyDescent="0.3">
      <c r="A4262">
        <v>36710</v>
      </c>
      <c r="B4262" t="s">
        <v>2</v>
      </c>
      <c r="C4262">
        <v>64</v>
      </c>
      <c r="D4262">
        <v>0</v>
      </c>
      <c r="E4262">
        <v>0</v>
      </c>
      <c r="F4262" t="str">
        <f t="shared" si="200"/>
        <v>Moderate Risk</v>
      </c>
      <c r="G4262" t="s">
        <v>3</v>
      </c>
      <c r="H4262" t="s">
        <v>4</v>
      </c>
      <c r="I4262" t="s">
        <v>5</v>
      </c>
      <c r="J4262">
        <v>62.21</v>
      </c>
      <c r="K4262">
        <v>28.3</v>
      </c>
      <c r="L4262" t="s">
        <v>14</v>
      </c>
      <c r="M4262">
        <v>0</v>
      </c>
      <c r="N4262" t="str">
        <f t="shared" si="198"/>
        <v>60+</v>
      </c>
      <c r="O4262" t="str">
        <f t="shared" si="199"/>
        <v>Overweight</v>
      </c>
    </row>
    <row r="4263" spans="1:15" x14ac:dyDescent="0.3">
      <c r="A4263">
        <v>29267</v>
      </c>
      <c r="B4263" t="s">
        <v>2</v>
      </c>
      <c r="C4263">
        <v>25</v>
      </c>
      <c r="D4263">
        <v>0</v>
      </c>
      <c r="E4263">
        <v>0</v>
      </c>
      <c r="F4263" t="str">
        <f t="shared" si="200"/>
        <v>Lower Risk</v>
      </c>
      <c r="G4263" t="s">
        <v>13</v>
      </c>
      <c r="H4263" t="s">
        <v>4</v>
      </c>
      <c r="I4263" t="s">
        <v>9</v>
      </c>
      <c r="J4263">
        <v>229.94</v>
      </c>
      <c r="K4263">
        <v>23.5</v>
      </c>
      <c r="L4263" t="s">
        <v>11</v>
      </c>
      <c r="M4263">
        <v>0</v>
      </c>
      <c r="N4263" t="str">
        <f t="shared" si="198"/>
        <v>Under 40</v>
      </c>
      <c r="O4263" t="str">
        <f t="shared" si="199"/>
        <v>Normal</v>
      </c>
    </row>
    <row r="4264" spans="1:15" x14ac:dyDescent="0.3">
      <c r="A4264">
        <v>17098</v>
      </c>
      <c r="B4264" t="s">
        <v>7</v>
      </c>
      <c r="C4264">
        <v>12</v>
      </c>
      <c r="D4264">
        <v>0</v>
      </c>
      <c r="E4264">
        <v>0</v>
      </c>
      <c r="F4264" t="str">
        <f t="shared" si="200"/>
        <v>Lower Risk</v>
      </c>
      <c r="G4264" t="s">
        <v>13</v>
      </c>
      <c r="H4264" t="s">
        <v>16</v>
      </c>
      <c r="I4264" t="s">
        <v>5</v>
      </c>
      <c r="J4264">
        <v>116.06</v>
      </c>
      <c r="K4264">
        <v>25.9</v>
      </c>
      <c r="L4264" t="s">
        <v>14</v>
      </c>
      <c r="M4264">
        <v>0</v>
      </c>
      <c r="N4264" t="str">
        <f t="shared" si="198"/>
        <v>Under 40</v>
      </c>
      <c r="O4264" t="str">
        <f t="shared" si="199"/>
        <v>Overweight</v>
      </c>
    </row>
    <row r="4265" spans="1:15" x14ac:dyDescent="0.3">
      <c r="A4265">
        <v>61384</v>
      </c>
      <c r="B4265" t="s">
        <v>2</v>
      </c>
      <c r="C4265">
        <v>81</v>
      </c>
      <c r="D4265">
        <v>1</v>
      </c>
      <c r="E4265">
        <v>0</v>
      </c>
      <c r="F4265" t="str">
        <f t="shared" si="200"/>
        <v>High Risk</v>
      </c>
      <c r="G4265" t="s">
        <v>3</v>
      </c>
      <c r="H4265" t="s">
        <v>4</v>
      </c>
      <c r="I4265" t="s">
        <v>5</v>
      </c>
      <c r="J4265">
        <v>117.77</v>
      </c>
      <c r="K4265">
        <v>27.1</v>
      </c>
      <c r="L4265" t="s">
        <v>11</v>
      </c>
      <c r="M4265">
        <v>0</v>
      </c>
      <c r="N4265" t="str">
        <f t="shared" si="198"/>
        <v>60+</v>
      </c>
      <c r="O4265" t="str">
        <f t="shared" si="199"/>
        <v>Overweight</v>
      </c>
    </row>
    <row r="4266" spans="1:15" x14ac:dyDescent="0.3">
      <c r="A4266">
        <v>69732</v>
      </c>
      <c r="B4266" t="s">
        <v>2</v>
      </c>
      <c r="C4266">
        <v>65</v>
      </c>
      <c r="D4266">
        <v>0</v>
      </c>
      <c r="E4266">
        <v>0</v>
      </c>
      <c r="F4266" t="str">
        <f t="shared" si="200"/>
        <v>Moderate Risk</v>
      </c>
      <c r="G4266" t="s">
        <v>3</v>
      </c>
      <c r="H4266" t="s">
        <v>8</v>
      </c>
      <c r="I4266" t="s">
        <v>5</v>
      </c>
      <c r="J4266">
        <v>66.69</v>
      </c>
      <c r="K4266">
        <v>21.5</v>
      </c>
      <c r="L4266" t="s">
        <v>11</v>
      </c>
      <c r="M4266">
        <v>0</v>
      </c>
      <c r="N4266" t="str">
        <f t="shared" si="198"/>
        <v>60+</v>
      </c>
      <c r="O4266" t="str">
        <f t="shared" si="199"/>
        <v>Normal</v>
      </c>
    </row>
    <row r="4267" spans="1:15" x14ac:dyDescent="0.3">
      <c r="A4267">
        <v>61238</v>
      </c>
      <c r="B4267" t="s">
        <v>7</v>
      </c>
      <c r="C4267">
        <v>40</v>
      </c>
      <c r="D4267">
        <v>0</v>
      </c>
      <c r="E4267">
        <v>0</v>
      </c>
      <c r="F4267" t="str">
        <f t="shared" si="200"/>
        <v>Lower Risk</v>
      </c>
      <c r="G4267" t="s">
        <v>3</v>
      </c>
      <c r="H4267" t="s">
        <v>4</v>
      </c>
      <c r="I4267" t="s">
        <v>9</v>
      </c>
      <c r="J4267">
        <v>122.23</v>
      </c>
      <c r="K4267">
        <v>30.5</v>
      </c>
      <c r="L4267" t="s">
        <v>14</v>
      </c>
      <c r="M4267">
        <v>0</v>
      </c>
      <c r="N4267" t="str">
        <f t="shared" si="198"/>
        <v>40–59</v>
      </c>
      <c r="O4267" t="str">
        <f t="shared" si="199"/>
        <v>Obese</v>
      </c>
    </row>
    <row r="4268" spans="1:15" x14ac:dyDescent="0.3">
      <c r="A4268">
        <v>18696</v>
      </c>
      <c r="B4268" t="s">
        <v>2</v>
      </c>
      <c r="C4268">
        <v>81</v>
      </c>
      <c r="D4268">
        <v>0</v>
      </c>
      <c r="E4268">
        <v>0</v>
      </c>
      <c r="F4268" t="str">
        <f t="shared" si="200"/>
        <v>Moderate Risk</v>
      </c>
      <c r="G4268" t="s">
        <v>13</v>
      </c>
      <c r="H4268" t="s">
        <v>4</v>
      </c>
      <c r="I4268" t="s">
        <v>5</v>
      </c>
      <c r="J4268">
        <v>168.68</v>
      </c>
      <c r="K4268">
        <v>23.4</v>
      </c>
      <c r="L4268" t="s">
        <v>6</v>
      </c>
      <c r="M4268">
        <v>0</v>
      </c>
      <c r="N4268" t="str">
        <f t="shared" si="198"/>
        <v>60+</v>
      </c>
      <c r="O4268" t="str">
        <f t="shared" si="199"/>
        <v>Normal</v>
      </c>
    </row>
    <row r="4269" spans="1:15" x14ac:dyDescent="0.3">
      <c r="A4269">
        <v>25643</v>
      </c>
      <c r="B4269" t="s">
        <v>2</v>
      </c>
      <c r="C4269">
        <v>36</v>
      </c>
      <c r="D4269">
        <v>0</v>
      </c>
      <c r="E4269">
        <v>0</v>
      </c>
      <c r="F4269" t="str">
        <f t="shared" si="200"/>
        <v>Lower Risk</v>
      </c>
      <c r="G4269" t="s">
        <v>3</v>
      </c>
      <c r="H4269" t="s">
        <v>4</v>
      </c>
      <c r="I4269" t="s">
        <v>9</v>
      </c>
      <c r="J4269">
        <v>119.9</v>
      </c>
      <c r="K4269">
        <v>37.6</v>
      </c>
      <c r="L4269" t="s">
        <v>11</v>
      </c>
      <c r="M4269">
        <v>0</v>
      </c>
      <c r="N4269" t="str">
        <f t="shared" si="198"/>
        <v>Under 40</v>
      </c>
      <c r="O4269" t="str">
        <f t="shared" si="199"/>
        <v>Obese</v>
      </c>
    </row>
    <row r="4270" spans="1:15" x14ac:dyDescent="0.3">
      <c r="A4270">
        <v>63333</v>
      </c>
      <c r="B4270" t="s">
        <v>7</v>
      </c>
      <c r="C4270">
        <v>32</v>
      </c>
      <c r="D4270">
        <v>0</v>
      </c>
      <c r="E4270">
        <v>0</v>
      </c>
      <c r="F4270" t="str">
        <f t="shared" si="200"/>
        <v>Lower Risk</v>
      </c>
      <c r="G4270" t="s">
        <v>3</v>
      </c>
      <c r="H4270" t="s">
        <v>8</v>
      </c>
      <c r="I4270" t="s">
        <v>5</v>
      </c>
      <c r="J4270">
        <v>110.33</v>
      </c>
      <c r="K4270">
        <v>24</v>
      </c>
      <c r="L4270" t="s">
        <v>12</v>
      </c>
      <c r="M4270">
        <v>0</v>
      </c>
      <c r="N4270" t="str">
        <f t="shared" si="198"/>
        <v>Under 40</v>
      </c>
      <c r="O4270" t="str">
        <f t="shared" si="199"/>
        <v>Normal</v>
      </c>
    </row>
    <row r="4271" spans="1:15" x14ac:dyDescent="0.3">
      <c r="A4271">
        <v>23210</v>
      </c>
      <c r="B4271" t="s">
        <v>2</v>
      </c>
      <c r="C4271">
        <v>31</v>
      </c>
      <c r="D4271">
        <v>0</v>
      </c>
      <c r="E4271">
        <v>0</v>
      </c>
      <c r="F4271" t="str">
        <f t="shared" si="200"/>
        <v>Lower Risk</v>
      </c>
      <c r="G4271" t="s">
        <v>13</v>
      </c>
      <c r="H4271" t="s">
        <v>4</v>
      </c>
      <c r="I4271" t="s">
        <v>9</v>
      </c>
      <c r="J4271">
        <v>77.95</v>
      </c>
      <c r="K4271">
        <v>25.1</v>
      </c>
      <c r="L4271" t="s">
        <v>11</v>
      </c>
      <c r="M4271">
        <v>0</v>
      </c>
      <c r="N4271" t="str">
        <f t="shared" si="198"/>
        <v>Under 40</v>
      </c>
      <c r="O4271" t="str">
        <f t="shared" si="199"/>
        <v>Overweight</v>
      </c>
    </row>
    <row r="4272" spans="1:15" x14ac:dyDescent="0.3">
      <c r="A4272">
        <v>2647</v>
      </c>
      <c r="B4272" t="s">
        <v>2</v>
      </c>
      <c r="C4272">
        <v>55</v>
      </c>
      <c r="D4272">
        <v>0</v>
      </c>
      <c r="E4272">
        <v>0</v>
      </c>
      <c r="F4272" t="str">
        <f t="shared" si="200"/>
        <v>Lower Risk</v>
      </c>
      <c r="G4272" t="s">
        <v>3</v>
      </c>
      <c r="H4272" t="s">
        <v>4</v>
      </c>
      <c r="I4272" t="s">
        <v>9</v>
      </c>
      <c r="J4272">
        <v>80.349999999999994</v>
      </c>
      <c r="K4272">
        <v>28.7</v>
      </c>
      <c r="L4272" t="s">
        <v>12</v>
      </c>
      <c r="M4272">
        <v>0</v>
      </c>
      <c r="N4272" t="str">
        <f t="shared" si="198"/>
        <v>40–59</v>
      </c>
      <c r="O4272" t="str">
        <f t="shared" si="199"/>
        <v>Overweight</v>
      </c>
    </row>
    <row r="4273" spans="1:15" x14ac:dyDescent="0.3">
      <c r="A4273">
        <v>60934</v>
      </c>
      <c r="B4273" t="s">
        <v>2</v>
      </c>
      <c r="C4273">
        <v>39</v>
      </c>
      <c r="D4273">
        <v>0</v>
      </c>
      <c r="E4273">
        <v>0</v>
      </c>
      <c r="F4273" t="str">
        <f t="shared" si="200"/>
        <v>Lower Risk</v>
      </c>
      <c r="G4273" t="s">
        <v>3</v>
      </c>
      <c r="H4273" t="s">
        <v>4</v>
      </c>
      <c r="I4273" t="s">
        <v>5</v>
      </c>
      <c r="J4273">
        <v>57.38</v>
      </c>
      <c r="K4273">
        <v>41.8</v>
      </c>
      <c r="L4273" t="s">
        <v>6</v>
      </c>
      <c r="M4273">
        <v>0</v>
      </c>
      <c r="N4273" t="str">
        <f t="shared" si="198"/>
        <v>Under 40</v>
      </c>
      <c r="O4273" t="str">
        <f t="shared" si="199"/>
        <v>Obese</v>
      </c>
    </row>
    <row r="4274" spans="1:15" x14ac:dyDescent="0.3">
      <c r="A4274">
        <v>50412</v>
      </c>
      <c r="B4274" t="s">
        <v>7</v>
      </c>
      <c r="C4274">
        <v>17</v>
      </c>
      <c r="D4274">
        <v>0</v>
      </c>
      <c r="E4274">
        <v>0</v>
      </c>
      <c r="F4274" t="str">
        <f t="shared" si="200"/>
        <v>Lower Risk</v>
      </c>
      <c r="G4274" t="s">
        <v>13</v>
      </c>
      <c r="H4274" t="s">
        <v>4</v>
      </c>
      <c r="I4274" t="s">
        <v>5</v>
      </c>
      <c r="J4274">
        <v>96.47</v>
      </c>
      <c r="K4274">
        <v>25.6</v>
      </c>
      <c r="L4274" t="s">
        <v>14</v>
      </c>
      <c r="M4274">
        <v>0</v>
      </c>
      <c r="N4274" t="str">
        <f t="shared" si="198"/>
        <v>Under 40</v>
      </c>
      <c r="O4274" t="str">
        <f t="shared" si="199"/>
        <v>Overweight</v>
      </c>
    </row>
    <row r="4275" spans="1:15" x14ac:dyDescent="0.3">
      <c r="A4275">
        <v>1192</v>
      </c>
      <c r="B4275" t="s">
        <v>7</v>
      </c>
      <c r="C4275">
        <v>31</v>
      </c>
      <c r="D4275">
        <v>0</v>
      </c>
      <c r="E4275">
        <v>0</v>
      </c>
      <c r="F4275" t="str">
        <f t="shared" si="200"/>
        <v>Lower Risk</v>
      </c>
      <c r="G4275" t="s">
        <v>13</v>
      </c>
      <c r="H4275" t="s">
        <v>15</v>
      </c>
      <c r="I4275" t="s">
        <v>9</v>
      </c>
      <c r="J4275">
        <v>70.66</v>
      </c>
      <c r="K4275">
        <v>27.2</v>
      </c>
      <c r="L4275" t="s">
        <v>11</v>
      </c>
      <c r="M4275">
        <v>0</v>
      </c>
      <c r="N4275" t="str">
        <f t="shared" si="198"/>
        <v>Under 40</v>
      </c>
      <c r="O4275" t="str">
        <f t="shared" si="199"/>
        <v>Overweight</v>
      </c>
    </row>
    <row r="4276" spans="1:15" x14ac:dyDescent="0.3">
      <c r="A4276">
        <v>55361</v>
      </c>
      <c r="B4276" t="s">
        <v>7</v>
      </c>
      <c r="C4276">
        <v>36</v>
      </c>
      <c r="D4276">
        <v>0</v>
      </c>
      <c r="E4276">
        <v>0</v>
      </c>
      <c r="F4276" t="str">
        <f t="shared" si="200"/>
        <v>Lower Risk</v>
      </c>
      <c r="G4276" t="s">
        <v>3</v>
      </c>
      <c r="H4276" t="s">
        <v>8</v>
      </c>
      <c r="I4276" t="s">
        <v>5</v>
      </c>
      <c r="J4276">
        <v>202.06</v>
      </c>
      <c r="K4276">
        <v>24.4</v>
      </c>
      <c r="L4276" t="s">
        <v>11</v>
      </c>
      <c r="M4276">
        <v>0</v>
      </c>
      <c r="N4276" t="str">
        <f t="shared" si="198"/>
        <v>Under 40</v>
      </c>
      <c r="O4276" t="str">
        <f t="shared" si="199"/>
        <v>Normal</v>
      </c>
    </row>
    <row r="4277" spans="1:15" x14ac:dyDescent="0.3">
      <c r="A4277">
        <v>50141</v>
      </c>
      <c r="B4277" t="s">
        <v>7</v>
      </c>
      <c r="C4277">
        <v>5</v>
      </c>
      <c r="D4277">
        <v>0</v>
      </c>
      <c r="E4277">
        <v>0</v>
      </c>
      <c r="F4277" t="str">
        <f t="shared" si="200"/>
        <v>Lower Risk</v>
      </c>
      <c r="G4277" t="s">
        <v>13</v>
      </c>
      <c r="H4277" t="s">
        <v>16</v>
      </c>
      <c r="I4277" t="s">
        <v>5</v>
      </c>
      <c r="J4277">
        <v>91.3</v>
      </c>
      <c r="K4277">
        <v>20.7</v>
      </c>
      <c r="L4277" t="s">
        <v>14</v>
      </c>
      <c r="M4277">
        <v>0</v>
      </c>
      <c r="N4277" t="str">
        <f t="shared" si="198"/>
        <v>Under 40</v>
      </c>
      <c r="O4277" t="str">
        <f t="shared" si="199"/>
        <v>Normal</v>
      </c>
    </row>
    <row r="4278" spans="1:15" x14ac:dyDescent="0.3">
      <c r="A4278">
        <v>12963</v>
      </c>
      <c r="B4278" t="s">
        <v>7</v>
      </c>
      <c r="C4278">
        <v>29</v>
      </c>
      <c r="D4278">
        <v>0</v>
      </c>
      <c r="E4278">
        <v>0</v>
      </c>
      <c r="F4278" t="str">
        <f t="shared" si="200"/>
        <v>Lower Risk</v>
      </c>
      <c r="G4278" t="s">
        <v>13</v>
      </c>
      <c r="H4278" t="s">
        <v>8</v>
      </c>
      <c r="I4278" t="s">
        <v>9</v>
      </c>
      <c r="J4278">
        <v>67.56</v>
      </c>
      <c r="K4278">
        <v>19.600000000000001</v>
      </c>
      <c r="L4278" t="s">
        <v>14</v>
      </c>
      <c r="M4278">
        <v>0</v>
      </c>
      <c r="N4278" t="str">
        <f t="shared" si="198"/>
        <v>Under 40</v>
      </c>
      <c r="O4278" t="str">
        <f t="shared" si="199"/>
        <v>Normal</v>
      </c>
    </row>
    <row r="4279" spans="1:15" x14ac:dyDescent="0.3">
      <c r="A4279">
        <v>55337</v>
      </c>
      <c r="B4279" t="s">
        <v>7</v>
      </c>
      <c r="C4279">
        <v>2</v>
      </c>
      <c r="D4279">
        <v>0</v>
      </c>
      <c r="E4279">
        <v>0</v>
      </c>
      <c r="F4279" t="str">
        <f t="shared" si="200"/>
        <v>Lower Risk</v>
      </c>
      <c r="G4279" t="s">
        <v>13</v>
      </c>
      <c r="H4279" t="s">
        <v>16</v>
      </c>
      <c r="I4279" t="s">
        <v>9</v>
      </c>
      <c r="J4279">
        <v>126.12</v>
      </c>
      <c r="K4279">
        <v>24.8</v>
      </c>
      <c r="L4279" t="s">
        <v>14</v>
      </c>
      <c r="M4279">
        <v>0</v>
      </c>
      <c r="N4279" t="str">
        <f t="shared" si="198"/>
        <v>Under 40</v>
      </c>
      <c r="O4279" t="str">
        <f t="shared" si="199"/>
        <v>Normal</v>
      </c>
    </row>
    <row r="4280" spans="1:15" x14ac:dyDescent="0.3">
      <c r="A4280">
        <v>23989</v>
      </c>
      <c r="B4280" t="s">
        <v>7</v>
      </c>
      <c r="C4280">
        <v>62</v>
      </c>
      <c r="D4280">
        <v>0</v>
      </c>
      <c r="E4280">
        <v>0</v>
      </c>
      <c r="F4280" t="str">
        <f t="shared" si="200"/>
        <v>Moderate Risk</v>
      </c>
      <c r="G4280" t="s">
        <v>3</v>
      </c>
      <c r="H4280" t="s">
        <v>8</v>
      </c>
      <c r="I4280" t="s">
        <v>5</v>
      </c>
      <c r="J4280">
        <v>86.4</v>
      </c>
      <c r="K4280">
        <v>32.6</v>
      </c>
      <c r="L4280" t="s">
        <v>12</v>
      </c>
      <c r="M4280">
        <v>0</v>
      </c>
      <c r="N4280" t="str">
        <f t="shared" si="198"/>
        <v>60+</v>
      </c>
      <c r="O4280" t="str">
        <f t="shared" si="199"/>
        <v>Obese</v>
      </c>
    </row>
    <row r="4281" spans="1:15" x14ac:dyDescent="0.3">
      <c r="A4281">
        <v>26025</v>
      </c>
      <c r="B4281" t="s">
        <v>7</v>
      </c>
      <c r="C4281">
        <v>45</v>
      </c>
      <c r="D4281">
        <v>0</v>
      </c>
      <c r="E4281">
        <v>0</v>
      </c>
      <c r="F4281" t="str">
        <f t="shared" si="200"/>
        <v>Lower Risk</v>
      </c>
      <c r="G4281" t="s">
        <v>3</v>
      </c>
      <c r="H4281" t="s">
        <v>15</v>
      </c>
      <c r="I4281" t="s">
        <v>5</v>
      </c>
      <c r="J4281">
        <v>103.22</v>
      </c>
      <c r="K4281">
        <v>20.5</v>
      </c>
      <c r="L4281" t="s">
        <v>11</v>
      </c>
      <c r="M4281">
        <v>0</v>
      </c>
      <c r="N4281" t="str">
        <f t="shared" si="198"/>
        <v>40–59</v>
      </c>
      <c r="O4281" t="str">
        <f t="shared" si="199"/>
        <v>Normal</v>
      </c>
    </row>
    <row r="4282" spans="1:15" x14ac:dyDescent="0.3">
      <c r="A4282">
        <v>67711</v>
      </c>
      <c r="B4282" t="s">
        <v>7</v>
      </c>
      <c r="C4282">
        <v>18</v>
      </c>
      <c r="D4282">
        <v>0</v>
      </c>
      <c r="E4282">
        <v>0</v>
      </c>
      <c r="F4282" t="str">
        <f t="shared" si="200"/>
        <v>Lower Risk</v>
      </c>
      <c r="G4282" t="s">
        <v>13</v>
      </c>
      <c r="H4282" t="s">
        <v>4</v>
      </c>
      <c r="I4282" t="s">
        <v>9</v>
      </c>
      <c r="J4282">
        <v>88.85</v>
      </c>
      <c r="K4282">
        <v>36.200000000000003</v>
      </c>
      <c r="L4282" t="s">
        <v>14</v>
      </c>
      <c r="M4282">
        <v>0</v>
      </c>
      <c r="N4282" t="str">
        <f t="shared" si="198"/>
        <v>Under 40</v>
      </c>
      <c r="O4282" t="str">
        <f t="shared" si="199"/>
        <v>Obese</v>
      </c>
    </row>
    <row r="4283" spans="1:15" x14ac:dyDescent="0.3">
      <c r="A4283">
        <v>53105</v>
      </c>
      <c r="B4283" t="s">
        <v>7</v>
      </c>
      <c r="C4283">
        <v>29</v>
      </c>
      <c r="D4283">
        <v>0</v>
      </c>
      <c r="E4283">
        <v>0</v>
      </c>
      <c r="F4283" t="str">
        <f t="shared" si="200"/>
        <v>Lower Risk</v>
      </c>
      <c r="G4283" t="s">
        <v>3</v>
      </c>
      <c r="H4283" t="s">
        <v>4</v>
      </c>
      <c r="I4283" t="s">
        <v>5</v>
      </c>
      <c r="J4283">
        <v>63.9</v>
      </c>
      <c r="K4283">
        <v>45.4</v>
      </c>
      <c r="L4283" t="s">
        <v>12</v>
      </c>
      <c r="M4283">
        <v>0</v>
      </c>
      <c r="N4283" t="str">
        <f t="shared" si="198"/>
        <v>Under 40</v>
      </c>
      <c r="O4283" t="str">
        <f t="shared" si="199"/>
        <v>Obese</v>
      </c>
    </row>
    <row r="4284" spans="1:15" x14ac:dyDescent="0.3">
      <c r="A4284">
        <v>10696</v>
      </c>
      <c r="B4284" t="s">
        <v>7</v>
      </c>
      <c r="C4284">
        <v>52</v>
      </c>
      <c r="D4284">
        <v>0</v>
      </c>
      <c r="E4284">
        <v>0</v>
      </c>
      <c r="F4284" t="str">
        <f t="shared" si="200"/>
        <v>Lower Risk</v>
      </c>
      <c r="G4284" t="s">
        <v>3</v>
      </c>
      <c r="H4284" t="s">
        <v>4</v>
      </c>
      <c r="I4284" t="s">
        <v>5</v>
      </c>
      <c r="J4284">
        <v>81.319999999999993</v>
      </c>
      <c r="K4284">
        <v>27.6</v>
      </c>
      <c r="L4284" t="s">
        <v>6</v>
      </c>
      <c r="M4284">
        <v>0</v>
      </c>
      <c r="N4284" t="str">
        <f t="shared" si="198"/>
        <v>40–59</v>
      </c>
      <c r="O4284" t="str">
        <f t="shared" si="199"/>
        <v>Overweight</v>
      </c>
    </row>
    <row r="4285" spans="1:15" x14ac:dyDescent="0.3">
      <c r="A4285">
        <v>43656</v>
      </c>
      <c r="B4285" t="s">
        <v>2</v>
      </c>
      <c r="C4285">
        <v>59</v>
      </c>
      <c r="D4285">
        <v>1</v>
      </c>
      <c r="E4285">
        <v>0</v>
      </c>
      <c r="F4285" t="str">
        <f t="shared" si="200"/>
        <v>Lower Risk</v>
      </c>
      <c r="G4285" t="s">
        <v>3</v>
      </c>
      <c r="H4285" t="s">
        <v>15</v>
      </c>
      <c r="I4285" t="s">
        <v>9</v>
      </c>
      <c r="J4285">
        <v>253.93</v>
      </c>
      <c r="K4285" t="s">
        <v>10</v>
      </c>
      <c r="L4285" t="s">
        <v>6</v>
      </c>
      <c r="M4285">
        <v>0</v>
      </c>
      <c r="N4285" t="str">
        <f t="shared" si="198"/>
        <v>40–59</v>
      </c>
      <c r="O4285" t="str">
        <f t="shared" si="199"/>
        <v>Unknown</v>
      </c>
    </row>
    <row r="4286" spans="1:15" x14ac:dyDescent="0.3">
      <c r="A4286">
        <v>52361</v>
      </c>
      <c r="B4286" t="s">
        <v>2</v>
      </c>
      <c r="C4286">
        <v>69</v>
      </c>
      <c r="D4286">
        <v>1</v>
      </c>
      <c r="E4286">
        <v>1</v>
      </c>
      <c r="F4286" t="str">
        <f t="shared" si="200"/>
        <v>High Risk</v>
      </c>
      <c r="G4286" t="s">
        <v>3</v>
      </c>
      <c r="H4286" t="s">
        <v>4</v>
      </c>
      <c r="I4286" t="s">
        <v>5</v>
      </c>
      <c r="J4286">
        <v>78.11</v>
      </c>
      <c r="K4286">
        <v>34.700000000000003</v>
      </c>
      <c r="L4286" t="s">
        <v>6</v>
      </c>
      <c r="M4286">
        <v>0</v>
      </c>
      <c r="N4286" t="str">
        <f t="shared" si="198"/>
        <v>60+</v>
      </c>
      <c r="O4286" t="str">
        <f t="shared" si="199"/>
        <v>Obese</v>
      </c>
    </row>
    <row r="4287" spans="1:15" x14ac:dyDescent="0.3">
      <c r="A4287">
        <v>57343</v>
      </c>
      <c r="B4287" t="s">
        <v>7</v>
      </c>
      <c r="C4287">
        <v>71</v>
      </c>
      <c r="D4287">
        <v>0</v>
      </c>
      <c r="E4287">
        <v>0</v>
      </c>
      <c r="F4287" t="str">
        <f t="shared" si="200"/>
        <v>Moderate Risk</v>
      </c>
      <c r="G4287" t="s">
        <v>3</v>
      </c>
      <c r="H4287" t="s">
        <v>4</v>
      </c>
      <c r="I4287" t="s">
        <v>5</v>
      </c>
      <c r="J4287">
        <v>134.65</v>
      </c>
      <c r="K4287">
        <v>32.4</v>
      </c>
      <c r="L4287" t="s">
        <v>14</v>
      </c>
      <c r="M4287">
        <v>0</v>
      </c>
      <c r="N4287" t="str">
        <f t="shared" si="198"/>
        <v>60+</v>
      </c>
      <c r="O4287" t="str">
        <f t="shared" si="199"/>
        <v>Obese</v>
      </c>
    </row>
    <row r="4288" spans="1:15" x14ac:dyDescent="0.3">
      <c r="A4288">
        <v>23339</v>
      </c>
      <c r="B4288" t="s">
        <v>2</v>
      </c>
      <c r="C4288">
        <v>3</v>
      </c>
      <c r="D4288">
        <v>0</v>
      </c>
      <c r="E4288">
        <v>0</v>
      </c>
      <c r="F4288" t="str">
        <f t="shared" si="200"/>
        <v>Lower Risk</v>
      </c>
      <c r="G4288" t="s">
        <v>13</v>
      </c>
      <c r="H4288" t="s">
        <v>16</v>
      </c>
      <c r="I4288" t="s">
        <v>9</v>
      </c>
      <c r="J4288">
        <v>194.75</v>
      </c>
      <c r="K4288" t="s">
        <v>10</v>
      </c>
      <c r="L4288" t="s">
        <v>14</v>
      </c>
      <c r="M4288">
        <v>0</v>
      </c>
      <c r="N4288" t="str">
        <f t="shared" si="198"/>
        <v>Under 40</v>
      </c>
      <c r="O4288" t="str">
        <f t="shared" si="199"/>
        <v>Unknown</v>
      </c>
    </row>
    <row r="4289" spans="1:15" x14ac:dyDescent="0.3">
      <c r="A4289">
        <v>51408</v>
      </c>
      <c r="B4289" t="s">
        <v>2</v>
      </c>
      <c r="C4289">
        <v>33</v>
      </c>
      <c r="D4289">
        <v>0</v>
      </c>
      <c r="E4289">
        <v>0</v>
      </c>
      <c r="F4289" t="str">
        <f t="shared" si="200"/>
        <v>Lower Risk</v>
      </c>
      <c r="G4289" t="s">
        <v>3</v>
      </c>
      <c r="H4289" t="s">
        <v>15</v>
      </c>
      <c r="I4289" t="s">
        <v>9</v>
      </c>
      <c r="J4289">
        <v>77.94</v>
      </c>
      <c r="K4289">
        <v>28.7</v>
      </c>
      <c r="L4289" t="s">
        <v>11</v>
      </c>
      <c r="M4289">
        <v>0</v>
      </c>
      <c r="N4289" t="str">
        <f t="shared" si="198"/>
        <v>Under 40</v>
      </c>
      <c r="O4289" t="str">
        <f t="shared" si="199"/>
        <v>Overweight</v>
      </c>
    </row>
    <row r="4290" spans="1:15" x14ac:dyDescent="0.3">
      <c r="A4290">
        <v>47886</v>
      </c>
      <c r="B4290" t="s">
        <v>7</v>
      </c>
      <c r="C4290">
        <v>43</v>
      </c>
      <c r="D4290">
        <v>1</v>
      </c>
      <c r="E4290">
        <v>0</v>
      </c>
      <c r="F4290" t="str">
        <f t="shared" si="200"/>
        <v>Lower Risk</v>
      </c>
      <c r="G4290" t="s">
        <v>3</v>
      </c>
      <c r="H4290" t="s">
        <v>15</v>
      </c>
      <c r="I4290" t="s">
        <v>9</v>
      </c>
      <c r="J4290">
        <v>56.94</v>
      </c>
      <c r="K4290">
        <v>45.3</v>
      </c>
      <c r="L4290" t="s">
        <v>14</v>
      </c>
      <c r="M4290">
        <v>0</v>
      </c>
      <c r="N4290" t="str">
        <f t="shared" ref="N4290:N4353" si="201">IF(C4290&lt;40,"Under 40",IF(C4290&lt;60,"40–59","60+"))</f>
        <v>40–59</v>
      </c>
      <c r="O4290" t="str">
        <f t="shared" ref="O4290:O4353" si="202">IF(K4290="N/A","Unknown",
IF(K4290="","Unknown",
IF(K4290&lt;18.5,"Underweight",
IF(K4290&lt;25,"Normal",
IF(K4290&lt;30,"Overweight","Obese")))))</f>
        <v>Obese</v>
      </c>
    </row>
    <row r="4291" spans="1:15" x14ac:dyDescent="0.3">
      <c r="A4291">
        <v>21407</v>
      </c>
      <c r="B4291" t="s">
        <v>2</v>
      </c>
      <c r="C4291">
        <v>39</v>
      </c>
      <c r="D4291">
        <v>0</v>
      </c>
      <c r="E4291">
        <v>0</v>
      </c>
      <c r="F4291" t="str">
        <f t="shared" ref="F4291:F4354" si="203">IF(C4291&gt;=60,
IF(OR(D4291=1,E4291=1),"High Risk","Moderate Risk"),
"Lower Risk")</f>
        <v>Lower Risk</v>
      </c>
      <c r="G4291" t="s">
        <v>3</v>
      </c>
      <c r="H4291" t="s">
        <v>4</v>
      </c>
      <c r="I4291" t="s">
        <v>9</v>
      </c>
      <c r="J4291">
        <v>117.03</v>
      </c>
      <c r="K4291">
        <v>40.299999999999997</v>
      </c>
      <c r="L4291" t="s">
        <v>6</v>
      </c>
      <c r="M4291">
        <v>0</v>
      </c>
      <c r="N4291" t="str">
        <f t="shared" si="201"/>
        <v>Under 40</v>
      </c>
      <c r="O4291" t="str">
        <f t="shared" si="202"/>
        <v>Obese</v>
      </c>
    </row>
    <row r="4292" spans="1:15" x14ac:dyDescent="0.3">
      <c r="A4292">
        <v>34026</v>
      </c>
      <c r="B4292" t="s">
        <v>7</v>
      </c>
      <c r="C4292">
        <v>60</v>
      </c>
      <c r="D4292">
        <v>0</v>
      </c>
      <c r="E4292">
        <v>0</v>
      </c>
      <c r="F4292" t="str">
        <f t="shared" si="203"/>
        <v>Moderate Risk</v>
      </c>
      <c r="G4292" t="s">
        <v>3</v>
      </c>
      <c r="H4292" t="s">
        <v>4</v>
      </c>
      <c r="I4292" t="s">
        <v>9</v>
      </c>
      <c r="J4292">
        <v>207.84</v>
      </c>
      <c r="K4292">
        <v>38.9</v>
      </c>
      <c r="L4292" t="s">
        <v>11</v>
      </c>
      <c r="M4292">
        <v>0</v>
      </c>
      <c r="N4292" t="str">
        <f t="shared" si="201"/>
        <v>60+</v>
      </c>
      <c r="O4292" t="str">
        <f t="shared" si="202"/>
        <v>Obese</v>
      </c>
    </row>
    <row r="4293" spans="1:15" x14ac:dyDescent="0.3">
      <c r="A4293">
        <v>53004</v>
      </c>
      <c r="B4293" t="s">
        <v>7</v>
      </c>
      <c r="C4293">
        <v>54</v>
      </c>
      <c r="D4293">
        <v>0</v>
      </c>
      <c r="E4293">
        <v>0</v>
      </c>
      <c r="F4293" t="str">
        <f t="shared" si="203"/>
        <v>Lower Risk</v>
      </c>
      <c r="G4293" t="s">
        <v>3</v>
      </c>
      <c r="H4293" t="s">
        <v>15</v>
      </c>
      <c r="I4293" t="s">
        <v>9</v>
      </c>
      <c r="J4293">
        <v>228.26</v>
      </c>
      <c r="K4293">
        <v>46</v>
      </c>
      <c r="L4293" t="s">
        <v>11</v>
      </c>
      <c r="M4293">
        <v>0</v>
      </c>
      <c r="N4293" t="str">
        <f t="shared" si="201"/>
        <v>40–59</v>
      </c>
      <c r="O4293" t="str">
        <f t="shared" si="202"/>
        <v>Obese</v>
      </c>
    </row>
    <row r="4294" spans="1:15" x14ac:dyDescent="0.3">
      <c r="A4294">
        <v>18833</v>
      </c>
      <c r="B4294" t="s">
        <v>2</v>
      </c>
      <c r="C4294">
        <v>61</v>
      </c>
      <c r="D4294">
        <v>0</v>
      </c>
      <c r="E4294">
        <v>0</v>
      </c>
      <c r="F4294" t="str">
        <f t="shared" si="203"/>
        <v>Moderate Risk</v>
      </c>
      <c r="G4294" t="s">
        <v>3</v>
      </c>
      <c r="H4294" t="s">
        <v>8</v>
      </c>
      <c r="I4294" t="s">
        <v>9</v>
      </c>
      <c r="J4294">
        <v>84.43</v>
      </c>
      <c r="K4294">
        <v>32.4</v>
      </c>
      <c r="L4294" t="s">
        <v>12</v>
      </c>
      <c r="M4294">
        <v>0</v>
      </c>
      <c r="N4294" t="str">
        <f t="shared" si="201"/>
        <v>60+</v>
      </c>
      <c r="O4294" t="str">
        <f t="shared" si="202"/>
        <v>Obese</v>
      </c>
    </row>
    <row r="4295" spans="1:15" x14ac:dyDescent="0.3">
      <c r="A4295">
        <v>69222</v>
      </c>
      <c r="B4295" t="s">
        <v>2</v>
      </c>
      <c r="C4295">
        <v>0.24</v>
      </c>
      <c r="D4295">
        <v>0</v>
      </c>
      <c r="E4295">
        <v>0</v>
      </c>
      <c r="F4295" t="str">
        <f t="shared" si="203"/>
        <v>Lower Risk</v>
      </c>
      <c r="G4295" t="s">
        <v>13</v>
      </c>
      <c r="H4295" t="s">
        <v>16</v>
      </c>
      <c r="I4295" t="s">
        <v>5</v>
      </c>
      <c r="J4295">
        <v>57.09</v>
      </c>
      <c r="K4295">
        <v>19.399999999999999</v>
      </c>
      <c r="L4295" t="s">
        <v>14</v>
      </c>
      <c r="M4295">
        <v>0</v>
      </c>
      <c r="N4295" t="str">
        <f t="shared" si="201"/>
        <v>Under 40</v>
      </c>
      <c r="O4295" t="str">
        <f t="shared" si="202"/>
        <v>Normal</v>
      </c>
    </row>
    <row r="4296" spans="1:15" x14ac:dyDescent="0.3">
      <c r="A4296">
        <v>32610</v>
      </c>
      <c r="B4296" t="s">
        <v>7</v>
      </c>
      <c r="C4296">
        <v>11</v>
      </c>
      <c r="D4296">
        <v>0</v>
      </c>
      <c r="E4296">
        <v>0</v>
      </c>
      <c r="F4296" t="str">
        <f t="shared" si="203"/>
        <v>Lower Risk</v>
      </c>
      <c r="G4296" t="s">
        <v>13</v>
      </c>
      <c r="H4296" t="s">
        <v>16</v>
      </c>
      <c r="I4296" t="s">
        <v>5</v>
      </c>
      <c r="J4296">
        <v>94.89</v>
      </c>
      <c r="K4296">
        <v>27.5</v>
      </c>
      <c r="L4296" t="s">
        <v>11</v>
      </c>
      <c r="M4296">
        <v>0</v>
      </c>
      <c r="N4296" t="str">
        <f t="shared" si="201"/>
        <v>Under 40</v>
      </c>
      <c r="O4296" t="str">
        <f t="shared" si="202"/>
        <v>Overweight</v>
      </c>
    </row>
    <row r="4297" spans="1:15" x14ac:dyDescent="0.3">
      <c r="A4297">
        <v>57645</v>
      </c>
      <c r="B4297" t="s">
        <v>7</v>
      </c>
      <c r="C4297">
        <v>75</v>
      </c>
      <c r="D4297">
        <v>0</v>
      </c>
      <c r="E4297">
        <v>0</v>
      </c>
      <c r="F4297" t="str">
        <f t="shared" si="203"/>
        <v>Moderate Risk</v>
      </c>
      <c r="G4297" t="s">
        <v>3</v>
      </c>
      <c r="H4297" t="s">
        <v>15</v>
      </c>
      <c r="I4297" t="s">
        <v>9</v>
      </c>
      <c r="J4297">
        <v>132.46</v>
      </c>
      <c r="K4297">
        <v>26.2</v>
      </c>
      <c r="L4297" t="s">
        <v>14</v>
      </c>
      <c r="M4297">
        <v>0</v>
      </c>
      <c r="N4297" t="str">
        <f t="shared" si="201"/>
        <v>60+</v>
      </c>
      <c r="O4297" t="str">
        <f t="shared" si="202"/>
        <v>Overweight</v>
      </c>
    </row>
    <row r="4298" spans="1:15" x14ac:dyDescent="0.3">
      <c r="A4298">
        <v>21677</v>
      </c>
      <c r="B4298" t="s">
        <v>7</v>
      </c>
      <c r="C4298">
        <v>64</v>
      </c>
      <c r="D4298">
        <v>0</v>
      </c>
      <c r="E4298">
        <v>0</v>
      </c>
      <c r="F4298" t="str">
        <f t="shared" si="203"/>
        <v>Moderate Risk</v>
      </c>
      <c r="G4298" t="s">
        <v>3</v>
      </c>
      <c r="H4298" t="s">
        <v>4</v>
      </c>
      <c r="I4298" t="s">
        <v>9</v>
      </c>
      <c r="J4298">
        <v>75.13</v>
      </c>
      <c r="K4298">
        <v>31.1</v>
      </c>
      <c r="L4298" t="s">
        <v>6</v>
      </c>
      <c r="M4298">
        <v>0</v>
      </c>
      <c r="N4298" t="str">
        <f t="shared" si="201"/>
        <v>60+</v>
      </c>
      <c r="O4298" t="str">
        <f t="shared" si="202"/>
        <v>Obese</v>
      </c>
    </row>
    <row r="4299" spans="1:15" x14ac:dyDescent="0.3">
      <c r="A4299">
        <v>50410</v>
      </c>
      <c r="B4299" t="s">
        <v>7</v>
      </c>
      <c r="C4299">
        <v>78</v>
      </c>
      <c r="D4299">
        <v>0</v>
      </c>
      <c r="E4299">
        <v>0</v>
      </c>
      <c r="F4299" t="str">
        <f t="shared" si="203"/>
        <v>Moderate Risk</v>
      </c>
      <c r="G4299" t="s">
        <v>13</v>
      </c>
      <c r="H4299" t="s">
        <v>15</v>
      </c>
      <c r="I4299" t="s">
        <v>9</v>
      </c>
      <c r="J4299">
        <v>76.64</v>
      </c>
      <c r="K4299">
        <v>34.6</v>
      </c>
      <c r="L4299" t="s">
        <v>11</v>
      </c>
      <c r="M4299">
        <v>0</v>
      </c>
      <c r="N4299" t="str">
        <f t="shared" si="201"/>
        <v>60+</v>
      </c>
      <c r="O4299" t="str">
        <f t="shared" si="202"/>
        <v>Obese</v>
      </c>
    </row>
    <row r="4300" spans="1:15" x14ac:dyDescent="0.3">
      <c r="A4300">
        <v>25051</v>
      </c>
      <c r="B4300" t="s">
        <v>7</v>
      </c>
      <c r="C4300">
        <v>14</v>
      </c>
      <c r="D4300">
        <v>0</v>
      </c>
      <c r="E4300">
        <v>0</v>
      </c>
      <c r="F4300" t="str">
        <f t="shared" si="203"/>
        <v>Lower Risk</v>
      </c>
      <c r="G4300" t="s">
        <v>13</v>
      </c>
      <c r="H4300" t="s">
        <v>4</v>
      </c>
      <c r="I4300" t="s">
        <v>9</v>
      </c>
      <c r="J4300">
        <v>91.32</v>
      </c>
      <c r="K4300">
        <v>24.3</v>
      </c>
      <c r="L4300" t="s">
        <v>11</v>
      </c>
      <c r="M4300">
        <v>0</v>
      </c>
      <c r="N4300" t="str">
        <f t="shared" si="201"/>
        <v>Under 40</v>
      </c>
      <c r="O4300" t="str">
        <f t="shared" si="202"/>
        <v>Normal</v>
      </c>
    </row>
    <row r="4301" spans="1:15" x14ac:dyDescent="0.3">
      <c r="A4301">
        <v>31642</v>
      </c>
      <c r="B4301" t="s">
        <v>7</v>
      </c>
      <c r="C4301">
        <v>66</v>
      </c>
      <c r="D4301">
        <v>0</v>
      </c>
      <c r="E4301">
        <v>0</v>
      </c>
      <c r="F4301" t="str">
        <f t="shared" si="203"/>
        <v>Moderate Risk</v>
      </c>
      <c r="G4301" t="s">
        <v>3</v>
      </c>
      <c r="H4301" t="s">
        <v>8</v>
      </c>
      <c r="I4301" t="s">
        <v>9</v>
      </c>
      <c r="J4301">
        <v>85.9</v>
      </c>
      <c r="K4301">
        <v>34.6</v>
      </c>
      <c r="L4301" t="s">
        <v>11</v>
      </c>
      <c r="M4301">
        <v>0</v>
      </c>
      <c r="N4301" t="str">
        <f t="shared" si="201"/>
        <v>60+</v>
      </c>
      <c r="O4301" t="str">
        <f t="shared" si="202"/>
        <v>Obese</v>
      </c>
    </row>
    <row r="4302" spans="1:15" x14ac:dyDescent="0.3">
      <c r="A4302">
        <v>60455</v>
      </c>
      <c r="B4302" t="s">
        <v>2</v>
      </c>
      <c r="C4302">
        <v>48</v>
      </c>
      <c r="D4302">
        <v>0</v>
      </c>
      <c r="E4302">
        <v>0</v>
      </c>
      <c r="F4302" t="str">
        <f t="shared" si="203"/>
        <v>Lower Risk</v>
      </c>
      <c r="G4302" t="s">
        <v>3</v>
      </c>
      <c r="H4302" t="s">
        <v>4</v>
      </c>
      <c r="I4302" t="s">
        <v>5</v>
      </c>
      <c r="J4302">
        <v>76.19</v>
      </c>
      <c r="K4302">
        <v>28.5</v>
      </c>
      <c r="L4302" t="s">
        <v>11</v>
      </c>
      <c r="M4302">
        <v>0</v>
      </c>
      <c r="N4302" t="str">
        <f t="shared" si="201"/>
        <v>40–59</v>
      </c>
      <c r="O4302" t="str">
        <f t="shared" si="202"/>
        <v>Overweight</v>
      </c>
    </row>
    <row r="4303" spans="1:15" x14ac:dyDescent="0.3">
      <c r="A4303">
        <v>52172</v>
      </c>
      <c r="B4303" t="s">
        <v>7</v>
      </c>
      <c r="C4303">
        <v>44</v>
      </c>
      <c r="D4303">
        <v>0</v>
      </c>
      <c r="E4303">
        <v>0</v>
      </c>
      <c r="F4303" t="str">
        <f t="shared" si="203"/>
        <v>Lower Risk</v>
      </c>
      <c r="G4303" t="s">
        <v>3</v>
      </c>
      <c r="H4303" t="s">
        <v>4</v>
      </c>
      <c r="I4303" t="s">
        <v>9</v>
      </c>
      <c r="J4303">
        <v>85.77</v>
      </c>
      <c r="K4303">
        <v>32.1</v>
      </c>
      <c r="L4303" t="s">
        <v>14</v>
      </c>
      <c r="M4303">
        <v>0</v>
      </c>
      <c r="N4303" t="str">
        <f t="shared" si="201"/>
        <v>40–59</v>
      </c>
      <c r="O4303" t="str">
        <f t="shared" si="202"/>
        <v>Obese</v>
      </c>
    </row>
    <row r="4304" spans="1:15" x14ac:dyDescent="0.3">
      <c r="A4304">
        <v>69647</v>
      </c>
      <c r="B4304" t="s">
        <v>2</v>
      </c>
      <c r="C4304">
        <v>30</v>
      </c>
      <c r="D4304">
        <v>0</v>
      </c>
      <c r="E4304">
        <v>0</v>
      </c>
      <c r="F4304" t="str">
        <f t="shared" si="203"/>
        <v>Lower Risk</v>
      </c>
      <c r="G4304" t="s">
        <v>13</v>
      </c>
      <c r="H4304" t="s">
        <v>4</v>
      </c>
      <c r="I4304" t="s">
        <v>5</v>
      </c>
      <c r="J4304">
        <v>63.42</v>
      </c>
      <c r="K4304">
        <v>28</v>
      </c>
      <c r="L4304" t="s">
        <v>11</v>
      </c>
      <c r="M4304">
        <v>0</v>
      </c>
      <c r="N4304" t="str">
        <f t="shared" si="201"/>
        <v>Under 40</v>
      </c>
      <c r="O4304" t="str">
        <f t="shared" si="202"/>
        <v>Overweight</v>
      </c>
    </row>
    <row r="4305" spans="1:15" x14ac:dyDescent="0.3">
      <c r="A4305">
        <v>24972</v>
      </c>
      <c r="B4305" t="s">
        <v>2</v>
      </c>
      <c r="C4305">
        <v>1.48</v>
      </c>
      <c r="D4305">
        <v>0</v>
      </c>
      <c r="E4305">
        <v>0</v>
      </c>
      <c r="F4305" t="str">
        <f t="shared" si="203"/>
        <v>Lower Risk</v>
      </c>
      <c r="G4305" t="s">
        <v>13</v>
      </c>
      <c r="H4305" t="s">
        <v>16</v>
      </c>
      <c r="I4305" t="s">
        <v>9</v>
      </c>
      <c r="J4305">
        <v>112.02</v>
      </c>
      <c r="K4305">
        <v>20.9</v>
      </c>
      <c r="L4305" t="s">
        <v>14</v>
      </c>
      <c r="M4305">
        <v>0</v>
      </c>
      <c r="N4305" t="str">
        <f t="shared" si="201"/>
        <v>Under 40</v>
      </c>
      <c r="O4305" t="str">
        <f t="shared" si="202"/>
        <v>Normal</v>
      </c>
    </row>
    <row r="4306" spans="1:15" x14ac:dyDescent="0.3">
      <c r="A4306">
        <v>13172</v>
      </c>
      <c r="B4306" t="s">
        <v>7</v>
      </c>
      <c r="C4306">
        <v>61</v>
      </c>
      <c r="D4306">
        <v>0</v>
      </c>
      <c r="E4306">
        <v>0</v>
      </c>
      <c r="F4306" t="str">
        <f t="shared" si="203"/>
        <v>Moderate Risk</v>
      </c>
      <c r="G4306" t="s">
        <v>3</v>
      </c>
      <c r="H4306" t="s">
        <v>8</v>
      </c>
      <c r="I4306" t="s">
        <v>5</v>
      </c>
      <c r="J4306">
        <v>203.76</v>
      </c>
      <c r="K4306">
        <v>33.799999999999997</v>
      </c>
      <c r="L4306" t="s">
        <v>11</v>
      </c>
      <c r="M4306">
        <v>0</v>
      </c>
      <c r="N4306" t="str">
        <f t="shared" si="201"/>
        <v>60+</v>
      </c>
      <c r="O4306" t="str">
        <f t="shared" si="202"/>
        <v>Obese</v>
      </c>
    </row>
    <row r="4307" spans="1:15" x14ac:dyDescent="0.3">
      <c r="A4307">
        <v>31911</v>
      </c>
      <c r="B4307" t="s">
        <v>7</v>
      </c>
      <c r="C4307">
        <v>54</v>
      </c>
      <c r="D4307">
        <v>0</v>
      </c>
      <c r="E4307">
        <v>0</v>
      </c>
      <c r="F4307" t="str">
        <f t="shared" si="203"/>
        <v>Lower Risk</v>
      </c>
      <c r="G4307" t="s">
        <v>3</v>
      </c>
      <c r="H4307" t="s">
        <v>15</v>
      </c>
      <c r="I4307" t="s">
        <v>5</v>
      </c>
      <c r="J4307">
        <v>98.44</v>
      </c>
      <c r="K4307">
        <v>25.8</v>
      </c>
      <c r="L4307" t="s">
        <v>6</v>
      </c>
      <c r="M4307">
        <v>0</v>
      </c>
      <c r="N4307" t="str">
        <f t="shared" si="201"/>
        <v>40–59</v>
      </c>
      <c r="O4307" t="str">
        <f t="shared" si="202"/>
        <v>Overweight</v>
      </c>
    </row>
    <row r="4308" spans="1:15" x14ac:dyDescent="0.3">
      <c r="A4308">
        <v>34415</v>
      </c>
      <c r="B4308" t="s">
        <v>7</v>
      </c>
      <c r="C4308">
        <v>22</v>
      </c>
      <c r="D4308">
        <v>0</v>
      </c>
      <c r="E4308">
        <v>0</v>
      </c>
      <c r="F4308" t="str">
        <f t="shared" si="203"/>
        <v>Lower Risk</v>
      </c>
      <c r="G4308" t="s">
        <v>13</v>
      </c>
      <c r="H4308" t="s">
        <v>15</v>
      </c>
      <c r="I4308" t="s">
        <v>5</v>
      </c>
      <c r="J4308">
        <v>79.569999999999993</v>
      </c>
      <c r="K4308">
        <v>31.8</v>
      </c>
      <c r="L4308" t="s">
        <v>14</v>
      </c>
      <c r="M4308">
        <v>0</v>
      </c>
      <c r="N4308" t="str">
        <f t="shared" si="201"/>
        <v>Under 40</v>
      </c>
      <c r="O4308" t="str">
        <f t="shared" si="202"/>
        <v>Obese</v>
      </c>
    </row>
    <row r="4309" spans="1:15" x14ac:dyDescent="0.3">
      <c r="A4309">
        <v>53219</v>
      </c>
      <c r="B4309" t="s">
        <v>2</v>
      </c>
      <c r="C4309">
        <v>47</v>
      </c>
      <c r="D4309">
        <v>0</v>
      </c>
      <c r="E4309">
        <v>0</v>
      </c>
      <c r="F4309" t="str">
        <f t="shared" si="203"/>
        <v>Lower Risk</v>
      </c>
      <c r="G4309" t="s">
        <v>3</v>
      </c>
      <c r="H4309" t="s">
        <v>4</v>
      </c>
      <c r="I4309" t="s">
        <v>5</v>
      </c>
      <c r="J4309">
        <v>63.98</v>
      </c>
      <c r="K4309">
        <v>26.8</v>
      </c>
      <c r="L4309" t="s">
        <v>12</v>
      </c>
      <c r="M4309">
        <v>0</v>
      </c>
      <c r="N4309" t="str">
        <f t="shared" si="201"/>
        <v>40–59</v>
      </c>
      <c r="O4309" t="str">
        <f t="shared" si="202"/>
        <v>Overweight</v>
      </c>
    </row>
    <row r="4310" spans="1:15" x14ac:dyDescent="0.3">
      <c r="A4310">
        <v>7924</v>
      </c>
      <c r="B4310" t="s">
        <v>7</v>
      </c>
      <c r="C4310">
        <v>67</v>
      </c>
      <c r="D4310">
        <v>0</v>
      </c>
      <c r="E4310">
        <v>0</v>
      </c>
      <c r="F4310" t="str">
        <f t="shared" si="203"/>
        <v>Moderate Risk</v>
      </c>
      <c r="G4310" t="s">
        <v>3</v>
      </c>
      <c r="H4310" t="s">
        <v>4</v>
      </c>
      <c r="I4310" t="s">
        <v>5</v>
      </c>
      <c r="J4310">
        <v>101.46</v>
      </c>
      <c r="K4310">
        <v>25.9</v>
      </c>
      <c r="L4310" t="s">
        <v>6</v>
      </c>
      <c r="M4310">
        <v>0</v>
      </c>
      <c r="N4310" t="str">
        <f t="shared" si="201"/>
        <v>60+</v>
      </c>
      <c r="O4310" t="str">
        <f t="shared" si="202"/>
        <v>Overweight</v>
      </c>
    </row>
    <row r="4311" spans="1:15" x14ac:dyDescent="0.3">
      <c r="A4311">
        <v>72491</v>
      </c>
      <c r="B4311" t="s">
        <v>2</v>
      </c>
      <c r="C4311">
        <v>53</v>
      </c>
      <c r="D4311">
        <v>0</v>
      </c>
      <c r="E4311">
        <v>0</v>
      </c>
      <c r="F4311" t="str">
        <f t="shared" si="203"/>
        <v>Lower Risk</v>
      </c>
      <c r="G4311" t="s">
        <v>3</v>
      </c>
      <c r="H4311" t="s">
        <v>4</v>
      </c>
      <c r="I4311" t="s">
        <v>5</v>
      </c>
      <c r="J4311">
        <v>74.66</v>
      </c>
      <c r="K4311">
        <v>29.2</v>
      </c>
      <c r="L4311" t="s">
        <v>12</v>
      </c>
      <c r="M4311">
        <v>0</v>
      </c>
      <c r="N4311" t="str">
        <f t="shared" si="201"/>
        <v>40–59</v>
      </c>
      <c r="O4311" t="str">
        <f t="shared" si="202"/>
        <v>Overweight</v>
      </c>
    </row>
    <row r="4312" spans="1:15" x14ac:dyDescent="0.3">
      <c r="A4312">
        <v>59058</v>
      </c>
      <c r="B4312" t="s">
        <v>7</v>
      </c>
      <c r="C4312">
        <v>45</v>
      </c>
      <c r="D4312">
        <v>0</v>
      </c>
      <c r="E4312">
        <v>0</v>
      </c>
      <c r="F4312" t="str">
        <f t="shared" si="203"/>
        <v>Lower Risk</v>
      </c>
      <c r="G4312" t="s">
        <v>3</v>
      </c>
      <c r="H4312" t="s">
        <v>15</v>
      </c>
      <c r="I4312" t="s">
        <v>9</v>
      </c>
      <c r="J4312">
        <v>68.66</v>
      </c>
      <c r="K4312">
        <v>25.3</v>
      </c>
      <c r="L4312" t="s">
        <v>11</v>
      </c>
      <c r="M4312">
        <v>0</v>
      </c>
      <c r="N4312" t="str">
        <f t="shared" si="201"/>
        <v>40–59</v>
      </c>
      <c r="O4312" t="str">
        <f t="shared" si="202"/>
        <v>Overweight</v>
      </c>
    </row>
    <row r="4313" spans="1:15" x14ac:dyDescent="0.3">
      <c r="A4313">
        <v>52619</v>
      </c>
      <c r="B4313" t="s">
        <v>7</v>
      </c>
      <c r="C4313">
        <v>65</v>
      </c>
      <c r="D4313">
        <v>0</v>
      </c>
      <c r="E4313">
        <v>0</v>
      </c>
      <c r="F4313" t="str">
        <f t="shared" si="203"/>
        <v>Moderate Risk</v>
      </c>
      <c r="G4313" t="s">
        <v>3</v>
      </c>
      <c r="H4313" t="s">
        <v>4</v>
      </c>
      <c r="I4313" t="s">
        <v>9</v>
      </c>
      <c r="J4313">
        <v>205.78</v>
      </c>
      <c r="K4313">
        <v>41.7</v>
      </c>
      <c r="L4313" t="s">
        <v>11</v>
      </c>
      <c r="M4313">
        <v>0</v>
      </c>
      <c r="N4313" t="str">
        <f t="shared" si="201"/>
        <v>60+</v>
      </c>
      <c r="O4313" t="str">
        <f t="shared" si="202"/>
        <v>Obese</v>
      </c>
    </row>
    <row r="4314" spans="1:15" x14ac:dyDescent="0.3">
      <c r="A4314">
        <v>36162</v>
      </c>
      <c r="B4314" t="s">
        <v>2</v>
      </c>
      <c r="C4314">
        <v>39</v>
      </c>
      <c r="D4314">
        <v>1</v>
      </c>
      <c r="E4314">
        <v>0</v>
      </c>
      <c r="F4314" t="str">
        <f t="shared" si="203"/>
        <v>Lower Risk</v>
      </c>
      <c r="G4314" t="s">
        <v>3</v>
      </c>
      <c r="H4314" t="s">
        <v>4</v>
      </c>
      <c r="I4314" t="s">
        <v>9</v>
      </c>
      <c r="J4314">
        <v>111.24</v>
      </c>
      <c r="K4314">
        <v>38.799999999999997</v>
      </c>
      <c r="L4314" t="s">
        <v>11</v>
      </c>
      <c r="M4314">
        <v>0</v>
      </c>
      <c r="N4314" t="str">
        <f t="shared" si="201"/>
        <v>Under 40</v>
      </c>
      <c r="O4314" t="str">
        <f t="shared" si="202"/>
        <v>Obese</v>
      </c>
    </row>
    <row r="4315" spans="1:15" x14ac:dyDescent="0.3">
      <c r="A4315">
        <v>68371</v>
      </c>
      <c r="B4315" t="s">
        <v>2</v>
      </c>
      <c r="C4315">
        <v>57</v>
      </c>
      <c r="D4315">
        <v>0</v>
      </c>
      <c r="E4315">
        <v>0</v>
      </c>
      <c r="F4315" t="str">
        <f t="shared" si="203"/>
        <v>Lower Risk</v>
      </c>
      <c r="G4315" t="s">
        <v>3</v>
      </c>
      <c r="H4315" t="s">
        <v>4</v>
      </c>
      <c r="I4315" t="s">
        <v>5</v>
      </c>
      <c r="J4315">
        <v>134.76</v>
      </c>
      <c r="K4315">
        <v>29.1</v>
      </c>
      <c r="L4315" t="s">
        <v>14</v>
      </c>
      <c r="M4315">
        <v>0</v>
      </c>
      <c r="N4315" t="str">
        <f t="shared" si="201"/>
        <v>40–59</v>
      </c>
      <c r="O4315" t="str">
        <f t="shared" si="202"/>
        <v>Overweight</v>
      </c>
    </row>
    <row r="4316" spans="1:15" x14ac:dyDescent="0.3">
      <c r="A4316">
        <v>21067</v>
      </c>
      <c r="B4316" t="s">
        <v>7</v>
      </c>
      <c r="C4316">
        <v>45</v>
      </c>
      <c r="D4316">
        <v>0</v>
      </c>
      <c r="E4316">
        <v>0</v>
      </c>
      <c r="F4316" t="str">
        <f t="shared" si="203"/>
        <v>Lower Risk</v>
      </c>
      <c r="G4316" t="s">
        <v>3</v>
      </c>
      <c r="H4316" t="s">
        <v>8</v>
      </c>
      <c r="I4316" t="s">
        <v>5</v>
      </c>
      <c r="J4316">
        <v>110.1</v>
      </c>
      <c r="K4316">
        <v>30.9</v>
      </c>
      <c r="L4316" t="s">
        <v>11</v>
      </c>
      <c r="M4316">
        <v>0</v>
      </c>
      <c r="N4316" t="str">
        <f t="shared" si="201"/>
        <v>40–59</v>
      </c>
      <c r="O4316" t="str">
        <f t="shared" si="202"/>
        <v>Obese</v>
      </c>
    </row>
    <row r="4317" spans="1:15" x14ac:dyDescent="0.3">
      <c r="A4317">
        <v>25718</v>
      </c>
      <c r="B4317" t="s">
        <v>7</v>
      </c>
      <c r="C4317">
        <v>28</v>
      </c>
      <c r="D4317">
        <v>0</v>
      </c>
      <c r="E4317">
        <v>0</v>
      </c>
      <c r="F4317" t="str">
        <f t="shared" si="203"/>
        <v>Lower Risk</v>
      </c>
      <c r="G4317" t="s">
        <v>3</v>
      </c>
      <c r="H4317" t="s">
        <v>4</v>
      </c>
      <c r="I4317" t="s">
        <v>5</v>
      </c>
      <c r="J4317">
        <v>100.8</v>
      </c>
      <c r="K4317">
        <v>39.299999999999997</v>
      </c>
      <c r="L4317" t="s">
        <v>6</v>
      </c>
      <c r="M4317">
        <v>0</v>
      </c>
      <c r="N4317" t="str">
        <f t="shared" si="201"/>
        <v>Under 40</v>
      </c>
      <c r="O4317" t="str">
        <f t="shared" si="202"/>
        <v>Obese</v>
      </c>
    </row>
    <row r="4318" spans="1:15" x14ac:dyDescent="0.3">
      <c r="A4318">
        <v>24421</v>
      </c>
      <c r="B4318" t="s">
        <v>2</v>
      </c>
      <c r="C4318">
        <v>30</v>
      </c>
      <c r="D4318">
        <v>0</v>
      </c>
      <c r="E4318">
        <v>0</v>
      </c>
      <c r="F4318" t="str">
        <f t="shared" si="203"/>
        <v>Lower Risk</v>
      </c>
      <c r="G4318" t="s">
        <v>13</v>
      </c>
      <c r="H4318" t="s">
        <v>4</v>
      </c>
      <c r="I4318" t="s">
        <v>5</v>
      </c>
      <c r="J4318">
        <v>113.08</v>
      </c>
      <c r="K4318">
        <v>41.8</v>
      </c>
      <c r="L4318" t="s">
        <v>14</v>
      </c>
      <c r="M4318">
        <v>0</v>
      </c>
      <c r="N4318" t="str">
        <f t="shared" si="201"/>
        <v>Under 40</v>
      </c>
      <c r="O4318" t="str">
        <f t="shared" si="202"/>
        <v>Obese</v>
      </c>
    </row>
    <row r="4319" spans="1:15" x14ac:dyDescent="0.3">
      <c r="A4319">
        <v>69528</v>
      </c>
      <c r="B4319" t="s">
        <v>7</v>
      </c>
      <c r="C4319">
        <v>31</v>
      </c>
      <c r="D4319">
        <v>0</v>
      </c>
      <c r="E4319">
        <v>0</v>
      </c>
      <c r="F4319" t="str">
        <f t="shared" si="203"/>
        <v>Lower Risk</v>
      </c>
      <c r="G4319" t="s">
        <v>3</v>
      </c>
      <c r="H4319" t="s">
        <v>4</v>
      </c>
      <c r="I4319" t="s">
        <v>5</v>
      </c>
      <c r="J4319">
        <v>56.48</v>
      </c>
      <c r="K4319">
        <v>26.2</v>
      </c>
      <c r="L4319" t="s">
        <v>6</v>
      </c>
      <c r="M4319">
        <v>0</v>
      </c>
      <c r="N4319" t="str">
        <f t="shared" si="201"/>
        <v>Under 40</v>
      </c>
      <c r="O4319" t="str">
        <f t="shared" si="202"/>
        <v>Overweight</v>
      </c>
    </row>
    <row r="4320" spans="1:15" x14ac:dyDescent="0.3">
      <c r="A4320">
        <v>56594</v>
      </c>
      <c r="B4320" t="s">
        <v>7</v>
      </c>
      <c r="C4320">
        <v>70</v>
      </c>
      <c r="D4320">
        <v>0</v>
      </c>
      <c r="E4320">
        <v>0</v>
      </c>
      <c r="F4320" t="str">
        <f t="shared" si="203"/>
        <v>Moderate Risk</v>
      </c>
      <c r="G4320" t="s">
        <v>3</v>
      </c>
      <c r="H4320" t="s">
        <v>4</v>
      </c>
      <c r="I4320" t="s">
        <v>5</v>
      </c>
      <c r="J4320">
        <v>77.77</v>
      </c>
      <c r="K4320">
        <v>33.799999999999997</v>
      </c>
      <c r="L4320" t="s">
        <v>12</v>
      </c>
      <c r="M4320">
        <v>0</v>
      </c>
      <c r="N4320" t="str">
        <f t="shared" si="201"/>
        <v>60+</v>
      </c>
      <c r="O4320" t="str">
        <f t="shared" si="202"/>
        <v>Obese</v>
      </c>
    </row>
    <row r="4321" spans="1:15" x14ac:dyDescent="0.3">
      <c r="A4321">
        <v>35095</v>
      </c>
      <c r="B4321" t="s">
        <v>7</v>
      </c>
      <c r="C4321">
        <v>17</v>
      </c>
      <c r="D4321">
        <v>0</v>
      </c>
      <c r="E4321">
        <v>0</v>
      </c>
      <c r="F4321" t="str">
        <f t="shared" si="203"/>
        <v>Lower Risk</v>
      </c>
      <c r="G4321" t="s">
        <v>13</v>
      </c>
      <c r="H4321" t="s">
        <v>4</v>
      </c>
      <c r="I4321" t="s">
        <v>5</v>
      </c>
      <c r="J4321">
        <v>104.02</v>
      </c>
      <c r="K4321">
        <v>26.1</v>
      </c>
      <c r="L4321" t="s">
        <v>14</v>
      </c>
      <c r="M4321">
        <v>0</v>
      </c>
      <c r="N4321" t="str">
        <f t="shared" si="201"/>
        <v>Under 40</v>
      </c>
      <c r="O4321" t="str">
        <f t="shared" si="202"/>
        <v>Overweight</v>
      </c>
    </row>
    <row r="4322" spans="1:15" x14ac:dyDescent="0.3">
      <c r="A4322">
        <v>30002</v>
      </c>
      <c r="B4322" t="s">
        <v>2</v>
      </c>
      <c r="C4322">
        <v>44</v>
      </c>
      <c r="D4322">
        <v>1</v>
      </c>
      <c r="E4322">
        <v>0</v>
      </c>
      <c r="F4322" t="str">
        <f t="shared" si="203"/>
        <v>Lower Risk</v>
      </c>
      <c r="G4322" t="s">
        <v>3</v>
      </c>
      <c r="H4322" t="s">
        <v>8</v>
      </c>
      <c r="I4322" t="s">
        <v>9</v>
      </c>
      <c r="J4322">
        <v>83.59</v>
      </c>
      <c r="K4322">
        <v>24.1</v>
      </c>
      <c r="L4322" t="s">
        <v>11</v>
      </c>
      <c r="M4322">
        <v>0</v>
      </c>
      <c r="N4322" t="str">
        <f t="shared" si="201"/>
        <v>40–59</v>
      </c>
      <c r="O4322" t="str">
        <f t="shared" si="202"/>
        <v>Normal</v>
      </c>
    </row>
    <row r="4323" spans="1:15" x14ac:dyDescent="0.3">
      <c r="A4323">
        <v>71143</v>
      </c>
      <c r="B4323" t="s">
        <v>2</v>
      </c>
      <c r="C4323">
        <v>65</v>
      </c>
      <c r="D4323">
        <v>0</v>
      </c>
      <c r="E4323">
        <v>0</v>
      </c>
      <c r="F4323" t="str">
        <f t="shared" si="203"/>
        <v>Moderate Risk</v>
      </c>
      <c r="G4323" t="s">
        <v>3</v>
      </c>
      <c r="H4323" t="s">
        <v>8</v>
      </c>
      <c r="I4323" t="s">
        <v>5</v>
      </c>
      <c r="J4323">
        <v>179.67</v>
      </c>
      <c r="K4323">
        <v>30.7</v>
      </c>
      <c r="L4323" t="s">
        <v>6</v>
      </c>
      <c r="M4323">
        <v>0</v>
      </c>
      <c r="N4323" t="str">
        <f t="shared" si="201"/>
        <v>60+</v>
      </c>
      <c r="O4323" t="str">
        <f t="shared" si="202"/>
        <v>Obese</v>
      </c>
    </row>
    <row r="4324" spans="1:15" x14ac:dyDescent="0.3">
      <c r="A4324">
        <v>32669</v>
      </c>
      <c r="B4324" t="s">
        <v>2</v>
      </c>
      <c r="C4324">
        <v>6</v>
      </c>
      <c r="D4324">
        <v>0</v>
      </c>
      <c r="E4324">
        <v>0</v>
      </c>
      <c r="F4324" t="str">
        <f t="shared" si="203"/>
        <v>Lower Risk</v>
      </c>
      <c r="G4324" t="s">
        <v>13</v>
      </c>
      <c r="H4324" t="s">
        <v>16</v>
      </c>
      <c r="I4324" t="s">
        <v>5</v>
      </c>
      <c r="J4324">
        <v>91.89</v>
      </c>
      <c r="K4324">
        <v>22.4</v>
      </c>
      <c r="L4324" t="s">
        <v>14</v>
      </c>
      <c r="M4324">
        <v>0</v>
      </c>
      <c r="N4324" t="str">
        <f t="shared" si="201"/>
        <v>Under 40</v>
      </c>
      <c r="O4324" t="str">
        <f t="shared" si="202"/>
        <v>Normal</v>
      </c>
    </row>
    <row r="4325" spans="1:15" x14ac:dyDescent="0.3">
      <c r="A4325">
        <v>17174</v>
      </c>
      <c r="B4325" t="s">
        <v>2</v>
      </c>
      <c r="C4325">
        <v>15</v>
      </c>
      <c r="D4325">
        <v>0</v>
      </c>
      <c r="E4325">
        <v>0</v>
      </c>
      <c r="F4325" t="str">
        <f t="shared" si="203"/>
        <v>Lower Risk</v>
      </c>
      <c r="G4325" t="s">
        <v>13</v>
      </c>
      <c r="H4325" t="s">
        <v>16</v>
      </c>
      <c r="I4325" t="s">
        <v>9</v>
      </c>
      <c r="J4325">
        <v>78.900000000000006</v>
      </c>
      <c r="K4325">
        <v>23</v>
      </c>
      <c r="L4325" t="s">
        <v>14</v>
      </c>
      <c r="M4325">
        <v>0</v>
      </c>
      <c r="N4325" t="str">
        <f t="shared" si="201"/>
        <v>Under 40</v>
      </c>
      <c r="O4325" t="str">
        <f t="shared" si="202"/>
        <v>Normal</v>
      </c>
    </row>
    <row r="4326" spans="1:15" x14ac:dyDescent="0.3">
      <c r="A4326">
        <v>2818</v>
      </c>
      <c r="B4326" t="s">
        <v>7</v>
      </c>
      <c r="C4326">
        <v>80</v>
      </c>
      <c r="D4326">
        <v>0</v>
      </c>
      <c r="E4326">
        <v>0</v>
      </c>
      <c r="F4326" t="str">
        <f t="shared" si="203"/>
        <v>Moderate Risk</v>
      </c>
      <c r="G4326" t="s">
        <v>13</v>
      </c>
      <c r="H4326" t="s">
        <v>8</v>
      </c>
      <c r="I4326" t="s">
        <v>9</v>
      </c>
      <c r="J4326">
        <v>230.74</v>
      </c>
      <c r="K4326">
        <v>30.2</v>
      </c>
      <c r="L4326" t="s">
        <v>6</v>
      </c>
      <c r="M4326">
        <v>0</v>
      </c>
      <c r="N4326" t="str">
        <f t="shared" si="201"/>
        <v>60+</v>
      </c>
      <c r="O4326" t="str">
        <f t="shared" si="202"/>
        <v>Obese</v>
      </c>
    </row>
    <row r="4327" spans="1:15" x14ac:dyDescent="0.3">
      <c r="A4327">
        <v>30650</v>
      </c>
      <c r="B4327" t="s">
        <v>2</v>
      </c>
      <c r="C4327">
        <v>54</v>
      </c>
      <c r="D4327">
        <v>0</v>
      </c>
      <c r="E4327">
        <v>0</v>
      </c>
      <c r="F4327" t="str">
        <f t="shared" si="203"/>
        <v>Lower Risk</v>
      </c>
      <c r="G4327" t="s">
        <v>3</v>
      </c>
      <c r="H4327" t="s">
        <v>15</v>
      </c>
      <c r="I4327" t="s">
        <v>9</v>
      </c>
      <c r="J4327">
        <v>216.19</v>
      </c>
      <c r="K4327">
        <v>30.3</v>
      </c>
      <c r="L4327" t="s">
        <v>6</v>
      </c>
      <c r="M4327">
        <v>0</v>
      </c>
      <c r="N4327" t="str">
        <f t="shared" si="201"/>
        <v>40–59</v>
      </c>
      <c r="O4327" t="str">
        <f t="shared" si="202"/>
        <v>Obese</v>
      </c>
    </row>
    <row r="4328" spans="1:15" x14ac:dyDescent="0.3">
      <c r="A4328">
        <v>3013</v>
      </c>
      <c r="B4328" t="s">
        <v>7</v>
      </c>
      <c r="C4328">
        <v>79</v>
      </c>
      <c r="D4328">
        <v>0</v>
      </c>
      <c r="E4328">
        <v>0</v>
      </c>
      <c r="F4328" t="str">
        <f t="shared" si="203"/>
        <v>Moderate Risk</v>
      </c>
      <c r="G4328" t="s">
        <v>3</v>
      </c>
      <c r="H4328" t="s">
        <v>8</v>
      </c>
      <c r="I4328" t="s">
        <v>9</v>
      </c>
      <c r="J4328">
        <v>83.7</v>
      </c>
      <c r="K4328">
        <v>28.7</v>
      </c>
      <c r="L4328" t="s">
        <v>11</v>
      </c>
      <c r="M4328">
        <v>0</v>
      </c>
      <c r="N4328" t="str">
        <f t="shared" si="201"/>
        <v>60+</v>
      </c>
      <c r="O4328" t="str">
        <f t="shared" si="202"/>
        <v>Overweight</v>
      </c>
    </row>
    <row r="4329" spans="1:15" x14ac:dyDescent="0.3">
      <c r="A4329">
        <v>42806</v>
      </c>
      <c r="B4329" t="s">
        <v>7</v>
      </c>
      <c r="C4329">
        <v>60</v>
      </c>
      <c r="D4329">
        <v>1</v>
      </c>
      <c r="E4329">
        <v>0</v>
      </c>
      <c r="F4329" t="str">
        <f t="shared" si="203"/>
        <v>High Risk</v>
      </c>
      <c r="G4329" t="s">
        <v>3</v>
      </c>
      <c r="H4329" t="s">
        <v>4</v>
      </c>
      <c r="I4329" t="s">
        <v>9</v>
      </c>
      <c r="J4329">
        <v>200.66</v>
      </c>
      <c r="K4329">
        <v>36.299999999999997</v>
      </c>
      <c r="L4329" t="s">
        <v>12</v>
      </c>
      <c r="M4329">
        <v>0</v>
      </c>
      <c r="N4329" t="str">
        <f t="shared" si="201"/>
        <v>60+</v>
      </c>
      <c r="O4329" t="str">
        <f t="shared" si="202"/>
        <v>Obese</v>
      </c>
    </row>
    <row r="4330" spans="1:15" x14ac:dyDescent="0.3">
      <c r="A4330">
        <v>6390</v>
      </c>
      <c r="B4330" t="s">
        <v>7</v>
      </c>
      <c r="C4330">
        <v>12</v>
      </c>
      <c r="D4330">
        <v>0</v>
      </c>
      <c r="E4330">
        <v>0</v>
      </c>
      <c r="F4330" t="str">
        <f t="shared" si="203"/>
        <v>Lower Risk</v>
      </c>
      <c r="G4330" t="s">
        <v>13</v>
      </c>
      <c r="H4330" t="s">
        <v>16</v>
      </c>
      <c r="I4330" t="s">
        <v>9</v>
      </c>
      <c r="J4330">
        <v>73.989999999999995</v>
      </c>
      <c r="K4330">
        <v>16.3</v>
      </c>
      <c r="L4330" t="s">
        <v>14</v>
      </c>
      <c r="M4330">
        <v>0</v>
      </c>
      <c r="N4330" t="str">
        <f t="shared" si="201"/>
        <v>Under 40</v>
      </c>
      <c r="O4330" t="str">
        <f t="shared" si="202"/>
        <v>Underweight</v>
      </c>
    </row>
    <row r="4331" spans="1:15" x14ac:dyDescent="0.3">
      <c r="A4331">
        <v>46647</v>
      </c>
      <c r="B4331" t="s">
        <v>7</v>
      </c>
      <c r="C4331">
        <v>36</v>
      </c>
      <c r="D4331">
        <v>0</v>
      </c>
      <c r="E4331">
        <v>0</v>
      </c>
      <c r="F4331" t="str">
        <f t="shared" si="203"/>
        <v>Lower Risk</v>
      </c>
      <c r="G4331" t="s">
        <v>13</v>
      </c>
      <c r="H4331" t="s">
        <v>4</v>
      </c>
      <c r="I4331" t="s">
        <v>5</v>
      </c>
      <c r="J4331">
        <v>228.5</v>
      </c>
      <c r="K4331">
        <v>34.5</v>
      </c>
      <c r="L4331" t="s">
        <v>11</v>
      </c>
      <c r="M4331">
        <v>0</v>
      </c>
      <c r="N4331" t="str">
        <f t="shared" si="201"/>
        <v>Under 40</v>
      </c>
      <c r="O4331" t="str">
        <f t="shared" si="202"/>
        <v>Obese</v>
      </c>
    </row>
    <row r="4332" spans="1:15" x14ac:dyDescent="0.3">
      <c r="A4332">
        <v>6625</v>
      </c>
      <c r="B4332" t="s">
        <v>7</v>
      </c>
      <c r="C4332">
        <v>54</v>
      </c>
      <c r="D4332">
        <v>0</v>
      </c>
      <c r="E4332">
        <v>0</v>
      </c>
      <c r="F4332" t="str">
        <f t="shared" si="203"/>
        <v>Lower Risk</v>
      </c>
      <c r="G4332" t="s">
        <v>3</v>
      </c>
      <c r="H4332" t="s">
        <v>8</v>
      </c>
      <c r="I4332" t="s">
        <v>5</v>
      </c>
      <c r="J4332">
        <v>70.430000000000007</v>
      </c>
      <c r="K4332">
        <v>20.8</v>
      </c>
      <c r="L4332" t="s">
        <v>12</v>
      </c>
      <c r="M4332">
        <v>0</v>
      </c>
      <c r="N4332" t="str">
        <f t="shared" si="201"/>
        <v>40–59</v>
      </c>
      <c r="O4332" t="str">
        <f t="shared" si="202"/>
        <v>Normal</v>
      </c>
    </row>
    <row r="4333" spans="1:15" x14ac:dyDescent="0.3">
      <c r="A4333">
        <v>49605</v>
      </c>
      <c r="B4333" t="s">
        <v>2</v>
      </c>
      <c r="C4333">
        <v>63</v>
      </c>
      <c r="D4333">
        <v>0</v>
      </c>
      <c r="E4333">
        <v>0</v>
      </c>
      <c r="F4333" t="str">
        <f t="shared" si="203"/>
        <v>Moderate Risk</v>
      </c>
      <c r="G4333" t="s">
        <v>3</v>
      </c>
      <c r="H4333" t="s">
        <v>4</v>
      </c>
      <c r="I4333" t="s">
        <v>5</v>
      </c>
      <c r="J4333">
        <v>74.39</v>
      </c>
      <c r="K4333">
        <v>31</v>
      </c>
      <c r="L4333" t="s">
        <v>6</v>
      </c>
      <c r="M4333">
        <v>0</v>
      </c>
      <c r="N4333" t="str">
        <f t="shared" si="201"/>
        <v>60+</v>
      </c>
      <c r="O4333" t="str">
        <f t="shared" si="202"/>
        <v>Obese</v>
      </c>
    </row>
    <row r="4334" spans="1:15" x14ac:dyDescent="0.3">
      <c r="A4334">
        <v>72940</v>
      </c>
      <c r="B4334" t="s">
        <v>7</v>
      </c>
      <c r="C4334">
        <v>2</v>
      </c>
      <c r="D4334">
        <v>0</v>
      </c>
      <c r="E4334">
        <v>0</v>
      </c>
      <c r="F4334" t="str">
        <f t="shared" si="203"/>
        <v>Lower Risk</v>
      </c>
      <c r="G4334" t="s">
        <v>13</v>
      </c>
      <c r="H4334" t="s">
        <v>16</v>
      </c>
      <c r="I4334" t="s">
        <v>5</v>
      </c>
      <c r="J4334">
        <v>102.92</v>
      </c>
      <c r="K4334">
        <v>17.600000000000001</v>
      </c>
      <c r="L4334" t="s">
        <v>14</v>
      </c>
      <c r="M4334">
        <v>0</v>
      </c>
      <c r="N4334" t="str">
        <f t="shared" si="201"/>
        <v>Under 40</v>
      </c>
      <c r="O4334" t="str">
        <f t="shared" si="202"/>
        <v>Underweight</v>
      </c>
    </row>
    <row r="4335" spans="1:15" x14ac:dyDescent="0.3">
      <c r="A4335">
        <v>24783</v>
      </c>
      <c r="B4335" t="s">
        <v>7</v>
      </c>
      <c r="C4335">
        <v>28</v>
      </c>
      <c r="D4335">
        <v>0</v>
      </c>
      <c r="E4335">
        <v>0</v>
      </c>
      <c r="F4335" t="str">
        <f t="shared" si="203"/>
        <v>Lower Risk</v>
      </c>
      <c r="G4335" t="s">
        <v>13</v>
      </c>
      <c r="H4335" t="s">
        <v>4</v>
      </c>
      <c r="I4335" t="s">
        <v>5</v>
      </c>
      <c r="J4335">
        <v>87.91</v>
      </c>
      <c r="K4335">
        <v>22.7</v>
      </c>
      <c r="L4335" t="s">
        <v>6</v>
      </c>
      <c r="M4335">
        <v>0</v>
      </c>
      <c r="N4335" t="str">
        <f t="shared" si="201"/>
        <v>Under 40</v>
      </c>
      <c r="O4335" t="str">
        <f t="shared" si="202"/>
        <v>Normal</v>
      </c>
    </row>
    <row r="4336" spans="1:15" x14ac:dyDescent="0.3">
      <c r="A4336">
        <v>22515</v>
      </c>
      <c r="B4336" t="s">
        <v>7</v>
      </c>
      <c r="C4336">
        <v>38</v>
      </c>
      <c r="D4336">
        <v>1</v>
      </c>
      <c r="E4336">
        <v>0</v>
      </c>
      <c r="F4336" t="str">
        <f t="shared" si="203"/>
        <v>Lower Risk</v>
      </c>
      <c r="G4336" t="s">
        <v>3</v>
      </c>
      <c r="H4336" t="s">
        <v>4</v>
      </c>
      <c r="I4336" t="s">
        <v>9</v>
      </c>
      <c r="J4336">
        <v>118.55</v>
      </c>
      <c r="K4336">
        <v>38.4</v>
      </c>
      <c r="L4336" t="s">
        <v>12</v>
      </c>
      <c r="M4336">
        <v>0</v>
      </c>
      <c r="N4336" t="str">
        <f t="shared" si="201"/>
        <v>Under 40</v>
      </c>
      <c r="O4336" t="str">
        <f t="shared" si="202"/>
        <v>Obese</v>
      </c>
    </row>
    <row r="4337" spans="1:15" x14ac:dyDescent="0.3">
      <c r="A4337">
        <v>3700</v>
      </c>
      <c r="B4337" t="s">
        <v>2</v>
      </c>
      <c r="C4337">
        <v>37</v>
      </c>
      <c r="D4337">
        <v>0</v>
      </c>
      <c r="E4337">
        <v>0</v>
      </c>
      <c r="F4337" t="str">
        <f t="shared" si="203"/>
        <v>Lower Risk</v>
      </c>
      <c r="G4337" t="s">
        <v>3</v>
      </c>
      <c r="H4337" t="s">
        <v>4</v>
      </c>
      <c r="I4337" t="s">
        <v>5</v>
      </c>
      <c r="J4337">
        <v>232.29</v>
      </c>
      <c r="K4337">
        <v>40.799999999999997</v>
      </c>
      <c r="L4337" t="s">
        <v>12</v>
      </c>
      <c r="M4337">
        <v>0</v>
      </c>
      <c r="N4337" t="str">
        <f t="shared" si="201"/>
        <v>Under 40</v>
      </c>
      <c r="O4337" t="str">
        <f t="shared" si="202"/>
        <v>Obese</v>
      </c>
    </row>
    <row r="4338" spans="1:15" x14ac:dyDescent="0.3">
      <c r="A4338">
        <v>53802</v>
      </c>
      <c r="B4338" t="s">
        <v>2</v>
      </c>
      <c r="C4338">
        <v>80</v>
      </c>
      <c r="D4338">
        <v>0</v>
      </c>
      <c r="E4338">
        <v>1</v>
      </c>
      <c r="F4338" t="str">
        <f t="shared" si="203"/>
        <v>High Risk</v>
      </c>
      <c r="G4338" t="s">
        <v>3</v>
      </c>
      <c r="H4338" t="s">
        <v>4</v>
      </c>
      <c r="I4338" t="s">
        <v>9</v>
      </c>
      <c r="J4338">
        <v>125.32</v>
      </c>
      <c r="K4338">
        <v>32.9</v>
      </c>
      <c r="L4338" t="s">
        <v>14</v>
      </c>
      <c r="M4338">
        <v>0</v>
      </c>
      <c r="N4338" t="str">
        <f t="shared" si="201"/>
        <v>60+</v>
      </c>
      <c r="O4338" t="str">
        <f t="shared" si="202"/>
        <v>Obese</v>
      </c>
    </row>
    <row r="4339" spans="1:15" x14ac:dyDescent="0.3">
      <c r="A4339">
        <v>49955</v>
      </c>
      <c r="B4339" t="s">
        <v>2</v>
      </c>
      <c r="C4339">
        <v>43</v>
      </c>
      <c r="D4339">
        <v>0</v>
      </c>
      <c r="E4339">
        <v>0</v>
      </c>
      <c r="F4339" t="str">
        <f t="shared" si="203"/>
        <v>Lower Risk</v>
      </c>
      <c r="G4339" t="s">
        <v>13</v>
      </c>
      <c r="H4339" t="s">
        <v>4</v>
      </c>
      <c r="I4339" t="s">
        <v>5</v>
      </c>
      <c r="J4339">
        <v>78.98</v>
      </c>
      <c r="K4339">
        <v>31.3</v>
      </c>
      <c r="L4339" t="s">
        <v>6</v>
      </c>
      <c r="M4339">
        <v>0</v>
      </c>
      <c r="N4339" t="str">
        <f t="shared" si="201"/>
        <v>40–59</v>
      </c>
      <c r="O4339" t="str">
        <f t="shared" si="202"/>
        <v>Obese</v>
      </c>
    </row>
    <row r="4340" spans="1:15" x14ac:dyDescent="0.3">
      <c r="A4340">
        <v>2456</v>
      </c>
      <c r="B4340" t="s">
        <v>2</v>
      </c>
      <c r="C4340">
        <v>60</v>
      </c>
      <c r="D4340">
        <v>1</v>
      </c>
      <c r="E4340">
        <v>0</v>
      </c>
      <c r="F4340" t="str">
        <f t="shared" si="203"/>
        <v>High Risk</v>
      </c>
      <c r="G4340" t="s">
        <v>3</v>
      </c>
      <c r="H4340" t="s">
        <v>15</v>
      </c>
      <c r="I4340" t="s">
        <v>9</v>
      </c>
      <c r="J4340">
        <v>100.2</v>
      </c>
      <c r="K4340">
        <v>28.5</v>
      </c>
      <c r="L4340" t="s">
        <v>12</v>
      </c>
      <c r="M4340">
        <v>0</v>
      </c>
      <c r="N4340" t="str">
        <f t="shared" si="201"/>
        <v>60+</v>
      </c>
      <c r="O4340" t="str">
        <f t="shared" si="202"/>
        <v>Overweight</v>
      </c>
    </row>
    <row r="4341" spans="1:15" x14ac:dyDescent="0.3">
      <c r="A4341">
        <v>71515</v>
      </c>
      <c r="B4341" t="s">
        <v>7</v>
      </c>
      <c r="C4341">
        <v>66</v>
      </c>
      <c r="D4341">
        <v>0</v>
      </c>
      <c r="E4341">
        <v>0</v>
      </c>
      <c r="F4341" t="str">
        <f t="shared" si="203"/>
        <v>Moderate Risk</v>
      </c>
      <c r="G4341" t="s">
        <v>3</v>
      </c>
      <c r="H4341" t="s">
        <v>4</v>
      </c>
      <c r="I4341" t="s">
        <v>9</v>
      </c>
      <c r="J4341">
        <v>200.91</v>
      </c>
      <c r="K4341">
        <v>27.6</v>
      </c>
      <c r="L4341" t="s">
        <v>11</v>
      </c>
      <c r="M4341">
        <v>0</v>
      </c>
      <c r="N4341" t="str">
        <f t="shared" si="201"/>
        <v>60+</v>
      </c>
      <c r="O4341" t="str">
        <f t="shared" si="202"/>
        <v>Overweight</v>
      </c>
    </row>
    <row r="4342" spans="1:15" x14ac:dyDescent="0.3">
      <c r="A4342">
        <v>44662</v>
      </c>
      <c r="B4342" t="s">
        <v>7</v>
      </c>
      <c r="C4342">
        <v>45</v>
      </c>
      <c r="D4342">
        <v>0</v>
      </c>
      <c r="E4342">
        <v>0</v>
      </c>
      <c r="F4342" t="str">
        <f t="shared" si="203"/>
        <v>Lower Risk</v>
      </c>
      <c r="G4342" t="s">
        <v>3</v>
      </c>
      <c r="H4342" t="s">
        <v>15</v>
      </c>
      <c r="I4342" t="s">
        <v>9</v>
      </c>
      <c r="J4342">
        <v>95.24</v>
      </c>
      <c r="K4342">
        <v>40.200000000000003</v>
      </c>
      <c r="L4342" t="s">
        <v>14</v>
      </c>
      <c r="M4342">
        <v>0</v>
      </c>
      <c r="N4342" t="str">
        <f t="shared" si="201"/>
        <v>40–59</v>
      </c>
      <c r="O4342" t="str">
        <f t="shared" si="202"/>
        <v>Obese</v>
      </c>
    </row>
    <row r="4343" spans="1:15" x14ac:dyDescent="0.3">
      <c r="A4343">
        <v>38661</v>
      </c>
      <c r="B4343" t="s">
        <v>7</v>
      </c>
      <c r="C4343">
        <v>29</v>
      </c>
      <c r="D4343">
        <v>0</v>
      </c>
      <c r="E4343">
        <v>0</v>
      </c>
      <c r="F4343" t="str">
        <f t="shared" si="203"/>
        <v>Lower Risk</v>
      </c>
      <c r="G4343" t="s">
        <v>13</v>
      </c>
      <c r="H4343" t="s">
        <v>4</v>
      </c>
      <c r="I4343" t="s">
        <v>5</v>
      </c>
      <c r="J4343">
        <v>56.64</v>
      </c>
      <c r="K4343">
        <v>24.7</v>
      </c>
      <c r="L4343" t="s">
        <v>11</v>
      </c>
      <c r="M4343">
        <v>0</v>
      </c>
      <c r="N4343" t="str">
        <f t="shared" si="201"/>
        <v>Under 40</v>
      </c>
      <c r="O4343" t="str">
        <f t="shared" si="202"/>
        <v>Normal</v>
      </c>
    </row>
    <row r="4344" spans="1:15" x14ac:dyDescent="0.3">
      <c r="A4344">
        <v>15978</v>
      </c>
      <c r="B4344" t="s">
        <v>2</v>
      </c>
      <c r="C4344">
        <v>4</v>
      </c>
      <c r="D4344">
        <v>0</v>
      </c>
      <c r="E4344">
        <v>0</v>
      </c>
      <c r="F4344" t="str">
        <f t="shared" si="203"/>
        <v>Lower Risk</v>
      </c>
      <c r="G4344" t="s">
        <v>13</v>
      </c>
      <c r="H4344" t="s">
        <v>16</v>
      </c>
      <c r="I4344" t="s">
        <v>5</v>
      </c>
      <c r="J4344">
        <v>80.48</v>
      </c>
      <c r="K4344">
        <v>17.7</v>
      </c>
      <c r="L4344" t="s">
        <v>14</v>
      </c>
      <c r="M4344">
        <v>0</v>
      </c>
      <c r="N4344" t="str">
        <f t="shared" si="201"/>
        <v>Under 40</v>
      </c>
      <c r="O4344" t="str">
        <f t="shared" si="202"/>
        <v>Underweight</v>
      </c>
    </row>
    <row r="4345" spans="1:15" x14ac:dyDescent="0.3">
      <c r="A4345">
        <v>35210</v>
      </c>
      <c r="B4345" t="s">
        <v>7</v>
      </c>
      <c r="C4345">
        <v>48</v>
      </c>
      <c r="D4345">
        <v>0</v>
      </c>
      <c r="E4345">
        <v>0</v>
      </c>
      <c r="F4345" t="str">
        <f t="shared" si="203"/>
        <v>Lower Risk</v>
      </c>
      <c r="G4345" t="s">
        <v>3</v>
      </c>
      <c r="H4345" t="s">
        <v>4</v>
      </c>
      <c r="I4345" t="s">
        <v>5</v>
      </c>
      <c r="J4345">
        <v>112.96</v>
      </c>
      <c r="K4345">
        <v>25.4</v>
      </c>
      <c r="L4345" t="s">
        <v>11</v>
      </c>
      <c r="M4345">
        <v>0</v>
      </c>
      <c r="N4345" t="str">
        <f t="shared" si="201"/>
        <v>40–59</v>
      </c>
      <c r="O4345" t="str">
        <f t="shared" si="202"/>
        <v>Overweight</v>
      </c>
    </row>
    <row r="4346" spans="1:15" x14ac:dyDescent="0.3">
      <c r="A4346">
        <v>49930</v>
      </c>
      <c r="B4346" t="s">
        <v>7</v>
      </c>
      <c r="C4346">
        <v>68</v>
      </c>
      <c r="D4346">
        <v>0</v>
      </c>
      <c r="E4346">
        <v>0</v>
      </c>
      <c r="F4346" t="str">
        <f t="shared" si="203"/>
        <v>Moderate Risk</v>
      </c>
      <c r="G4346" t="s">
        <v>3</v>
      </c>
      <c r="H4346" t="s">
        <v>4</v>
      </c>
      <c r="I4346" t="s">
        <v>9</v>
      </c>
      <c r="J4346">
        <v>236.04</v>
      </c>
      <c r="K4346">
        <v>28.5</v>
      </c>
      <c r="L4346" t="s">
        <v>11</v>
      </c>
      <c r="M4346">
        <v>0</v>
      </c>
      <c r="N4346" t="str">
        <f t="shared" si="201"/>
        <v>60+</v>
      </c>
      <c r="O4346" t="str">
        <f t="shared" si="202"/>
        <v>Overweight</v>
      </c>
    </row>
    <row r="4347" spans="1:15" x14ac:dyDescent="0.3">
      <c r="A4347">
        <v>27789</v>
      </c>
      <c r="B4347" t="s">
        <v>7</v>
      </c>
      <c r="C4347">
        <v>57</v>
      </c>
      <c r="D4347">
        <v>0</v>
      </c>
      <c r="E4347">
        <v>0</v>
      </c>
      <c r="F4347" t="str">
        <f t="shared" si="203"/>
        <v>Lower Risk</v>
      </c>
      <c r="G4347" t="s">
        <v>3</v>
      </c>
      <c r="H4347" t="s">
        <v>4</v>
      </c>
      <c r="I4347" t="s">
        <v>5</v>
      </c>
      <c r="J4347">
        <v>73</v>
      </c>
      <c r="K4347">
        <v>26.2</v>
      </c>
      <c r="L4347" t="s">
        <v>11</v>
      </c>
      <c r="M4347">
        <v>0</v>
      </c>
      <c r="N4347" t="str">
        <f t="shared" si="201"/>
        <v>40–59</v>
      </c>
      <c r="O4347" t="str">
        <f t="shared" si="202"/>
        <v>Overweight</v>
      </c>
    </row>
    <row r="4348" spans="1:15" x14ac:dyDescent="0.3">
      <c r="A4348">
        <v>45325</v>
      </c>
      <c r="B4348" t="s">
        <v>7</v>
      </c>
      <c r="C4348">
        <v>29</v>
      </c>
      <c r="D4348">
        <v>0</v>
      </c>
      <c r="E4348">
        <v>0</v>
      </c>
      <c r="F4348" t="str">
        <f t="shared" si="203"/>
        <v>Lower Risk</v>
      </c>
      <c r="G4348" t="s">
        <v>13</v>
      </c>
      <c r="H4348" t="s">
        <v>4</v>
      </c>
      <c r="I4348" t="s">
        <v>5</v>
      </c>
      <c r="J4348">
        <v>61.13</v>
      </c>
      <c r="K4348">
        <v>26</v>
      </c>
      <c r="L4348" t="s">
        <v>11</v>
      </c>
      <c r="M4348">
        <v>0</v>
      </c>
      <c r="N4348" t="str">
        <f t="shared" si="201"/>
        <v>Under 40</v>
      </c>
      <c r="O4348" t="str">
        <f t="shared" si="202"/>
        <v>Overweight</v>
      </c>
    </row>
    <row r="4349" spans="1:15" x14ac:dyDescent="0.3">
      <c r="A4349">
        <v>31092</v>
      </c>
      <c r="B4349" t="s">
        <v>7</v>
      </c>
      <c r="C4349">
        <v>30</v>
      </c>
      <c r="D4349">
        <v>0</v>
      </c>
      <c r="E4349">
        <v>0</v>
      </c>
      <c r="F4349" t="str">
        <f t="shared" si="203"/>
        <v>Lower Risk</v>
      </c>
      <c r="G4349" t="s">
        <v>3</v>
      </c>
      <c r="H4349" t="s">
        <v>4</v>
      </c>
      <c r="I4349" t="s">
        <v>5</v>
      </c>
      <c r="J4349">
        <v>88.56</v>
      </c>
      <c r="K4349">
        <v>45.3</v>
      </c>
      <c r="L4349" t="s">
        <v>11</v>
      </c>
      <c r="M4349">
        <v>0</v>
      </c>
      <c r="N4349" t="str">
        <f t="shared" si="201"/>
        <v>Under 40</v>
      </c>
      <c r="O4349" t="str">
        <f t="shared" si="202"/>
        <v>Obese</v>
      </c>
    </row>
    <row r="4350" spans="1:15" x14ac:dyDescent="0.3">
      <c r="A4350">
        <v>40705</v>
      </c>
      <c r="B4350" t="s">
        <v>7</v>
      </c>
      <c r="C4350">
        <v>47</v>
      </c>
      <c r="D4350">
        <v>0</v>
      </c>
      <c r="E4350">
        <v>0</v>
      </c>
      <c r="F4350" t="str">
        <f t="shared" si="203"/>
        <v>Lower Risk</v>
      </c>
      <c r="G4350" t="s">
        <v>3</v>
      </c>
      <c r="H4350" t="s">
        <v>8</v>
      </c>
      <c r="I4350" t="s">
        <v>9</v>
      </c>
      <c r="J4350">
        <v>66.16</v>
      </c>
      <c r="K4350">
        <v>31.5</v>
      </c>
      <c r="L4350" t="s">
        <v>11</v>
      </c>
      <c r="M4350">
        <v>0</v>
      </c>
      <c r="N4350" t="str">
        <f t="shared" si="201"/>
        <v>40–59</v>
      </c>
      <c r="O4350" t="str">
        <f t="shared" si="202"/>
        <v>Obese</v>
      </c>
    </row>
    <row r="4351" spans="1:15" x14ac:dyDescent="0.3">
      <c r="A4351">
        <v>28513</v>
      </c>
      <c r="B4351" t="s">
        <v>7</v>
      </c>
      <c r="C4351">
        <v>73</v>
      </c>
      <c r="D4351">
        <v>0</v>
      </c>
      <c r="E4351">
        <v>0</v>
      </c>
      <c r="F4351" t="str">
        <f t="shared" si="203"/>
        <v>Moderate Risk</v>
      </c>
      <c r="G4351" t="s">
        <v>3</v>
      </c>
      <c r="H4351" t="s">
        <v>4</v>
      </c>
      <c r="I4351" t="s">
        <v>9</v>
      </c>
      <c r="J4351">
        <v>88.98</v>
      </c>
      <c r="K4351">
        <v>20.6</v>
      </c>
      <c r="L4351" t="s">
        <v>12</v>
      </c>
      <c r="M4351">
        <v>0</v>
      </c>
      <c r="N4351" t="str">
        <f t="shared" si="201"/>
        <v>60+</v>
      </c>
      <c r="O4351" t="str">
        <f t="shared" si="202"/>
        <v>Normal</v>
      </c>
    </row>
    <row r="4352" spans="1:15" x14ac:dyDescent="0.3">
      <c r="A4352">
        <v>12367</v>
      </c>
      <c r="B4352" t="s">
        <v>7</v>
      </c>
      <c r="C4352">
        <v>66</v>
      </c>
      <c r="D4352">
        <v>0</v>
      </c>
      <c r="E4352">
        <v>0</v>
      </c>
      <c r="F4352" t="str">
        <f t="shared" si="203"/>
        <v>Moderate Risk</v>
      </c>
      <c r="G4352" t="s">
        <v>3</v>
      </c>
      <c r="H4352" t="s">
        <v>8</v>
      </c>
      <c r="I4352" t="s">
        <v>5</v>
      </c>
      <c r="J4352">
        <v>94.39</v>
      </c>
      <c r="K4352">
        <v>29.4</v>
      </c>
      <c r="L4352" t="s">
        <v>14</v>
      </c>
      <c r="M4352">
        <v>0</v>
      </c>
      <c r="N4352" t="str">
        <f t="shared" si="201"/>
        <v>60+</v>
      </c>
      <c r="O4352" t="str">
        <f t="shared" si="202"/>
        <v>Overweight</v>
      </c>
    </row>
    <row r="4353" spans="1:15" x14ac:dyDescent="0.3">
      <c r="A4353">
        <v>63915</v>
      </c>
      <c r="B4353" t="s">
        <v>7</v>
      </c>
      <c r="C4353">
        <v>39</v>
      </c>
      <c r="D4353">
        <v>0</v>
      </c>
      <c r="E4353">
        <v>0</v>
      </c>
      <c r="F4353" t="str">
        <f t="shared" si="203"/>
        <v>Lower Risk</v>
      </c>
      <c r="G4353" t="s">
        <v>3</v>
      </c>
      <c r="H4353" t="s">
        <v>4</v>
      </c>
      <c r="I4353" t="s">
        <v>5</v>
      </c>
      <c r="J4353">
        <v>87.39</v>
      </c>
      <c r="K4353">
        <v>57.9</v>
      </c>
      <c r="L4353" t="s">
        <v>11</v>
      </c>
      <c r="M4353">
        <v>0</v>
      </c>
      <c r="N4353" t="str">
        <f t="shared" si="201"/>
        <v>Under 40</v>
      </c>
      <c r="O4353" t="str">
        <f t="shared" si="202"/>
        <v>Obese</v>
      </c>
    </row>
    <row r="4354" spans="1:15" x14ac:dyDescent="0.3">
      <c r="A4354">
        <v>10166</v>
      </c>
      <c r="B4354" t="s">
        <v>2</v>
      </c>
      <c r="C4354">
        <v>66</v>
      </c>
      <c r="D4354">
        <v>0</v>
      </c>
      <c r="E4354">
        <v>0</v>
      </c>
      <c r="F4354" t="str">
        <f t="shared" si="203"/>
        <v>Moderate Risk</v>
      </c>
      <c r="G4354" t="s">
        <v>13</v>
      </c>
      <c r="H4354" t="s">
        <v>15</v>
      </c>
      <c r="I4354" t="s">
        <v>9</v>
      </c>
      <c r="J4354">
        <v>77.91</v>
      </c>
      <c r="K4354">
        <v>39.1</v>
      </c>
      <c r="L4354" t="s">
        <v>14</v>
      </c>
      <c r="M4354">
        <v>0</v>
      </c>
      <c r="N4354" t="str">
        <f t="shared" ref="N4354:N4417" si="204">IF(C4354&lt;40,"Under 40",IF(C4354&lt;60,"40–59","60+"))</f>
        <v>60+</v>
      </c>
      <c r="O4354" t="str">
        <f t="shared" ref="O4354:O4417" si="205">IF(K4354="N/A","Unknown",
IF(K4354="","Unknown",
IF(K4354&lt;18.5,"Underweight",
IF(K4354&lt;25,"Normal",
IF(K4354&lt;30,"Overweight","Obese")))))</f>
        <v>Obese</v>
      </c>
    </row>
    <row r="4355" spans="1:15" x14ac:dyDescent="0.3">
      <c r="A4355">
        <v>35999</v>
      </c>
      <c r="B4355" t="s">
        <v>7</v>
      </c>
      <c r="C4355">
        <v>52</v>
      </c>
      <c r="D4355">
        <v>0</v>
      </c>
      <c r="E4355">
        <v>0</v>
      </c>
      <c r="F4355" t="str">
        <f t="shared" ref="F4355:F4418" si="206">IF(C4355&gt;=60,
IF(OR(D4355=1,E4355=1),"High Risk","Moderate Risk"),
"Lower Risk")</f>
        <v>Lower Risk</v>
      </c>
      <c r="G4355" t="s">
        <v>3</v>
      </c>
      <c r="H4355" t="s">
        <v>4</v>
      </c>
      <c r="I4355" t="s">
        <v>5</v>
      </c>
      <c r="J4355">
        <v>86.85</v>
      </c>
      <c r="K4355">
        <v>23.8</v>
      </c>
      <c r="L4355" t="s">
        <v>6</v>
      </c>
      <c r="M4355">
        <v>0</v>
      </c>
      <c r="N4355" t="str">
        <f t="shared" si="204"/>
        <v>40–59</v>
      </c>
      <c r="O4355" t="str">
        <f t="shared" si="205"/>
        <v>Normal</v>
      </c>
    </row>
    <row r="4356" spans="1:15" x14ac:dyDescent="0.3">
      <c r="A4356">
        <v>8964</v>
      </c>
      <c r="B4356" t="s">
        <v>7</v>
      </c>
      <c r="C4356">
        <v>34</v>
      </c>
      <c r="D4356">
        <v>0</v>
      </c>
      <c r="E4356">
        <v>0</v>
      </c>
      <c r="F4356" t="str">
        <f t="shared" si="206"/>
        <v>Lower Risk</v>
      </c>
      <c r="G4356" t="s">
        <v>13</v>
      </c>
      <c r="H4356" t="s">
        <v>4</v>
      </c>
      <c r="I4356" t="s">
        <v>9</v>
      </c>
      <c r="J4356">
        <v>94.37</v>
      </c>
      <c r="K4356">
        <v>38.1</v>
      </c>
      <c r="L4356" t="s">
        <v>11</v>
      </c>
      <c r="M4356">
        <v>0</v>
      </c>
      <c r="N4356" t="str">
        <f t="shared" si="204"/>
        <v>Under 40</v>
      </c>
      <c r="O4356" t="str">
        <f t="shared" si="205"/>
        <v>Obese</v>
      </c>
    </row>
    <row r="4357" spans="1:15" x14ac:dyDescent="0.3">
      <c r="A4357">
        <v>38207</v>
      </c>
      <c r="B4357" t="s">
        <v>7</v>
      </c>
      <c r="C4357">
        <v>79</v>
      </c>
      <c r="D4357">
        <v>1</v>
      </c>
      <c r="E4357">
        <v>0</v>
      </c>
      <c r="F4357" t="str">
        <f t="shared" si="206"/>
        <v>High Risk</v>
      </c>
      <c r="G4357" t="s">
        <v>3</v>
      </c>
      <c r="H4357" t="s">
        <v>8</v>
      </c>
      <c r="I4357" t="s">
        <v>9</v>
      </c>
      <c r="J4357">
        <v>76.64</v>
      </c>
      <c r="K4357">
        <v>19.5</v>
      </c>
      <c r="L4357" t="s">
        <v>11</v>
      </c>
      <c r="M4357">
        <v>0</v>
      </c>
      <c r="N4357" t="str">
        <f t="shared" si="204"/>
        <v>60+</v>
      </c>
      <c r="O4357" t="str">
        <f t="shared" si="205"/>
        <v>Normal</v>
      </c>
    </row>
    <row r="4358" spans="1:15" x14ac:dyDescent="0.3">
      <c r="A4358">
        <v>52681</v>
      </c>
      <c r="B4358" t="s">
        <v>7</v>
      </c>
      <c r="C4358">
        <v>39</v>
      </c>
      <c r="D4358">
        <v>0</v>
      </c>
      <c r="E4358">
        <v>0</v>
      </c>
      <c r="F4358" t="str">
        <f t="shared" si="206"/>
        <v>Lower Risk</v>
      </c>
      <c r="G4358" t="s">
        <v>3</v>
      </c>
      <c r="H4358" t="s">
        <v>4</v>
      </c>
      <c r="I4358" t="s">
        <v>5</v>
      </c>
      <c r="J4358">
        <v>254.95</v>
      </c>
      <c r="K4358">
        <v>35.5</v>
      </c>
      <c r="L4358" t="s">
        <v>12</v>
      </c>
      <c r="M4358">
        <v>0</v>
      </c>
      <c r="N4358" t="str">
        <f t="shared" si="204"/>
        <v>Under 40</v>
      </c>
      <c r="O4358" t="str">
        <f t="shared" si="205"/>
        <v>Obese</v>
      </c>
    </row>
    <row r="4359" spans="1:15" x14ac:dyDescent="0.3">
      <c r="A4359">
        <v>38980</v>
      </c>
      <c r="B4359" t="s">
        <v>2</v>
      </c>
      <c r="C4359">
        <v>61</v>
      </c>
      <c r="D4359">
        <v>0</v>
      </c>
      <c r="E4359">
        <v>0</v>
      </c>
      <c r="F4359" t="str">
        <f t="shared" si="206"/>
        <v>Moderate Risk</v>
      </c>
      <c r="G4359" t="s">
        <v>3</v>
      </c>
      <c r="H4359" t="s">
        <v>15</v>
      </c>
      <c r="I4359" t="s">
        <v>5</v>
      </c>
      <c r="J4359">
        <v>107.33</v>
      </c>
      <c r="K4359">
        <v>26.4</v>
      </c>
      <c r="L4359" t="s">
        <v>6</v>
      </c>
      <c r="M4359">
        <v>0</v>
      </c>
      <c r="N4359" t="str">
        <f t="shared" si="204"/>
        <v>60+</v>
      </c>
      <c r="O4359" t="str">
        <f t="shared" si="205"/>
        <v>Overweight</v>
      </c>
    </row>
    <row r="4360" spans="1:15" x14ac:dyDescent="0.3">
      <c r="A4360">
        <v>33924</v>
      </c>
      <c r="B4360" t="s">
        <v>7</v>
      </c>
      <c r="C4360">
        <v>26</v>
      </c>
      <c r="D4360">
        <v>0</v>
      </c>
      <c r="E4360">
        <v>0</v>
      </c>
      <c r="F4360" t="str">
        <f t="shared" si="206"/>
        <v>Lower Risk</v>
      </c>
      <c r="G4360" t="s">
        <v>13</v>
      </c>
      <c r="H4360" t="s">
        <v>4</v>
      </c>
      <c r="I4360" t="s">
        <v>5</v>
      </c>
      <c r="J4360">
        <v>80.94</v>
      </c>
      <c r="K4360">
        <v>22.2</v>
      </c>
      <c r="L4360" t="s">
        <v>12</v>
      </c>
      <c r="M4360">
        <v>0</v>
      </c>
      <c r="N4360" t="str">
        <f t="shared" si="204"/>
        <v>Under 40</v>
      </c>
      <c r="O4360" t="str">
        <f t="shared" si="205"/>
        <v>Normal</v>
      </c>
    </row>
    <row r="4361" spans="1:15" x14ac:dyDescent="0.3">
      <c r="A4361">
        <v>10135</v>
      </c>
      <c r="B4361" t="s">
        <v>7</v>
      </c>
      <c r="C4361">
        <v>37</v>
      </c>
      <c r="D4361">
        <v>0</v>
      </c>
      <c r="E4361">
        <v>0</v>
      </c>
      <c r="F4361" t="str">
        <f t="shared" si="206"/>
        <v>Lower Risk</v>
      </c>
      <c r="G4361" t="s">
        <v>13</v>
      </c>
      <c r="H4361" t="s">
        <v>4</v>
      </c>
      <c r="I4361" t="s">
        <v>9</v>
      </c>
      <c r="J4361">
        <v>112.02</v>
      </c>
      <c r="K4361">
        <v>29.1</v>
      </c>
      <c r="L4361" t="s">
        <v>14</v>
      </c>
      <c r="M4361">
        <v>0</v>
      </c>
      <c r="N4361" t="str">
        <f t="shared" si="204"/>
        <v>Under 40</v>
      </c>
      <c r="O4361" t="str">
        <f t="shared" si="205"/>
        <v>Overweight</v>
      </c>
    </row>
    <row r="4362" spans="1:15" x14ac:dyDescent="0.3">
      <c r="A4362">
        <v>46517</v>
      </c>
      <c r="B4362" t="s">
        <v>7</v>
      </c>
      <c r="C4362">
        <v>66</v>
      </c>
      <c r="D4362">
        <v>0</v>
      </c>
      <c r="E4362">
        <v>1</v>
      </c>
      <c r="F4362" t="str">
        <f t="shared" si="206"/>
        <v>High Risk</v>
      </c>
      <c r="G4362" t="s">
        <v>3</v>
      </c>
      <c r="H4362" t="s">
        <v>4</v>
      </c>
      <c r="I4362" t="s">
        <v>9</v>
      </c>
      <c r="J4362">
        <v>196.58</v>
      </c>
      <c r="K4362">
        <v>41.9</v>
      </c>
      <c r="L4362" t="s">
        <v>6</v>
      </c>
      <c r="M4362">
        <v>0</v>
      </c>
      <c r="N4362" t="str">
        <f t="shared" si="204"/>
        <v>60+</v>
      </c>
      <c r="O4362" t="str">
        <f t="shared" si="205"/>
        <v>Obese</v>
      </c>
    </row>
    <row r="4363" spans="1:15" x14ac:dyDescent="0.3">
      <c r="A4363">
        <v>65966</v>
      </c>
      <c r="B4363" t="s">
        <v>7</v>
      </c>
      <c r="C4363">
        <v>16</v>
      </c>
      <c r="D4363">
        <v>0</v>
      </c>
      <c r="E4363">
        <v>0</v>
      </c>
      <c r="F4363" t="str">
        <f t="shared" si="206"/>
        <v>Lower Risk</v>
      </c>
      <c r="G4363" t="s">
        <v>13</v>
      </c>
      <c r="H4363" t="s">
        <v>4</v>
      </c>
      <c r="I4363" t="s">
        <v>5</v>
      </c>
      <c r="J4363">
        <v>89.14</v>
      </c>
      <c r="K4363">
        <v>22.6</v>
      </c>
      <c r="L4363" t="s">
        <v>6</v>
      </c>
      <c r="M4363">
        <v>0</v>
      </c>
      <c r="N4363" t="str">
        <f t="shared" si="204"/>
        <v>Under 40</v>
      </c>
      <c r="O4363" t="str">
        <f t="shared" si="205"/>
        <v>Normal</v>
      </c>
    </row>
    <row r="4364" spans="1:15" x14ac:dyDescent="0.3">
      <c r="A4364">
        <v>56575</v>
      </c>
      <c r="B4364" t="s">
        <v>7</v>
      </c>
      <c r="C4364">
        <v>51</v>
      </c>
      <c r="D4364">
        <v>1</v>
      </c>
      <c r="E4364">
        <v>0</v>
      </c>
      <c r="F4364" t="str">
        <f t="shared" si="206"/>
        <v>Lower Risk</v>
      </c>
      <c r="G4364" t="s">
        <v>3</v>
      </c>
      <c r="H4364" t="s">
        <v>15</v>
      </c>
      <c r="I4364" t="s">
        <v>5</v>
      </c>
      <c r="J4364">
        <v>69.94</v>
      </c>
      <c r="K4364">
        <v>33.299999999999997</v>
      </c>
      <c r="L4364" t="s">
        <v>12</v>
      </c>
      <c r="M4364">
        <v>0</v>
      </c>
      <c r="N4364" t="str">
        <f t="shared" si="204"/>
        <v>40–59</v>
      </c>
      <c r="O4364" t="str">
        <f t="shared" si="205"/>
        <v>Obese</v>
      </c>
    </row>
    <row r="4365" spans="1:15" x14ac:dyDescent="0.3">
      <c r="A4365">
        <v>43138</v>
      </c>
      <c r="B4365" t="s">
        <v>2</v>
      </c>
      <c r="C4365">
        <v>15</v>
      </c>
      <c r="D4365">
        <v>0</v>
      </c>
      <c r="E4365">
        <v>0</v>
      </c>
      <c r="F4365" t="str">
        <f t="shared" si="206"/>
        <v>Lower Risk</v>
      </c>
      <c r="G4365" t="s">
        <v>13</v>
      </c>
      <c r="H4365" t="s">
        <v>4</v>
      </c>
      <c r="I4365" t="s">
        <v>5</v>
      </c>
      <c r="J4365">
        <v>55.79</v>
      </c>
      <c r="K4365">
        <v>21.3</v>
      </c>
      <c r="L4365" t="s">
        <v>11</v>
      </c>
      <c r="M4365">
        <v>0</v>
      </c>
      <c r="N4365" t="str">
        <f t="shared" si="204"/>
        <v>Under 40</v>
      </c>
      <c r="O4365" t="str">
        <f t="shared" si="205"/>
        <v>Normal</v>
      </c>
    </row>
    <row r="4366" spans="1:15" x14ac:dyDescent="0.3">
      <c r="A4366">
        <v>36633</v>
      </c>
      <c r="B4366" t="s">
        <v>2</v>
      </c>
      <c r="C4366">
        <v>1.72</v>
      </c>
      <c r="D4366">
        <v>0</v>
      </c>
      <c r="E4366">
        <v>0</v>
      </c>
      <c r="F4366" t="str">
        <f t="shared" si="206"/>
        <v>Lower Risk</v>
      </c>
      <c r="G4366" t="s">
        <v>13</v>
      </c>
      <c r="H4366" t="s">
        <v>16</v>
      </c>
      <c r="I4366" t="s">
        <v>5</v>
      </c>
      <c r="J4366">
        <v>73.08</v>
      </c>
      <c r="K4366">
        <v>20.399999999999999</v>
      </c>
      <c r="L4366" t="s">
        <v>14</v>
      </c>
      <c r="M4366">
        <v>0</v>
      </c>
      <c r="N4366" t="str">
        <f t="shared" si="204"/>
        <v>Under 40</v>
      </c>
      <c r="O4366" t="str">
        <f t="shared" si="205"/>
        <v>Normal</v>
      </c>
    </row>
    <row r="4367" spans="1:15" x14ac:dyDescent="0.3">
      <c r="A4367">
        <v>11632</v>
      </c>
      <c r="B4367" t="s">
        <v>2</v>
      </c>
      <c r="C4367">
        <v>60</v>
      </c>
      <c r="D4367">
        <v>0</v>
      </c>
      <c r="E4367">
        <v>0</v>
      </c>
      <c r="F4367" t="str">
        <f t="shared" si="206"/>
        <v>Moderate Risk</v>
      </c>
      <c r="G4367" t="s">
        <v>3</v>
      </c>
      <c r="H4367" t="s">
        <v>4</v>
      </c>
      <c r="I4367" t="s">
        <v>5</v>
      </c>
      <c r="J4367">
        <v>96.02</v>
      </c>
      <c r="K4367">
        <v>28.7</v>
      </c>
      <c r="L4367" t="s">
        <v>14</v>
      </c>
      <c r="M4367">
        <v>0</v>
      </c>
      <c r="N4367" t="str">
        <f t="shared" si="204"/>
        <v>60+</v>
      </c>
      <c r="O4367" t="str">
        <f t="shared" si="205"/>
        <v>Overweight</v>
      </c>
    </row>
    <row r="4368" spans="1:15" x14ac:dyDescent="0.3">
      <c r="A4368">
        <v>31153</v>
      </c>
      <c r="B4368" t="s">
        <v>2</v>
      </c>
      <c r="C4368">
        <v>66</v>
      </c>
      <c r="D4368">
        <v>0</v>
      </c>
      <c r="E4368">
        <v>0</v>
      </c>
      <c r="F4368" t="str">
        <f t="shared" si="206"/>
        <v>Moderate Risk</v>
      </c>
      <c r="G4368" t="s">
        <v>3</v>
      </c>
      <c r="H4368" t="s">
        <v>8</v>
      </c>
      <c r="I4368" t="s">
        <v>9</v>
      </c>
      <c r="J4368">
        <v>189.82</v>
      </c>
      <c r="K4368">
        <v>28.8</v>
      </c>
      <c r="L4368" t="s">
        <v>6</v>
      </c>
      <c r="M4368">
        <v>0</v>
      </c>
      <c r="N4368" t="str">
        <f t="shared" si="204"/>
        <v>60+</v>
      </c>
      <c r="O4368" t="str">
        <f t="shared" si="205"/>
        <v>Overweight</v>
      </c>
    </row>
    <row r="4369" spans="1:15" x14ac:dyDescent="0.3">
      <c r="A4369">
        <v>52247</v>
      </c>
      <c r="B4369" t="s">
        <v>7</v>
      </c>
      <c r="C4369">
        <v>75</v>
      </c>
      <c r="D4369">
        <v>0</v>
      </c>
      <c r="E4369">
        <v>0</v>
      </c>
      <c r="F4369" t="str">
        <f t="shared" si="206"/>
        <v>Moderate Risk</v>
      </c>
      <c r="G4369" t="s">
        <v>3</v>
      </c>
      <c r="H4369" t="s">
        <v>15</v>
      </c>
      <c r="I4369" t="s">
        <v>5</v>
      </c>
      <c r="J4369">
        <v>89.68</v>
      </c>
      <c r="K4369">
        <v>38.700000000000003</v>
      </c>
      <c r="L4369" t="s">
        <v>11</v>
      </c>
      <c r="M4369">
        <v>0</v>
      </c>
      <c r="N4369" t="str">
        <f t="shared" si="204"/>
        <v>60+</v>
      </c>
      <c r="O4369" t="str">
        <f t="shared" si="205"/>
        <v>Obese</v>
      </c>
    </row>
    <row r="4370" spans="1:15" x14ac:dyDescent="0.3">
      <c r="A4370">
        <v>61987</v>
      </c>
      <c r="B4370" t="s">
        <v>7</v>
      </c>
      <c r="C4370">
        <v>40</v>
      </c>
      <c r="D4370">
        <v>0</v>
      </c>
      <c r="E4370">
        <v>0</v>
      </c>
      <c r="F4370" t="str">
        <f t="shared" si="206"/>
        <v>Lower Risk</v>
      </c>
      <c r="G4370" t="s">
        <v>3</v>
      </c>
      <c r="H4370" t="s">
        <v>4</v>
      </c>
      <c r="I4370" t="s">
        <v>5</v>
      </c>
      <c r="J4370">
        <v>101.06</v>
      </c>
      <c r="K4370">
        <v>32.299999999999997</v>
      </c>
      <c r="L4370" t="s">
        <v>12</v>
      </c>
      <c r="M4370">
        <v>0</v>
      </c>
      <c r="N4370" t="str">
        <f t="shared" si="204"/>
        <v>40–59</v>
      </c>
      <c r="O4370" t="str">
        <f t="shared" si="205"/>
        <v>Obese</v>
      </c>
    </row>
    <row r="4371" spans="1:15" x14ac:dyDescent="0.3">
      <c r="A4371">
        <v>64416</v>
      </c>
      <c r="B4371" t="s">
        <v>7</v>
      </c>
      <c r="C4371">
        <v>52</v>
      </c>
      <c r="D4371">
        <v>0</v>
      </c>
      <c r="E4371">
        <v>0</v>
      </c>
      <c r="F4371" t="str">
        <f t="shared" si="206"/>
        <v>Lower Risk</v>
      </c>
      <c r="G4371" t="s">
        <v>3</v>
      </c>
      <c r="H4371" t="s">
        <v>15</v>
      </c>
      <c r="I4371" t="s">
        <v>9</v>
      </c>
      <c r="J4371">
        <v>62.66</v>
      </c>
      <c r="K4371">
        <v>37.9</v>
      </c>
      <c r="L4371" t="s">
        <v>14</v>
      </c>
      <c r="M4371">
        <v>0</v>
      </c>
      <c r="N4371" t="str">
        <f t="shared" si="204"/>
        <v>40–59</v>
      </c>
      <c r="O4371" t="str">
        <f t="shared" si="205"/>
        <v>Obese</v>
      </c>
    </row>
    <row r="4372" spans="1:15" x14ac:dyDescent="0.3">
      <c r="A4372">
        <v>31708</v>
      </c>
      <c r="B4372" t="s">
        <v>7</v>
      </c>
      <c r="C4372">
        <v>13</v>
      </c>
      <c r="D4372">
        <v>0</v>
      </c>
      <c r="E4372">
        <v>0</v>
      </c>
      <c r="F4372" t="str">
        <f t="shared" si="206"/>
        <v>Lower Risk</v>
      </c>
      <c r="G4372" t="s">
        <v>13</v>
      </c>
      <c r="H4372" t="s">
        <v>16</v>
      </c>
      <c r="I4372" t="s">
        <v>5</v>
      </c>
      <c r="J4372">
        <v>84.03</v>
      </c>
      <c r="K4372">
        <v>25.3</v>
      </c>
      <c r="L4372" t="s">
        <v>14</v>
      </c>
      <c r="M4372">
        <v>0</v>
      </c>
      <c r="N4372" t="str">
        <f t="shared" si="204"/>
        <v>Under 40</v>
      </c>
      <c r="O4372" t="str">
        <f t="shared" si="205"/>
        <v>Overweight</v>
      </c>
    </row>
    <row r="4373" spans="1:15" x14ac:dyDescent="0.3">
      <c r="A4373">
        <v>62296</v>
      </c>
      <c r="B4373" t="s">
        <v>7</v>
      </c>
      <c r="C4373">
        <v>44</v>
      </c>
      <c r="D4373">
        <v>0</v>
      </c>
      <c r="E4373">
        <v>0</v>
      </c>
      <c r="F4373" t="str">
        <f t="shared" si="206"/>
        <v>Lower Risk</v>
      </c>
      <c r="G4373" t="s">
        <v>3</v>
      </c>
      <c r="H4373" t="s">
        <v>15</v>
      </c>
      <c r="I4373" t="s">
        <v>9</v>
      </c>
      <c r="J4373">
        <v>108.38</v>
      </c>
      <c r="K4373">
        <v>27.7</v>
      </c>
      <c r="L4373" t="s">
        <v>14</v>
      </c>
      <c r="M4373">
        <v>0</v>
      </c>
      <c r="N4373" t="str">
        <f t="shared" si="204"/>
        <v>40–59</v>
      </c>
      <c r="O4373" t="str">
        <f t="shared" si="205"/>
        <v>Overweight</v>
      </c>
    </row>
    <row r="4374" spans="1:15" x14ac:dyDescent="0.3">
      <c r="A4374">
        <v>53976</v>
      </c>
      <c r="B4374" t="s">
        <v>7</v>
      </c>
      <c r="C4374">
        <v>37</v>
      </c>
      <c r="D4374">
        <v>0</v>
      </c>
      <c r="E4374">
        <v>0</v>
      </c>
      <c r="F4374" t="str">
        <f t="shared" si="206"/>
        <v>Lower Risk</v>
      </c>
      <c r="G4374" t="s">
        <v>13</v>
      </c>
      <c r="H4374" t="s">
        <v>4</v>
      </c>
      <c r="I4374" t="s">
        <v>9</v>
      </c>
      <c r="J4374">
        <v>78.790000000000006</v>
      </c>
      <c r="K4374">
        <v>25.1</v>
      </c>
      <c r="L4374" t="s">
        <v>14</v>
      </c>
      <c r="M4374">
        <v>0</v>
      </c>
      <c r="N4374" t="str">
        <f t="shared" si="204"/>
        <v>Under 40</v>
      </c>
      <c r="O4374" t="str">
        <f t="shared" si="205"/>
        <v>Overweight</v>
      </c>
    </row>
    <row r="4375" spans="1:15" x14ac:dyDescent="0.3">
      <c r="A4375">
        <v>16446</v>
      </c>
      <c r="B4375" t="s">
        <v>2</v>
      </c>
      <c r="C4375">
        <v>2</v>
      </c>
      <c r="D4375">
        <v>0</v>
      </c>
      <c r="E4375">
        <v>0</v>
      </c>
      <c r="F4375" t="str">
        <f t="shared" si="206"/>
        <v>Lower Risk</v>
      </c>
      <c r="G4375" t="s">
        <v>13</v>
      </c>
      <c r="H4375" t="s">
        <v>16</v>
      </c>
      <c r="I4375" t="s">
        <v>9</v>
      </c>
      <c r="J4375">
        <v>76.12</v>
      </c>
      <c r="K4375">
        <v>16.8</v>
      </c>
      <c r="L4375" t="s">
        <v>14</v>
      </c>
      <c r="M4375">
        <v>0</v>
      </c>
      <c r="N4375" t="str">
        <f t="shared" si="204"/>
        <v>Under 40</v>
      </c>
      <c r="O4375" t="str">
        <f t="shared" si="205"/>
        <v>Underweight</v>
      </c>
    </row>
    <row r="4376" spans="1:15" x14ac:dyDescent="0.3">
      <c r="A4376">
        <v>51329</v>
      </c>
      <c r="B4376" t="s">
        <v>7</v>
      </c>
      <c r="C4376">
        <v>48</v>
      </c>
      <c r="D4376">
        <v>0</v>
      </c>
      <c r="E4376">
        <v>0</v>
      </c>
      <c r="F4376" t="str">
        <f t="shared" si="206"/>
        <v>Lower Risk</v>
      </c>
      <c r="G4376" t="s">
        <v>3</v>
      </c>
      <c r="H4376" t="s">
        <v>4</v>
      </c>
      <c r="I4376" t="s">
        <v>9</v>
      </c>
      <c r="J4376">
        <v>68.010000000000005</v>
      </c>
      <c r="K4376">
        <v>27.7</v>
      </c>
      <c r="L4376" t="s">
        <v>11</v>
      </c>
      <c r="M4376">
        <v>0</v>
      </c>
      <c r="N4376" t="str">
        <f t="shared" si="204"/>
        <v>40–59</v>
      </c>
      <c r="O4376" t="str">
        <f t="shared" si="205"/>
        <v>Overweight</v>
      </c>
    </row>
    <row r="4377" spans="1:15" x14ac:dyDescent="0.3">
      <c r="A4377">
        <v>33560</v>
      </c>
      <c r="B4377" t="s">
        <v>7</v>
      </c>
      <c r="C4377">
        <v>81</v>
      </c>
      <c r="D4377">
        <v>0</v>
      </c>
      <c r="E4377">
        <v>1</v>
      </c>
      <c r="F4377" t="str">
        <f t="shared" si="206"/>
        <v>High Risk</v>
      </c>
      <c r="G4377" t="s">
        <v>3</v>
      </c>
      <c r="H4377" t="s">
        <v>15</v>
      </c>
      <c r="I4377" t="s">
        <v>5</v>
      </c>
      <c r="J4377">
        <v>90.11</v>
      </c>
      <c r="K4377">
        <v>28.6</v>
      </c>
      <c r="L4377" t="s">
        <v>11</v>
      </c>
      <c r="M4377">
        <v>0</v>
      </c>
      <c r="N4377" t="str">
        <f t="shared" si="204"/>
        <v>60+</v>
      </c>
      <c r="O4377" t="str">
        <f t="shared" si="205"/>
        <v>Overweight</v>
      </c>
    </row>
    <row r="4378" spans="1:15" x14ac:dyDescent="0.3">
      <c r="A4378">
        <v>37866</v>
      </c>
      <c r="B4378" t="s">
        <v>7</v>
      </c>
      <c r="C4378">
        <v>76</v>
      </c>
      <c r="D4378">
        <v>0</v>
      </c>
      <c r="E4378">
        <v>0</v>
      </c>
      <c r="F4378" t="str">
        <f t="shared" si="206"/>
        <v>Moderate Risk</v>
      </c>
      <c r="G4378" t="s">
        <v>3</v>
      </c>
      <c r="H4378" t="s">
        <v>8</v>
      </c>
      <c r="I4378" t="s">
        <v>5</v>
      </c>
      <c r="J4378">
        <v>193.61</v>
      </c>
      <c r="K4378">
        <v>37.6</v>
      </c>
      <c r="L4378" t="s">
        <v>11</v>
      </c>
      <c r="M4378">
        <v>0</v>
      </c>
      <c r="N4378" t="str">
        <f t="shared" si="204"/>
        <v>60+</v>
      </c>
      <c r="O4378" t="str">
        <f t="shared" si="205"/>
        <v>Obese</v>
      </c>
    </row>
    <row r="4379" spans="1:15" x14ac:dyDescent="0.3">
      <c r="A4379">
        <v>8553</v>
      </c>
      <c r="B4379" t="s">
        <v>7</v>
      </c>
      <c r="C4379">
        <v>58</v>
      </c>
      <c r="D4379">
        <v>0</v>
      </c>
      <c r="E4379">
        <v>0</v>
      </c>
      <c r="F4379" t="str">
        <f t="shared" si="206"/>
        <v>Lower Risk</v>
      </c>
      <c r="G4379" t="s">
        <v>3</v>
      </c>
      <c r="H4379" t="s">
        <v>15</v>
      </c>
      <c r="I4379" t="s">
        <v>9</v>
      </c>
      <c r="J4379">
        <v>195.74</v>
      </c>
      <c r="K4379">
        <v>32.700000000000003</v>
      </c>
      <c r="L4379" t="s">
        <v>14</v>
      </c>
      <c r="M4379">
        <v>0</v>
      </c>
      <c r="N4379" t="str">
        <f t="shared" si="204"/>
        <v>40–59</v>
      </c>
      <c r="O4379" t="str">
        <f t="shared" si="205"/>
        <v>Obese</v>
      </c>
    </row>
    <row r="4380" spans="1:15" x14ac:dyDescent="0.3">
      <c r="A4380">
        <v>5654</v>
      </c>
      <c r="B4380" t="s">
        <v>7</v>
      </c>
      <c r="C4380">
        <v>11</v>
      </c>
      <c r="D4380">
        <v>0</v>
      </c>
      <c r="E4380">
        <v>0</v>
      </c>
      <c r="F4380" t="str">
        <f t="shared" si="206"/>
        <v>Lower Risk</v>
      </c>
      <c r="G4380" t="s">
        <v>13</v>
      </c>
      <c r="H4380" t="s">
        <v>16</v>
      </c>
      <c r="I4380" t="s">
        <v>9</v>
      </c>
      <c r="J4380">
        <v>94.77</v>
      </c>
      <c r="K4380">
        <v>22.7</v>
      </c>
      <c r="L4380" t="s">
        <v>14</v>
      </c>
      <c r="M4380">
        <v>0</v>
      </c>
      <c r="N4380" t="str">
        <f t="shared" si="204"/>
        <v>Under 40</v>
      </c>
      <c r="O4380" t="str">
        <f t="shared" si="205"/>
        <v>Normal</v>
      </c>
    </row>
    <row r="4381" spans="1:15" x14ac:dyDescent="0.3">
      <c r="A4381">
        <v>17238</v>
      </c>
      <c r="B4381" t="s">
        <v>7</v>
      </c>
      <c r="C4381">
        <v>9</v>
      </c>
      <c r="D4381">
        <v>0</v>
      </c>
      <c r="E4381">
        <v>0</v>
      </c>
      <c r="F4381" t="str">
        <f t="shared" si="206"/>
        <v>Lower Risk</v>
      </c>
      <c r="G4381" t="s">
        <v>13</v>
      </c>
      <c r="H4381" t="s">
        <v>16</v>
      </c>
      <c r="I4381" t="s">
        <v>5</v>
      </c>
      <c r="J4381">
        <v>85</v>
      </c>
      <c r="K4381">
        <v>16</v>
      </c>
      <c r="L4381" t="s">
        <v>14</v>
      </c>
      <c r="M4381">
        <v>0</v>
      </c>
      <c r="N4381" t="str">
        <f t="shared" si="204"/>
        <v>Under 40</v>
      </c>
      <c r="O4381" t="str">
        <f t="shared" si="205"/>
        <v>Underweight</v>
      </c>
    </row>
    <row r="4382" spans="1:15" x14ac:dyDescent="0.3">
      <c r="A4382">
        <v>45252</v>
      </c>
      <c r="B4382" t="s">
        <v>2</v>
      </c>
      <c r="C4382">
        <v>54</v>
      </c>
      <c r="D4382">
        <v>0</v>
      </c>
      <c r="E4382">
        <v>0</v>
      </c>
      <c r="F4382" t="str">
        <f t="shared" si="206"/>
        <v>Lower Risk</v>
      </c>
      <c r="G4382" t="s">
        <v>3</v>
      </c>
      <c r="H4382" t="s">
        <v>4</v>
      </c>
      <c r="I4382" t="s">
        <v>5</v>
      </c>
      <c r="J4382">
        <v>141.37</v>
      </c>
      <c r="K4382">
        <v>23.5</v>
      </c>
      <c r="L4382" t="s">
        <v>11</v>
      </c>
      <c r="M4382">
        <v>0</v>
      </c>
      <c r="N4382" t="str">
        <f t="shared" si="204"/>
        <v>40–59</v>
      </c>
      <c r="O4382" t="str">
        <f t="shared" si="205"/>
        <v>Normal</v>
      </c>
    </row>
    <row r="4383" spans="1:15" x14ac:dyDescent="0.3">
      <c r="A4383">
        <v>14444</v>
      </c>
      <c r="B4383" t="s">
        <v>7</v>
      </c>
      <c r="C4383">
        <v>37</v>
      </c>
      <c r="D4383">
        <v>0</v>
      </c>
      <c r="E4383">
        <v>0</v>
      </c>
      <c r="F4383" t="str">
        <f t="shared" si="206"/>
        <v>Lower Risk</v>
      </c>
      <c r="G4383" t="s">
        <v>13</v>
      </c>
      <c r="H4383" t="s">
        <v>8</v>
      </c>
      <c r="I4383" t="s">
        <v>5</v>
      </c>
      <c r="J4383">
        <v>90.71</v>
      </c>
      <c r="K4383">
        <v>45.8</v>
      </c>
      <c r="L4383" t="s">
        <v>14</v>
      </c>
      <c r="M4383">
        <v>0</v>
      </c>
      <c r="N4383" t="str">
        <f t="shared" si="204"/>
        <v>Under 40</v>
      </c>
      <c r="O4383" t="str">
        <f t="shared" si="205"/>
        <v>Obese</v>
      </c>
    </row>
    <row r="4384" spans="1:15" x14ac:dyDescent="0.3">
      <c r="A4384">
        <v>46503</v>
      </c>
      <c r="B4384" t="s">
        <v>7</v>
      </c>
      <c r="C4384">
        <v>16</v>
      </c>
      <c r="D4384">
        <v>0</v>
      </c>
      <c r="E4384">
        <v>0</v>
      </c>
      <c r="F4384" t="str">
        <f t="shared" si="206"/>
        <v>Lower Risk</v>
      </c>
      <c r="G4384" t="s">
        <v>13</v>
      </c>
      <c r="H4384" t="s">
        <v>4</v>
      </c>
      <c r="I4384" t="s">
        <v>9</v>
      </c>
      <c r="J4384">
        <v>106.8</v>
      </c>
      <c r="K4384">
        <v>20.8</v>
      </c>
      <c r="L4384" t="s">
        <v>11</v>
      </c>
      <c r="M4384">
        <v>0</v>
      </c>
      <c r="N4384" t="str">
        <f t="shared" si="204"/>
        <v>Under 40</v>
      </c>
      <c r="O4384" t="str">
        <f t="shared" si="205"/>
        <v>Normal</v>
      </c>
    </row>
    <row r="4385" spans="1:15" x14ac:dyDescent="0.3">
      <c r="A4385">
        <v>18578</v>
      </c>
      <c r="B4385" t="s">
        <v>2</v>
      </c>
      <c r="C4385">
        <v>11</v>
      </c>
      <c r="D4385">
        <v>0</v>
      </c>
      <c r="E4385">
        <v>0</v>
      </c>
      <c r="F4385" t="str">
        <f t="shared" si="206"/>
        <v>Lower Risk</v>
      </c>
      <c r="G4385" t="s">
        <v>13</v>
      </c>
      <c r="H4385" t="s">
        <v>16</v>
      </c>
      <c r="I4385" t="s">
        <v>9</v>
      </c>
      <c r="J4385">
        <v>121.66</v>
      </c>
      <c r="K4385">
        <v>16.7</v>
      </c>
      <c r="L4385" t="s">
        <v>14</v>
      </c>
      <c r="M4385">
        <v>0</v>
      </c>
      <c r="N4385" t="str">
        <f t="shared" si="204"/>
        <v>Under 40</v>
      </c>
      <c r="O4385" t="str">
        <f t="shared" si="205"/>
        <v>Underweight</v>
      </c>
    </row>
    <row r="4386" spans="1:15" x14ac:dyDescent="0.3">
      <c r="A4386">
        <v>917</v>
      </c>
      <c r="B4386" t="s">
        <v>7</v>
      </c>
      <c r="C4386">
        <v>32</v>
      </c>
      <c r="D4386">
        <v>0</v>
      </c>
      <c r="E4386">
        <v>0</v>
      </c>
      <c r="F4386" t="str">
        <f t="shared" si="206"/>
        <v>Lower Risk</v>
      </c>
      <c r="G4386" t="s">
        <v>3</v>
      </c>
      <c r="H4386" t="s">
        <v>4</v>
      </c>
      <c r="I4386" t="s">
        <v>5</v>
      </c>
      <c r="J4386">
        <v>85.18</v>
      </c>
      <c r="K4386">
        <v>22.2</v>
      </c>
      <c r="L4386" t="s">
        <v>12</v>
      </c>
      <c r="M4386">
        <v>0</v>
      </c>
      <c r="N4386" t="str">
        <f t="shared" si="204"/>
        <v>Under 40</v>
      </c>
      <c r="O4386" t="str">
        <f t="shared" si="205"/>
        <v>Normal</v>
      </c>
    </row>
    <row r="4387" spans="1:15" x14ac:dyDescent="0.3">
      <c r="A4387">
        <v>60981</v>
      </c>
      <c r="B4387" t="s">
        <v>7</v>
      </c>
      <c r="C4387">
        <v>26</v>
      </c>
      <c r="D4387">
        <v>0</v>
      </c>
      <c r="E4387">
        <v>0</v>
      </c>
      <c r="F4387" t="str">
        <f t="shared" si="206"/>
        <v>Lower Risk</v>
      </c>
      <c r="G4387" t="s">
        <v>13</v>
      </c>
      <c r="H4387" t="s">
        <v>4</v>
      </c>
      <c r="I4387" t="s">
        <v>9</v>
      </c>
      <c r="J4387">
        <v>130.07</v>
      </c>
      <c r="K4387">
        <v>33.1</v>
      </c>
      <c r="L4387" t="s">
        <v>11</v>
      </c>
      <c r="M4387">
        <v>0</v>
      </c>
      <c r="N4387" t="str">
        <f t="shared" si="204"/>
        <v>Under 40</v>
      </c>
      <c r="O4387" t="str">
        <f t="shared" si="205"/>
        <v>Obese</v>
      </c>
    </row>
    <row r="4388" spans="1:15" x14ac:dyDescent="0.3">
      <c r="A4388">
        <v>28873</v>
      </c>
      <c r="B4388" t="s">
        <v>7</v>
      </c>
      <c r="C4388">
        <v>21</v>
      </c>
      <c r="D4388">
        <v>0</v>
      </c>
      <c r="E4388">
        <v>0</v>
      </c>
      <c r="F4388" t="str">
        <f t="shared" si="206"/>
        <v>Lower Risk</v>
      </c>
      <c r="G4388" t="s">
        <v>13</v>
      </c>
      <c r="H4388" t="s">
        <v>4</v>
      </c>
      <c r="I4388" t="s">
        <v>9</v>
      </c>
      <c r="J4388">
        <v>74.239999999999995</v>
      </c>
      <c r="K4388">
        <v>32.700000000000003</v>
      </c>
      <c r="L4388" t="s">
        <v>11</v>
      </c>
      <c r="M4388">
        <v>0</v>
      </c>
      <c r="N4388" t="str">
        <f t="shared" si="204"/>
        <v>Under 40</v>
      </c>
      <c r="O4388" t="str">
        <f t="shared" si="205"/>
        <v>Obese</v>
      </c>
    </row>
    <row r="4389" spans="1:15" x14ac:dyDescent="0.3">
      <c r="A4389">
        <v>25446</v>
      </c>
      <c r="B4389" t="s">
        <v>7</v>
      </c>
      <c r="C4389">
        <v>45</v>
      </c>
      <c r="D4389">
        <v>0</v>
      </c>
      <c r="E4389">
        <v>0</v>
      </c>
      <c r="F4389" t="str">
        <f t="shared" si="206"/>
        <v>Lower Risk</v>
      </c>
      <c r="G4389" t="s">
        <v>3</v>
      </c>
      <c r="H4389" t="s">
        <v>15</v>
      </c>
      <c r="I4389" t="s">
        <v>5</v>
      </c>
      <c r="J4389">
        <v>79.98</v>
      </c>
      <c r="K4389">
        <v>41.4</v>
      </c>
      <c r="L4389" t="s">
        <v>11</v>
      </c>
      <c r="M4389">
        <v>0</v>
      </c>
      <c r="N4389" t="str">
        <f t="shared" si="204"/>
        <v>40–59</v>
      </c>
      <c r="O4389" t="str">
        <f t="shared" si="205"/>
        <v>Obese</v>
      </c>
    </row>
    <row r="4390" spans="1:15" x14ac:dyDescent="0.3">
      <c r="A4390">
        <v>54127</v>
      </c>
      <c r="B4390" t="s">
        <v>7</v>
      </c>
      <c r="C4390">
        <v>40</v>
      </c>
      <c r="D4390">
        <v>0</v>
      </c>
      <c r="E4390">
        <v>0</v>
      </c>
      <c r="F4390" t="str">
        <f t="shared" si="206"/>
        <v>Lower Risk</v>
      </c>
      <c r="G4390" t="s">
        <v>3</v>
      </c>
      <c r="H4390" t="s">
        <v>8</v>
      </c>
      <c r="I4390" t="s">
        <v>5</v>
      </c>
      <c r="J4390">
        <v>106.76</v>
      </c>
      <c r="K4390">
        <v>24.1</v>
      </c>
      <c r="L4390" t="s">
        <v>6</v>
      </c>
      <c r="M4390">
        <v>0</v>
      </c>
      <c r="N4390" t="str">
        <f t="shared" si="204"/>
        <v>40–59</v>
      </c>
      <c r="O4390" t="str">
        <f t="shared" si="205"/>
        <v>Normal</v>
      </c>
    </row>
    <row r="4391" spans="1:15" x14ac:dyDescent="0.3">
      <c r="A4391">
        <v>63478</v>
      </c>
      <c r="B4391" t="s">
        <v>7</v>
      </c>
      <c r="C4391">
        <v>41</v>
      </c>
      <c r="D4391">
        <v>0</v>
      </c>
      <c r="E4391">
        <v>0</v>
      </c>
      <c r="F4391" t="str">
        <f t="shared" si="206"/>
        <v>Lower Risk</v>
      </c>
      <c r="G4391" t="s">
        <v>3</v>
      </c>
      <c r="H4391" t="s">
        <v>4</v>
      </c>
      <c r="I4391" t="s">
        <v>5</v>
      </c>
      <c r="J4391">
        <v>76.34</v>
      </c>
      <c r="K4391">
        <v>28</v>
      </c>
      <c r="L4391" t="s">
        <v>14</v>
      </c>
      <c r="M4391">
        <v>0</v>
      </c>
      <c r="N4391" t="str">
        <f t="shared" si="204"/>
        <v>40–59</v>
      </c>
      <c r="O4391" t="str">
        <f t="shared" si="205"/>
        <v>Overweight</v>
      </c>
    </row>
    <row r="4392" spans="1:15" x14ac:dyDescent="0.3">
      <c r="A4392">
        <v>15464</v>
      </c>
      <c r="B4392" t="s">
        <v>7</v>
      </c>
      <c r="C4392">
        <v>71</v>
      </c>
      <c r="D4392">
        <v>1</v>
      </c>
      <c r="E4392">
        <v>1</v>
      </c>
      <c r="F4392" t="str">
        <f t="shared" si="206"/>
        <v>High Risk</v>
      </c>
      <c r="G4392" t="s">
        <v>3</v>
      </c>
      <c r="H4392" t="s">
        <v>4</v>
      </c>
      <c r="I4392" t="s">
        <v>9</v>
      </c>
      <c r="J4392">
        <v>221.24</v>
      </c>
      <c r="K4392">
        <v>24.2</v>
      </c>
      <c r="L4392" t="s">
        <v>14</v>
      </c>
      <c r="M4392">
        <v>0</v>
      </c>
      <c r="N4392" t="str">
        <f t="shared" si="204"/>
        <v>60+</v>
      </c>
      <c r="O4392" t="str">
        <f t="shared" si="205"/>
        <v>Normal</v>
      </c>
    </row>
    <row r="4393" spans="1:15" x14ac:dyDescent="0.3">
      <c r="A4393">
        <v>63312</v>
      </c>
      <c r="B4393" t="s">
        <v>2</v>
      </c>
      <c r="C4393">
        <v>16</v>
      </c>
      <c r="D4393">
        <v>0</v>
      </c>
      <c r="E4393">
        <v>0</v>
      </c>
      <c r="F4393" t="str">
        <f t="shared" si="206"/>
        <v>Lower Risk</v>
      </c>
      <c r="G4393" t="s">
        <v>13</v>
      </c>
      <c r="H4393" t="s">
        <v>4</v>
      </c>
      <c r="I4393" t="s">
        <v>5</v>
      </c>
      <c r="J4393">
        <v>80.55</v>
      </c>
      <c r="K4393">
        <v>23.5</v>
      </c>
      <c r="L4393" t="s">
        <v>12</v>
      </c>
      <c r="M4393">
        <v>0</v>
      </c>
      <c r="N4393" t="str">
        <f t="shared" si="204"/>
        <v>Under 40</v>
      </c>
      <c r="O4393" t="str">
        <f t="shared" si="205"/>
        <v>Normal</v>
      </c>
    </row>
    <row r="4394" spans="1:15" x14ac:dyDescent="0.3">
      <c r="A4394">
        <v>55681</v>
      </c>
      <c r="B4394" t="s">
        <v>7</v>
      </c>
      <c r="C4394">
        <v>7</v>
      </c>
      <c r="D4394">
        <v>0</v>
      </c>
      <c r="E4394">
        <v>0</v>
      </c>
      <c r="F4394" t="str">
        <f t="shared" si="206"/>
        <v>Lower Risk</v>
      </c>
      <c r="G4394" t="s">
        <v>13</v>
      </c>
      <c r="H4394" t="s">
        <v>16</v>
      </c>
      <c r="I4394" t="s">
        <v>9</v>
      </c>
      <c r="J4394">
        <v>63.98</v>
      </c>
      <c r="K4394">
        <v>23</v>
      </c>
      <c r="L4394" t="s">
        <v>14</v>
      </c>
      <c r="M4394">
        <v>0</v>
      </c>
      <c r="N4394" t="str">
        <f t="shared" si="204"/>
        <v>Under 40</v>
      </c>
      <c r="O4394" t="str">
        <f t="shared" si="205"/>
        <v>Normal</v>
      </c>
    </row>
    <row r="4395" spans="1:15" x14ac:dyDescent="0.3">
      <c r="A4395">
        <v>63804</v>
      </c>
      <c r="B4395" t="s">
        <v>7</v>
      </c>
      <c r="C4395">
        <v>27</v>
      </c>
      <c r="D4395">
        <v>0</v>
      </c>
      <c r="E4395">
        <v>0</v>
      </c>
      <c r="F4395" t="str">
        <f t="shared" si="206"/>
        <v>Lower Risk</v>
      </c>
      <c r="G4395" t="s">
        <v>13</v>
      </c>
      <c r="H4395" t="s">
        <v>4</v>
      </c>
      <c r="I4395" t="s">
        <v>9</v>
      </c>
      <c r="J4395">
        <v>55.93</v>
      </c>
      <c r="K4395">
        <v>20.3</v>
      </c>
      <c r="L4395" t="s">
        <v>12</v>
      </c>
      <c r="M4395">
        <v>0</v>
      </c>
      <c r="N4395" t="str">
        <f t="shared" si="204"/>
        <v>Under 40</v>
      </c>
      <c r="O4395" t="str">
        <f t="shared" si="205"/>
        <v>Normal</v>
      </c>
    </row>
    <row r="4396" spans="1:15" x14ac:dyDescent="0.3">
      <c r="A4396">
        <v>10321</v>
      </c>
      <c r="B4396" t="s">
        <v>7</v>
      </c>
      <c r="C4396">
        <v>22</v>
      </c>
      <c r="D4396">
        <v>0</v>
      </c>
      <c r="E4396">
        <v>0</v>
      </c>
      <c r="F4396" t="str">
        <f t="shared" si="206"/>
        <v>Lower Risk</v>
      </c>
      <c r="G4396" t="s">
        <v>3</v>
      </c>
      <c r="H4396" t="s">
        <v>4</v>
      </c>
      <c r="I4396" t="s">
        <v>9</v>
      </c>
      <c r="J4396">
        <v>73.94</v>
      </c>
      <c r="K4396">
        <v>24.8</v>
      </c>
      <c r="L4396" t="s">
        <v>14</v>
      </c>
      <c r="M4396">
        <v>0</v>
      </c>
      <c r="N4396" t="str">
        <f t="shared" si="204"/>
        <v>Under 40</v>
      </c>
      <c r="O4396" t="str">
        <f t="shared" si="205"/>
        <v>Normal</v>
      </c>
    </row>
    <row r="4397" spans="1:15" x14ac:dyDescent="0.3">
      <c r="A4397">
        <v>56339</v>
      </c>
      <c r="B4397" t="s">
        <v>7</v>
      </c>
      <c r="C4397">
        <v>79</v>
      </c>
      <c r="D4397">
        <v>0</v>
      </c>
      <c r="E4397">
        <v>0</v>
      </c>
      <c r="F4397" t="str">
        <f t="shared" si="206"/>
        <v>Moderate Risk</v>
      </c>
      <c r="G4397" t="s">
        <v>3</v>
      </c>
      <c r="H4397" t="s">
        <v>8</v>
      </c>
      <c r="I4397" t="s">
        <v>9</v>
      </c>
      <c r="J4397">
        <v>65.58</v>
      </c>
      <c r="K4397">
        <v>26.1</v>
      </c>
      <c r="L4397" t="s">
        <v>14</v>
      </c>
      <c r="M4397">
        <v>0</v>
      </c>
      <c r="N4397" t="str">
        <f t="shared" si="204"/>
        <v>60+</v>
      </c>
      <c r="O4397" t="str">
        <f t="shared" si="205"/>
        <v>Overweight</v>
      </c>
    </row>
    <row r="4398" spans="1:15" x14ac:dyDescent="0.3">
      <c r="A4398">
        <v>56277</v>
      </c>
      <c r="B4398" t="s">
        <v>7</v>
      </c>
      <c r="C4398">
        <v>38</v>
      </c>
      <c r="D4398">
        <v>0</v>
      </c>
      <c r="E4398">
        <v>0</v>
      </c>
      <c r="F4398" t="str">
        <f t="shared" si="206"/>
        <v>Lower Risk</v>
      </c>
      <c r="G4398" t="s">
        <v>3</v>
      </c>
      <c r="H4398" t="s">
        <v>4</v>
      </c>
      <c r="I4398" t="s">
        <v>9</v>
      </c>
      <c r="J4398">
        <v>83.8</v>
      </c>
      <c r="K4398">
        <v>24.2</v>
      </c>
      <c r="L4398" t="s">
        <v>12</v>
      </c>
      <c r="M4398">
        <v>0</v>
      </c>
      <c r="N4398" t="str">
        <f t="shared" si="204"/>
        <v>Under 40</v>
      </c>
      <c r="O4398" t="str">
        <f t="shared" si="205"/>
        <v>Normal</v>
      </c>
    </row>
    <row r="4399" spans="1:15" x14ac:dyDescent="0.3">
      <c r="A4399">
        <v>33657</v>
      </c>
      <c r="B4399" t="s">
        <v>7</v>
      </c>
      <c r="C4399">
        <v>64</v>
      </c>
      <c r="D4399">
        <v>0</v>
      </c>
      <c r="E4399">
        <v>0</v>
      </c>
      <c r="F4399" t="str">
        <f t="shared" si="206"/>
        <v>Moderate Risk</v>
      </c>
      <c r="G4399" t="s">
        <v>3</v>
      </c>
      <c r="H4399" t="s">
        <v>4</v>
      </c>
      <c r="I4399" t="s">
        <v>5</v>
      </c>
      <c r="J4399">
        <v>95.87</v>
      </c>
      <c r="K4399">
        <v>19.3</v>
      </c>
      <c r="L4399" t="s">
        <v>6</v>
      </c>
      <c r="M4399">
        <v>0</v>
      </c>
      <c r="N4399" t="str">
        <f t="shared" si="204"/>
        <v>60+</v>
      </c>
      <c r="O4399" t="str">
        <f t="shared" si="205"/>
        <v>Normal</v>
      </c>
    </row>
    <row r="4400" spans="1:15" x14ac:dyDescent="0.3">
      <c r="A4400">
        <v>7054</v>
      </c>
      <c r="B4400" t="s">
        <v>2</v>
      </c>
      <c r="C4400">
        <v>4</v>
      </c>
      <c r="D4400">
        <v>0</v>
      </c>
      <c r="E4400">
        <v>0</v>
      </c>
      <c r="F4400" t="str">
        <f t="shared" si="206"/>
        <v>Lower Risk</v>
      </c>
      <c r="G4400" t="s">
        <v>13</v>
      </c>
      <c r="H4400" t="s">
        <v>16</v>
      </c>
      <c r="I4400" t="s">
        <v>9</v>
      </c>
      <c r="J4400">
        <v>112.83</v>
      </c>
      <c r="K4400">
        <v>18.2</v>
      </c>
      <c r="L4400" t="s">
        <v>14</v>
      </c>
      <c r="M4400">
        <v>0</v>
      </c>
      <c r="N4400" t="str">
        <f t="shared" si="204"/>
        <v>Under 40</v>
      </c>
      <c r="O4400" t="str">
        <f t="shared" si="205"/>
        <v>Underweight</v>
      </c>
    </row>
    <row r="4401" spans="1:15" x14ac:dyDescent="0.3">
      <c r="A4401">
        <v>72393</v>
      </c>
      <c r="B4401" t="s">
        <v>7</v>
      </c>
      <c r="C4401">
        <v>23</v>
      </c>
      <c r="D4401">
        <v>0</v>
      </c>
      <c r="E4401">
        <v>0</v>
      </c>
      <c r="F4401" t="str">
        <f t="shared" si="206"/>
        <v>Lower Risk</v>
      </c>
      <c r="G4401" t="s">
        <v>3</v>
      </c>
      <c r="H4401" t="s">
        <v>15</v>
      </c>
      <c r="I4401" t="s">
        <v>9</v>
      </c>
      <c r="J4401">
        <v>84.93</v>
      </c>
      <c r="K4401">
        <v>24.2</v>
      </c>
      <c r="L4401" t="s">
        <v>11</v>
      </c>
      <c r="M4401">
        <v>0</v>
      </c>
      <c r="N4401" t="str">
        <f t="shared" si="204"/>
        <v>Under 40</v>
      </c>
      <c r="O4401" t="str">
        <f t="shared" si="205"/>
        <v>Normal</v>
      </c>
    </row>
    <row r="4402" spans="1:15" x14ac:dyDescent="0.3">
      <c r="A4402">
        <v>68059</v>
      </c>
      <c r="B4402" t="s">
        <v>2</v>
      </c>
      <c r="C4402">
        <v>35</v>
      </c>
      <c r="D4402">
        <v>0</v>
      </c>
      <c r="E4402">
        <v>0</v>
      </c>
      <c r="F4402" t="str">
        <f t="shared" si="206"/>
        <v>Lower Risk</v>
      </c>
      <c r="G4402" t="s">
        <v>3</v>
      </c>
      <c r="H4402" t="s">
        <v>15</v>
      </c>
      <c r="I4402" t="s">
        <v>9</v>
      </c>
      <c r="J4402">
        <v>103.08</v>
      </c>
      <c r="K4402">
        <v>41.5</v>
      </c>
      <c r="L4402" t="s">
        <v>12</v>
      </c>
      <c r="M4402">
        <v>0</v>
      </c>
      <c r="N4402" t="str">
        <f t="shared" si="204"/>
        <v>Under 40</v>
      </c>
      <c r="O4402" t="str">
        <f t="shared" si="205"/>
        <v>Obese</v>
      </c>
    </row>
    <row r="4403" spans="1:15" x14ac:dyDescent="0.3">
      <c r="A4403">
        <v>14996</v>
      </c>
      <c r="B4403" t="s">
        <v>2</v>
      </c>
      <c r="C4403">
        <v>66</v>
      </c>
      <c r="D4403">
        <v>0</v>
      </c>
      <c r="E4403">
        <v>0</v>
      </c>
      <c r="F4403" t="str">
        <f t="shared" si="206"/>
        <v>Moderate Risk</v>
      </c>
      <c r="G4403" t="s">
        <v>3</v>
      </c>
      <c r="H4403" t="s">
        <v>8</v>
      </c>
      <c r="I4403" t="s">
        <v>9</v>
      </c>
      <c r="J4403">
        <v>85.98</v>
      </c>
      <c r="K4403">
        <v>28</v>
      </c>
      <c r="L4403" t="s">
        <v>14</v>
      </c>
      <c r="M4403">
        <v>0</v>
      </c>
      <c r="N4403" t="str">
        <f t="shared" si="204"/>
        <v>60+</v>
      </c>
      <c r="O4403" t="str">
        <f t="shared" si="205"/>
        <v>Overweight</v>
      </c>
    </row>
    <row r="4404" spans="1:15" x14ac:dyDescent="0.3">
      <c r="A4404">
        <v>841</v>
      </c>
      <c r="B4404" t="s">
        <v>2</v>
      </c>
      <c r="C4404">
        <v>34</v>
      </c>
      <c r="D4404">
        <v>0</v>
      </c>
      <c r="E4404">
        <v>0</v>
      </c>
      <c r="F4404" t="str">
        <f t="shared" si="206"/>
        <v>Lower Risk</v>
      </c>
      <c r="G4404" t="s">
        <v>3</v>
      </c>
      <c r="H4404" t="s">
        <v>4</v>
      </c>
      <c r="I4404" t="s">
        <v>5</v>
      </c>
      <c r="J4404">
        <v>83.75</v>
      </c>
      <c r="K4404">
        <v>37</v>
      </c>
      <c r="L4404" t="s">
        <v>11</v>
      </c>
      <c r="M4404">
        <v>0</v>
      </c>
      <c r="N4404" t="str">
        <f t="shared" si="204"/>
        <v>Under 40</v>
      </c>
      <c r="O4404" t="str">
        <f t="shared" si="205"/>
        <v>Obese</v>
      </c>
    </row>
    <row r="4405" spans="1:15" x14ac:dyDescent="0.3">
      <c r="A4405">
        <v>22880</v>
      </c>
      <c r="B4405" t="s">
        <v>7</v>
      </c>
      <c r="C4405">
        <v>19</v>
      </c>
      <c r="D4405">
        <v>0</v>
      </c>
      <c r="E4405">
        <v>0</v>
      </c>
      <c r="F4405" t="str">
        <f t="shared" si="206"/>
        <v>Lower Risk</v>
      </c>
      <c r="G4405" t="s">
        <v>13</v>
      </c>
      <c r="H4405" t="s">
        <v>4</v>
      </c>
      <c r="I4405" t="s">
        <v>5</v>
      </c>
      <c r="J4405">
        <v>125.43</v>
      </c>
      <c r="K4405">
        <v>32.200000000000003</v>
      </c>
      <c r="L4405" t="s">
        <v>14</v>
      </c>
      <c r="M4405">
        <v>0</v>
      </c>
      <c r="N4405" t="str">
        <f t="shared" si="204"/>
        <v>Under 40</v>
      </c>
      <c r="O4405" t="str">
        <f t="shared" si="205"/>
        <v>Obese</v>
      </c>
    </row>
    <row r="4406" spans="1:15" x14ac:dyDescent="0.3">
      <c r="A4406">
        <v>1552</v>
      </c>
      <c r="B4406" t="s">
        <v>2</v>
      </c>
      <c r="C4406">
        <v>73</v>
      </c>
      <c r="D4406">
        <v>0</v>
      </c>
      <c r="E4406">
        <v>0</v>
      </c>
      <c r="F4406" t="str">
        <f t="shared" si="206"/>
        <v>Moderate Risk</v>
      </c>
      <c r="G4406" t="s">
        <v>3</v>
      </c>
      <c r="H4406" t="s">
        <v>4</v>
      </c>
      <c r="I4406" t="s">
        <v>5</v>
      </c>
      <c r="J4406">
        <v>101.58</v>
      </c>
      <c r="K4406">
        <v>35.9</v>
      </c>
      <c r="L4406" t="s">
        <v>11</v>
      </c>
      <c r="M4406">
        <v>0</v>
      </c>
      <c r="N4406" t="str">
        <f t="shared" si="204"/>
        <v>60+</v>
      </c>
      <c r="O4406" t="str">
        <f t="shared" si="205"/>
        <v>Obese</v>
      </c>
    </row>
    <row r="4407" spans="1:15" x14ac:dyDescent="0.3">
      <c r="A4407">
        <v>68853</v>
      </c>
      <c r="B4407" t="s">
        <v>7</v>
      </c>
      <c r="C4407">
        <v>70</v>
      </c>
      <c r="D4407">
        <v>0</v>
      </c>
      <c r="E4407">
        <v>0</v>
      </c>
      <c r="F4407" t="str">
        <f t="shared" si="206"/>
        <v>Moderate Risk</v>
      </c>
      <c r="G4407" t="s">
        <v>3</v>
      </c>
      <c r="H4407" t="s">
        <v>4</v>
      </c>
      <c r="I4407" t="s">
        <v>9</v>
      </c>
      <c r="J4407">
        <v>149.80000000000001</v>
      </c>
      <c r="K4407">
        <v>47.6</v>
      </c>
      <c r="L4407" t="s">
        <v>14</v>
      </c>
      <c r="M4407">
        <v>0</v>
      </c>
      <c r="N4407" t="str">
        <f t="shared" si="204"/>
        <v>60+</v>
      </c>
      <c r="O4407" t="str">
        <f t="shared" si="205"/>
        <v>Obese</v>
      </c>
    </row>
    <row r="4408" spans="1:15" x14ac:dyDescent="0.3">
      <c r="A4408">
        <v>49190</v>
      </c>
      <c r="B4408" t="s">
        <v>7</v>
      </c>
      <c r="C4408">
        <v>45</v>
      </c>
      <c r="D4408">
        <v>0</v>
      </c>
      <c r="E4408">
        <v>0</v>
      </c>
      <c r="F4408" t="str">
        <f t="shared" si="206"/>
        <v>Lower Risk</v>
      </c>
      <c r="G4408" t="s">
        <v>3</v>
      </c>
      <c r="H4408" t="s">
        <v>4</v>
      </c>
      <c r="I4408" t="s">
        <v>9</v>
      </c>
      <c r="J4408">
        <v>112.55</v>
      </c>
      <c r="K4408">
        <v>32.1</v>
      </c>
      <c r="L4408" t="s">
        <v>11</v>
      </c>
      <c r="M4408">
        <v>0</v>
      </c>
      <c r="N4408" t="str">
        <f t="shared" si="204"/>
        <v>40–59</v>
      </c>
      <c r="O4408" t="str">
        <f t="shared" si="205"/>
        <v>Obese</v>
      </c>
    </row>
    <row r="4409" spans="1:15" x14ac:dyDescent="0.3">
      <c r="A4409">
        <v>49277</v>
      </c>
      <c r="B4409" t="s">
        <v>7</v>
      </c>
      <c r="C4409">
        <v>34</v>
      </c>
      <c r="D4409">
        <v>0</v>
      </c>
      <c r="E4409">
        <v>0</v>
      </c>
      <c r="F4409" t="str">
        <f t="shared" si="206"/>
        <v>Lower Risk</v>
      </c>
      <c r="G4409" t="s">
        <v>13</v>
      </c>
      <c r="H4409" t="s">
        <v>4</v>
      </c>
      <c r="I4409" t="s">
        <v>5</v>
      </c>
      <c r="J4409">
        <v>70.87</v>
      </c>
      <c r="K4409">
        <v>55.7</v>
      </c>
      <c r="L4409" t="s">
        <v>6</v>
      </c>
      <c r="M4409">
        <v>0</v>
      </c>
      <c r="N4409" t="str">
        <f t="shared" si="204"/>
        <v>Under 40</v>
      </c>
      <c r="O4409" t="str">
        <f t="shared" si="205"/>
        <v>Obese</v>
      </c>
    </row>
    <row r="4410" spans="1:15" x14ac:dyDescent="0.3">
      <c r="A4410">
        <v>711</v>
      </c>
      <c r="B4410" t="s">
        <v>2</v>
      </c>
      <c r="C4410">
        <v>81</v>
      </c>
      <c r="D4410">
        <v>0</v>
      </c>
      <c r="E4410">
        <v>0</v>
      </c>
      <c r="F4410" t="str">
        <f t="shared" si="206"/>
        <v>Moderate Risk</v>
      </c>
      <c r="G4410" t="s">
        <v>3</v>
      </c>
      <c r="H4410" t="s">
        <v>4</v>
      </c>
      <c r="I4410" t="s">
        <v>9</v>
      </c>
      <c r="J4410">
        <v>92.96</v>
      </c>
      <c r="K4410">
        <v>22.2</v>
      </c>
      <c r="L4410" t="s">
        <v>11</v>
      </c>
      <c r="M4410">
        <v>0</v>
      </c>
      <c r="N4410" t="str">
        <f t="shared" si="204"/>
        <v>60+</v>
      </c>
      <c r="O4410" t="str">
        <f t="shared" si="205"/>
        <v>Normal</v>
      </c>
    </row>
    <row r="4411" spans="1:15" x14ac:dyDescent="0.3">
      <c r="A4411">
        <v>1953</v>
      </c>
      <c r="B4411" t="s">
        <v>7</v>
      </c>
      <c r="C4411">
        <v>0.72</v>
      </c>
      <c r="D4411">
        <v>0</v>
      </c>
      <c r="E4411">
        <v>0</v>
      </c>
      <c r="F4411" t="str">
        <f t="shared" si="206"/>
        <v>Lower Risk</v>
      </c>
      <c r="G4411" t="s">
        <v>13</v>
      </c>
      <c r="H4411" t="s">
        <v>16</v>
      </c>
      <c r="I4411" t="s">
        <v>9</v>
      </c>
      <c r="J4411">
        <v>112.19</v>
      </c>
      <c r="K4411">
        <v>20.100000000000001</v>
      </c>
      <c r="L4411" t="s">
        <v>14</v>
      </c>
      <c r="M4411">
        <v>0</v>
      </c>
      <c r="N4411" t="str">
        <f t="shared" si="204"/>
        <v>Under 40</v>
      </c>
      <c r="O4411" t="str">
        <f t="shared" si="205"/>
        <v>Normal</v>
      </c>
    </row>
    <row r="4412" spans="1:15" x14ac:dyDescent="0.3">
      <c r="A4412">
        <v>34900</v>
      </c>
      <c r="B4412" t="s">
        <v>2</v>
      </c>
      <c r="C4412">
        <v>13</v>
      </c>
      <c r="D4412">
        <v>0</v>
      </c>
      <c r="E4412">
        <v>0</v>
      </c>
      <c r="F4412" t="str">
        <f t="shared" si="206"/>
        <v>Lower Risk</v>
      </c>
      <c r="G4412" t="s">
        <v>13</v>
      </c>
      <c r="H4412" t="s">
        <v>17</v>
      </c>
      <c r="I4412" t="s">
        <v>5</v>
      </c>
      <c r="J4412">
        <v>85.08</v>
      </c>
      <c r="K4412">
        <v>14.6</v>
      </c>
      <c r="L4412" t="s">
        <v>14</v>
      </c>
      <c r="M4412">
        <v>0</v>
      </c>
      <c r="N4412" t="str">
        <f t="shared" si="204"/>
        <v>Under 40</v>
      </c>
      <c r="O4412" t="str">
        <f t="shared" si="205"/>
        <v>Underweight</v>
      </c>
    </row>
    <row r="4413" spans="1:15" x14ac:dyDescent="0.3">
      <c r="A4413">
        <v>13237</v>
      </c>
      <c r="B4413" t="s">
        <v>2</v>
      </c>
      <c r="C4413">
        <v>57</v>
      </c>
      <c r="D4413">
        <v>0</v>
      </c>
      <c r="E4413">
        <v>1</v>
      </c>
      <c r="F4413" t="str">
        <f t="shared" si="206"/>
        <v>Lower Risk</v>
      </c>
      <c r="G4413" t="s">
        <v>3</v>
      </c>
      <c r="H4413" t="s">
        <v>8</v>
      </c>
      <c r="I4413" t="s">
        <v>5</v>
      </c>
      <c r="J4413">
        <v>112.37</v>
      </c>
      <c r="K4413">
        <v>28.4</v>
      </c>
      <c r="L4413" t="s">
        <v>11</v>
      </c>
      <c r="M4413">
        <v>0</v>
      </c>
      <c r="N4413" t="str">
        <f t="shared" si="204"/>
        <v>40–59</v>
      </c>
      <c r="O4413" t="str">
        <f t="shared" si="205"/>
        <v>Overweight</v>
      </c>
    </row>
    <row r="4414" spans="1:15" x14ac:dyDescent="0.3">
      <c r="A4414">
        <v>61684</v>
      </c>
      <c r="B4414" t="s">
        <v>7</v>
      </c>
      <c r="C4414">
        <v>38</v>
      </c>
      <c r="D4414">
        <v>0</v>
      </c>
      <c r="E4414">
        <v>0</v>
      </c>
      <c r="F4414" t="str">
        <f t="shared" si="206"/>
        <v>Lower Risk</v>
      </c>
      <c r="G4414" t="s">
        <v>3</v>
      </c>
      <c r="H4414" t="s">
        <v>4</v>
      </c>
      <c r="I4414" t="s">
        <v>5</v>
      </c>
      <c r="J4414">
        <v>151.26</v>
      </c>
      <c r="K4414">
        <v>20.6</v>
      </c>
      <c r="L4414" t="s">
        <v>11</v>
      </c>
      <c r="M4414">
        <v>0</v>
      </c>
      <c r="N4414" t="str">
        <f t="shared" si="204"/>
        <v>Under 40</v>
      </c>
      <c r="O4414" t="str">
        <f t="shared" si="205"/>
        <v>Normal</v>
      </c>
    </row>
    <row r="4415" spans="1:15" x14ac:dyDescent="0.3">
      <c r="A4415">
        <v>28382</v>
      </c>
      <c r="B4415" t="s">
        <v>2</v>
      </c>
      <c r="C4415">
        <v>21</v>
      </c>
      <c r="D4415">
        <v>0</v>
      </c>
      <c r="E4415">
        <v>0</v>
      </c>
      <c r="F4415" t="str">
        <f t="shared" si="206"/>
        <v>Lower Risk</v>
      </c>
      <c r="G4415" t="s">
        <v>13</v>
      </c>
      <c r="H4415" t="s">
        <v>4</v>
      </c>
      <c r="I4415" t="s">
        <v>5</v>
      </c>
      <c r="J4415">
        <v>73.81</v>
      </c>
      <c r="K4415">
        <v>19.8</v>
      </c>
      <c r="L4415" t="s">
        <v>14</v>
      </c>
      <c r="M4415">
        <v>0</v>
      </c>
      <c r="N4415" t="str">
        <f t="shared" si="204"/>
        <v>Under 40</v>
      </c>
      <c r="O4415" t="str">
        <f t="shared" si="205"/>
        <v>Normal</v>
      </c>
    </row>
    <row r="4416" spans="1:15" x14ac:dyDescent="0.3">
      <c r="A4416">
        <v>13768</v>
      </c>
      <c r="B4416" t="s">
        <v>7</v>
      </c>
      <c r="C4416">
        <v>38</v>
      </c>
      <c r="D4416">
        <v>0</v>
      </c>
      <c r="E4416">
        <v>0</v>
      </c>
      <c r="F4416" t="str">
        <f t="shared" si="206"/>
        <v>Lower Risk</v>
      </c>
      <c r="G4416" t="s">
        <v>3</v>
      </c>
      <c r="H4416" t="s">
        <v>4</v>
      </c>
      <c r="I4416" t="s">
        <v>5</v>
      </c>
      <c r="J4416">
        <v>77.2</v>
      </c>
      <c r="K4416">
        <v>23.4</v>
      </c>
      <c r="L4416" t="s">
        <v>14</v>
      </c>
      <c r="M4416">
        <v>0</v>
      </c>
      <c r="N4416" t="str">
        <f t="shared" si="204"/>
        <v>Under 40</v>
      </c>
      <c r="O4416" t="str">
        <f t="shared" si="205"/>
        <v>Normal</v>
      </c>
    </row>
    <row r="4417" spans="1:15" x14ac:dyDescent="0.3">
      <c r="A4417">
        <v>32726</v>
      </c>
      <c r="B4417" t="s">
        <v>7</v>
      </c>
      <c r="C4417">
        <v>41</v>
      </c>
      <c r="D4417">
        <v>0</v>
      </c>
      <c r="E4417">
        <v>0</v>
      </c>
      <c r="F4417" t="str">
        <f t="shared" si="206"/>
        <v>Lower Risk</v>
      </c>
      <c r="G4417" t="s">
        <v>13</v>
      </c>
      <c r="H4417" t="s">
        <v>4</v>
      </c>
      <c r="I4417" t="s">
        <v>5</v>
      </c>
      <c r="J4417">
        <v>76.08</v>
      </c>
      <c r="K4417">
        <v>25.1</v>
      </c>
      <c r="L4417" t="s">
        <v>11</v>
      </c>
      <c r="M4417">
        <v>0</v>
      </c>
      <c r="N4417" t="str">
        <f t="shared" si="204"/>
        <v>40–59</v>
      </c>
      <c r="O4417" t="str">
        <f t="shared" si="205"/>
        <v>Overweight</v>
      </c>
    </row>
    <row r="4418" spans="1:15" x14ac:dyDescent="0.3">
      <c r="A4418">
        <v>65729</v>
      </c>
      <c r="B4418" t="s">
        <v>7</v>
      </c>
      <c r="C4418">
        <v>26</v>
      </c>
      <c r="D4418">
        <v>0</v>
      </c>
      <c r="E4418">
        <v>0</v>
      </c>
      <c r="F4418" t="str">
        <f t="shared" si="206"/>
        <v>Lower Risk</v>
      </c>
      <c r="G4418" t="s">
        <v>3</v>
      </c>
      <c r="H4418" t="s">
        <v>4</v>
      </c>
      <c r="I4418" t="s">
        <v>9</v>
      </c>
      <c r="J4418">
        <v>123.98</v>
      </c>
      <c r="K4418">
        <v>30.1</v>
      </c>
      <c r="L4418" t="s">
        <v>11</v>
      </c>
      <c r="M4418">
        <v>0</v>
      </c>
      <c r="N4418" t="str">
        <f t="shared" ref="N4418:N4481" si="207">IF(C4418&lt;40,"Under 40",IF(C4418&lt;60,"40–59","60+"))</f>
        <v>Under 40</v>
      </c>
      <c r="O4418" t="str">
        <f t="shared" ref="O4418:O4481" si="208">IF(K4418="N/A","Unknown",
IF(K4418="","Unknown",
IF(K4418&lt;18.5,"Underweight",
IF(K4418&lt;25,"Normal",
IF(K4418&lt;30,"Overweight","Obese")))))</f>
        <v>Obese</v>
      </c>
    </row>
    <row r="4419" spans="1:15" x14ac:dyDescent="0.3">
      <c r="A4419">
        <v>6422</v>
      </c>
      <c r="B4419" t="s">
        <v>7</v>
      </c>
      <c r="C4419">
        <v>48</v>
      </c>
      <c r="D4419">
        <v>0</v>
      </c>
      <c r="E4419">
        <v>0</v>
      </c>
      <c r="F4419" t="str">
        <f t="shared" ref="F4419:F4482" si="209">IF(C4419&gt;=60,
IF(OR(D4419=1,E4419=1),"High Risk","Moderate Risk"),
"Lower Risk")</f>
        <v>Lower Risk</v>
      </c>
      <c r="G4419" t="s">
        <v>3</v>
      </c>
      <c r="H4419" t="s">
        <v>8</v>
      </c>
      <c r="I4419" t="s">
        <v>5</v>
      </c>
      <c r="J4419">
        <v>108.51</v>
      </c>
      <c r="K4419">
        <v>33.299999999999997</v>
      </c>
      <c r="L4419" t="s">
        <v>14</v>
      </c>
      <c r="M4419">
        <v>0</v>
      </c>
      <c r="N4419" t="str">
        <f t="shared" si="207"/>
        <v>40–59</v>
      </c>
      <c r="O4419" t="str">
        <f t="shared" si="208"/>
        <v>Obese</v>
      </c>
    </row>
    <row r="4420" spans="1:15" x14ac:dyDescent="0.3">
      <c r="A4420">
        <v>11382</v>
      </c>
      <c r="B4420" t="s">
        <v>2</v>
      </c>
      <c r="C4420">
        <v>18</v>
      </c>
      <c r="D4420">
        <v>0</v>
      </c>
      <c r="E4420">
        <v>0</v>
      </c>
      <c r="F4420" t="str">
        <f t="shared" si="209"/>
        <v>Lower Risk</v>
      </c>
      <c r="G4420" t="s">
        <v>13</v>
      </c>
      <c r="H4420" t="s">
        <v>4</v>
      </c>
      <c r="I4420" t="s">
        <v>9</v>
      </c>
      <c r="J4420">
        <v>98.07</v>
      </c>
      <c r="K4420">
        <v>24</v>
      </c>
      <c r="L4420" t="s">
        <v>11</v>
      </c>
      <c r="M4420">
        <v>0</v>
      </c>
      <c r="N4420" t="str">
        <f t="shared" si="207"/>
        <v>Under 40</v>
      </c>
      <c r="O4420" t="str">
        <f t="shared" si="208"/>
        <v>Normal</v>
      </c>
    </row>
    <row r="4421" spans="1:15" x14ac:dyDescent="0.3">
      <c r="A4421">
        <v>31703</v>
      </c>
      <c r="B4421" t="s">
        <v>2</v>
      </c>
      <c r="C4421">
        <v>66</v>
      </c>
      <c r="D4421">
        <v>0</v>
      </c>
      <c r="E4421">
        <v>0</v>
      </c>
      <c r="F4421" t="str">
        <f t="shared" si="209"/>
        <v>Moderate Risk</v>
      </c>
      <c r="G4421" t="s">
        <v>3</v>
      </c>
      <c r="H4421" t="s">
        <v>8</v>
      </c>
      <c r="I4421" t="s">
        <v>5</v>
      </c>
      <c r="J4421">
        <v>85.82</v>
      </c>
      <c r="K4421">
        <v>27.8</v>
      </c>
      <c r="L4421" t="s">
        <v>11</v>
      </c>
      <c r="M4421">
        <v>0</v>
      </c>
      <c r="N4421" t="str">
        <f t="shared" si="207"/>
        <v>60+</v>
      </c>
      <c r="O4421" t="str">
        <f t="shared" si="208"/>
        <v>Overweight</v>
      </c>
    </row>
    <row r="4422" spans="1:15" x14ac:dyDescent="0.3">
      <c r="A4422">
        <v>33439</v>
      </c>
      <c r="B4422" t="s">
        <v>7</v>
      </c>
      <c r="C4422">
        <v>27</v>
      </c>
      <c r="D4422">
        <v>0</v>
      </c>
      <c r="E4422">
        <v>0</v>
      </c>
      <c r="F4422" t="str">
        <f t="shared" si="209"/>
        <v>Lower Risk</v>
      </c>
      <c r="G4422" t="s">
        <v>13</v>
      </c>
      <c r="H4422" t="s">
        <v>4</v>
      </c>
      <c r="I4422" t="s">
        <v>9</v>
      </c>
      <c r="J4422">
        <v>86.21</v>
      </c>
      <c r="K4422">
        <v>21.4</v>
      </c>
      <c r="L4422" t="s">
        <v>14</v>
      </c>
      <c r="M4422">
        <v>0</v>
      </c>
      <c r="N4422" t="str">
        <f t="shared" si="207"/>
        <v>Under 40</v>
      </c>
      <c r="O4422" t="str">
        <f t="shared" si="208"/>
        <v>Normal</v>
      </c>
    </row>
    <row r="4423" spans="1:15" x14ac:dyDescent="0.3">
      <c r="A4423">
        <v>5647</v>
      </c>
      <c r="B4423" t="s">
        <v>7</v>
      </c>
      <c r="C4423">
        <v>18</v>
      </c>
      <c r="D4423">
        <v>0</v>
      </c>
      <c r="E4423">
        <v>0</v>
      </c>
      <c r="F4423" t="str">
        <f t="shared" si="209"/>
        <v>Lower Risk</v>
      </c>
      <c r="G4423" t="s">
        <v>13</v>
      </c>
      <c r="H4423" t="s">
        <v>4</v>
      </c>
      <c r="I4423" t="s">
        <v>5</v>
      </c>
      <c r="J4423">
        <v>99.01</v>
      </c>
      <c r="K4423">
        <v>25.5</v>
      </c>
      <c r="L4423" t="s">
        <v>6</v>
      </c>
      <c r="M4423">
        <v>0</v>
      </c>
      <c r="N4423" t="str">
        <f t="shared" si="207"/>
        <v>Under 40</v>
      </c>
      <c r="O4423" t="str">
        <f t="shared" si="208"/>
        <v>Overweight</v>
      </c>
    </row>
    <row r="4424" spans="1:15" x14ac:dyDescent="0.3">
      <c r="A4424">
        <v>1847</v>
      </c>
      <c r="B4424" t="s">
        <v>7</v>
      </c>
      <c r="C4424">
        <v>20</v>
      </c>
      <c r="D4424">
        <v>0</v>
      </c>
      <c r="E4424">
        <v>0</v>
      </c>
      <c r="F4424" t="str">
        <f t="shared" si="209"/>
        <v>Lower Risk</v>
      </c>
      <c r="G4424" t="s">
        <v>13</v>
      </c>
      <c r="H4424" t="s">
        <v>15</v>
      </c>
      <c r="I4424" t="s">
        <v>9</v>
      </c>
      <c r="J4424">
        <v>79.53</v>
      </c>
      <c r="K4424" t="s">
        <v>10</v>
      </c>
      <c r="L4424" t="s">
        <v>11</v>
      </c>
      <c r="M4424">
        <v>0</v>
      </c>
      <c r="N4424" t="str">
        <f t="shared" si="207"/>
        <v>Under 40</v>
      </c>
      <c r="O4424" t="str">
        <f t="shared" si="208"/>
        <v>Unknown</v>
      </c>
    </row>
    <row r="4425" spans="1:15" x14ac:dyDescent="0.3">
      <c r="A4425">
        <v>12900</v>
      </c>
      <c r="B4425" t="s">
        <v>2</v>
      </c>
      <c r="C4425">
        <v>11</v>
      </c>
      <c r="D4425">
        <v>0</v>
      </c>
      <c r="E4425">
        <v>0</v>
      </c>
      <c r="F4425" t="str">
        <f t="shared" si="209"/>
        <v>Lower Risk</v>
      </c>
      <c r="G4425" t="s">
        <v>13</v>
      </c>
      <c r="H4425" t="s">
        <v>16</v>
      </c>
      <c r="I4425" t="s">
        <v>9</v>
      </c>
      <c r="J4425">
        <v>80.08</v>
      </c>
      <c r="K4425">
        <v>21.8</v>
      </c>
      <c r="L4425" t="s">
        <v>11</v>
      </c>
      <c r="M4425">
        <v>0</v>
      </c>
      <c r="N4425" t="str">
        <f t="shared" si="207"/>
        <v>Under 40</v>
      </c>
      <c r="O4425" t="str">
        <f t="shared" si="208"/>
        <v>Normal</v>
      </c>
    </row>
    <row r="4426" spans="1:15" x14ac:dyDescent="0.3">
      <c r="A4426">
        <v>28367</v>
      </c>
      <c r="B4426" t="s">
        <v>7</v>
      </c>
      <c r="C4426">
        <v>7</v>
      </c>
      <c r="D4426">
        <v>0</v>
      </c>
      <c r="E4426">
        <v>0</v>
      </c>
      <c r="F4426" t="str">
        <f t="shared" si="209"/>
        <v>Lower Risk</v>
      </c>
      <c r="G4426" t="s">
        <v>13</v>
      </c>
      <c r="H4426" t="s">
        <v>16</v>
      </c>
      <c r="I4426" t="s">
        <v>9</v>
      </c>
      <c r="J4426">
        <v>69.47</v>
      </c>
      <c r="K4426">
        <v>18.899999999999999</v>
      </c>
      <c r="L4426" t="s">
        <v>14</v>
      </c>
      <c r="M4426">
        <v>0</v>
      </c>
      <c r="N4426" t="str">
        <f t="shared" si="207"/>
        <v>Under 40</v>
      </c>
      <c r="O4426" t="str">
        <f t="shared" si="208"/>
        <v>Normal</v>
      </c>
    </row>
    <row r="4427" spans="1:15" x14ac:dyDescent="0.3">
      <c r="A4427">
        <v>71551</v>
      </c>
      <c r="B4427" t="s">
        <v>7</v>
      </c>
      <c r="C4427">
        <v>54</v>
      </c>
      <c r="D4427">
        <v>0</v>
      </c>
      <c r="E4427">
        <v>0</v>
      </c>
      <c r="F4427" t="str">
        <f t="shared" si="209"/>
        <v>Lower Risk</v>
      </c>
      <c r="G4427" t="s">
        <v>13</v>
      </c>
      <c r="H4427" t="s">
        <v>4</v>
      </c>
      <c r="I4427" t="s">
        <v>5</v>
      </c>
      <c r="J4427">
        <v>85.07</v>
      </c>
      <c r="K4427">
        <v>21.9</v>
      </c>
      <c r="L4427" t="s">
        <v>14</v>
      </c>
      <c r="M4427">
        <v>0</v>
      </c>
      <c r="N4427" t="str">
        <f t="shared" si="207"/>
        <v>40–59</v>
      </c>
      <c r="O4427" t="str">
        <f t="shared" si="208"/>
        <v>Normal</v>
      </c>
    </row>
    <row r="4428" spans="1:15" x14ac:dyDescent="0.3">
      <c r="A4428">
        <v>13846</v>
      </c>
      <c r="B4428" t="s">
        <v>2</v>
      </c>
      <c r="C4428">
        <v>43</v>
      </c>
      <c r="D4428">
        <v>0</v>
      </c>
      <c r="E4428">
        <v>0</v>
      </c>
      <c r="F4428" t="str">
        <f t="shared" si="209"/>
        <v>Lower Risk</v>
      </c>
      <c r="G4428" t="s">
        <v>3</v>
      </c>
      <c r="H4428" t="s">
        <v>15</v>
      </c>
      <c r="I4428" t="s">
        <v>9</v>
      </c>
      <c r="J4428">
        <v>88</v>
      </c>
      <c r="K4428">
        <v>30.6</v>
      </c>
      <c r="L4428" t="s">
        <v>11</v>
      </c>
      <c r="M4428">
        <v>0</v>
      </c>
      <c r="N4428" t="str">
        <f t="shared" si="207"/>
        <v>40–59</v>
      </c>
      <c r="O4428" t="str">
        <f t="shared" si="208"/>
        <v>Obese</v>
      </c>
    </row>
    <row r="4429" spans="1:15" x14ac:dyDescent="0.3">
      <c r="A4429">
        <v>61667</v>
      </c>
      <c r="B4429" t="s">
        <v>7</v>
      </c>
      <c r="C4429">
        <v>61</v>
      </c>
      <c r="D4429">
        <v>0</v>
      </c>
      <c r="E4429">
        <v>0</v>
      </c>
      <c r="F4429" t="str">
        <f t="shared" si="209"/>
        <v>Moderate Risk</v>
      </c>
      <c r="G4429" t="s">
        <v>3</v>
      </c>
      <c r="H4429" t="s">
        <v>4</v>
      </c>
      <c r="I4429" t="s">
        <v>9</v>
      </c>
      <c r="J4429">
        <v>144.13999999999999</v>
      </c>
      <c r="K4429">
        <v>29.8</v>
      </c>
      <c r="L4429" t="s">
        <v>11</v>
      </c>
      <c r="M4429">
        <v>0</v>
      </c>
      <c r="N4429" t="str">
        <f t="shared" si="207"/>
        <v>60+</v>
      </c>
      <c r="O4429" t="str">
        <f t="shared" si="208"/>
        <v>Overweight</v>
      </c>
    </row>
    <row r="4430" spans="1:15" x14ac:dyDescent="0.3">
      <c r="A4430">
        <v>46079</v>
      </c>
      <c r="B4430" t="s">
        <v>2</v>
      </c>
      <c r="C4430">
        <v>31</v>
      </c>
      <c r="D4430">
        <v>0</v>
      </c>
      <c r="E4430">
        <v>0</v>
      </c>
      <c r="F4430" t="str">
        <f t="shared" si="209"/>
        <v>Lower Risk</v>
      </c>
      <c r="G4430" t="s">
        <v>13</v>
      </c>
      <c r="H4430" t="s">
        <v>4</v>
      </c>
      <c r="I4430" t="s">
        <v>5</v>
      </c>
      <c r="J4430">
        <v>78.8</v>
      </c>
      <c r="K4430">
        <v>28.7</v>
      </c>
      <c r="L4430" t="s">
        <v>12</v>
      </c>
      <c r="M4430">
        <v>0</v>
      </c>
      <c r="N4430" t="str">
        <f t="shared" si="207"/>
        <v>Under 40</v>
      </c>
      <c r="O4430" t="str">
        <f t="shared" si="208"/>
        <v>Overweight</v>
      </c>
    </row>
    <row r="4431" spans="1:15" x14ac:dyDescent="0.3">
      <c r="A4431">
        <v>7871</v>
      </c>
      <c r="B4431" t="s">
        <v>7</v>
      </c>
      <c r="C4431">
        <v>40</v>
      </c>
      <c r="D4431">
        <v>0</v>
      </c>
      <c r="E4431">
        <v>0</v>
      </c>
      <c r="F4431" t="str">
        <f t="shared" si="209"/>
        <v>Lower Risk</v>
      </c>
      <c r="G4431" t="s">
        <v>3</v>
      </c>
      <c r="H4431" t="s">
        <v>4</v>
      </c>
      <c r="I4431" t="s">
        <v>5</v>
      </c>
      <c r="J4431">
        <v>86.78</v>
      </c>
      <c r="K4431">
        <v>35.5</v>
      </c>
      <c r="L4431" t="s">
        <v>12</v>
      </c>
      <c r="M4431">
        <v>0</v>
      </c>
      <c r="N4431" t="str">
        <f t="shared" si="207"/>
        <v>40–59</v>
      </c>
      <c r="O4431" t="str">
        <f t="shared" si="208"/>
        <v>Obese</v>
      </c>
    </row>
    <row r="4432" spans="1:15" x14ac:dyDescent="0.3">
      <c r="A4432">
        <v>60964</v>
      </c>
      <c r="B4432" t="s">
        <v>7</v>
      </c>
      <c r="C4432">
        <v>71</v>
      </c>
      <c r="D4432">
        <v>1</v>
      </c>
      <c r="E4432">
        <v>0</v>
      </c>
      <c r="F4432" t="str">
        <f t="shared" si="209"/>
        <v>High Risk</v>
      </c>
      <c r="G4432" t="s">
        <v>3</v>
      </c>
      <c r="H4432" t="s">
        <v>15</v>
      </c>
      <c r="I4432" t="s">
        <v>9</v>
      </c>
      <c r="J4432">
        <v>105.72</v>
      </c>
      <c r="K4432">
        <v>29.1</v>
      </c>
      <c r="L4432" t="s">
        <v>6</v>
      </c>
      <c r="M4432">
        <v>0</v>
      </c>
      <c r="N4432" t="str">
        <f t="shared" si="207"/>
        <v>60+</v>
      </c>
      <c r="O4432" t="str">
        <f t="shared" si="208"/>
        <v>Overweight</v>
      </c>
    </row>
    <row r="4433" spans="1:15" x14ac:dyDescent="0.3">
      <c r="A4433">
        <v>72562</v>
      </c>
      <c r="B4433" t="s">
        <v>7</v>
      </c>
      <c r="C4433">
        <v>57</v>
      </c>
      <c r="D4433">
        <v>0</v>
      </c>
      <c r="E4433">
        <v>0</v>
      </c>
      <c r="F4433" t="str">
        <f t="shared" si="209"/>
        <v>Lower Risk</v>
      </c>
      <c r="G4433" t="s">
        <v>3</v>
      </c>
      <c r="H4433" t="s">
        <v>4</v>
      </c>
      <c r="I4433" t="s">
        <v>9</v>
      </c>
      <c r="J4433">
        <v>64.37</v>
      </c>
      <c r="K4433">
        <v>32.799999999999997</v>
      </c>
      <c r="L4433" t="s">
        <v>11</v>
      </c>
      <c r="M4433">
        <v>0</v>
      </c>
      <c r="N4433" t="str">
        <f t="shared" si="207"/>
        <v>40–59</v>
      </c>
      <c r="O4433" t="str">
        <f t="shared" si="208"/>
        <v>Obese</v>
      </c>
    </row>
    <row r="4434" spans="1:15" x14ac:dyDescent="0.3">
      <c r="A4434">
        <v>63773</v>
      </c>
      <c r="B4434" t="s">
        <v>7</v>
      </c>
      <c r="C4434">
        <v>13</v>
      </c>
      <c r="D4434">
        <v>0</v>
      </c>
      <c r="E4434">
        <v>0</v>
      </c>
      <c r="F4434" t="str">
        <f t="shared" si="209"/>
        <v>Lower Risk</v>
      </c>
      <c r="G4434" t="s">
        <v>13</v>
      </c>
      <c r="H4434" t="s">
        <v>16</v>
      </c>
      <c r="I4434" t="s">
        <v>9</v>
      </c>
      <c r="J4434">
        <v>146.1</v>
      </c>
      <c r="K4434">
        <v>22.8</v>
      </c>
      <c r="L4434" t="s">
        <v>11</v>
      </c>
      <c r="M4434">
        <v>0</v>
      </c>
      <c r="N4434" t="str">
        <f t="shared" si="207"/>
        <v>Under 40</v>
      </c>
      <c r="O4434" t="str">
        <f t="shared" si="208"/>
        <v>Normal</v>
      </c>
    </row>
    <row r="4435" spans="1:15" x14ac:dyDescent="0.3">
      <c r="A4435">
        <v>53998</v>
      </c>
      <c r="B4435" t="s">
        <v>7</v>
      </c>
      <c r="C4435">
        <v>21</v>
      </c>
      <c r="D4435">
        <v>0</v>
      </c>
      <c r="E4435">
        <v>0</v>
      </c>
      <c r="F4435" t="str">
        <f t="shared" si="209"/>
        <v>Lower Risk</v>
      </c>
      <c r="G4435" t="s">
        <v>13</v>
      </c>
      <c r="H4435" t="s">
        <v>4</v>
      </c>
      <c r="I4435" t="s">
        <v>5</v>
      </c>
      <c r="J4435">
        <v>58.66</v>
      </c>
      <c r="K4435">
        <v>31.3</v>
      </c>
      <c r="L4435" t="s">
        <v>11</v>
      </c>
      <c r="M4435">
        <v>0</v>
      </c>
      <c r="N4435" t="str">
        <f t="shared" si="207"/>
        <v>Under 40</v>
      </c>
      <c r="O4435" t="str">
        <f t="shared" si="208"/>
        <v>Obese</v>
      </c>
    </row>
    <row r="4436" spans="1:15" x14ac:dyDescent="0.3">
      <c r="A4436">
        <v>16617</v>
      </c>
      <c r="B4436" t="s">
        <v>7</v>
      </c>
      <c r="C4436">
        <v>63</v>
      </c>
      <c r="D4436">
        <v>1</v>
      </c>
      <c r="E4436">
        <v>0</v>
      </c>
      <c r="F4436" t="str">
        <f t="shared" si="209"/>
        <v>High Risk</v>
      </c>
      <c r="G4436" t="s">
        <v>3</v>
      </c>
      <c r="H4436" t="s">
        <v>15</v>
      </c>
      <c r="I4436" t="s">
        <v>5</v>
      </c>
      <c r="J4436">
        <v>192.5</v>
      </c>
      <c r="K4436">
        <v>29</v>
      </c>
      <c r="L4436" t="s">
        <v>11</v>
      </c>
      <c r="M4436">
        <v>0</v>
      </c>
      <c r="N4436" t="str">
        <f t="shared" si="207"/>
        <v>60+</v>
      </c>
      <c r="O4436" t="str">
        <f t="shared" si="208"/>
        <v>Overweight</v>
      </c>
    </row>
    <row r="4437" spans="1:15" x14ac:dyDescent="0.3">
      <c r="A4437">
        <v>54117</v>
      </c>
      <c r="B4437" t="s">
        <v>2</v>
      </c>
      <c r="C4437">
        <v>7</v>
      </c>
      <c r="D4437">
        <v>0</v>
      </c>
      <c r="E4437">
        <v>0</v>
      </c>
      <c r="F4437" t="str">
        <f t="shared" si="209"/>
        <v>Lower Risk</v>
      </c>
      <c r="G4437" t="s">
        <v>13</v>
      </c>
      <c r="H4437" t="s">
        <v>16</v>
      </c>
      <c r="I4437" t="s">
        <v>9</v>
      </c>
      <c r="J4437">
        <v>103.5</v>
      </c>
      <c r="K4437">
        <v>19</v>
      </c>
      <c r="L4437" t="s">
        <v>14</v>
      </c>
      <c r="M4437">
        <v>0</v>
      </c>
      <c r="N4437" t="str">
        <f t="shared" si="207"/>
        <v>Under 40</v>
      </c>
      <c r="O4437" t="str">
        <f t="shared" si="208"/>
        <v>Normal</v>
      </c>
    </row>
    <row r="4438" spans="1:15" x14ac:dyDescent="0.3">
      <c r="A4438">
        <v>5987</v>
      </c>
      <c r="B4438" t="s">
        <v>7</v>
      </c>
      <c r="C4438">
        <v>78</v>
      </c>
      <c r="D4438">
        <v>0</v>
      </c>
      <c r="E4438">
        <v>0</v>
      </c>
      <c r="F4438" t="str">
        <f t="shared" si="209"/>
        <v>Moderate Risk</v>
      </c>
      <c r="G4438" t="s">
        <v>3</v>
      </c>
      <c r="H4438" t="s">
        <v>4</v>
      </c>
      <c r="I4438" t="s">
        <v>5</v>
      </c>
      <c r="J4438">
        <v>89.42</v>
      </c>
      <c r="K4438">
        <v>24.1</v>
      </c>
      <c r="L4438" t="s">
        <v>11</v>
      </c>
      <c r="M4438">
        <v>0</v>
      </c>
      <c r="N4438" t="str">
        <f t="shared" si="207"/>
        <v>60+</v>
      </c>
      <c r="O4438" t="str">
        <f t="shared" si="208"/>
        <v>Normal</v>
      </c>
    </row>
    <row r="4439" spans="1:15" x14ac:dyDescent="0.3">
      <c r="A4439">
        <v>72215</v>
      </c>
      <c r="B4439" t="s">
        <v>7</v>
      </c>
      <c r="C4439">
        <v>66</v>
      </c>
      <c r="D4439">
        <v>0</v>
      </c>
      <c r="E4439">
        <v>0</v>
      </c>
      <c r="F4439" t="str">
        <f t="shared" si="209"/>
        <v>Moderate Risk</v>
      </c>
      <c r="G4439" t="s">
        <v>3</v>
      </c>
      <c r="H4439" t="s">
        <v>8</v>
      </c>
      <c r="I4439" t="s">
        <v>9</v>
      </c>
      <c r="J4439">
        <v>212.92</v>
      </c>
      <c r="K4439">
        <v>21.4</v>
      </c>
      <c r="L4439" t="s">
        <v>11</v>
      </c>
      <c r="M4439">
        <v>0</v>
      </c>
      <c r="N4439" t="str">
        <f t="shared" si="207"/>
        <v>60+</v>
      </c>
      <c r="O4439" t="str">
        <f t="shared" si="208"/>
        <v>Normal</v>
      </c>
    </row>
    <row r="4440" spans="1:15" x14ac:dyDescent="0.3">
      <c r="A4440">
        <v>39796</v>
      </c>
      <c r="B4440" t="s">
        <v>2</v>
      </c>
      <c r="C4440">
        <v>41</v>
      </c>
      <c r="D4440">
        <v>0</v>
      </c>
      <c r="E4440">
        <v>0</v>
      </c>
      <c r="F4440" t="str">
        <f t="shared" si="209"/>
        <v>Lower Risk</v>
      </c>
      <c r="G4440" t="s">
        <v>13</v>
      </c>
      <c r="H4440" t="s">
        <v>8</v>
      </c>
      <c r="I4440" t="s">
        <v>9</v>
      </c>
      <c r="J4440">
        <v>60.73</v>
      </c>
      <c r="K4440">
        <v>28</v>
      </c>
      <c r="L4440" t="s">
        <v>11</v>
      </c>
      <c r="M4440">
        <v>0</v>
      </c>
      <c r="N4440" t="str">
        <f t="shared" si="207"/>
        <v>40–59</v>
      </c>
      <c r="O4440" t="str">
        <f t="shared" si="208"/>
        <v>Overweight</v>
      </c>
    </row>
    <row r="4441" spans="1:15" x14ac:dyDescent="0.3">
      <c r="A4441">
        <v>12345</v>
      </c>
      <c r="B4441" t="s">
        <v>2</v>
      </c>
      <c r="C4441">
        <v>11</v>
      </c>
      <c r="D4441">
        <v>0</v>
      </c>
      <c r="E4441">
        <v>0</v>
      </c>
      <c r="F4441" t="str">
        <f t="shared" si="209"/>
        <v>Lower Risk</v>
      </c>
      <c r="G4441" t="s">
        <v>13</v>
      </c>
      <c r="H4441" t="s">
        <v>16</v>
      </c>
      <c r="I4441" t="s">
        <v>5</v>
      </c>
      <c r="J4441">
        <v>73.180000000000007</v>
      </c>
      <c r="K4441">
        <v>27.6</v>
      </c>
      <c r="L4441" t="s">
        <v>11</v>
      </c>
      <c r="M4441">
        <v>0</v>
      </c>
      <c r="N4441" t="str">
        <f t="shared" si="207"/>
        <v>Under 40</v>
      </c>
      <c r="O4441" t="str">
        <f t="shared" si="208"/>
        <v>Overweight</v>
      </c>
    </row>
    <row r="4442" spans="1:15" x14ac:dyDescent="0.3">
      <c r="A4442">
        <v>65636</v>
      </c>
      <c r="B4442" t="s">
        <v>2</v>
      </c>
      <c r="C4442">
        <v>55</v>
      </c>
      <c r="D4442">
        <v>0</v>
      </c>
      <c r="E4442">
        <v>0</v>
      </c>
      <c r="F4442" t="str">
        <f t="shared" si="209"/>
        <v>Lower Risk</v>
      </c>
      <c r="G4442" t="s">
        <v>3</v>
      </c>
      <c r="H4442" t="s">
        <v>4</v>
      </c>
      <c r="I4442" t="s">
        <v>5</v>
      </c>
      <c r="J4442">
        <v>82.26</v>
      </c>
      <c r="K4442">
        <v>28.7</v>
      </c>
      <c r="L4442" t="s">
        <v>14</v>
      </c>
      <c r="M4442">
        <v>0</v>
      </c>
      <c r="N4442" t="str">
        <f t="shared" si="207"/>
        <v>40–59</v>
      </c>
      <c r="O4442" t="str">
        <f t="shared" si="208"/>
        <v>Overweight</v>
      </c>
    </row>
    <row r="4443" spans="1:15" x14ac:dyDescent="0.3">
      <c r="A4443">
        <v>47356</v>
      </c>
      <c r="B4443" t="s">
        <v>7</v>
      </c>
      <c r="C4443">
        <v>42</v>
      </c>
      <c r="D4443">
        <v>0</v>
      </c>
      <c r="E4443">
        <v>0</v>
      </c>
      <c r="F4443" t="str">
        <f t="shared" si="209"/>
        <v>Lower Risk</v>
      </c>
      <c r="G4443" t="s">
        <v>3</v>
      </c>
      <c r="H4443" t="s">
        <v>4</v>
      </c>
      <c r="I4443" t="s">
        <v>5</v>
      </c>
      <c r="J4443">
        <v>87.4</v>
      </c>
      <c r="K4443">
        <v>24.5</v>
      </c>
      <c r="L4443" t="s">
        <v>6</v>
      </c>
      <c r="M4443">
        <v>0</v>
      </c>
      <c r="N4443" t="str">
        <f t="shared" si="207"/>
        <v>40–59</v>
      </c>
      <c r="O4443" t="str">
        <f t="shared" si="208"/>
        <v>Normal</v>
      </c>
    </row>
    <row r="4444" spans="1:15" x14ac:dyDescent="0.3">
      <c r="A4444">
        <v>27859</v>
      </c>
      <c r="B4444" t="s">
        <v>2</v>
      </c>
      <c r="C4444">
        <v>51</v>
      </c>
      <c r="D4444">
        <v>0</v>
      </c>
      <c r="E4444">
        <v>0</v>
      </c>
      <c r="F4444" t="str">
        <f t="shared" si="209"/>
        <v>Lower Risk</v>
      </c>
      <c r="G4444" t="s">
        <v>3</v>
      </c>
      <c r="H4444" t="s">
        <v>4</v>
      </c>
      <c r="I4444" t="s">
        <v>9</v>
      </c>
      <c r="J4444">
        <v>86.95</v>
      </c>
      <c r="K4444">
        <v>25</v>
      </c>
      <c r="L4444" t="s">
        <v>6</v>
      </c>
      <c r="M4444">
        <v>0</v>
      </c>
      <c r="N4444" t="str">
        <f t="shared" si="207"/>
        <v>40–59</v>
      </c>
      <c r="O4444" t="str">
        <f t="shared" si="208"/>
        <v>Overweight</v>
      </c>
    </row>
    <row r="4445" spans="1:15" x14ac:dyDescent="0.3">
      <c r="A4445">
        <v>41715</v>
      </c>
      <c r="B4445" t="s">
        <v>7</v>
      </c>
      <c r="C4445">
        <v>79</v>
      </c>
      <c r="D4445">
        <v>1</v>
      </c>
      <c r="E4445">
        <v>0</v>
      </c>
      <c r="F4445" t="str">
        <f t="shared" si="209"/>
        <v>High Risk</v>
      </c>
      <c r="G4445" t="s">
        <v>3</v>
      </c>
      <c r="H4445" t="s">
        <v>8</v>
      </c>
      <c r="I4445" t="s">
        <v>9</v>
      </c>
      <c r="J4445">
        <v>74</v>
      </c>
      <c r="K4445">
        <v>29.6</v>
      </c>
      <c r="L4445" t="s">
        <v>11</v>
      </c>
      <c r="M4445">
        <v>0</v>
      </c>
      <c r="N4445" t="str">
        <f t="shared" si="207"/>
        <v>60+</v>
      </c>
      <c r="O4445" t="str">
        <f t="shared" si="208"/>
        <v>Overweight</v>
      </c>
    </row>
    <row r="4446" spans="1:15" x14ac:dyDescent="0.3">
      <c r="A4446">
        <v>38617</v>
      </c>
      <c r="B4446" t="s">
        <v>2</v>
      </c>
      <c r="C4446">
        <v>28</v>
      </c>
      <c r="D4446">
        <v>0</v>
      </c>
      <c r="E4446">
        <v>0</v>
      </c>
      <c r="F4446" t="str">
        <f t="shared" si="209"/>
        <v>Lower Risk</v>
      </c>
      <c r="G4446" t="s">
        <v>3</v>
      </c>
      <c r="H4446" t="s">
        <v>8</v>
      </c>
      <c r="I4446" t="s">
        <v>5</v>
      </c>
      <c r="J4446">
        <v>73.98</v>
      </c>
      <c r="K4446">
        <v>29.9</v>
      </c>
      <c r="L4446" t="s">
        <v>11</v>
      </c>
      <c r="M4446">
        <v>0</v>
      </c>
      <c r="N4446" t="str">
        <f t="shared" si="207"/>
        <v>Under 40</v>
      </c>
      <c r="O4446" t="str">
        <f t="shared" si="208"/>
        <v>Overweight</v>
      </c>
    </row>
    <row r="4447" spans="1:15" x14ac:dyDescent="0.3">
      <c r="A4447">
        <v>32638</v>
      </c>
      <c r="B4447" t="s">
        <v>7</v>
      </c>
      <c r="C4447">
        <v>73</v>
      </c>
      <c r="D4447">
        <v>1</v>
      </c>
      <c r="E4447">
        <v>0</v>
      </c>
      <c r="F4447" t="str">
        <f t="shared" si="209"/>
        <v>High Risk</v>
      </c>
      <c r="G4447" t="s">
        <v>3</v>
      </c>
      <c r="H4447" t="s">
        <v>8</v>
      </c>
      <c r="I4447" t="s">
        <v>9</v>
      </c>
      <c r="J4447">
        <v>124.78</v>
      </c>
      <c r="K4447">
        <v>35.6</v>
      </c>
      <c r="L4447" t="s">
        <v>11</v>
      </c>
      <c r="M4447">
        <v>0</v>
      </c>
      <c r="N4447" t="str">
        <f t="shared" si="207"/>
        <v>60+</v>
      </c>
      <c r="O4447" t="str">
        <f t="shared" si="208"/>
        <v>Obese</v>
      </c>
    </row>
    <row r="4448" spans="1:15" x14ac:dyDescent="0.3">
      <c r="A4448">
        <v>47799</v>
      </c>
      <c r="B4448" t="s">
        <v>7</v>
      </c>
      <c r="C4448">
        <v>42</v>
      </c>
      <c r="D4448">
        <v>0</v>
      </c>
      <c r="E4448">
        <v>0</v>
      </c>
      <c r="F4448" t="str">
        <f t="shared" si="209"/>
        <v>Lower Risk</v>
      </c>
      <c r="G4448" t="s">
        <v>3</v>
      </c>
      <c r="H4448" t="s">
        <v>4</v>
      </c>
      <c r="I4448" t="s">
        <v>5</v>
      </c>
      <c r="J4448">
        <v>191.94</v>
      </c>
      <c r="K4448">
        <v>27.9</v>
      </c>
      <c r="L4448" t="s">
        <v>11</v>
      </c>
      <c r="M4448">
        <v>0</v>
      </c>
      <c r="N4448" t="str">
        <f t="shared" si="207"/>
        <v>40–59</v>
      </c>
      <c r="O4448" t="str">
        <f t="shared" si="208"/>
        <v>Overweight</v>
      </c>
    </row>
    <row r="4449" spans="1:15" x14ac:dyDescent="0.3">
      <c r="A4449">
        <v>41942</v>
      </c>
      <c r="B4449" t="s">
        <v>7</v>
      </c>
      <c r="C4449">
        <v>37</v>
      </c>
      <c r="D4449">
        <v>0</v>
      </c>
      <c r="E4449">
        <v>0</v>
      </c>
      <c r="F4449" t="str">
        <f t="shared" si="209"/>
        <v>Lower Risk</v>
      </c>
      <c r="G4449" t="s">
        <v>3</v>
      </c>
      <c r="H4449" t="s">
        <v>4</v>
      </c>
      <c r="I4449" t="s">
        <v>5</v>
      </c>
      <c r="J4449">
        <v>247.87</v>
      </c>
      <c r="K4449">
        <v>42.6</v>
      </c>
      <c r="L4449" t="s">
        <v>11</v>
      </c>
      <c r="M4449">
        <v>0</v>
      </c>
      <c r="N4449" t="str">
        <f t="shared" si="207"/>
        <v>Under 40</v>
      </c>
      <c r="O4449" t="str">
        <f t="shared" si="208"/>
        <v>Obese</v>
      </c>
    </row>
    <row r="4450" spans="1:15" x14ac:dyDescent="0.3">
      <c r="A4450">
        <v>69010</v>
      </c>
      <c r="B4450" t="s">
        <v>2</v>
      </c>
      <c r="C4450">
        <v>78</v>
      </c>
      <c r="D4450">
        <v>0</v>
      </c>
      <c r="E4450">
        <v>0</v>
      </c>
      <c r="F4450" t="str">
        <f t="shared" si="209"/>
        <v>Moderate Risk</v>
      </c>
      <c r="G4450" t="s">
        <v>3</v>
      </c>
      <c r="H4450" t="s">
        <v>4</v>
      </c>
      <c r="I4450" t="s">
        <v>9</v>
      </c>
      <c r="J4450">
        <v>83.2</v>
      </c>
      <c r="K4450">
        <v>21.2</v>
      </c>
      <c r="L4450" t="s">
        <v>6</v>
      </c>
      <c r="M4450">
        <v>0</v>
      </c>
      <c r="N4450" t="str">
        <f t="shared" si="207"/>
        <v>60+</v>
      </c>
      <c r="O4450" t="str">
        <f t="shared" si="208"/>
        <v>Normal</v>
      </c>
    </row>
    <row r="4451" spans="1:15" x14ac:dyDescent="0.3">
      <c r="A4451">
        <v>47144</v>
      </c>
      <c r="B4451" t="s">
        <v>7</v>
      </c>
      <c r="C4451">
        <v>74</v>
      </c>
      <c r="D4451">
        <v>0</v>
      </c>
      <c r="E4451">
        <v>0</v>
      </c>
      <c r="F4451" t="str">
        <f t="shared" si="209"/>
        <v>Moderate Risk</v>
      </c>
      <c r="G4451" t="s">
        <v>3</v>
      </c>
      <c r="H4451" t="s">
        <v>8</v>
      </c>
      <c r="I4451" t="s">
        <v>5</v>
      </c>
      <c r="J4451">
        <v>88.62</v>
      </c>
      <c r="K4451">
        <v>28.5</v>
      </c>
      <c r="L4451" t="s">
        <v>6</v>
      </c>
      <c r="M4451">
        <v>0</v>
      </c>
      <c r="N4451" t="str">
        <f t="shared" si="207"/>
        <v>60+</v>
      </c>
      <c r="O4451" t="str">
        <f t="shared" si="208"/>
        <v>Overweight</v>
      </c>
    </row>
    <row r="4452" spans="1:15" x14ac:dyDescent="0.3">
      <c r="A4452">
        <v>65103</v>
      </c>
      <c r="B4452" t="s">
        <v>7</v>
      </c>
      <c r="C4452">
        <v>59</v>
      </c>
      <c r="D4452">
        <v>0</v>
      </c>
      <c r="E4452">
        <v>0</v>
      </c>
      <c r="F4452" t="str">
        <f t="shared" si="209"/>
        <v>Lower Risk</v>
      </c>
      <c r="G4452" t="s">
        <v>3</v>
      </c>
      <c r="H4452" t="s">
        <v>4</v>
      </c>
      <c r="I4452" t="s">
        <v>5</v>
      </c>
      <c r="J4452">
        <v>81.510000000000005</v>
      </c>
      <c r="K4452">
        <v>25.6</v>
      </c>
      <c r="L4452" t="s">
        <v>6</v>
      </c>
      <c r="M4452">
        <v>0</v>
      </c>
      <c r="N4452" t="str">
        <f t="shared" si="207"/>
        <v>40–59</v>
      </c>
      <c r="O4452" t="str">
        <f t="shared" si="208"/>
        <v>Overweight</v>
      </c>
    </row>
    <row r="4453" spans="1:15" x14ac:dyDescent="0.3">
      <c r="A4453">
        <v>6472</v>
      </c>
      <c r="B4453" t="s">
        <v>7</v>
      </c>
      <c r="C4453">
        <v>78</v>
      </c>
      <c r="D4453">
        <v>0</v>
      </c>
      <c r="E4453">
        <v>0</v>
      </c>
      <c r="F4453" t="str">
        <f t="shared" si="209"/>
        <v>Moderate Risk</v>
      </c>
      <c r="G4453" t="s">
        <v>3</v>
      </c>
      <c r="H4453" t="s">
        <v>15</v>
      </c>
      <c r="I4453" t="s">
        <v>5</v>
      </c>
      <c r="J4453">
        <v>101.76</v>
      </c>
      <c r="K4453" t="s">
        <v>10</v>
      </c>
      <c r="L4453" t="s">
        <v>12</v>
      </c>
      <c r="M4453">
        <v>0</v>
      </c>
      <c r="N4453" t="str">
        <f t="shared" si="207"/>
        <v>60+</v>
      </c>
      <c r="O4453" t="str">
        <f t="shared" si="208"/>
        <v>Unknown</v>
      </c>
    </row>
    <row r="4454" spans="1:15" x14ac:dyDescent="0.3">
      <c r="A4454">
        <v>27596</v>
      </c>
      <c r="B4454" t="s">
        <v>7</v>
      </c>
      <c r="C4454">
        <v>82</v>
      </c>
      <c r="D4454">
        <v>1</v>
      </c>
      <c r="E4454">
        <v>0</v>
      </c>
      <c r="F4454" t="str">
        <f t="shared" si="209"/>
        <v>High Risk</v>
      </c>
      <c r="G4454" t="s">
        <v>3</v>
      </c>
      <c r="H4454" t="s">
        <v>4</v>
      </c>
      <c r="I4454" t="s">
        <v>5</v>
      </c>
      <c r="J4454">
        <v>115.71</v>
      </c>
      <c r="K4454">
        <v>31.1</v>
      </c>
      <c r="L4454" t="s">
        <v>6</v>
      </c>
      <c r="M4454">
        <v>0</v>
      </c>
      <c r="N4454" t="str">
        <f t="shared" si="207"/>
        <v>60+</v>
      </c>
      <c r="O4454" t="str">
        <f t="shared" si="208"/>
        <v>Obese</v>
      </c>
    </row>
    <row r="4455" spans="1:15" x14ac:dyDescent="0.3">
      <c r="A4455">
        <v>59522</v>
      </c>
      <c r="B4455" t="s">
        <v>2</v>
      </c>
      <c r="C4455">
        <v>71</v>
      </c>
      <c r="D4455">
        <v>1</v>
      </c>
      <c r="E4455">
        <v>0</v>
      </c>
      <c r="F4455" t="str">
        <f t="shared" si="209"/>
        <v>High Risk</v>
      </c>
      <c r="G4455" t="s">
        <v>3</v>
      </c>
      <c r="H4455" t="s">
        <v>4</v>
      </c>
      <c r="I4455" t="s">
        <v>9</v>
      </c>
      <c r="J4455">
        <v>229.73</v>
      </c>
      <c r="K4455">
        <v>30.4</v>
      </c>
      <c r="L4455" t="s">
        <v>11</v>
      </c>
      <c r="M4455">
        <v>0</v>
      </c>
      <c r="N4455" t="str">
        <f t="shared" si="207"/>
        <v>60+</v>
      </c>
      <c r="O4455" t="str">
        <f t="shared" si="208"/>
        <v>Obese</v>
      </c>
    </row>
    <row r="4456" spans="1:15" x14ac:dyDescent="0.3">
      <c r="A4456">
        <v>51512</v>
      </c>
      <c r="B4456" t="s">
        <v>7</v>
      </c>
      <c r="C4456">
        <v>19</v>
      </c>
      <c r="D4456">
        <v>0</v>
      </c>
      <c r="E4456">
        <v>0</v>
      </c>
      <c r="F4456" t="str">
        <f t="shared" si="209"/>
        <v>Lower Risk</v>
      </c>
      <c r="G4456" t="s">
        <v>13</v>
      </c>
      <c r="H4456" t="s">
        <v>4</v>
      </c>
      <c r="I4456" t="s">
        <v>9</v>
      </c>
      <c r="J4456">
        <v>57.4</v>
      </c>
      <c r="K4456">
        <v>22.9</v>
      </c>
      <c r="L4456" t="s">
        <v>14</v>
      </c>
      <c r="M4456">
        <v>0</v>
      </c>
      <c r="N4456" t="str">
        <f t="shared" si="207"/>
        <v>Under 40</v>
      </c>
      <c r="O4456" t="str">
        <f t="shared" si="208"/>
        <v>Normal</v>
      </c>
    </row>
    <row r="4457" spans="1:15" x14ac:dyDescent="0.3">
      <c r="A4457">
        <v>53821</v>
      </c>
      <c r="B4457" t="s">
        <v>2</v>
      </c>
      <c r="C4457">
        <v>18</v>
      </c>
      <c r="D4457">
        <v>0</v>
      </c>
      <c r="E4457">
        <v>0</v>
      </c>
      <c r="F4457" t="str">
        <f t="shared" si="209"/>
        <v>Lower Risk</v>
      </c>
      <c r="G4457" t="s">
        <v>13</v>
      </c>
      <c r="H4457" t="s">
        <v>4</v>
      </c>
      <c r="I4457" t="s">
        <v>9</v>
      </c>
      <c r="J4457">
        <v>100.47</v>
      </c>
      <c r="K4457">
        <v>31.9</v>
      </c>
      <c r="L4457" t="s">
        <v>11</v>
      </c>
      <c r="M4457">
        <v>0</v>
      </c>
      <c r="N4457" t="str">
        <f t="shared" si="207"/>
        <v>Under 40</v>
      </c>
      <c r="O4457" t="str">
        <f t="shared" si="208"/>
        <v>Obese</v>
      </c>
    </row>
    <row r="4458" spans="1:15" x14ac:dyDescent="0.3">
      <c r="A4458">
        <v>51532</v>
      </c>
      <c r="B4458" t="s">
        <v>7</v>
      </c>
      <c r="C4458">
        <v>53</v>
      </c>
      <c r="D4458">
        <v>0</v>
      </c>
      <c r="E4458">
        <v>0</v>
      </c>
      <c r="F4458" t="str">
        <f t="shared" si="209"/>
        <v>Lower Risk</v>
      </c>
      <c r="G4458" t="s">
        <v>3</v>
      </c>
      <c r="H4458" t="s">
        <v>15</v>
      </c>
      <c r="I4458" t="s">
        <v>9</v>
      </c>
      <c r="J4458">
        <v>81.36</v>
      </c>
      <c r="K4458">
        <v>48.8</v>
      </c>
      <c r="L4458" t="s">
        <v>11</v>
      </c>
      <c r="M4458">
        <v>0</v>
      </c>
      <c r="N4458" t="str">
        <f t="shared" si="207"/>
        <v>40–59</v>
      </c>
      <c r="O4458" t="str">
        <f t="shared" si="208"/>
        <v>Obese</v>
      </c>
    </row>
    <row r="4459" spans="1:15" x14ac:dyDescent="0.3">
      <c r="A4459">
        <v>50070</v>
      </c>
      <c r="B4459" t="s">
        <v>7</v>
      </c>
      <c r="C4459">
        <v>62</v>
      </c>
      <c r="D4459">
        <v>1</v>
      </c>
      <c r="E4459">
        <v>0</v>
      </c>
      <c r="F4459" t="str">
        <f t="shared" si="209"/>
        <v>High Risk</v>
      </c>
      <c r="G4459" t="s">
        <v>3</v>
      </c>
      <c r="H4459" t="s">
        <v>8</v>
      </c>
      <c r="I4459" t="s">
        <v>9</v>
      </c>
      <c r="J4459">
        <v>261.67</v>
      </c>
      <c r="K4459">
        <v>43</v>
      </c>
      <c r="L4459" t="s">
        <v>6</v>
      </c>
      <c r="M4459">
        <v>0</v>
      </c>
      <c r="N4459" t="str">
        <f t="shared" si="207"/>
        <v>60+</v>
      </c>
      <c r="O4459" t="str">
        <f t="shared" si="208"/>
        <v>Obese</v>
      </c>
    </row>
    <row r="4460" spans="1:15" x14ac:dyDescent="0.3">
      <c r="A4460">
        <v>41654</v>
      </c>
      <c r="B4460" t="s">
        <v>2</v>
      </c>
      <c r="C4460">
        <v>3</v>
      </c>
      <c r="D4460">
        <v>0</v>
      </c>
      <c r="E4460">
        <v>0</v>
      </c>
      <c r="F4460" t="str">
        <f t="shared" si="209"/>
        <v>Lower Risk</v>
      </c>
      <c r="G4460" t="s">
        <v>13</v>
      </c>
      <c r="H4460" t="s">
        <v>16</v>
      </c>
      <c r="I4460" t="s">
        <v>9</v>
      </c>
      <c r="J4460">
        <v>110.2</v>
      </c>
      <c r="K4460">
        <v>21.8</v>
      </c>
      <c r="L4460" t="s">
        <v>14</v>
      </c>
      <c r="M4460">
        <v>0</v>
      </c>
      <c r="N4460" t="str">
        <f t="shared" si="207"/>
        <v>Under 40</v>
      </c>
      <c r="O4460" t="str">
        <f t="shared" si="208"/>
        <v>Normal</v>
      </c>
    </row>
    <row r="4461" spans="1:15" x14ac:dyDescent="0.3">
      <c r="A4461">
        <v>5714</v>
      </c>
      <c r="B4461" t="s">
        <v>7</v>
      </c>
      <c r="C4461">
        <v>49</v>
      </c>
      <c r="D4461">
        <v>1</v>
      </c>
      <c r="E4461">
        <v>0</v>
      </c>
      <c r="F4461" t="str">
        <f t="shared" si="209"/>
        <v>Lower Risk</v>
      </c>
      <c r="G4461" t="s">
        <v>3</v>
      </c>
      <c r="H4461" t="s">
        <v>15</v>
      </c>
      <c r="I4461" t="s">
        <v>9</v>
      </c>
      <c r="J4461">
        <v>98.9</v>
      </c>
      <c r="K4461">
        <v>35.5</v>
      </c>
      <c r="L4461" t="s">
        <v>11</v>
      </c>
      <c r="M4461">
        <v>0</v>
      </c>
      <c r="N4461" t="str">
        <f t="shared" si="207"/>
        <v>40–59</v>
      </c>
      <c r="O4461" t="str">
        <f t="shared" si="208"/>
        <v>Obese</v>
      </c>
    </row>
    <row r="4462" spans="1:15" x14ac:dyDescent="0.3">
      <c r="A4462">
        <v>2304</v>
      </c>
      <c r="B4462" t="s">
        <v>2</v>
      </c>
      <c r="C4462">
        <v>51</v>
      </c>
      <c r="D4462">
        <v>0</v>
      </c>
      <c r="E4462">
        <v>0</v>
      </c>
      <c r="F4462" t="str">
        <f t="shared" si="209"/>
        <v>Lower Risk</v>
      </c>
      <c r="G4462" t="s">
        <v>3</v>
      </c>
      <c r="H4462" t="s">
        <v>15</v>
      </c>
      <c r="I4462" t="s">
        <v>9</v>
      </c>
      <c r="J4462">
        <v>95.19</v>
      </c>
      <c r="K4462">
        <v>24.3</v>
      </c>
      <c r="L4462" t="s">
        <v>12</v>
      </c>
      <c r="M4462">
        <v>0</v>
      </c>
      <c r="N4462" t="str">
        <f t="shared" si="207"/>
        <v>40–59</v>
      </c>
      <c r="O4462" t="str">
        <f t="shared" si="208"/>
        <v>Normal</v>
      </c>
    </row>
    <row r="4463" spans="1:15" x14ac:dyDescent="0.3">
      <c r="A4463">
        <v>8543</v>
      </c>
      <c r="B4463" t="s">
        <v>7</v>
      </c>
      <c r="C4463">
        <v>53</v>
      </c>
      <c r="D4463">
        <v>0</v>
      </c>
      <c r="E4463">
        <v>0</v>
      </c>
      <c r="F4463" t="str">
        <f t="shared" si="209"/>
        <v>Lower Risk</v>
      </c>
      <c r="G4463" t="s">
        <v>3</v>
      </c>
      <c r="H4463" t="s">
        <v>4</v>
      </c>
      <c r="I4463" t="s">
        <v>9</v>
      </c>
      <c r="J4463">
        <v>105.28</v>
      </c>
      <c r="K4463">
        <v>23.1</v>
      </c>
      <c r="L4463" t="s">
        <v>11</v>
      </c>
      <c r="M4463">
        <v>0</v>
      </c>
      <c r="N4463" t="str">
        <f t="shared" si="207"/>
        <v>40–59</v>
      </c>
      <c r="O4463" t="str">
        <f t="shared" si="208"/>
        <v>Normal</v>
      </c>
    </row>
    <row r="4464" spans="1:15" x14ac:dyDescent="0.3">
      <c r="A4464">
        <v>45279</v>
      </c>
      <c r="B4464" t="s">
        <v>7</v>
      </c>
      <c r="C4464">
        <v>10</v>
      </c>
      <c r="D4464">
        <v>0</v>
      </c>
      <c r="E4464">
        <v>0</v>
      </c>
      <c r="F4464" t="str">
        <f t="shared" si="209"/>
        <v>Lower Risk</v>
      </c>
      <c r="G4464" t="s">
        <v>13</v>
      </c>
      <c r="H4464" t="s">
        <v>16</v>
      </c>
      <c r="I4464" t="s">
        <v>9</v>
      </c>
      <c r="J4464">
        <v>83.03</v>
      </c>
      <c r="K4464">
        <v>18.5</v>
      </c>
      <c r="L4464" t="s">
        <v>14</v>
      </c>
      <c r="M4464">
        <v>0</v>
      </c>
      <c r="N4464" t="str">
        <f t="shared" si="207"/>
        <v>Under 40</v>
      </c>
      <c r="O4464" t="str">
        <f t="shared" si="208"/>
        <v>Normal</v>
      </c>
    </row>
    <row r="4465" spans="1:15" x14ac:dyDescent="0.3">
      <c r="A4465">
        <v>57870</v>
      </c>
      <c r="B4465" t="s">
        <v>2</v>
      </c>
      <c r="C4465">
        <v>54</v>
      </c>
      <c r="D4465">
        <v>0</v>
      </c>
      <c r="E4465">
        <v>0</v>
      </c>
      <c r="F4465" t="str">
        <f t="shared" si="209"/>
        <v>Lower Risk</v>
      </c>
      <c r="G4465" t="s">
        <v>3</v>
      </c>
      <c r="H4465" t="s">
        <v>4</v>
      </c>
      <c r="I4465" t="s">
        <v>9</v>
      </c>
      <c r="J4465">
        <v>89.41</v>
      </c>
      <c r="K4465">
        <v>42.4</v>
      </c>
      <c r="L4465" t="s">
        <v>12</v>
      </c>
      <c r="M4465">
        <v>0</v>
      </c>
      <c r="N4465" t="str">
        <f t="shared" si="207"/>
        <v>40–59</v>
      </c>
      <c r="O4465" t="str">
        <f t="shared" si="208"/>
        <v>Obese</v>
      </c>
    </row>
    <row r="4466" spans="1:15" x14ac:dyDescent="0.3">
      <c r="A4466">
        <v>56961</v>
      </c>
      <c r="B4466" t="s">
        <v>7</v>
      </c>
      <c r="C4466">
        <v>40</v>
      </c>
      <c r="D4466">
        <v>0</v>
      </c>
      <c r="E4466">
        <v>0</v>
      </c>
      <c r="F4466" t="str">
        <f t="shared" si="209"/>
        <v>Lower Risk</v>
      </c>
      <c r="G4466" t="s">
        <v>13</v>
      </c>
      <c r="H4466" t="s">
        <v>15</v>
      </c>
      <c r="I4466" t="s">
        <v>9</v>
      </c>
      <c r="J4466">
        <v>70.56</v>
      </c>
      <c r="K4466">
        <v>32.299999999999997</v>
      </c>
      <c r="L4466" t="s">
        <v>11</v>
      </c>
      <c r="M4466">
        <v>0</v>
      </c>
      <c r="N4466" t="str">
        <f t="shared" si="207"/>
        <v>40–59</v>
      </c>
      <c r="O4466" t="str">
        <f t="shared" si="208"/>
        <v>Obese</v>
      </c>
    </row>
    <row r="4467" spans="1:15" x14ac:dyDescent="0.3">
      <c r="A4467">
        <v>8623</v>
      </c>
      <c r="B4467" t="s">
        <v>7</v>
      </c>
      <c r="C4467">
        <v>3</v>
      </c>
      <c r="D4467">
        <v>0</v>
      </c>
      <c r="E4467">
        <v>0</v>
      </c>
      <c r="F4467" t="str">
        <f t="shared" si="209"/>
        <v>Lower Risk</v>
      </c>
      <c r="G4467" t="s">
        <v>13</v>
      </c>
      <c r="H4467" t="s">
        <v>16</v>
      </c>
      <c r="I4467" t="s">
        <v>5</v>
      </c>
      <c r="J4467">
        <v>78.790000000000006</v>
      </c>
      <c r="K4467">
        <v>22.6</v>
      </c>
      <c r="L4467" t="s">
        <v>14</v>
      </c>
      <c r="M4467">
        <v>0</v>
      </c>
      <c r="N4467" t="str">
        <f t="shared" si="207"/>
        <v>Under 40</v>
      </c>
      <c r="O4467" t="str">
        <f t="shared" si="208"/>
        <v>Normal</v>
      </c>
    </row>
    <row r="4468" spans="1:15" x14ac:dyDescent="0.3">
      <c r="A4468">
        <v>21346</v>
      </c>
      <c r="B4468" t="s">
        <v>7</v>
      </c>
      <c r="C4468">
        <v>12</v>
      </c>
      <c r="D4468">
        <v>0</v>
      </c>
      <c r="E4468">
        <v>0</v>
      </c>
      <c r="F4468" t="str">
        <f t="shared" si="209"/>
        <v>Lower Risk</v>
      </c>
      <c r="G4468" t="s">
        <v>13</v>
      </c>
      <c r="H4468" t="s">
        <v>16</v>
      </c>
      <c r="I4468" t="s">
        <v>9</v>
      </c>
      <c r="J4468">
        <v>70.13</v>
      </c>
      <c r="K4468">
        <v>17.8</v>
      </c>
      <c r="L4468" t="s">
        <v>14</v>
      </c>
      <c r="M4468">
        <v>0</v>
      </c>
      <c r="N4468" t="str">
        <f t="shared" si="207"/>
        <v>Under 40</v>
      </c>
      <c r="O4468" t="str">
        <f t="shared" si="208"/>
        <v>Underweight</v>
      </c>
    </row>
    <row r="4469" spans="1:15" x14ac:dyDescent="0.3">
      <c r="A4469">
        <v>36922</v>
      </c>
      <c r="B4469" t="s">
        <v>2</v>
      </c>
      <c r="C4469">
        <v>56</v>
      </c>
      <c r="D4469">
        <v>0</v>
      </c>
      <c r="E4469">
        <v>0</v>
      </c>
      <c r="F4469" t="str">
        <f t="shared" si="209"/>
        <v>Lower Risk</v>
      </c>
      <c r="G4469" t="s">
        <v>3</v>
      </c>
      <c r="H4469" t="s">
        <v>4</v>
      </c>
      <c r="I4469" t="s">
        <v>9</v>
      </c>
      <c r="J4469">
        <v>62.68</v>
      </c>
      <c r="K4469">
        <v>18.399999999999999</v>
      </c>
      <c r="L4469" t="s">
        <v>11</v>
      </c>
      <c r="M4469">
        <v>0</v>
      </c>
      <c r="N4469" t="str">
        <f t="shared" si="207"/>
        <v>40–59</v>
      </c>
      <c r="O4469" t="str">
        <f t="shared" si="208"/>
        <v>Underweight</v>
      </c>
    </row>
    <row r="4470" spans="1:15" x14ac:dyDescent="0.3">
      <c r="A4470">
        <v>19814</v>
      </c>
      <c r="B4470" t="s">
        <v>7</v>
      </c>
      <c r="C4470">
        <v>43</v>
      </c>
      <c r="D4470">
        <v>0</v>
      </c>
      <c r="E4470">
        <v>0</v>
      </c>
      <c r="F4470" t="str">
        <f t="shared" si="209"/>
        <v>Lower Risk</v>
      </c>
      <c r="G4470" t="s">
        <v>13</v>
      </c>
      <c r="H4470" t="s">
        <v>4</v>
      </c>
      <c r="I4470" t="s">
        <v>5</v>
      </c>
      <c r="J4470">
        <v>71.77</v>
      </c>
      <c r="K4470">
        <v>26.9</v>
      </c>
      <c r="L4470" t="s">
        <v>11</v>
      </c>
      <c r="M4470">
        <v>0</v>
      </c>
      <c r="N4470" t="str">
        <f t="shared" si="207"/>
        <v>40–59</v>
      </c>
      <c r="O4470" t="str">
        <f t="shared" si="208"/>
        <v>Overweight</v>
      </c>
    </row>
    <row r="4471" spans="1:15" x14ac:dyDescent="0.3">
      <c r="A4471">
        <v>22151</v>
      </c>
      <c r="B4471" t="s">
        <v>7</v>
      </c>
      <c r="C4471">
        <v>28</v>
      </c>
      <c r="D4471">
        <v>0</v>
      </c>
      <c r="E4471">
        <v>0</v>
      </c>
      <c r="F4471" t="str">
        <f t="shared" si="209"/>
        <v>Lower Risk</v>
      </c>
      <c r="G4471" t="s">
        <v>13</v>
      </c>
      <c r="H4471" t="s">
        <v>15</v>
      </c>
      <c r="I4471" t="s">
        <v>9</v>
      </c>
      <c r="J4471">
        <v>77.989999999999995</v>
      </c>
      <c r="K4471">
        <v>32</v>
      </c>
      <c r="L4471" t="s">
        <v>12</v>
      </c>
      <c r="M4471">
        <v>0</v>
      </c>
      <c r="N4471" t="str">
        <f t="shared" si="207"/>
        <v>Under 40</v>
      </c>
      <c r="O4471" t="str">
        <f t="shared" si="208"/>
        <v>Obese</v>
      </c>
    </row>
    <row r="4472" spans="1:15" x14ac:dyDescent="0.3">
      <c r="A4472">
        <v>47802</v>
      </c>
      <c r="B4472" t="s">
        <v>2</v>
      </c>
      <c r="C4472">
        <v>28</v>
      </c>
      <c r="D4472">
        <v>0</v>
      </c>
      <c r="E4472">
        <v>0</v>
      </c>
      <c r="F4472" t="str">
        <f t="shared" si="209"/>
        <v>Lower Risk</v>
      </c>
      <c r="G4472" t="s">
        <v>13</v>
      </c>
      <c r="H4472" t="s">
        <v>4</v>
      </c>
      <c r="I4472" t="s">
        <v>5</v>
      </c>
      <c r="J4472">
        <v>256.74</v>
      </c>
      <c r="K4472">
        <v>23.4</v>
      </c>
      <c r="L4472" t="s">
        <v>6</v>
      </c>
      <c r="M4472">
        <v>0</v>
      </c>
      <c r="N4472" t="str">
        <f t="shared" si="207"/>
        <v>Under 40</v>
      </c>
      <c r="O4472" t="str">
        <f t="shared" si="208"/>
        <v>Normal</v>
      </c>
    </row>
    <row r="4473" spans="1:15" x14ac:dyDescent="0.3">
      <c r="A4473">
        <v>25404</v>
      </c>
      <c r="B4473" t="s">
        <v>2</v>
      </c>
      <c r="C4473">
        <v>56</v>
      </c>
      <c r="D4473">
        <v>0</v>
      </c>
      <c r="E4473">
        <v>0</v>
      </c>
      <c r="F4473" t="str">
        <f t="shared" si="209"/>
        <v>Lower Risk</v>
      </c>
      <c r="G4473" t="s">
        <v>3</v>
      </c>
      <c r="H4473" t="s">
        <v>4</v>
      </c>
      <c r="I4473" t="s">
        <v>9</v>
      </c>
      <c r="J4473">
        <v>93.72</v>
      </c>
      <c r="K4473">
        <v>31.4</v>
      </c>
      <c r="L4473" t="s">
        <v>11</v>
      </c>
      <c r="M4473">
        <v>0</v>
      </c>
      <c r="N4473" t="str">
        <f t="shared" si="207"/>
        <v>40–59</v>
      </c>
      <c r="O4473" t="str">
        <f t="shared" si="208"/>
        <v>Obese</v>
      </c>
    </row>
    <row r="4474" spans="1:15" x14ac:dyDescent="0.3">
      <c r="A4474">
        <v>43487</v>
      </c>
      <c r="B4474" t="s">
        <v>7</v>
      </c>
      <c r="C4474">
        <v>14</v>
      </c>
      <c r="D4474">
        <v>0</v>
      </c>
      <c r="E4474">
        <v>0</v>
      </c>
      <c r="F4474" t="str">
        <f t="shared" si="209"/>
        <v>Lower Risk</v>
      </c>
      <c r="G4474" t="s">
        <v>13</v>
      </c>
      <c r="H4474" t="s">
        <v>16</v>
      </c>
      <c r="I4474" t="s">
        <v>5</v>
      </c>
      <c r="J4474">
        <v>63.74</v>
      </c>
      <c r="K4474">
        <v>22.4</v>
      </c>
      <c r="L4474" t="s">
        <v>14</v>
      </c>
      <c r="M4474">
        <v>0</v>
      </c>
      <c r="N4474" t="str">
        <f t="shared" si="207"/>
        <v>Under 40</v>
      </c>
      <c r="O4474" t="str">
        <f t="shared" si="208"/>
        <v>Normal</v>
      </c>
    </row>
    <row r="4475" spans="1:15" x14ac:dyDescent="0.3">
      <c r="A4475">
        <v>58313</v>
      </c>
      <c r="B4475" t="s">
        <v>7</v>
      </c>
      <c r="C4475">
        <v>63</v>
      </c>
      <c r="D4475">
        <v>0</v>
      </c>
      <c r="E4475">
        <v>0</v>
      </c>
      <c r="F4475" t="str">
        <f t="shared" si="209"/>
        <v>Moderate Risk</v>
      </c>
      <c r="G4475" t="s">
        <v>3</v>
      </c>
      <c r="H4475" t="s">
        <v>8</v>
      </c>
      <c r="I4475" t="s">
        <v>5</v>
      </c>
      <c r="J4475">
        <v>60.67</v>
      </c>
      <c r="K4475">
        <v>28.9</v>
      </c>
      <c r="L4475" t="s">
        <v>6</v>
      </c>
      <c r="M4475">
        <v>0</v>
      </c>
      <c r="N4475" t="str">
        <f t="shared" si="207"/>
        <v>60+</v>
      </c>
      <c r="O4475" t="str">
        <f t="shared" si="208"/>
        <v>Overweight</v>
      </c>
    </row>
    <row r="4476" spans="1:15" x14ac:dyDescent="0.3">
      <c r="A4476">
        <v>16629</v>
      </c>
      <c r="B4476" t="s">
        <v>7</v>
      </c>
      <c r="C4476">
        <v>29</v>
      </c>
      <c r="D4476">
        <v>0</v>
      </c>
      <c r="E4476">
        <v>0</v>
      </c>
      <c r="F4476" t="str">
        <f t="shared" si="209"/>
        <v>Lower Risk</v>
      </c>
      <c r="G4476" t="s">
        <v>3</v>
      </c>
      <c r="H4476" t="s">
        <v>4</v>
      </c>
      <c r="I4476" t="s">
        <v>5</v>
      </c>
      <c r="J4476">
        <v>112.08</v>
      </c>
      <c r="K4476">
        <v>27.4</v>
      </c>
      <c r="L4476" t="s">
        <v>11</v>
      </c>
      <c r="M4476">
        <v>0</v>
      </c>
      <c r="N4476" t="str">
        <f t="shared" si="207"/>
        <v>Under 40</v>
      </c>
      <c r="O4476" t="str">
        <f t="shared" si="208"/>
        <v>Overweight</v>
      </c>
    </row>
    <row r="4477" spans="1:15" x14ac:dyDescent="0.3">
      <c r="A4477">
        <v>60675</v>
      </c>
      <c r="B4477" t="s">
        <v>7</v>
      </c>
      <c r="C4477">
        <v>48</v>
      </c>
      <c r="D4477">
        <v>1</v>
      </c>
      <c r="E4477">
        <v>0</v>
      </c>
      <c r="F4477" t="str">
        <f t="shared" si="209"/>
        <v>Lower Risk</v>
      </c>
      <c r="G4477" t="s">
        <v>3</v>
      </c>
      <c r="H4477" t="s">
        <v>15</v>
      </c>
      <c r="I4477" t="s">
        <v>9</v>
      </c>
      <c r="J4477">
        <v>221.08</v>
      </c>
      <c r="K4477">
        <v>57.2</v>
      </c>
      <c r="L4477" t="s">
        <v>11</v>
      </c>
      <c r="M4477">
        <v>0</v>
      </c>
      <c r="N4477" t="str">
        <f t="shared" si="207"/>
        <v>40–59</v>
      </c>
      <c r="O4477" t="str">
        <f t="shared" si="208"/>
        <v>Obese</v>
      </c>
    </row>
    <row r="4478" spans="1:15" x14ac:dyDescent="0.3">
      <c r="A4478">
        <v>1119</v>
      </c>
      <c r="B4478" t="s">
        <v>2</v>
      </c>
      <c r="C4478">
        <v>47</v>
      </c>
      <c r="D4478">
        <v>0</v>
      </c>
      <c r="E4478">
        <v>1</v>
      </c>
      <c r="F4478" t="str">
        <f t="shared" si="209"/>
        <v>Lower Risk</v>
      </c>
      <c r="G4478" t="s">
        <v>3</v>
      </c>
      <c r="H4478" t="s">
        <v>15</v>
      </c>
      <c r="I4478" t="s">
        <v>5</v>
      </c>
      <c r="J4478">
        <v>101.81</v>
      </c>
      <c r="K4478">
        <v>28.4</v>
      </c>
      <c r="L4478" t="s">
        <v>12</v>
      </c>
      <c r="M4478">
        <v>0</v>
      </c>
      <c r="N4478" t="str">
        <f t="shared" si="207"/>
        <v>40–59</v>
      </c>
      <c r="O4478" t="str">
        <f t="shared" si="208"/>
        <v>Overweight</v>
      </c>
    </row>
    <row r="4479" spans="1:15" x14ac:dyDescent="0.3">
      <c r="A4479">
        <v>64864</v>
      </c>
      <c r="B4479" t="s">
        <v>2</v>
      </c>
      <c r="C4479">
        <v>63</v>
      </c>
      <c r="D4479">
        <v>1</v>
      </c>
      <c r="E4479">
        <v>0</v>
      </c>
      <c r="F4479" t="str">
        <f t="shared" si="209"/>
        <v>High Risk</v>
      </c>
      <c r="G4479" t="s">
        <v>3</v>
      </c>
      <c r="H4479" t="s">
        <v>4</v>
      </c>
      <c r="I4479" t="s">
        <v>9</v>
      </c>
      <c r="J4479">
        <v>60.17</v>
      </c>
      <c r="K4479">
        <v>23.5</v>
      </c>
      <c r="L4479" t="s">
        <v>12</v>
      </c>
      <c r="M4479">
        <v>0</v>
      </c>
      <c r="N4479" t="str">
        <f t="shared" si="207"/>
        <v>60+</v>
      </c>
      <c r="O4479" t="str">
        <f t="shared" si="208"/>
        <v>Normal</v>
      </c>
    </row>
    <row r="4480" spans="1:15" x14ac:dyDescent="0.3">
      <c r="A4480">
        <v>55244</v>
      </c>
      <c r="B4480" t="s">
        <v>2</v>
      </c>
      <c r="C4480">
        <v>40</v>
      </c>
      <c r="D4480">
        <v>0</v>
      </c>
      <c r="E4480">
        <v>0</v>
      </c>
      <c r="F4480" t="str">
        <f t="shared" si="209"/>
        <v>Lower Risk</v>
      </c>
      <c r="G4480" t="s">
        <v>3</v>
      </c>
      <c r="H4480" t="s">
        <v>8</v>
      </c>
      <c r="I4480" t="s">
        <v>9</v>
      </c>
      <c r="J4480">
        <v>65.290000000000006</v>
      </c>
      <c r="K4480">
        <v>28.3</v>
      </c>
      <c r="L4480" t="s">
        <v>11</v>
      </c>
      <c r="M4480">
        <v>0</v>
      </c>
      <c r="N4480" t="str">
        <f t="shared" si="207"/>
        <v>40–59</v>
      </c>
      <c r="O4480" t="str">
        <f t="shared" si="208"/>
        <v>Overweight</v>
      </c>
    </row>
    <row r="4481" spans="1:15" x14ac:dyDescent="0.3">
      <c r="A4481">
        <v>23568</v>
      </c>
      <c r="B4481" t="s">
        <v>7</v>
      </c>
      <c r="C4481">
        <v>40</v>
      </c>
      <c r="D4481">
        <v>0</v>
      </c>
      <c r="E4481">
        <v>0</v>
      </c>
      <c r="F4481" t="str">
        <f t="shared" si="209"/>
        <v>Lower Risk</v>
      </c>
      <c r="G4481" t="s">
        <v>3</v>
      </c>
      <c r="H4481" t="s">
        <v>4</v>
      </c>
      <c r="I4481" t="s">
        <v>5</v>
      </c>
      <c r="J4481">
        <v>153.24</v>
      </c>
      <c r="K4481">
        <v>38.200000000000003</v>
      </c>
      <c r="L4481" t="s">
        <v>14</v>
      </c>
      <c r="M4481">
        <v>0</v>
      </c>
      <c r="N4481" t="str">
        <f t="shared" si="207"/>
        <v>40–59</v>
      </c>
      <c r="O4481" t="str">
        <f t="shared" si="208"/>
        <v>Obese</v>
      </c>
    </row>
    <row r="4482" spans="1:15" x14ac:dyDescent="0.3">
      <c r="A4482">
        <v>56979</v>
      </c>
      <c r="B4482" t="s">
        <v>2</v>
      </c>
      <c r="C4482">
        <v>55</v>
      </c>
      <c r="D4482">
        <v>0</v>
      </c>
      <c r="E4482">
        <v>0</v>
      </c>
      <c r="F4482" t="str">
        <f t="shared" si="209"/>
        <v>Lower Risk</v>
      </c>
      <c r="G4482" t="s">
        <v>3</v>
      </c>
      <c r="H4482" t="s">
        <v>4</v>
      </c>
      <c r="I4482" t="s">
        <v>9</v>
      </c>
      <c r="J4482">
        <v>61.42</v>
      </c>
      <c r="K4482">
        <v>33.299999999999997</v>
      </c>
      <c r="L4482" t="s">
        <v>12</v>
      </c>
      <c r="M4482">
        <v>0</v>
      </c>
      <c r="N4482" t="str">
        <f t="shared" ref="N4482:N4545" si="210">IF(C4482&lt;40,"Under 40",IF(C4482&lt;60,"40–59","60+"))</f>
        <v>40–59</v>
      </c>
      <c r="O4482" t="str">
        <f t="shared" ref="O4482:O4545" si="211">IF(K4482="N/A","Unknown",
IF(K4482="","Unknown",
IF(K4482&lt;18.5,"Underweight",
IF(K4482&lt;25,"Normal",
IF(K4482&lt;30,"Overweight","Obese")))))</f>
        <v>Obese</v>
      </c>
    </row>
    <row r="4483" spans="1:15" x14ac:dyDescent="0.3">
      <c r="A4483">
        <v>66006</v>
      </c>
      <c r="B4483" t="s">
        <v>7</v>
      </c>
      <c r="C4483">
        <v>43</v>
      </c>
      <c r="D4483">
        <v>0</v>
      </c>
      <c r="E4483">
        <v>0</v>
      </c>
      <c r="F4483" t="str">
        <f t="shared" ref="F4483:F4546" si="212">IF(C4483&gt;=60,
IF(OR(D4483=1,E4483=1),"High Risk","Moderate Risk"),
"Lower Risk")</f>
        <v>Lower Risk</v>
      </c>
      <c r="G4483" t="s">
        <v>3</v>
      </c>
      <c r="H4483" t="s">
        <v>4</v>
      </c>
      <c r="I4483" t="s">
        <v>5</v>
      </c>
      <c r="J4483">
        <v>86.67</v>
      </c>
      <c r="K4483">
        <v>33.299999999999997</v>
      </c>
      <c r="L4483" t="s">
        <v>11</v>
      </c>
      <c r="M4483">
        <v>0</v>
      </c>
      <c r="N4483" t="str">
        <f t="shared" si="210"/>
        <v>40–59</v>
      </c>
      <c r="O4483" t="str">
        <f t="shared" si="211"/>
        <v>Obese</v>
      </c>
    </row>
    <row r="4484" spans="1:15" x14ac:dyDescent="0.3">
      <c r="A4484">
        <v>40447</v>
      </c>
      <c r="B4484" t="s">
        <v>7</v>
      </c>
      <c r="C4484">
        <v>59</v>
      </c>
      <c r="D4484">
        <v>0</v>
      </c>
      <c r="E4484">
        <v>0</v>
      </c>
      <c r="F4484" t="str">
        <f t="shared" si="212"/>
        <v>Lower Risk</v>
      </c>
      <c r="G4484" t="s">
        <v>3</v>
      </c>
      <c r="H4484" t="s">
        <v>4</v>
      </c>
      <c r="I4484" t="s">
        <v>9</v>
      </c>
      <c r="J4484">
        <v>82.42</v>
      </c>
      <c r="K4484">
        <v>28.8</v>
      </c>
      <c r="L4484" t="s">
        <v>11</v>
      </c>
      <c r="M4484">
        <v>0</v>
      </c>
      <c r="N4484" t="str">
        <f t="shared" si="210"/>
        <v>40–59</v>
      </c>
      <c r="O4484" t="str">
        <f t="shared" si="211"/>
        <v>Overweight</v>
      </c>
    </row>
    <row r="4485" spans="1:15" x14ac:dyDescent="0.3">
      <c r="A4485">
        <v>62798</v>
      </c>
      <c r="B4485" t="s">
        <v>7</v>
      </c>
      <c r="C4485">
        <v>78</v>
      </c>
      <c r="D4485">
        <v>1</v>
      </c>
      <c r="E4485">
        <v>0</v>
      </c>
      <c r="F4485" t="str">
        <f t="shared" si="212"/>
        <v>High Risk</v>
      </c>
      <c r="G4485" t="s">
        <v>3</v>
      </c>
      <c r="H4485" t="s">
        <v>4</v>
      </c>
      <c r="I4485" t="s">
        <v>9</v>
      </c>
      <c r="J4485">
        <v>100.54</v>
      </c>
      <c r="K4485">
        <v>32.1</v>
      </c>
      <c r="L4485" t="s">
        <v>12</v>
      </c>
      <c r="M4485">
        <v>0</v>
      </c>
      <c r="N4485" t="str">
        <f t="shared" si="210"/>
        <v>60+</v>
      </c>
      <c r="O4485" t="str">
        <f t="shared" si="211"/>
        <v>Obese</v>
      </c>
    </row>
    <row r="4486" spans="1:15" x14ac:dyDescent="0.3">
      <c r="A4486">
        <v>38397</v>
      </c>
      <c r="B4486" t="s">
        <v>7</v>
      </c>
      <c r="C4486">
        <v>27</v>
      </c>
      <c r="D4486">
        <v>0</v>
      </c>
      <c r="E4486">
        <v>0</v>
      </c>
      <c r="F4486" t="str">
        <f t="shared" si="212"/>
        <v>Lower Risk</v>
      </c>
      <c r="G4486" t="s">
        <v>13</v>
      </c>
      <c r="H4486" t="s">
        <v>4</v>
      </c>
      <c r="I4486" t="s">
        <v>5</v>
      </c>
      <c r="J4486">
        <v>111.48</v>
      </c>
      <c r="K4486">
        <v>28.9</v>
      </c>
      <c r="L4486" t="s">
        <v>11</v>
      </c>
      <c r="M4486">
        <v>0</v>
      </c>
      <c r="N4486" t="str">
        <f t="shared" si="210"/>
        <v>Under 40</v>
      </c>
      <c r="O4486" t="str">
        <f t="shared" si="211"/>
        <v>Overweight</v>
      </c>
    </row>
    <row r="4487" spans="1:15" x14ac:dyDescent="0.3">
      <c r="A4487">
        <v>66945</v>
      </c>
      <c r="B4487" t="s">
        <v>7</v>
      </c>
      <c r="C4487">
        <v>49</v>
      </c>
      <c r="D4487">
        <v>0</v>
      </c>
      <c r="E4487">
        <v>0</v>
      </c>
      <c r="F4487" t="str">
        <f t="shared" si="212"/>
        <v>Lower Risk</v>
      </c>
      <c r="G4487" t="s">
        <v>3</v>
      </c>
      <c r="H4487" t="s">
        <v>4</v>
      </c>
      <c r="I4487" t="s">
        <v>5</v>
      </c>
      <c r="J4487">
        <v>85.33</v>
      </c>
      <c r="K4487">
        <v>25.5</v>
      </c>
      <c r="L4487" t="s">
        <v>11</v>
      </c>
      <c r="M4487">
        <v>0</v>
      </c>
      <c r="N4487" t="str">
        <f t="shared" si="210"/>
        <v>40–59</v>
      </c>
      <c r="O4487" t="str">
        <f t="shared" si="211"/>
        <v>Overweight</v>
      </c>
    </row>
    <row r="4488" spans="1:15" x14ac:dyDescent="0.3">
      <c r="A4488">
        <v>44992</v>
      </c>
      <c r="B4488" t="s">
        <v>2</v>
      </c>
      <c r="C4488">
        <v>14</v>
      </c>
      <c r="D4488">
        <v>0</v>
      </c>
      <c r="E4488">
        <v>0</v>
      </c>
      <c r="F4488" t="str">
        <f t="shared" si="212"/>
        <v>Lower Risk</v>
      </c>
      <c r="G4488" t="s">
        <v>13</v>
      </c>
      <c r="H4488" t="s">
        <v>4</v>
      </c>
      <c r="I4488" t="s">
        <v>5</v>
      </c>
      <c r="J4488">
        <v>126.57</v>
      </c>
      <c r="K4488">
        <v>25.9</v>
      </c>
      <c r="L4488" t="s">
        <v>6</v>
      </c>
      <c r="M4488">
        <v>0</v>
      </c>
      <c r="N4488" t="str">
        <f t="shared" si="210"/>
        <v>Under 40</v>
      </c>
      <c r="O4488" t="str">
        <f t="shared" si="211"/>
        <v>Overweight</v>
      </c>
    </row>
    <row r="4489" spans="1:15" x14ac:dyDescent="0.3">
      <c r="A4489">
        <v>50009</v>
      </c>
      <c r="B4489" t="s">
        <v>7</v>
      </c>
      <c r="C4489">
        <v>17</v>
      </c>
      <c r="D4489">
        <v>0</v>
      </c>
      <c r="E4489">
        <v>0</v>
      </c>
      <c r="F4489" t="str">
        <f t="shared" si="212"/>
        <v>Lower Risk</v>
      </c>
      <c r="G4489" t="s">
        <v>13</v>
      </c>
      <c r="H4489" t="s">
        <v>4</v>
      </c>
      <c r="I4489" t="s">
        <v>5</v>
      </c>
      <c r="J4489">
        <v>81.510000000000005</v>
      </c>
      <c r="K4489">
        <v>19.5</v>
      </c>
      <c r="L4489" t="s">
        <v>6</v>
      </c>
      <c r="M4489">
        <v>0</v>
      </c>
      <c r="N4489" t="str">
        <f t="shared" si="210"/>
        <v>Under 40</v>
      </c>
      <c r="O4489" t="str">
        <f t="shared" si="211"/>
        <v>Normal</v>
      </c>
    </row>
    <row r="4490" spans="1:15" x14ac:dyDescent="0.3">
      <c r="A4490">
        <v>5170</v>
      </c>
      <c r="B4490" t="s">
        <v>2</v>
      </c>
      <c r="C4490">
        <v>42</v>
      </c>
      <c r="D4490">
        <v>0</v>
      </c>
      <c r="E4490">
        <v>0</v>
      </c>
      <c r="F4490" t="str">
        <f t="shared" si="212"/>
        <v>Lower Risk</v>
      </c>
      <c r="G4490" t="s">
        <v>3</v>
      </c>
      <c r="H4490" t="s">
        <v>15</v>
      </c>
      <c r="I4490" t="s">
        <v>9</v>
      </c>
      <c r="J4490">
        <v>67.97</v>
      </c>
      <c r="K4490">
        <v>23.8</v>
      </c>
      <c r="L4490" t="s">
        <v>14</v>
      </c>
      <c r="M4490">
        <v>0</v>
      </c>
      <c r="N4490" t="str">
        <f t="shared" si="210"/>
        <v>40–59</v>
      </c>
      <c r="O4490" t="str">
        <f t="shared" si="211"/>
        <v>Normal</v>
      </c>
    </row>
    <row r="4491" spans="1:15" x14ac:dyDescent="0.3">
      <c r="A4491">
        <v>16263</v>
      </c>
      <c r="B4491" t="s">
        <v>7</v>
      </c>
      <c r="C4491">
        <v>36</v>
      </c>
      <c r="D4491">
        <v>0</v>
      </c>
      <c r="E4491">
        <v>0</v>
      </c>
      <c r="F4491" t="str">
        <f t="shared" si="212"/>
        <v>Lower Risk</v>
      </c>
      <c r="G4491" t="s">
        <v>3</v>
      </c>
      <c r="H4491" t="s">
        <v>8</v>
      </c>
      <c r="I4491" t="s">
        <v>5</v>
      </c>
      <c r="J4491">
        <v>77.92</v>
      </c>
      <c r="K4491">
        <v>24.9</v>
      </c>
      <c r="L4491" t="s">
        <v>14</v>
      </c>
      <c r="M4491">
        <v>0</v>
      </c>
      <c r="N4491" t="str">
        <f t="shared" si="210"/>
        <v>Under 40</v>
      </c>
      <c r="O4491" t="str">
        <f t="shared" si="211"/>
        <v>Normal</v>
      </c>
    </row>
    <row r="4492" spans="1:15" x14ac:dyDescent="0.3">
      <c r="A4492">
        <v>16024</v>
      </c>
      <c r="B4492" t="s">
        <v>2</v>
      </c>
      <c r="C4492">
        <v>19</v>
      </c>
      <c r="D4492">
        <v>0</v>
      </c>
      <c r="E4492">
        <v>0</v>
      </c>
      <c r="F4492" t="str">
        <f t="shared" si="212"/>
        <v>Lower Risk</v>
      </c>
      <c r="G4492" t="s">
        <v>13</v>
      </c>
      <c r="H4492" t="s">
        <v>4</v>
      </c>
      <c r="I4492" t="s">
        <v>5</v>
      </c>
      <c r="J4492">
        <v>80.540000000000006</v>
      </c>
      <c r="K4492">
        <v>18.5</v>
      </c>
      <c r="L4492" t="s">
        <v>12</v>
      </c>
      <c r="M4492">
        <v>0</v>
      </c>
      <c r="N4492" t="str">
        <f t="shared" si="210"/>
        <v>Under 40</v>
      </c>
      <c r="O4492" t="str">
        <f t="shared" si="211"/>
        <v>Normal</v>
      </c>
    </row>
    <row r="4493" spans="1:15" x14ac:dyDescent="0.3">
      <c r="A4493">
        <v>47057</v>
      </c>
      <c r="B4493" t="s">
        <v>2</v>
      </c>
      <c r="C4493">
        <v>55</v>
      </c>
      <c r="D4493">
        <v>0</v>
      </c>
      <c r="E4493">
        <v>0</v>
      </c>
      <c r="F4493" t="str">
        <f t="shared" si="212"/>
        <v>Lower Risk</v>
      </c>
      <c r="G4493" t="s">
        <v>3</v>
      </c>
      <c r="H4493" t="s">
        <v>8</v>
      </c>
      <c r="I4493" t="s">
        <v>5</v>
      </c>
      <c r="J4493">
        <v>76.47</v>
      </c>
      <c r="K4493">
        <v>30.6</v>
      </c>
      <c r="L4493" t="s">
        <v>14</v>
      </c>
      <c r="M4493">
        <v>0</v>
      </c>
      <c r="N4493" t="str">
        <f t="shared" si="210"/>
        <v>40–59</v>
      </c>
      <c r="O4493" t="str">
        <f t="shared" si="211"/>
        <v>Obese</v>
      </c>
    </row>
    <row r="4494" spans="1:15" x14ac:dyDescent="0.3">
      <c r="A4494">
        <v>34045</v>
      </c>
      <c r="B4494" t="s">
        <v>7</v>
      </c>
      <c r="C4494">
        <v>8</v>
      </c>
      <c r="D4494">
        <v>0</v>
      </c>
      <c r="E4494">
        <v>0</v>
      </c>
      <c r="F4494" t="str">
        <f t="shared" si="212"/>
        <v>Lower Risk</v>
      </c>
      <c r="G4494" t="s">
        <v>13</v>
      </c>
      <c r="H4494" t="s">
        <v>16</v>
      </c>
      <c r="I4494" t="s">
        <v>5</v>
      </c>
      <c r="J4494">
        <v>87.15</v>
      </c>
      <c r="K4494">
        <v>16.100000000000001</v>
      </c>
      <c r="L4494" t="s">
        <v>14</v>
      </c>
      <c r="M4494">
        <v>0</v>
      </c>
      <c r="N4494" t="str">
        <f t="shared" si="210"/>
        <v>Under 40</v>
      </c>
      <c r="O4494" t="str">
        <f t="shared" si="211"/>
        <v>Underweight</v>
      </c>
    </row>
    <row r="4495" spans="1:15" x14ac:dyDescent="0.3">
      <c r="A4495">
        <v>59691</v>
      </c>
      <c r="B4495" t="s">
        <v>7</v>
      </c>
      <c r="C4495">
        <v>56</v>
      </c>
      <c r="D4495">
        <v>0</v>
      </c>
      <c r="E4495">
        <v>0</v>
      </c>
      <c r="F4495" t="str">
        <f t="shared" si="212"/>
        <v>Lower Risk</v>
      </c>
      <c r="G4495" t="s">
        <v>3</v>
      </c>
      <c r="H4495" t="s">
        <v>15</v>
      </c>
      <c r="I4495" t="s">
        <v>5</v>
      </c>
      <c r="J4495">
        <v>86.07</v>
      </c>
      <c r="K4495">
        <v>32.5</v>
      </c>
      <c r="L4495" t="s">
        <v>14</v>
      </c>
      <c r="M4495">
        <v>0</v>
      </c>
      <c r="N4495" t="str">
        <f t="shared" si="210"/>
        <v>40–59</v>
      </c>
      <c r="O4495" t="str">
        <f t="shared" si="211"/>
        <v>Obese</v>
      </c>
    </row>
    <row r="4496" spans="1:15" x14ac:dyDescent="0.3">
      <c r="A4496">
        <v>49261</v>
      </c>
      <c r="B4496" t="s">
        <v>2</v>
      </c>
      <c r="C4496">
        <v>54</v>
      </c>
      <c r="D4496">
        <v>0</v>
      </c>
      <c r="E4496">
        <v>0</v>
      </c>
      <c r="F4496" t="str">
        <f t="shared" si="212"/>
        <v>Lower Risk</v>
      </c>
      <c r="G4496" t="s">
        <v>13</v>
      </c>
      <c r="H4496" t="s">
        <v>4</v>
      </c>
      <c r="I4496" t="s">
        <v>9</v>
      </c>
      <c r="J4496">
        <v>106.52</v>
      </c>
      <c r="K4496">
        <v>27.4</v>
      </c>
      <c r="L4496" t="s">
        <v>6</v>
      </c>
      <c r="M4496">
        <v>0</v>
      </c>
      <c r="N4496" t="str">
        <f t="shared" si="210"/>
        <v>40–59</v>
      </c>
      <c r="O4496" t="str">
        <f t="shared" si="211"/>
        <v>Overweight</v>
      </c>
    </row>
    <row r="4497" spans="1:15" x14ac:dyDescent="0.3">
      <c r="A4497">
        <v>30734</v>
      </c>
      <c r="B4497" t="s">
        <v>2</v>
      </c>
      <c r="C4497">
        <v>15</v>
      </c>
      <c r="D4497">
        <v>0</v>
      </c>
      <c r="E4497">
        <v>0</v>
      </c>
      <c r="F4497" t="str">
        <f t="shared" si="212"/>
        <v>Lower Risk</v>
      </c>
      <c r="G4497" t="s">
        <v>13</v>
      </c>
      <c r="H4497" t="s">
        <v>16</v>
      </c>
      <c r="I4497" t="s">
        <v>9</v>
      </c>
      <c r="J4497">
        <v>94.24</v>
      </c>
      <c r="K4497">
        <v>30.2</v>
      </c>
      <c r="L4497" t="s">
        <v>14</v>
      </c>
      <c r="M4497">
        <v>0</v>
      </c>
      <c r="N4497" t="str">
        <f t="shared" si="210"/>
        <v>Under 40</v>
      </c>
      <c r="O4497" t="str">
        <f t="shared" si="211"/>
        <v>Obese</v>
      </c>
    </row>
    <row r="4498" spans="1:15" x14ac:dyDescent="0.3">
      <c r="A4498">
        <v>72184</v>
      </c>
      <c r="B4498" t="s">
        <v>7</v>
      </c>
      <c r="C4498">
        <v>43</v>
      </c>
      <c r="D4498">
        <v>0</v>
      </c>
      <c r="E4498">
        <v>0</v>
      </c>
      <c r="F4498" t="str">
        <f t="shared" si="212"/>
        <v>Lower Risk</v>
      </c>
      <c r="G4498" t="s">
        <v>3</v>
      </c>
      <c r="H4498" t="s">
        <v>8</v>
      </c>
      <c r="I4498" t="s">
        <v>5</v>
      </c>
      <c r="J4498">
        <v>89.73</v>
      </c>
      <c r="K4498">
        <v>23.5</v>
      </c>
      <c r="L4498" t="s">
        <v>6</v>
      </c>
      <c r="M4498">
        <v>0</v>
      </c>
      <c r="N4498" t="str">
        <f t="shared" si="210"/>
        <v>40–59</v>
      </c>
      <c r="O4498" t="str">
        <f t="shared" si="211"/>
        <v>Normal</v>
      </c>
    </row>
    <row r="4499" spans="1:15" x14ac:dyDescent="0.3">
      <c r="A4499">
        <v>37440</v>
      </c>
      <c r="B4499" t="s">
        <v>2</v>
      </c>
      <c r="C4499">
        <v>52</v>
      </c>
      <c r="D4499">
        <v>0</v>
      </c>
      <c r="E4499">
        <v>0</v>
      </c>
      <c r="F4499" t="str">
        <f t="shared" si="212"/>
        <v>Lower Risk</v>
      </c>
      <c r="G4499" t="s">
        <v>3</v>
      </c>
      <c r="H4499" t="s">
        <v>15</v>
      </c>
      <c r="I4499" t="s">
        <v>5</v>
      </c>
      <c r="J4499">
        <v>208.39</v>
      </c>
      <c r="K4499">
        <v>36</v>
      </c>
      <c r="L4499" t="s">
        <v>6</v>
      </c>
      <c r="M4499">
        <v>0</v>
      </c>
      <c r="N4499" t="str">
        <f t="shared" si="210"/>
        <v>40–59</v>
      </c>
      <c r="O4499" t="str">
        <f t="shared" si="211"/>
        <v>Obese</v>
      </c>
    </row>
    <row r="4500" spans="1:15" x14ac:dyDescent="0.3">
      <c r="A4500">
        <v>54400</v>
      </c>
      <c r="B4500" t="s">
        <v>7</v>
      </c>
      <c r="C4500">
        <v>62</v>
      </c>
      <c r="D4500">
        <v>0</v>
      </c>
      <c r="E4500">
        <v>0</v>
      </c>
      <c r="F4500" t="str">
        <f t="shared" si="212"/>
        <v>Moderate Risk</v>
      </c>
      <c r="G4500" t="s">
        <v>3</v>
      </c>
      <c r="H4500" t="s">
        <v>8</v>
      </c>
      <c r="I4500" t="s">
        <v>9</v>
      </c>
      <c r="J4500">
        <v>128.61000000000001</v>
      </c>
      <c r="K4500">
        <v>24.8</v>
      </c>
      <c r="L4500" t="s">
        <v>11</v>
      </c>
      <c r="M4500">
        <v>0</v>
      </c>
      <c r="N4500" t="str">
        <f t="shared" si="210"/>
        <v>60+</v>
      </c>
      <c r="O4500" t="str">
        <f t="shared" si="211"/>
        <v>Normal</v>
      </c>
    </row>
    <row r="4501" spans="1:15" x14ac:dyDescent="0.3">
      <c r="A4501">
        <v>56547</v>
      </c>
      <c r="B4501" t="s">
        <v>2</v>
      </c>
      <c r="C4501">
        <v>54</v>
      </c>
      <c r="D4501">
        <v>0</v>
      </c>
      <c r="E4501">
        <v>0</v>
      </c>
      <c r="F4501" t="str">
        <f t="shared" si="212"/>
        <v>Lower Risk</v>
      </c>
      <c r="G4501" t="s">
        <v>3</v>
      </c>
      <c r="H4501" t="s">
        <v>4</v>
      </c>
      <c r="I4501" t="s">
        <v>9</v>
      </c>
      <c r="J4501">
        <v>57.56</v>
      </c>
      <c r="K4501">
        <v>27.5</v>
      </c>
      <c r="L4501" t="s">
        <v>11</v>
      </c>
      <c r="M4501">
        <v>0</v>
      </c>
      <c r="N4501" t="str">
        <f t="shared" si="210"/>
        <v>40–59</v>
      </c>
      <c r="O4501" t="str">
        <f t="shared" si="211"/>
        <v>Overweight</v>
      </c>
    </row>
    <row r="4502" spans="1:15" x14ac:dyDescent="0.3">
      <c r="A4502">
        <v>13598</v>
      </c>
      <c r="B4502" t="s">
        <v>2</v>
      </c>
      <c r="C4502">
        <v>60</v>
      </c>
      <c r="D4502">
        <v>0</v>
      </c>
      <c r="E4502">
        <v>0</v>
      </c>
      <c r="F4502" t="str">
        <f t="shared" si="212"/>
        <v>Moderate Risk</v>
      </c>
      <c r="G4502" t="s">
        <v>3</v>
      </c>
      <c r="H4502" t="s">
        <v>8</v>
      </c>
      <c r="I4502" t="s">
        <v>5</v>
      </c>
      <c r="J4502">
        <v>227.23</v>
      </c>
      <c r="K4502">
        <v>40</v>
      </c>
      <c r="L4502" t="s">
        <v>6</v>
      </c>
      <c r="M4502">
        <v>0</v>
      </c>
      <c r="N4502" t="str">
        <f t="shared" si="210"/>
        <v>60+</v>
      </c>
      <c r="O4502" t="str">
        <f t="shared" si="211"/>
        <v>Obese</v>
      </c>
    </row>
    <row r="4503" spans="1:15" x14ac:dyDescent="0.3">
      <c r="A4503">
        <v>24246</v>
      </c>
      <c r="B4503" t="s">
        <v>2</v>
      </c>
      <c r="C4503">
        <v>7</v>
      </c>
      <c r="D4503">
        <v>0</v>
      </c>
      <c r="E4503">
        <v>0</v>
      </c>
      <c r="F4503" t="str">
        <f t="shared" si="212"/>
        <v>Lower Risk</v>
      </c>
      <c r="G4503" t="s">
        <v>13</v>
      </c>
      <c r="H4503" t="s">
        <v>16</v>
      </c>
      <c r="I4503" t="s">
        <v>5</v>
      </c>
      <c r="J4503">
        <v>77.760000000000005</v>
      </c>
      <c r="K4503">
        <v>18.100000000000001</v>
      </c>
      <c r="L4503" t="s">
        <v>14</v>
      </c>
      <c r="M4503">
        <v>0</v>
      </c>
      <c r="N4503" t="str">
        <f t="shared" si="210"/>
        <v>Under 40</v>
      </c>
      <c r="O4503" t="str">
        <f t="shared" si="211"/>
        <v>Underweight</v>
      </c>
    </row>
    <row r="4504" spans="1:15" x14ac:dyDescent="0.3">
      <c r="A4504">
        <v>29276</v>
      </c>
      <c r="B4504" t="s">
        <v>2</v>
      </c>
      <c r="C4504">
        <v>3</v>
      </c>
      <c r="D4504">
        <v>0</v>
      </c>
      <c r="E4504">
        <v>0</v>
      </c>
      <c r="F4504" t="str">
        <f t="shared" si="212"/>
        <v>Lower Risk</v>
      </c>
      <c r="G4504" t="s">
        <v>13</v>
      </c>
      <c r="H4504" t="s">
        <v>16</v>
      </c>
      <c r="I4504" t="s">
        <v>5</v>
      </c>
      <c r="J4504">
        <v>72.760000000000005</v>
      </c>
      <c r="K4504">
        <v>18.8</v>
      </c>
      <c r="L4504" t="s">
        <v>14</v>
      </c>
      <c r="M4504">
        <v>0</v>
      </c>
      <c r="N4504" t="str">
        <f t="shared" si="210"/>
        <v>Under 40</v>
      </c>
      <c r="O4504" t="str">
        <f t="shared" si="211"/>
        <v>Normal</v>
      </c>
    </row>
    <row r="4505" spans="1:15" x14ac:dyDescent="0.3">
      <c r="A4505">
        <v>20979</v>
      </c>
      <c r="B4505" t="s">
        <v>7</v>
      </c>
      <c r="C4505">
        <v>39</v>
      </c>
      <c r="D4505">
        <v>0</v>
      </c>
      <c r="E4505">
        <v>0</v>
      </c>
      <c r="F4505" t="str">
        <f t="shared" si="212"/>
        <v>Lower Risk</v>
      </c>
      <c r="G4505" t="s">
        <v>13</v>
      </c>
      <c r="H4505" t="s">
        <v>4</v>
      </c>
      <c r="I4505" t="s">
        <v>9</v>
      </c>
      <c r="J4505">
        <v>90.11</v>
      </c>
      <c r="K4505">
        <v>23.6</v>
      </c>
      <c r="L4505" t="s">
        <v>11</v>
      </c>
      <c r="M4505">
        <v>0</v>
      </c>
      <c r="N4505" t="str">
        <f t="shared" si="210"/>
        <v>Under 40</v>
      </c>
      <c r="O4505" t="str">
        <f t="shared" si="211"/>
        <v>Normal</v>
      </c>
    </row>
    <row r="4506" spans="1:15" x14ac:dyDescent="0.3">
      <c r="A4506">
        <v>46048</v>
      </c>
      <c r="B4506" t="s">
        <v>2</v>
      </c>
      <c r="C4506">
        <v>60</v>
      </c>
      <c r="D4506">
        <v>0</v>
      </c>
      <c r="E4506">
        <v>0</v>
      </c>
      <c r="F4506" t="str">
        <f t="shared" si="212"/>
        <v>Moderate Risk</v>
      </c>
      <c r="G4506" t="s">
        <v>3</v>
      </c>
      <c r="H4506" t="s">
        <v>15</v>
      </c>
      <c r="I4506" t="s">
        <v>9</v>
      </c>
      <c r="J4506">
        <v>203.27</v>
      </c>
      <c r="K4506">
        <v>29.7</v>
      </c>
      <c r="L4506" t="s">
        <v>11</v>
      </c>
      <c r="M4506">
        <v>0</v>
      </c>
      <c r="N4506" t="str">
        <f t="shared" si="210"/>
        <v>60+</v>
      </c>
      <c r="O4506" t="str">
        <f t="shared" si="211"/>
        <v>Overweight</v>
      </c>
    </row>
    <row r="4507" spans="1:15" x14ac:dyDescent="0.3">
      <c r="A4507">
        <v>35217</v>
      </c>
      <c r="B4507" t="s">
        <v>7</v>
      </c>
      <c r="C4507">
        <v>60</v>
      </c>
      <c r="D4507">
        <v>1</v>
      </c>
      <c r="E4507">
        <v>0</v>
      </c>
      <c r="F4507" t="str">
        <f t="shared" si="212"/>
        <v>High Risk</v>
      </c>
      <c r="G4507" t="s">
        <v>3</v>
      </c>
      <c r="H4507" t="s">
        <v>4</v>
      </c>
      <c r="I4507" t="s">
        <v>5</v>
      </c>
      <c r="J4507">
        <v>234.5</v>
      </c>
      <c r="K4507">
        <v>43.7</v>
      </c>
      <c r="L4507" t="s">
        <v>11</v>
      </c>
      <c r="M4507">
        <v>0</v>
      </c>
      <c r="N4507" t="str">
        <f t="shared" si="210"/>
        <v>60+</v>
      </c>
      <c r="O4507" t="str">
        <f t="shared" si="211"/>
        <v>Obese</v>
      </c>
    </row>
    <row r="4508" spans="1:15" x14ac:dyDescent="0.3">
      <c r="A4508">
        <v>11816</v>
      </c>
      <c r="B4508" t="s">
        <v>7</v>
      </c>
      <c r="C4508">
        <v>46</v>
      </c>
      <c r="D4508">
        <v>0</v>
      </c>
      <c r="E4508">
        <v>0</v>
      </c>
      <c r="F4508" t="str">
        <f t="shared" si="212"/>
        <v>Lower Risk</v>
      </c>
      <c r="G4508" t="s">
        <v>3</v>
      </c>
      <c r="H4508" t="s">
        <v>8</v>
      </c>
      <c r="I4508" t="s">
        <v>5</v>
      </c>
      <c r="J4508">
        <v>71.12</v>
      </c>
      <c r="K4508">
        <v>27.3</v>
      </c>
      <c r="L4508" t="s">
        <v>11</v>
      </c>
      <c r="M4508">
        <v>0</v>
      </c>
      <c r="N4508" t="str">
        <f t="shared" si="210"/>
        <v>40–59</v>
      </c>
      <c r="O4508" t="str">
        <f t="shared" si="211"/>
        <v>Overweight</v>
      </c>
    </row>
    <row r="4509" spans="1:15" x14ac:dyDescent="0.3">
      <c r="A4509">
        <v>48721</v>
      </c>
      <c r="B4509" t="s">
        <v>2</v>
      </c>
      <c r="C4509">
        <v>26</v>
      </c>
      <c r="D4509">
        <v>0</v>
      </c>
      <c r="E4509">
        <v>0</v>
      </c>
      <c r="F4509" t="str">
        <f t="shared" si="212"/>
        <v>Lower Risk</v>
      </c>
      <c r="G4509" t="s">
        <v>13</v>
      </c>
      <c r="H4509" t="s">
        <v>4</v>
      </c>
      <c r="I4509" t="s">
        <v>5</v>
      </c>
      <c r="J4509">
        <v>190.67</v>
      </c>
      <c r="K4509">
        <v>20.2</v>
      </c>
      <c r="L4509" t="s">
        <v>11</v>
      </c>
      <c r="M4509">
        <v>0</v>
      </c>
      <c r="N4509" t="str">
        <f t="shared" si="210"/>
        <v>Under 40</v>
      </c>
      <c r="O4509" t="str">
        <f t="shared" si="211"/>
        <v>Normal</v>
      </c>
    </row>
    <row r="4510" spans="1:15" x14ac:dyDescent="0.3">
      <c r="A4510">
        <v>24163</v>
      </c>
      <c r="B4510" t="s">
        <v>7</v>
      </c>
      <c r="C4510">
        <v>12</v>
      </c>
      <c r="D4510">
        <v>0</v>
      </c>
      <c r="E4510">
        <v>0</v>
      </c>
      <c r="F4510" t="str">
        <f t="shared" si="212"/>
        <v>Lower Risk</v>
      </c>
      <c r="G4510" t="s">
        <v>13</v>
      </c>
      <c r="H4510" t="s">
        <v>16</v>
      </c>
      <c r="I4510" t="s">
        <v>9</v>
      </c>
      <c r="J4510">
        <v>116.04</v>
      </c>
      <c r="K4510">
        <v>23.8</v>
      </c>
      <c r="L4510" t="s">
        <v>14</v>
      </c>
      <c r="M4510">
        <v>0</v>
      </c>
      <c r="N4510" t="str">
        <f t="shared" si="210"/>
        <v>Under 40</v>
      </c>
      <c r="O4510" t="str">
        <f t="shared" si="211"/>
        <v>Normal</v>
      </c>
    </row>
    <row r="4511" spans="1:15" x14ac:dyDescent="0.3">
      <c r="A4511">
        <v>8022</v>
      </c>
      <c r="B4511" t="s">
        <v>2</v>
      </c>
      <c r="C4511">
        <v>16</v>
      </c>
      <c r="D4511">
        <v>0</v>
      </c>
      <c r="E4511">
        <v>0</v>
      </c>
      <c r="F4511" t="str">
        <f t="shared" si="212"/>
        <v>Lower Risk</v>
      </c>
      <c r="G4511" t="s">
        <v>13</v>
      </c>
      <c r="H4511" t="s">
        <v>4</v>
      </c>
      <c r="I4511" t="s">
        <v>5</v>
      </c>
      <c r="J4511">
        <v>82.95</v>
      </c>
      <c r="K4511">
        <v>21.4</v>
      </c>
      <c r="L4511" t="s">
        <v>11</v>
      </c>
      <c r="M4511">
        <v>0</v>
      </c>
      <c r="N4511" t="str">
        <f t="shared" si="210"/>
        <v>Under 40</v>
      </c>
      <c r="O4511" t="str">
        <f t="shared" si="211"/>
        <v>Normal</v>
      </c>
    </row>
    <row r="4512" spans="1:15" x14ac:dyDescent="0.3">
      <c r="A4512">
        <v>10950</v>
      </c>
      <c r="B4512" t="s">
        <v>7</v>
      </c>
      <c r="C4512">
        <v>2</v>
      </c>
      <c r="D4512">
        <v>0</v>
      </c>
      <c r="E4512">
        <v>0</v>
      </c>
      <c r="F4512" t="str">
        <f t="shared" si="212"/>
        <v>Lower Risk</v>
      </c>
      <c r="G4512" t="s">
        <v>13</v>
      </c>
      <c r="H4512" t="s">
        <v>16</v>
      </c>
      <c r="I4512" t="s">
        <v>5</v>
      </c>
      <c r="J4512">
        <v>112.75</v>
      </c>
      <c r="K4512">
        <v>25.1</v>
      </c>
      <c r="L4512" t="s">
        <v>14</v>
      </c>
      <c r="M4512">
        <v>0</v>
      </c>
      <c r="N4512" t="str">
        <f t="shared" si="210"/>
        <v>Under 40</v>
      </c>
      <c r="O4512" t="str">
        <f t="shared" si="211"/>
        <v>Overweight</v>
      </c>
    </row>
    <row r="4513" spans="1:15" x14ac:dyDescent="0.3">
      <c r="A4513">
        <v>21830</v>
      </c>
      <c r="B4513" t="s">
        <v>7</v>
      </c>
      <c r="C4513">
        <v>82</v>
      </c>
      <c r="D4513">
        <v>0</v>
      </c>
      <c r="E4513">
        <v>0</v>
      </c>
      <c r="F4513" t="str">
        <f t="shared" si="212"/>
        <v>Moderate Risk</v>
      </c>
      <c r="G4513" t="s">
        <v>3</v>
      </c>
      <c r="H4513" t="s">
        <v>4</v>
      </c>
      <c r="I4513" t="s">
        <v>5</v>
      </c>
      <c r="J4513">
        <v>82.63</v>
      </c>
      <c r="K4513">
        <v>17.899999999999999</v>
      </c>
      <c r="L4513" t="s">
        <v>12</v>
      </c>
      <c r="M4513">
        <v>0</v>
      </c>
      <c r="N4513" t="str">
        <f t="shared" si="210"/>
        <v>60+</v>
      </c>
      <c r="O4513" t="str">
        <f t="shared" si="211"/>
        <v>Underweight</v>
      </c>
    </row>
    <row r="4514" spans="1:15" x14ac:dyDescent="0.3">
      <c r="A4514">
        <v>26594</v>
      </c>
      <c r="B4514" t="s">
        <v>7</v>
      </c>
      <c r="C4514">
        <v>32</v>
      </c>
      <c r="D4514">
        <v>0</v>
      </c>
      <c r="E4514">
        <v>0</v>
      </c>
      <c r="F4514" t="str">
        <f t="shared" si="212"/>
        <v>Lower Risk</v>
      </c>
      <c r="G4514" t="s">
        <v>3</v>
      </c>
      <c r="H4514" t="s">
        <v>4</v>
      </c>
      <c r="I4514" t="s">
        <v>5</v>
      </c>
      <c r="J4514">
        <v>92.75</v>
      </c>
      <c r="K4514">
        <v>34.5</v>
      </c>
      <c r="L4514" t="s">
        <v>12</v>
      </c>
      <c r="M4514">
        <v>0</v>
      </c>
      <c r="N4514" t="str">
        <f t="shared" si="210"/>
        <v>Under 40</v>
      </c>
      <c r="O4514" t="str">
        <f t="shared" si="211"/>
        <v>Obese</v>
      </c>
    </row>
    <row r="4515" spans="1:15" x14ac:dyDescent="0.3">
      <c r="A4515">
        <v>14789</v>
      </c>
      <c r="B4515" t="s">
        <v>7</v>
      </c>
      <c r="C4515">
        <v>62</v>
      </c>
      <c r="D4515">
        <v>0</v>
      </c>
      <c r="E4515">
        <v>0</v>
      </c>
      <c r="F4515" t="str">
        <f t="shared" si="212"/>
        <v>Moderate Risk</v>
      </c>
      <c r="G4515" t="s">
        <v>3</v>
      </c>
      <c r="H4515" t="s">
        <v>4</v>
      </c>
      <c r="I4515" t="s">
        <v>9</v>
      </c>
      <c r="J4515">
        <v>117.63</v>
      </c>
      <c r="K4515">
        <v>27.1</v>
      </c>
      <c r="L4515" t="s">
        <v>6</v>
      </c>
      <c r="M4515">
        <v>0</v>
      </c>
      <c r="N4515" t="str">
        <f t="shared" si="210"/>
        <v>60+</v>
      </c>
      <c r="O4515" t="str">
        <f t="shared" si="211"/>
        <v>Overweight</v>
      </c>
    </row>
    <row r="4516" spans="1:15" x14ac:dyDescent="0.3">
      <c r="A4516">
        <v>46670</v>
      </c>
      <c r="B4516" t="s">
        <v>7</v>
      </c>
      <c r="C4516">
        <v>75</v>
      </c>
      <c r="D4516">
        <v>1</v>
      </c>
      <c r="E4516">
        <v>0</v>
      </c>
      <c r="F4516" t="str">
        <f t="shared" si="212"/>
        <v>High Risk</v>
      </c>
      <c r="G4516" t="s">
        <v>3</v>
      </c>
      <c r="H4516" t="s">
        <v>8</v>
      </c>
      <c r="I4516" t="s">
        <v>9</v>
      </c>
      <c r="J4516">
        <v>197.06</v>
      </c>
      <c r="K4516">
        <v>26.1</v>
      </c>
      <c r="L4516" t="s">
        <v>11</v>
      </c>
      <c r="M4516">
        <v>0</v>
      </c>
      <c r="N4516" t="str">
        <f t="shared" si="210"/>
        <v>60+</v>
      </c>
      <c r="O4516" t="str">
        <f t="shared" si="211"/>
        <v>Overweight</v>
      </c>
    </row>
    <row r="4517" spans="1:15" x14ac:dyDescent="0.3">
      <c r="A4517">
        <v>31426</v>
      </c>
      <c r="B4517" t="s">
        <v>7</v>
      </c>
      <c r="C4517">
        <v>81</v>
      </c>
      <c r="D4517">
        <v>1</v>
      </c>
      <c r="E4517">
        <v>0</v>
      </c>
      <c r="F4517" t="str">
        <f t="shared" si="212"/>
        <v>High Risk</v>
      </c>
      <c r="G4517" t="s">
        <v>3</v>
      </c>
      <c r="H4517" t="s">
        <v>15</v>
      </c>
      <c r="I4517" t="s">
        <v>5</v>
      </c>
      <c r="J4517">
        <v>216.07</v>
      </c>
      <c r="K4517">
        <v>43.4</v>
      </c>
      <c r="L4517" t="s">
        <v>11</v>
      </c>
      <c r="M4517">
        <v>0</v>
      </c>
      <c r="N4517" t="str">
        <f t="shared" si="210"/>
        <v>60+</v>
      </c>
      <c r="O4517" t="str">
        <f t="shared" si="211"/>
        <v>Obese</v>
      </c>
    </row>
    <row r="4518" spans="1:15" x14ac:dyDescent="0.3">
      <c r="A4518">
        <v>64435</v>
      </c>
      <c r="B4518" t="s">
        <v>7</v>
      </c>
      <c r="C4518">
        <v>37</v>
      </c>
      <c r="D4518">
        <v>0</v>
      </c>
      <c r="E4518">
        <v>0</v>
      </c>
      <c r="F4518" t="str">
        <f t="shared" si="212"/>
        <v>Lower Risk</v>
      </c>
      <c r="G4518" t="s">
        <v>3</v>
      </c>
      <c r="H4518" t="s">
        <v>4</v>
      </c>
      <c r="I4518" t="s">
        <v>9</v>
      </c>
      <c r="J4518">
        <v>76.03</v>
      </c>
      <c r="K4518">
        <v>33.200000000000003</v>
      </c>
      <c r="L4518" t="s">
        <v>11</v>
      </c>
      <c r="M4518">
        <v>0</v>
      </c>
      <c r="N4518" t="str">
        <f t="shared" si="210"/>
        <v>Under 40</v>
      </c>
      <c r="O4518" t="str">
        <f t="shared" si="211"/>
        <v>Obese</v>
      </c>
    </row>
    <row r="4519" spans="1:15" x14ac:dyDescent="0.3">
      <c r="A4519">
        <v>68789</v>
      </c>
      <c r="B4519" t="s">
        <v>7</v>
      </c>
      <c r="C4519">
        <v>28</v>
      </c>
      <c r="D4519">
        <v>0</v>
      </c>
      <c r="E4519">
        <v>0</v>
      </c>
      <c r="F4519" t="str">
        <f t="shared" si="212"/>
        <v>Lower Risk</v>
      </c>
      <c r="G4519" t="s">
        <v>13</v>
      </c>
      <c r="H4519" t="s">
        <v>4</v>
      </c>
      <c r="I4519" t="s">
        <v>5</v>
      </c>
      <c r="J4519">
        <v>62.44</v>
      </c>
      <c r="K4519">
        <v>37.200000000000003</v>
      </c>
      <c r="L4519" t="s">
        <v>14</v>
      </c>
      <c r="M4519">
        <v>0</v>
      </c>
      <c r="N4519" t="str">
        <f t="shared" si="210"/>
        <v>Under 40</v>
      </c>
      <c r="O4519" t="str">
        <f t="shared" si="211"/>
        <v>Obese</v>
      </c>
    </row>
    <row r="4520" spans="1:15" x14ac:dyDescent="0.3">
      <c r="A4520">
        <v>56254</v>
      </c>
      <c r="B4520" t="s">
        <v>7</v>
      </c>
      <c r="C4520">
        <v>25</v>
      </c>
      <c r="D4520">
        <v>0</v>
      </c>
      <c r="E4520">
        <v>0</v>
      </c>
      <c r="F4520" t="str">
        <f t="shared" si="212"/>
        <v>Lower Risk</v>
      </c>
      <c r="G4520" t="s">
        <v>13</v>
      </c>
      <c r="H4520" t="s">
        <v>4</v>
      </c>
      <c r="I4520" t="s">
        <v>9</v>
      </c>
      <c r="J4520">
        <v>108.82</v>
      </c>
      <c r="K4520">
        <v>41.3</v>
      </c>
      <c r="L4520" t="s">
        <v>12</v>
      </c>
      <c r="M4520">
        <v>0</v>
      </c>
      <c r="N4520" t="str">
        <f t="shared" si="210"/>
        <v>Under 40</v>
      </c>
      <c r="O4520" t="str">
        <f t="shared" si="211"/>
        <v>Obese</v>
      </c>
    </row>
    <row r="4521" spans="1:15" x14ac:dyDescent="0.3">
      <c r="A4521">
        <v>17478</v>
      </c>
      <c r="B4521" t="s">
        <v>2</v>
      </c>
      <c r="C4521">
        <v>44</v>
      </c>
      <c r="D4521">
        <v>0</v>
      </c>
      <c r="E4521">
        <v>0</v>
      </c>
      <c r="F4521" t="str">
        <f t="shared" si="212"/>
        <v>Lower Risk</v>
      </c>
      <c r="G4521" t="s">
        <v>3</v>
      </c>
      <c r="H4521" t="s">
        <v>15</v>
      </c>
      <c r="I4521" t="s">
        <v>5</v>
      </c>
      <c r="J4521">
        <v>101.66</v>
      </c>
      <c r="K4521">
        <v>35.4</v>
      </c>
      <c r="L4521" t="s">
        <v>11</v>
      </c>
      <c r="M4521">
        <v>0</v>
      </c>
      <c r="N4521" t="str">
        <f t="shared" si="210"/>
        <v>40–59</v>
      </c>
      <c r="O4521" t="str">
        <f t="shared" si="211"/>
        <v>Obese</v>
      </c>
    </row>
    <row r="4522" spans="1:15" x14ac:dyDescent="0.3">
      <c r="A4522">
        <v>59908</v>
      </c>
      <c r="B4522" t="s">
        <v>7</v>
      </c>
      <c r="C4522">
        <v>11</v>
      </c>
      <c r="D4522">
        <v>0</v>
      </c>
      <c r="E4522">
        <v>0</v>
      </c>
      <c r="F4522" t="str">
        <f t="shared" si="212"/>
        <v>Lower Risk</v>
      </c>
      <c r="G4522" t="s">
        <v>13</v>
      </c>
      <c r="H4522" t="s">
        <v>16</v>
      </c>
      <c r="I4522" t="s">
        <v>9</v>
      </c>
      <c r="J4522">
        <v>121.15</v>
      </c>
      <c r="K4522">
        <v>26.1</v>
      </c>
      <c r="L4522" t="s">
        <v>14</v>
      </c>
      <c r="M4522">
        <v>0</v>
      </c>
      <c r="N4522" t="str">
        <f t="shared" si="210"/>
        <v>Under 40</v>
      </c>
      <c r="O4522" t="str">
        <f t="shared" si="211"/>
        <v>Overweight</v>
      </c>
    </row>
    <row r="4523" spans="1:15" x14ac:dyDescent="0.3">
      <c r="A4523">
        <v>34130</v>
      </c>
      <c r="B4523" t="s">
        <v>2</v>
      </c>
      <c r="C4523">
        <v>54</v>
      </c>
      <c r="D4523">
        <v>1</v>
      </c>
      <c r="E4523">
        <v>0</v>
      </c>
      <c r="F4523" t="str">
        <f t="shared" si="212"/>
        <v>Lower Risk</v>
      </c>
      <c r="G4523" t="s">
        <v>3</v>
      </c>
      <c r="H4523" t="s">
        <v>4</v>
      </c>
      <c r="I4523" t="s">
        <v>9</v>
      </c>
      <c r="J4523">
        <v>116.44</v>
      </c>
      <c r="K4523">
        <v>24.5</v>
      </c>
      <c r="L4523" t="s">
        <v>11</v>
      </c>
      <c r="M4523">
        <v>0</v>
      </c>
      <c r="N4523" t="str">
        <f t="shared" si="210"/>
        <v>40–59</v>
      </c>
      <c r="O4523" t="str">
        <f t="shared" si="211"/>
        <v>Normal</v>
      </c>
    </row>
    <row r="4524" spans="1:15" x14ac:dyDescent="0.3">
      <c r="A4524">
        <v>22282</v>
      </c>
      <c r="B4524" t="s">
        <v>2</v>
      </c>
      <c r="C4524">
        <v>52</v>
      </c>
      <c r="D4524">
        <v>1</v>
      </c>
      <c r="E4524">
        <v>0</v>
      </c>
      <c r="F4524" t="str">
        <f t="shared" si="212"/>
        <v>Lower Risk</v>
      </c>
      <c r="G4524" t="s">
        <v>3</v>
      </c>
      <c r="H4524" t="s">
        <v>15</v>
      </c>
      <c r="I4524" t="s">
        <v>9</v>
      </c>
      <c r="J4524">
        <v>116.62</v>
      </c>
      <c r="K4524" t="s">
        <v>10</v>
      </c>
      <c r="L4524" t="s">
        <v>12</v>
      </c>
      <c r="M4524">
        <v>0</v>
      </c>
      <c r="N4524" t="str">
        <f t="shared" si="210"/>
        <v>40–59</v>
      </c>
      <c r="O4524" t="str">
        <f t="shared" si="211"/>
        <v>Unknown</v>
      </c>
    </row>
    <row r="4525" spans="1:15" x14ac:dyDescent="0.3">
      <c r="A4525">
        <v>21110</v>
      </c>
      <c r="B4525" t="s">
        <v>7</v>
      </c>
      <c r="C4525">
        <v>43</v>
      </c>
      <c r="D4525">
        <v>0</v>
      </c>
      <c r="E4525">
        <v>0</v>
      </c>
      <c r="F4525" t="str">
        <f t="shared" si="212"/>
        <v>Lower Risk</v>
      </c>
      <c r="G4525" t="s">
        <v>3</v>
      </c>
      <c r="H4525" t="s">
        <v>4</v>
      </c>
      <c r="I4525" t="s">
        <v>5</v>
      </c>
      <c r="J4525">
        <v>93.3</v>
      </c>
      <c r="K4525">
        <v>32.700000000000003</v>
      </c>
      <c r="L4525" t="s">
        <v>11</v>
      </c>
      <c r="M4525">
        <v>0</v>
      </c>
      <c r="N4525" t="str">
        <f t="shared" si="210"/>
        <v>40–59</v>
      </c>
      <c r="O4525" t="str">
        <f t="shared" si="211"/>
        <v>Obese</v>
      </c>
    </row>
    <row r="4526" spans="1:15" x14ac:dyDescent="0.3">
      <c r="A4526">
        <v>71622</v>
      </c>
      <c r="B4526" t="s">
        <v>7</v>
      </c>
      <c r="C4526">
        <v>56</v>
      </c>
      <c r="D4526">
        <v>0</v>
      </c>
      <c r="E4526">
        <v>0</v>
      </c>
      <c r="F4526" t="str">
        <f t="shared" si="212"/>
        <v>Lower Risk</v>
      </c>
      <c r="G4526" t="s">
        <v>3</v>
      </c>
      <c r="H4526" t="s">
        <v>4</v>
      </c>
      <c r="I4526" t="s">
        <v>5</v>
      </c>
      <c r="J4526">
        <v>144.33000000000001</v>
      </c>
      <c r="K4526">
        <v>29.2</v>
      </c>
      <c r="L4526" t="s">
        <v>11</v>
      </c>
      <c r="M4526">
        <v>0</v>
      </c>
      <c r="N4526" t="str">
        <f t="shared" si="210"/>
        <v>40–59</v>
      </c>
      <c r="O4526" t="str">
        <f t="shared" si="211"/>
        <v>Overweight</v>
      </c>
    </row>
    <row r="4527" spans="1:15" x14ac:dyDescent="0.3">
      <c r="A4527">
        <v>10056</v>
      </c>
      <c r="B4527" t="s">
        <v>7</v>
      </c>
      <c r="C4527">
        <v>37</v>
      </c>
      <c r="D4527">
        <v>0</v>
      </c>
      <c r="E4527">
        <v>0</v>
      </c>
      <c r="F4527" t="str">
        <f t="shared" si="212"/>
        <v>Lower Risk</v>
      </c>
      <c r="G4527" t="s">
        <v>3</v>
      </c>
      <c r="H4527" t="s">
        <v>4</v>
      </c>
      <c r="I4527" t="s">
        <v>5</v>
      </c>
      <c r="J4527">
        <v>98.02</v>
      </c>
      <c r="K4527">
        <v>20.399999999999999</v>
      </c>
      <c r="L4527" t="s">
        <v>11</v>
      </c>
      <c r="M4527">
        <v>0</v>
      </c>
      <c r="N4527" t="str">
        <f t="shared" si="210"/>
        <v>Under 40</v>
      </c>
      <c r="O4527" t="str">
        <f t="shared" si="211"/>
        <v>Normal</v>
      </c>
    </row>
    <row r="4528" spans="1:15" x14ac:dyDescent="0.3">
      <c r="A4528">
        <v>2424</v>
      </c>
      <c r="B4528" t="s">
        <v>2</v>
      </c>
      <c r="C4528">
        <v>60</v>
      </c>
      <c r="D4528">
        <v>0</v>
      </c>
      <c r="E4528">
        <v>0</v>
      </c>
      <c r="F4528" t="str">
        <f t="shared" si="212"/>
        <v>Moderate Risk</v>
      </c>
      <c r="G4528" t="s">
        <v>3</v>
      </c>
      <c r="H4528" t="s">
        <v>4</v>
      </c>
      <c r="I4528" t="s">
        <v>5</v>
      </c>
      <c r="J4528">
        <v>80.67</v>
      </c>
      <c r="K4528">
        <v>33.5</v>
      </c>
      <c r="L4528" t="s">
        <v>14</v>
      </c>
      <c r="M4528">
        <v>0</v>
      </c>
      <c r="N4528" t="str">
        <f t="shared" si="210"/>
        <v>60+</v>
      </c>
      <c r="O4528" t="str">
        <f t="shared" si="211"/>
        <v>Obese</v>
      </c>
    </row>
    <row r="4529" spans="1:15" x14ac:dyDescent="0.3">
      <c r="A4529">
        <v>24736</v>
      </c>
      <c r="B4529" t="s">
        <v>7</v>
      </c>
      <c r="C4529">
        <v>4</v>
      </c>
      <c r="D4529">
        <v>0</v>
      </c>
      <c r="E4529">
        <v>0</v>
      </c>
      <c r="F4529" t="str">
        <f t="shared" si="212"/>
        <v>Lower Risk</v>
      </c>
      <c r="G4529" t="s">
        <v>13</v>
      </c>
      <c r="H4529" t="s">
        <v>16</v>
      </c>
      <c r="I4529" t="s">
        <v>5</v>
      </c>
      <c r="J4529">
        <v>94.27</v>
      </c>
      <c r="K4529">
        <v>14</v>
      </c>
      <c r="L4529" t="s">
        <v>14</v>
      </c>
      <c r="M4529">
        <v>0</v>
      </c>
      <c r="N4529" t="str">
        <f t="shared" si="210"/>
        <v>Under 40</v>
      </c>
      <c r="O4529" t="str">
        <f t="shared" si="211"/>
        <v>Underweight</v>
      </c>
    </row>
    <row r="4530" spans="1:15" x14ac:dyDescent="0.3">
      <c r="A4530">
        <v>8920</v>
      </c>
      <c r="B4530" t="s">
        <v>7</v>
      </c>
      <c r="C4530">
        <v>51</v>
      </c>
      <c r="D4530">
        <v>0</v>
      </c>
      <c r="E4530">
        <v>0</v>
      </c>
      <c r="F4530" t="str">
        <f t="shared" si="212"/>
        <v>Lower Risk</v>
      </c>
      <c r="G4530" t="s">
        <v>3</v>
      </c>
      <c r="H4530" t="s">
        <v>8</v>
      </c>
      <c r="I4530" t="s">
        <v>9</v>
      </c>
      <c r="J4530">
        <v>76.349999999999994</v>
      </c>
      <c r="K4530">
        <v>33.5</v>
      </c>
      <c r="L4530" t="s">
        <v>6</v>
      </c>
      <c r="M4530">
        <v>0</v>
      </c>
      <c r="N4530" t="str">
        <f t="shared" si="210"/>
        <v>40–59</v>
      </c>
      <c r="O4530" t="str">
        <f t="shared" si="211"/>
        <v>Obese</v>
      </c>
    </row>
    <row r="4531" spans="1:15" x14ac:dyDescent="0.3">
      <c r="A4531">
        <v>62715</v>
      </c>
      <c r="B4531" t="s">
        <v>2</v>
      </c>
      <c r="C4531">
        <v>82</v>
      </c>
      <c r="D4531">
        <v>0</v>
      </c>
      <c r="E4531">
        <v>1</v>
      </c>
      <c r="F4531" t="str">
        <f t="shared" si="212"/>
        <v>High Risk</v>
      </c>
      <c r="G4531" t="s">
        <v>3</v>
      </c>
      <c r="H4531" t="s">
        <v>4</v>
      </c>
      <c r="I4531" t="s">
        <v>5</v>
      </c>
      <c r="J4531">
        <v>57.56</v>
      </c>
      <c r="K4531">
        <v>27.5</v>
      </c>
      <c r="L4531" t="s">
        <v>11</v>
      </c>
      <c r="M4531">
        <v>0</v>
      </c>
      <c r="N4531" t="str">
        <f t="shared" si="210"/>
        <v>60+</v>
      </c>
      <c r="O4531" t="str">
        <f t="shared" si="211"/>
        <v>Overweight</v>
      </c>
    </row>
    <row r="4532" spans="1:15" x14ac:dyDescent="0.3">
      <c r="A4532">
        <v>70615</v>
      </c>
      <c r="B4532" t="s">
        <v>7</v>
      </c>
      <c r="C4532">
        <v>56</v>
      </c>
      <c r="D4532">
        <v>0</v>
      </c>
      <c r="E4532">
        <v>0</v>
      </c>
      <c r="F4532" t="str">
        <f t="shared" si="212"/>
        <v>Lower Risk</v>
      </c>
      <c r="G4532" t="s">
        <v>3</v>
      </c>
      <c r="H4532" t="s">
        <v>15</v>
      </c>
      <c r="I4532" t="s">
        <v>5</v>
      </c>
      <c r="J4532">
        <v>179.14</v>
      </c>
      <c r="K4532">
        <v>35.299999999999997</v>
      </c>
      <c r="L4532" t="s">
        <v>14</v>
      </c>
      <c r="M4532">
        <v>0</v>
      </c>
      <c r="N4532" t="str">
        <f t="shared" si="210"/>
        <v>40–59</v>
      </c>
      <c r="O4532" t="str">
        <f t="shared" si="211"/>
        <v>Obese</v>
      </c>
    </row>
    <row r="4533" spans="1:15" x14ac:dyDescent="0.3">
      <c r="A4533">
        <v>43507</v>
      </c>
      <c r="B4533" t="s">
        <v>7</v>
      </c>
      <c r="C4533">
        <v>60</v>
      </c>
      <c r="D4533">
        <v>0</v>
      </c>
      <c r="E4533">
        <v>0</v>
      </c>
      <c r="F4533" t="str">
        <f t="shared" si="212"/>
        <v>Moderate Risk</v>
      </c>
      <c r="G4533" t="s">
        <v>3</v>
      </c>
      <c r="H4533" t="s">
        <v>4</v>
      </c>
      <c r="I4533" t="s">
        <v>9</v>
      </c>
      <c r="J4533">
        <v>63.49</v>
      </c>
      <c r="K4533">
        <v>30.1</v>
      </c>
      <c r="L4533" t="s">
        <v>11</v>
      </c>
      <c r="M4533">
        <v>0</v>
      </c>
      <c r="N4533" t="str">
        <f t="shared" si="210"/>
        <v>60+</v>
      </c>
      <c r="O4533" t="str">
        <f t="shared" si="211"/>
        <v>Obese</v>
      </c>
    </row>
    <row r="4534" spans="1:15" x14ac:dyDescent="0.3">
      <c r="A4534">
        <v>43035</v>
      </c>
      <c r="B4534" t="s">
        <v>2</v>
      </c>
      <c r="C4534">
        <v>35</v>
      </c>
      <c r="D4534">
        <v>0</v>
      </c>
      <c r="E4534">
        <v>0</v>
      </c>
      <c r="F4534" t="str">
        <f t="shared" si="212"/>
        <v>Lower Risk</v>
      </c>
      <c r="G4534" t="s">
        <v>3</v>
      </c>
      <c r="H4534" t="s">
        <v>4</v>
      </c>
      <c r="I4534" t="s">
        <v>9</v>
      </c>
      <c r="J4534">
        <v>145.18</v>
      </c>
      <c r="K4534">
        <v>32.6</v>
      </c>
      <c r="L4534" t="s">
        <v>12</v>
      </c>
      <c r="M4534">
        <v>0</v>
      </c>
      <c r="N4534" t="str">
        <f t="shared" si="210"/>
        <v>Under 40</v>
      </c>
      <c r="O4534" t="str">
        <f t="shared" si="211"/>
        <v>Obese</v>
      </c>
    </row>
    <row r="4535" spans="1:15" x14ac:dyDescent="0.3">
      <c r="A4535">
        <v>44799</v>
      </c>
      <c r="B4535" t="s">
        <v>7</v>
      </c>
      <c r="C4535">
        <v>32</v>
      </c>
      <c r="D4535">
        <v>0</v>
      </c>
      <c r="E4535">
        <v>0</v>
      </c>
      <c r="F4535" t="str">
        <f t="shared" si="212"/>
        <v>Lower Risk</v>
      </c>
      <c r="G4535" t="s">
        <v>3</v>
      </c>
      <c r="H4535" t="s">
        <v>4</v>
      </c>
      <c r="I4535" t="s">
        <v>9</v>
      </c>
      <c r="J4535">
        <v>66.3</v>
      </c>
      <c r="K4535">
        <v>47.5</v>
      </c>
      <c r="L4535" t="s">
        <v>11</v>
      </c>
      <c r="M4535">
        <v>0</v>
      </c>
      <c r="N4535" t="str">
        <f t="shared" si="210"/>
        <v>Under 40</v>
      </c>
      <c r="O4535" t="str">
        <f t="shared" si="211"/>
        <v>Obese</v>
      </c>
    </row>
    <row r="4536" spans="1:15" x14ac:dyDescent="0.3">
      <c r="A4536">
        <v>49053</v>
      </c>
      <c r="B4536" t="s">
        <v>7</v>
      </c>
      <c r="C4536">
        <v>45</v>
      </c>
      <c r="D4536">
        <v>0</v>
      </c>
      <c r="E4536">
        <v>0</v>
      </c>
      <c r="F4536" t="str">
        <f t="shared" si="212"/>
        <v>Lower Risk</v>
      </c>
      <c r="G4536" t="s">
        <v>13</v>
      </c>
      <c r="H4536" t="s">
        <v>4</v>
      </c>
      <c r="I4536" t="s">
        <v>9</v>
      </c>
      <c r="J4536">
        <v>120.56</v>
      </c>
      <c r="K4536">
        <v>31.6</v>
      </c>
      <c r="L4536" t="s">
        <v>11</v>
      </c>
      <c r="M4536">
        <v>0</v>
      </c>
      <c r="N4536" t="str">
        <f t="shared" si="210"/>
        <v>40–59</v>
      </c>
      <c r="O4536" t="str">
        <f t="shared" si="211"/>
        <v>Obese</v>
      </c>
    </row>
    <row r="4537" spans="1:15" x14ac:dyDescent="0.3">
      <c r="A4537">
        <v>33102</v>
      </c>
      <c r="B4537" t="s">
        <v>2</v>
      </c>
      <c r="C4537">
        <v>10</v>
      </c>
      <c r="D4537">
        <v>0</v>
      </c>
      <c r="E4537">
        <v>0</v>
      </c>
      <c r="F4537" t="str">
        <f t="shared" si="212"/>
        <v>Lower Risk</v>
      </c>
      <c r="G4537" t="s">
        <v>13</v>
      </c>
      <c r="H4537" t="s">
        <v>16</v>
      </c>
      <c r="I4537" t="s">
        <v>9</v>
      </c>
      <c r="J4537">
        <v>69.2</v>
      </c>
      <c r="K4537">
        <v>23.5</v>
      </c>
      <c r="L4537" t="s">
        <v>6</v>
      </c>
      <c r="M4537">
        <v>0</v>
      </c>
      <c r="N4537" t="str">
        <f t="shared" si="210"/>
        <v>Under 40</v>
      </c>
      <c r="O4537" t="str">
        <f t="shared" si="211"/>
        <v>Normal</v>
      </c>
    </row>
    <row r="4538" spans="1:15" x14ac:dyDescent="0.3">
      <c r="A4538">
        <v>59405</v>
      </c>
      <c r="B4538" t="s">
        <v>7</v>
      </c>
      <c r="C4538">
        <v>68</v>
      </c>
      <c r="D4538">
        <v>1</v>
      </c>
      <c r="E4538">
        <v>0</v>
      </c>
      <c r="F4538" t="str">
        <f t="shared" si="212"/>
        <v>High Risk</v>
      </c>
      <c r="G4538" t="s">
        <v>3</v>
      </c>
      <c r="H4538" t="s">
        <v>4</v>
      </c>
      <c r="I4538" t="s">
        <v>5</v>
      </c>
      <c r="J4538">
        <v>150.74</v>
      </c>
      <c r="K4538">
        <v>40.299999999999997</v>
      </c>
      <c r="L4538" t="s">
        <v>14</v>
      </c>
      <c r="M4538">
        <v>0</v>
      </c>
      <c r="N4538" t="str">
        <f t="shared" si="210"/>
        <v>60+</v>
      </c>
      <c r="O4538" t="str">
        <f t="shared" si="211"/>
        <v>Obese</v>
      </c>
    </row>
    <row r="4539" spans="1:15" x14ac:dyDescent="0.3">
      <c r="A4539">
        <v>18283</v>
      </c>
      <c r="B4539" t="s">
        <v>7</v>
      </c>
      <c r="C4539">
        <v>51</v>
      </c>
      <c r="D4539">
        <v>0</v>
      </c>
      <c r="E4539">
        <v>0</v>
      </c>
      <c r="F4539" t="str">
        <f t="shared" si="212"/>
        <v>Lower Risk</v>
      </c>
      <c r="G4539" t="s">
        <v>3</v>
      </c>
      <c r="H4539" t="s">
        <v>15</v>
      </c>
      <c r="I4539" t="s">
        <v>5</v>
      </c>
      <c r="J4539">
        <v>81.38</v>
      </c>
      <c r="K4539">
        <v>34.1</v>
      </c>
      <c r="L4539" t="s">
        <v>12</v>
      </c>
      <c r="M4539">
        <v>0</v>
      </c>
      <c r="N4539" t="str">
        <f t="shared" si="210"/>
        <v>40–59</v>
      </c>
      <c r="O4539" t="str">
        <f t="shared" si="211"/>
        <v>Obese</v>
      </c>
    </row>
    <row r="4540" spans="1:15" x14ac:dyDescent="0.3">
      <c r="A4540">
        <v>4929</v>
      </c>
      <c r="B4540" t="s">
        <v>2</v>
      </c>
      <c r="C4540">
        <v>8</v>
      </c>
      <c r="D4540">
        <v>0</v>
      </c>
      <c r="E4540">
        <v>0</v>
      </c>
      <c r="F4540" t="str">
        <f t="shared" si="212"/>
        <v>Lower Risk</v>
      </c>
      <c r="G4540" t="s">
        <v>13</v>
      </c>
      <c r="H4540" t="s">
        <v>16</v>
      </c>
      <c r="I4540" t="s">
        <v>5</v>
      </c>
      <c r="J4540">
        <v>78.48</v>
      </c>
      <c r="K4540">
        <v>16.100000000000001</v>
      </c>
      <c r="L4540" t="s">
        <v>14</v>
      </c>
      <c r="M4540">
        <v>0</v>
      </c>
      <c r="N4540" t="str">
        <f t="shared" si="210"/>
        <v>Under 40</v>
      </c>
      <c r="O4540" t="str">
        <f t="shared" si="211"/>
        <v>Underweight</v>
      </c>
    </row>
    <row r="4541" spans="1:15" x14ac:dyDescent="0.3">
      <c r="A4541">
        <v>37289</v>
      </c>
      <c r="B4541" t="s">
        <v>7</v>
      </c>
      <c r="C4541">
        <v>63</v>
      </c>
      <c r="D4541">
        <v>0</v>
      </c>
      <c r="E4541">
        <v>0</v>
      </c>
      <c r="F4541" t="str">
        <f t="shared" si="212"/>
        <v>Moderate Risk</v>
      </c>
      <c r="G4541" t="s">
        <v>3</v>
      </c>
      <c r="H4541" t="s">
        <v>8</v>
      </c>
      <c r="I4541" t="s">
        <v>9</v>
      </c>
      <c r="J4541">
        <v>203.87</v>
      </c>
      <c r="K4541">
        <v>26.4</v>
      </c>
      <c r="L4541" t="s">
        <v>11</v>
      </c>
      <c r="M4541">
        <v>0</v>
      </c>
      <c r="N4541" t="str">
        <f t="shared" si="210"/>
        <v>60+</v>
      </c>
      <c r="O4541" t="str">
        <f t="shared" si="211"/>
        <v>Overweight</v>
      </c>
    </row>
    <row r="4542" spans="1:15" x14ac:dyDescent="0.3">
      <c r="A4542">
        <v>6202</v>
      </c>
      <c r="B4542" t="s">
        <v>2</v>
      </c>
      <c r="C4542">
        <v>4</v>
      </c>
      <c r="D4542">
        <v>0</v>
      </c>
      <c r="E4542">
        <v>0</v>
      </c>
      <c r="F4542" t="str">
        <f t="shared" si="212"/>
        <v>Lower Risk</v>
      </c>
      <c r="G4542" t="s">
        <v>13</v>
      </c>
      <c r="H4542" t="s">
        <v>16</v>
      </c>
      <c r="I4542" t="s">
        <v>5</v>
      </c>
      <c r="J4542">
        <v>87</v>
      </c>
      <c r="K4542">
        <v>19</v>
      </c>
      <c r="L4542" t="s">
        <v>14</v>
      </c>
      <c r="M4542">
        <v>0</v>
      </c>
      <c r="N4542" t="str">
        <f t="shared" si="210"/>
        <v>Under 40</v>
      </c>
      <c r="O4542" t="str">
        <f t="shared" si="211"/>
        <v>Normal</v>
      </c>
    </row>
    <row r="4543" spans="1:15" x14ac:dyDescent="0.3">
      <c r="A4543">
        <v>24106</v>
      </c>
      <c r="B4543" t="s">
        <v>7</v>
      </c>
      <c r="C4543">
        <v>33</v>
      </c>
      <c r="D4543">
        <v>0</v>
      </c>
      <c r="E4543">
        <v>0</v>
      </c>
      <c r="F4543" t="str">
        <f t="shared" si="212"/>
        <v>Lower Risk</v>
      </c>
      <c r="G4543" t="s">
        <v>3</v>
      </c>
      <c r="H4543" t="s">
        <v>4</v>
      </c>
      <c r="I4543" t="s">
        <v>9</v>
      </c>
      <c r="J4543">
        <v>84.68</v>
      </c>
      <c r="K4543">
        <v>34.700000000000003</v>
      </c>
      <c r="L4543" t="s">
        <v>6</v>
      </c>
      <c r="M4543">
        <v>0</v>
      </c>
      <c r="N4543" t="str">
        <f t="shared" si="210"/>
        <v>Under 40</v>
      </c>
      <c r="O4543" t="str">
        <f t="shared" si="211"/>
        <v>Obese</v>
      </c>
    </row>
    <row r="4544" spans="1:15" x14ac:dyDescent="0.3">
      <c r="A4544">
        <v>32126</v>
      </c>
      <c r="B4544" t="s">
        <v>7</v>
      </c>
      <c r="C4544">
        <v>56</v>
      </c>
      <c r="D4544">
        <v>0</v>
      </c>
      <c r="E4544">
        <v>1</v>
      </c>
      <c r="F4544" t="str">
        <f t="shared" si="212"/>
        <v>Lower Risk</v>
      </c>
      <c r="G4544" t="s">
        <v>3</v>
      </c>
      <c r="H4544" t="s">
        <v>4</v>
      </c>
      <c r="I4544" t="s">
        <v>5</v>
      </c>
      <c r="J4544">
        <v>91.89</v>
      </c>
      <c r="K4544">
        <v>23.3</v>
      </c>
      <c r="L4544" t="s">
        <v>12</v>
      </c>
      <c r="M4544">
        <v>0</v>
      </c>
      <c r="N4544" t="str">
        <f t="shared" si="210"/>
        <v>40–59</v>
      </c>
      <c r="O4544" t="str">
        <f t="shared" si="211"/>
        <v>Normal</v>
      </c>
    </row>
    <row r="4545" spans="1:15" x14ac:dyDescent="0.3">
      <c r="A4545">
        <v>56322</v>
      </c>
      <c r="B4545" t="s">
        <v>2</v>
      </c>
      <c r="C4545">
        <v>49</v>
      </c>
      <c r="D4545">
        <v>0</v>
      </c>
      <c r="E4545">
        <v>1</v>
      </c>
      <c r="F4545" t="str">
        <f t="shared" si="212"/>
        <v>Lower Risk</v>
      </c>
      <c r="G4545" t="s">
        <v>3</v>
      </c>
      <c r="H4545" t="s">
        <v>15</v>
      </c>
      <c r="I4545" t="s">
        <v>9</v>
      </c>
      <c r="J4545">
        <v>88.97</v>
      </c>
      <c r="K4545">
        <v>32.6</v>
      </c>
      <c r="L4545" t="s">
        <v>11</v>
      </c>
      <c r="M4545">
        <v>0</v>
      </c>
      <c r="N4545" t="str">
        <f t="shared" si="210"/>
        <v>40–59</v>
      </c>
      <c r="O4545" t="str">
        <f t="shared" si="211"/>
        <v>Obese</v>
      </c>
    </row>
    <row r="4546" spans="1:15" x14ac:dyDescent="0.3">
      <c r="A4546">
        <v>54869</v>
      </c>
      <c r="B4546" t="s">
        <v>7</v>
      </c>
      <c r="C4546">
        <v>30</v>
      </c>
      <c r="D4546">
        <v>0</v>
      </c>
      <c r="E4546">
        <v>0</v>
      </c>
      <c r="F4546" t="str">
        <f t="shared" si="212"/>
        <v>Lower Risk</v>
      </c>
      <c r="G4546" t="s">
        <v>3</v>
      </c>
      <c r="H4546" t="s">
        <v>4</v>
      </c>
      <c r="I4546" t="s">
        <v>5</v>
      </c>
      <c r="J4546">
        <v>116.98</v>
      </c>
      <c r="K4546">
        <v>26</v>
      </c>
      <c r="L4546" t="s">
        <v>11</v>
      </c>
      <c r="M4546">
        <v>0</v>
      </c>
      <c r="N4546" t="str">
        <f t="shared" ref="N4546:N4609" si="213">IF(C4546&lt;40,"Under 40",IF(C4546&lt;60,"40–59","60+"))</f>
        <v>Under 40</v>
      </c>
      <c r="O4546" t="str">
        <f t="shared" ref="O4546:O4609" si="214">IF(K4546="N/A","Unknown",
IF(K4546="","Unknown",
IF(K4546&lt;18.5,"Underweight",
IF(K4546&lt;25,"Normal",
IF(K4546&lt;30,"Overweight","Obese")))))</f>
        <v>Overweight</v>
      </c>
    </row>
    <row r="4547" spans="1:15" x14ac:dyDescent="0.3">
      <c r="A4547">
        <v>40887</v>
      </c>
      <c r="B4547" t="s">
        <v>2</v>
      </c>
      <c r="C4547">
        <v>16</v>
      </c>
      <c r="D4547">
        <v>0</v>
      </c>
      <c r="E4547">
        <v>0</v>
      </c>
      <c r="F4547" t="str">
        <f t="shared" ref="F4547:F4610" si="215">IF(C4547&gt;=60,
IF(OR(D4547=1,E4547=1),"High Risk","Moderate Risk"),
"Lower Risk")</f>
        <v>Lower Risk</v>
      </c>
      <c r="G4547" t="s">
        <v>13</v>
      </c>
      <c r="H4547" t="s">
        <v>16</v>
      </c>
      <c r="I4547" t="s">
        <v>5</v>
      </c>
      <c r="J4547">
        <v>135.82</v>
      </c>
      <c r="K4547">
        <v>35.1</v>
      </c>
      <c r="L4547" t="s">
        <v>11</v>
      </c>
      <c r="M4547">
        <v>0</v>
      </c>
      <c r="N4547" t="str">
        <f t="shared" si="213"/>
        <v>Under 40</v>
      </c>
      <c r="O4547" t="str">
        <f t="shared" si="214"/>
        <v>Obese</v>
      </c>
    </row>
    <row r="4548" spans="1:15" x14ac:dyDescent="0.3">
      <c r="A4548">
        <v>29764</v>
      </c>
      <c r="B4548" t="s">
        <v>7</v>
      </c>
      <c r="C4548">
        <v>1.8</v>
      </c>
      <c r="D4548">
        <v>0</v>
      </c>
      <c r="E4548">
        <v>0</v>
      </c>
      <c r="F4548" t="str">
        <f t="shared" si="215"/>
        <v>Lower Risk</v>
      </c>
      <c r="G4548" t="s">
        <v>13</v>
      </c>
      <c r="H4548" t="s">
        <v>16</v>
      </c>
      <c r="I4548" t="s">
        <v>9</v>
      </c>
      <c r="J4548">
        <v>96.62</v>
      </c>
      <c r="K4548">
        <v>18.600000000000001</v>
      </c>
      <c r="L4548" t="s">
        <v>14</v>
      </c>
      <c r="M4548">
        <v>0</v>
      </c>
      <c r="N4548" t="str">
        <f t="shared" si="213"/>
        <v>Under 40</v>
      </c>
      <c r="O4548" t="str">
        <f t="shared" si="214"/>
        <v>Normal</v>
      </c>
    </row>
    <row r="4549" spans="1:15" x14ac:dyDescent="0.3">
      <c r="A4549">
        <v>38287</v>
      </c>
      <c r="B4549" t="s">
        <v>2</v>
      </c>
      <c r="C4549">
        <v>54</v>
      </c>
      <c r="D4549">
        <v>0</v>
      </c>
      <c r="E4549">
        <v>0</v>
      </c>
      <c r="F4549" t="str">
        <f t="shared" si="215"/>
        <v>Lower Risk</v>
      </c>
      <c r="G4549" t="s">
        <v>3</v>
      </c>
      <c r="H4549" t="s">
        <v>4</v>
      </c>
      <c r="I4549" t="s">
        <v>9</v>
      </c>
      <c r="J4549">
        <v>106.53</v>
      </c>
      <c r="K4549">
        <v>30.4</v>
      </c>
      <c r="L4549" t="s">
        <v>6</v>
      </c>
      <c r="M4549">
        <v>0</v>
      </c>
      <c r="N4549" t="str">
        <f t="shared" si="213"/>
        <v>40–59</v>
      </c>
      <c r="O4549" t="str">
        <f t="shared" si="214"/>
        <v>Obese</v>
      </c>
    </row>
    <row r="4550" spans="1:15" x14ac:dyDescent="0.3">
      <c r="A4550">
        <v>53426</v>
      </c>
      <c r="B4550" t="s">
        <v>2</v>
      </c>
      <c r="C4550">
        <v>49</v>
      </c>
      <c r="D4550">
        <v>0</v>
      </c>
      <c r="E4550">
        <v>0</v>
      </c>
      <c r="F4550" t="str">
        <f t="shared" si="215"/>
        <v>Lower Risk</v>
      </c>
      <c r="G4550" t="s">
        <v>3</v>
      </c>
      <c r="H4550" t="s">
        <v>4</v>
      </c>
      <c r="I4550" t="s">
        <v>9</v>
      </c>
      <c r="J4550">
        <v>58.42</v>
      </c>
      <c r="K4550">
        <v>32.799999999999997</v>
      </c>
      <c r="L4550" t="s">
        <v>6</v>
      </c>
      <c r="M4550">
        <v>0</v>
      </c>
      <c r="N4550" t="str">
        <f t="shared" si="213"/>
        <v>40–59</v>
      </c>
      <c r="O4550" t="str">
        <f t="shared" si="214"/>
        <v>Obese</v>
      </c>
    </row>
    <row r="4551" spans="1:15" x14ac:dyDescent="0.3">
      <c r="A4551">
        <v>14943</v>
      </c>
      <c r="B4551" t="s">
        <v>7</v>
      </c>
      <c r="C4551">
        <v>17</v>
      </c>
      <c r="D4551">
        <v>0</v>
      </c>
      <c r="E4551">
        <v>0</v>
      </c>
      <c r="F4551" t="str">
        <f t="shared" si="215"/>
        <v>Lower Risk</v>
      </c>
      <c r="G4551" t="s">
        <v>13</v>
      </c>
      <c r="H4551" t="s">
        <v>4</v>
      </c>
      <c r="I4551" t="s">
        <v>9</v>
      </c>
      <c r="J4551">
        <v>79.62</v>
      </c>
      <c r="K4551">
        <v>21.6</v>
      </c>
      <c r="L4551" t="s">
        <v>11</v>
      </c>
      <c r="M4551">
        <v>0</v>
      </c>
      <c r="N4551" t="str">
        <f t="shared" si="213"/>
        <v>Under 40</v>
      </c>
      <c r="O4551" t="str">
        <f t="shared" si="214"/>
        <v>Normal</v>
      </c>
    </row>
    <row r="4552" spans="1:15" x14ac:dyDescent="0.3">
      <c r="A4552">
        <v>65351</v>
      </c>
      <c r="B4552" t="s">
        <v>2</v>
      </c>
      <c r="C4552">
        <v>11</v>
      </c>
      <c r="D4552">
        <v>0</v>
      </c>
      <c r="E4552">
        <v>0</v>
      </c>
      <c r="F4552" t="str">
        <f t="shared" si="215"/>
        <v>Lower Risk</v>
      </c>
      <c r="G4552" t="s">
        <v>13</v>
      </c>
      <c r="H4552" t="s">
        <v>16</v>
      </c>
      <c r="I4552" t="s">
        <v>5</v>
      </c>
      <c r="J4552">
        <v>141.84</v>
      </c>
      <c r="K4552">
        <v>23.3</v>
      </c>
      <c r="L4552" t="s">
        <v>14</v>
      </c>
      <c r="M4552">
        <v>0</v>
      </c>
      <c r="N4552" t="str">
        <f t="shared" si="213"/>
        <v>Under 40</v>
      </c>
      <c r="O4552" t="str">
        <f t="shared" si="214"/>
        <v>Normal</v>
      </c>
    </row>
    <row r="4553" spans="1:15" x14ac:dyDescent="0.3">
      <c r="A4553">
        <v>61830</v>
      </c>
      <c r="B4553" t="s">
        <v>2</v>
      </c>
      <c r="C4553">
        <v>51</v>
      </c>
      <c r="D4553">
        <v>0</v>
      </c>
      <c r="E4553">
        <v>0</v>
      </c>
      <c r="F4553" t="str">
        <f t="shared" si="215"/>
        <v>Lower Risk</v>
      </c>
      <c r="G4553" t="s">
        <v>3</v>
      </c>
      <c r="H4553" t="s">
        <v>4</v>
      </c>
      <c r="I4553" t="s">
        <v>9</v>
      </c>
      <c r="J4553">
        <v>78.05</v>
      </c>
      <c r="K4553">
        <v>31.4</v>
      </c>
      <c r="L4553" t="s">
        <v>11</v>
      </c>
      <c r="M4553">
        <v>0</v>
      </c>
      <c r="N4553" t="str">
        <f t="shared" si="213"/>
        <v>40–59</v>
      </c>
      <c r="O4553" t="str">
        <f t="shared" si="214"/>
        <v>Obese</v>
      </c>
    </row>
    <row r="4554" spans="1:15" x14ac:dyDescent="0.3">
      <c r="A4554">
        <v>71777</v>
      </c>
      <c r="B4554" t="s">
        <v>2</v>
      </c>
      <c r="C4554">
        <v>74</v>
      </c>
      <c r="D4554">
        <v>1</v>
      </c>
      <c r="E4554">
        <v>1</v>
      </c>
      <c r="F4554" t="str">
        <f t="shared" si="215"/>
        <v>High Risk</v>
      </c>
      <c r="G4554" t="s">
        <v>3</v>
      </c>
      <c r="H4554" t="s">
        <v>4</v>
      </c>
      <c r="I4554" t="s">
        <v>9</v>
      </c>
      <c r="J4554">
        <v>77.16</v>
      </c>
      <c r="K4554">
        <v>26.3</v>
      </c>
      <c r="L4554" t="s">
        <v>11</v>
      </c>
      <c r="M4554">
        <v>0</v>
      </c>
      <c r="N4554" t="str">
        <f t="shared" si="213"/>
        <v>60+</v>
      </c>
      <c r="O4554" t="str">
        <f t="shared" si="214"/>
        <v>Overweight</v>
      </c>
    </row>
    <row r="4555" spans="1:15" x14ac:dyDescent="0.3">
      <c r="A4555">
        <v>69059</v>
      </c>
      <c r="B4555" t="s">
        <v>7</v>
      </c>
      <c r="C4555">
        <v>42</v>
      </c>
      <c r="D4555">
        <v>0</v>
      </c>
      <c r="E4555">
        <v>0</v>
      </c>
      <c r="F4555" t="str">
        <f t="shared" si="215"/>
        <v>Lower Risk</v>
      </c>
      <c r="G4555" t="s">
        <v>3</v>
      </c>
      <c r="H4555" t="s">
        <v>4</v>
      </c>
      <c r="I4555" t="s">
        <v>5</v>
      </c>
      <c r="J4555">
        <v>86.3</v>
      </c>
      <c r="K4555">
        <v>20.100000000000001</v>
      </c>
      <c r="L4555" t="s">
        <v>11</v>
      </c>
      <c r="M4555">
        <v>0</v>
      </c>
      <c r="N4555" t="str">
        <f t="shared" si="213"/>
        <v>40–59</v>
      </c>
      <c r="O4555" t="str">
        <f t="shared" si="214"/>
        <v>Normal</v>
      </c>
    </row>
    <row r="4556" spans="1:15" x14ac:dyDescent="0.3">
      <c r="A4556">
        <v>11908</v>
      </c>
      <c r="B4556" t="s">
        <v>7</v>
      </c>
      <c r="C4556">
        <v>69</v>
      </c>
      <c r="D4556">
        <v>0</v>
      </c>
      <c r="E4556">
        <v>0</v>
      </c>
      <c r="F4556" t="str">
        <f t="shared" si="215"/>
        <v>Moderate Risk</v>
      </c>
      <c r="G4556" t="s">
        <v>3</v>
      </c>
      <c r="H4556" t="s">
        <v>8</v>
      </c>
      <c r="I4556" t="s">
        <v>5</v>
      </c>
      <c r="J4556">
        <v>83.55</v>
      </c>
      <c r="K4556">
        <v>28.3</v>
      </c>
      <c r="L4556" t="s">
        <v>6</v>
      </c>
      <c r="M4556">
        <v>0</v>
      </c>
      <c r="N4556" t="str">
        <f t="shared" si="213"/>
        <v>60+</v>
      </c>
      <c r="O4556" t="str">
        <f t="shared" si="214"/>
        <v>Overweight</v>
      </c>
    </row>
    <row r="4557" spans="1:15" x14ac:dyDescent="0.3">
      <c r="A4557">
        <v>24955</v>
      </c>
      <c r="B4557" t="s">
        <v>7</v>
      </c>
      <c r="C4557">
        <v>22</v>
      </c>
      <c r="D4557">
        <v>0</v>
      </c>
      <c r="E4557">
        <v>0</v>
      </c>
      <c r="F4557" t="str">
        <f t="shared" si="215"/>
        <v>Lower Risk</v>
      </c>
      <c r="G4557" t="s">
        <v>13</v>
      </c>
      <c r="H4557" t="s">
        <v>4</v>
      </c>
      <c r="I4557" t="s">
        <v>9</v>
      </c>
      <c r="J4557">
        <v>102</v>
      </c>
      <c r="K4557">
        <v>40.4</v>
      </c>
      <c r="L4557" t="s">
        <v>12</v>
      </c>
      <c r="M4557">
        <v>0</v>
      </c>
      <c r="N4557" t="str">
        <f t="shared" si="213"/>
        <v>Under 40</v>
      </c>
      <c r="O4557" t="str">
        <f t="shared" si="214"/>
        <v>Obese</v>
      </c>
    </row>
    <row r="4558" spans="1:15" x14ac:dyDescent="0.3">
      <c r="A4558">
        <v>61477</v>
      </c>
      <c r="B4558" t="s">
        <v>7</v>
      </c>
      <c r="C4558">
        <v>25</v>
      </c>
      <c r="D4558">
        <v>0</v>
      </c>
      <c r="E4558">
        <v>0</v>
      </c>
      <c r="F4558" t="str">
        <f t="shared" si="215"/>
        <v>Lower Risk</v>
      </c>
      <c r="G4558" t="s">
        <v>13</v>
      </c>
      <c r="H4558" t="s">
        <v>4</v>
      </c>
      <c r="I4558" t="s">
        <v>5</v>
      </c>
      <c r="J4558">
        <v>68.069999999999993</v>
      </c>
      <c r="K4558">
        <v>18.600000000000001</v>
      </c>
      <c r="L4558" t="s">
        <v>12</v>
      </c>
      <c r="M4558">
        <v>0</v>
      </c>
      <c r="N4558" t="str">
        <f t="shared" si="213"/>
        <v>Under 40</v>
      </c>
      <c r="O4558" t="str">
        <f t="shared" si="214"/>
        <v>Normal</v>
      </c>
    </row>
    <row r="4559" spans="1:15" x14ac:dyDescent="0.3">
      <c r="A4559">
        <v>724</v>
      </c>
      <c r="B4559" t="s">
        <v>2</v>
      </c>
      <c r="C4559">
        <v>17</v>
      </c>
      <c r="D4559">
        <v>0</v>
      </c>
      <c r="E4559">
        <v>0</v>
      </c>
      <c r="F4559" t="str">
        <f t="shared" si="215"/>
        <v>Lower Risk</v>
      </c>
      <c r="G4559" t="s">
        <v>13</v>
      </c>
      <c r="H4559" t="s">
        <v>4</v>
      </c>
      <c r="I4559" t="s">
        <v>9</v>
      </c>
      <c r="J4559">
        <v>81.77</v>
      </c>
      <c r="K4559">
        <v>44.7</v>
      </c>
      <c r="L4559" t="s">
        <v>11</v>
      </c>
      <c r="M4559">
        <v>0</v>
      </c>
      <c r="N4559" t="str">
        <f t="shared" si="213"/>
        <v>Under 40</v>
      </c>
      <c r="O4559" t="str">
        <f t="shared" si="214"/>
        <v>Obese</v>
      </c>
    </row>
    <row r="4560" spans="1:15" x14ac:dyDescent="0.3">
      <c r="A4560">
        <v>22614</v>
      </c>
      <c r="B4560" t="s">
        <v>2</v>
      </c>
      <c r="C4560">
        <v>64</v>
      </c>
      <c r="D4560">
        <v>0</v>
      </c>
      <c r="E4560">
        <v>0</v>
      </c>
      <c r="F4560" t="str">
        <f t="shared" si="215"/>
        <v>Moderate Risk</v>
      </c>
      <c r="G4560" t="s">
        <v>13</v>
      </c>
      <c r="H4560" t="s">
        <v>8</v>
      </c>
      <c r="I4560" t="s">
        <v>9</v>
      </c>
      <c r="J4560">
        <v>82.62</v>
      </c>
      <c r="K4560">
        <v>25.3</v>
      </c>
      <c r="L4560" t="s">
        <v>12</v>
      </c>
      <c r="M4560">
        <v>0</v>
      </c>
      <c r="N4560" t="str">
        <f t="shared" si="213"/>
        <v>60+</v>
      </c>
      <c r="O4560" t="str">
        <f t="shared" si="214"/>
        <v>Overweight</v>
      </c>
    </row>
    <row r="4561" spans="1:15" x14ac:dyDescent="0.3">
      <c r="A4561">
        <v>61997</v>
      </c>
      <c r="B4561" t="s">
        <v>7</v>
      </c>
      <c r="C4561">
        <v>50</v>
      </c>
      <c r="D4561">
        <v>0</v>
      </c>
      <c r="E4561">
        <v>0</v>
      </c>
      <c r="F4561" t="str">
        <f t="shared" si="215"/>
        <v>Lower Risk</v>
      </c>
      <c r="G4561" t="s">
        <v>3</v>
      </c>
      <c r="H4561" t="s">
        <v>4</v>
      </c>
      <c r="I4561" t="s">
        <v>5</v>
      </c>
      <c r="J4561">
        <v>102.03</v>
      </c>
      <c r="K4561">
        <v>28.3</v>
      </c>
      <c r="L4561" t="s">
        <v>14</v>
      </c>
      <c r="M4561">
        <v>0</v>
      </c>
      <c r="N4561" t="str">
        <f t="shared" si="213"/>
        <v>40–59</v>
      </c>
      <c r="O4561" t="str">
        <f t="shared" si="214"/>
        <v>Overweight</v>
      </c>
    </row>
    <row r="4562" spans="1:15" x14ac:dyDescent="0.3">
      <c r="A4562">
        <v>6605</v>
      </c>
      <c r="B4562" t="s">
        <v>2</v>
      </c>
      <c r="C4562">
        <v>52</v>
      </c>
      <c r="D4562">
        <v>1</v>
      </c>
      <c r="E4562">
        <v>0</v>
      </c>
      <c r="F4562" t="str">
        <f t="shared" si="215"/>
        <v>Lower Risk</v>
      </c>
      <c r="G4562" t="s">
        <v>3</v>
      </c>
      <c r="H4562" t="s">
        <v>15</v>
      </c>
      <c r="I4562" t="s">
        <v>5</v>
      </c>
      <c r="J4562">
        <v>235.06</v>
      </c>
      <c r="K4562">
        <v>39.9</v>
      </c>
      <c r="L4562" t="s">
        <v>6</v>
      </c>
      <c r="M4562">
        <v>0</v>
      </c>
      <c r="N4562" t="str">
        <f t="shared" si="213"/>
        <v>40–59</v>
      </c>
      <c r="O4562" t="str">
        <f t="shared" si="214"/>
        <v>Obese</v>
      </c>
    </row>
    <row r="4563" spans="1:15" x14ac:dyDescent="0.3">
      <c r="A4563">
        <v>46987</v>
      </c>
      <c r="B4563" t="s">
        <v>7</v>
      </c>
      <c r="C4563">
        <v>65</v>
      </c>
      <c r="D4563">
        <v>0</v>
      </c>
      <c r="E4563">
        <v>1</v>
      </c>
      <c r="F4563" t="str">
        <f t="shared" si="215"/>
        <v>High Risk</v>
      </c>
      <c r="G4563" t="s">
        <v>3</v>
      </c>
      <c r="H4563" t="s">
        <v>4</v>
      </c>
      <c r="I4563" t="s">
        <v>9</v>
      </c>
      <c r="J4563">
        <v>57.52</v>
      </c>
      <c r="K4563" t="s">
        <v>10</v>
      </c>
      <c r="L4563" t="s">
        <v>6</v>
      </c>
      <c r="M4563">
        <v>0</v>
      </c>
      <c r="N4563" t="str">
        <f t="shared" si="213"/>
        <v>60+</v>
      </c>
      <c r="O4563" t="str">
        <f t="shared" si="214"/>
        <v>Unknown</v>
      </c>
    </row>
    <row r="4564" spans="1:15" x14ac:dyDescent="0.3">
      <c r="A4564">
        <v>70428</v>
      </c>
      <c r="B4564" t="s">
        <v>7</v>
      </c>
      <c r="C4564">
        <v>37</v>
      </c>
      <c r="D4564">
        <v>0</v>
      </c>
      <c r="E4564">
        <v>0</v>
      </c>
      <c r="F4564" t="str">
        <f t="shared" si="215"/>
        <v>Lower Risk</v>
      </c>
      <c r="G4564" t="s">
        <v>3</v>
      </c>
      <c r="H4564" t="s">
        <v>15</v>
      </c>
      <c r="I4564" t="s">
        <v>5</v>
      </c>
      <c r="J4564">
        <v>76.98</v>
      </c>
      <c r="K4564">
        <v>34.700000000000003</v>
      </c>
      <c r="L4564" t="s">
        <v>11</v>
      </c>
      <c r="M4564">
        <v>0</v>
      </c>
      <c r="N4564" t="str">
        <f t="shared" si="213"/>
        <v>Under 40</v>
      </c>
      <c r="O4564" t="str">
        <f t="shared" si="214"/>
        <v>Obese</v>
      </c>
    </row>
    <row r="4565" spans="1:15" x14ac:dyDescent="0.3">
      <c r="A4565">
        <v>2267</v>
      </c>
      <c r="B4565" t="s">
        <v>7</v>
      </c>
      <c r="C4565">
        <v>31</v>
      </c>
      <c r="D4565">
        <v>0</v>
      </c>
      <c r="E4565">
        <v>0</v>
      </c>
      <c r="F4565" t="str">
        <f t="shared" si="215"/>
        <v>Lower Risk</v>
      </c>
      <c r="G4565" t="s">
        <v>3</v>
      </c>
      <c r="H4565" t="s">
        <v>8</v>
      </c>
      <c r="I4565" t="s">
        <v>5</v>
      </c>
      <c r="J4565">
        <v>82.31</v>
      </c>
      <c r="K4565">
        <v>31.9</v>
      </c>
      <c r="L4565" t="s">
        <v>11</v>
      </c>
      <c r="M4565">
        <v>0</v>
      </c>
      <c r="N4565" t="str">
        <f t="shared" si="213"/>
        <v>Under 40</v>
      </c>
      <c r="O4565" t="str">
        <f t="shared" si="214"/>
        <v>Obese</v>
      </c>
    </row>
    <row r="4566" spans="1:15" x14ac:dyDescent="0.3">
      <c r="A4566">
        <v>25476</v>
      </c>
      <c r="B4566" t="s">
        <v>7</v>
      </c>
      <c r="C4566">
        <v>52</v>
      </c>
      <c r="D4566">
        <v>0</v>
      </c>
      <c r="E4566">
        <v>0</v>
      </c>
      <c r="F4566" t="str">
        <f t="shared" si="215"/>
        <v>Lower Risk</v>
      </c>
      <c r="G4566" t="s">
        <v>3</v>
      </c>
      <c r="H4566" t="s">
        <v>4</v>
      </c>
      <c r="I4566" t="s">
        <v>5</v>
      </c>
      <c r="J4566">
        <v>83.84</v>
      </c>
      <c r="K4566">
        <v>35</v>
      </c>
      <c r="L4566" t="s">
        <v>14</v>
      </c>
      <c r="M4566">
        <v>0</v>
      </c>
      <c r="N4566" t="str">
        <f t="shared" si="213"/>
        <v>40–59</v>
      </c>
      <c r="O4566" t="str">
        <f t="shared" si="214"/>
        <v>Obese</v>
      </c>
    </row>
    <row r="4567" spans="1:15" x14ac:dyDescent="0.3">
      <c r="A4567">
        <v>52960</v>
      </c>
      <c r="B4567" t="s">
        <v>7</v>
      </c>
      <c r="C4567">
        <v>56</v>
      </c>
      <c r="D4567">
        <v>0</v>
      </c>
      <c r="E4567">
        <v>0</v>
      </c>
      <c r="F4567" t="str">
        <f t="shared" si="215"/>
        <v>Lower Risk</v>
      </c>
      <c r="G4567" t="s">
        <v>3</v>
      </c>
      <c r="H4567" t="s">
        <v>8</v>
      </c>
      <c r="I4567" t="s">
        <v>5</v>
      </c>
      <c r="J4567">
        <v>98.14</v>
      </c>
      <c r="K4567">
        <v>32.700000000000003</v>
      </c>
      <c r="L4567" t="s">
        <v>6</v>
      </c>
      <c r="M4567">
        <v>0</v>
      </c>
      <c r="N4567" t="str">
        <f t="shared" si="213"/>
        <v>40–59</v>
      </c>
      <c r="O4567" t="str">
        <f t="shared" si="214"/>
        <v>Obese</v>
      </c>
    </row>
    <row r="4568" spans="1:15" x14ac:dyDescent="0.3">
      <c r="A4568">
        <v>56600</v>
      </c>
      <c r="B4568" t="s">
        <v>7</v>
      </c>
      <c r="C4568">
        <v>43</v>
      </c>
      <c r="D4568">
        <v>0</v>
      </c>
      <c r="E4568">
        <v>0</v>
      </c>
      <c r="F4568" t="str">
        <f t="shared" si="215"/>
        <v>Lower Risk</v>
      </c>
      <c r="G4568" t="s">
        <v>3</v>
      </c>
      <c r="H4568" t="s">
        <v>4</v>
      </c>
      <c r="I4568" t="s">
        <v>9</v>
      </c>
      <c r="J4568">
        <v>84.04</v>
      </c>
      <c r="K4568">
        <v>30.6</v>
      </c>
      <c r="L4568" t="s">
        <v>14</v>
      </c>
      <c r="M4568">
        <v>0</v>
      </c>
      <c r="N4568" t="str">
        <f t="shared" si="213"/>
        <v>40–59</v>
      </c>
      <c r="O4568" t="str">
        <f t="shared" si="214"/>
        <v>Obese</v>
      </c>
    </row>
    <row r="4569" spans="1:15" x14ac:dyDescent="0.3">
      <c r="A4569">
        <v>9394</v>
      </c>
      <c r="B4569" t="s">
        <v>2</v>
      </c>
      <c r="C4569">
        <v>11</v>
      </c>
      <c r="D4569">
        <v>0</v>
      </c>
      <c r="E4569">
        <v>0</v>
      </c>
      <c r="F4569" t="str">
        <f t="shared" si="215"/>
        <v>Lower Risk</v>
      </c>
      <c r="G4569" t="s">
        <v>13</v>
      </c>
      <c r="H4569" t="s">
        <v>16</v>
      </c>
      <c r="I4569" t="s">
        <v>9</v>
      </c>
      <c r="J4569">
        <v>92.24</v>
      </c>
      <c r="K4569">
        <v>27.9</v>
      </c>
      <c r="L4569" t="s">
        <v>14</v>
      </c>
      <c r="M4569">
        <v>0</v>
      </c>
      <c r="N4569" t="str">
        <f t="shared" si="213"/>
        <v>Under 40</v>
      </c>
      <c r="O4569" t="str">
        <f t="shared" si="214"/>
        <v>Overweight</v>
      </c>
    </row>
    <row r="4570" spans="1:15" x14ac:dyDescent="0.3">
      <c r="A4570">
        <v>42400</v>
      </c>
      <c r="B4570" t="s">
        <v>7</v>
      </c>
      <c r="C4570">
        <v>2</v>
      </c>
      <c r="D4570">
        <v>0</v>
      </c>
      <c r="E4570">
        <v>0</v>
      </c>
      <c r="F4570" t="str">
        <f t="shared" si="215"/>
        <v>Lower Risk</v>
      </c>
      <c r="G4570" t="s">
        <v>13</v>
      </c>
      <c r="H4570" t="s">
        <v>16</v>
      </c>
      <c r="I4570" t="s">
        <v>5</v>
      </c>
      <c r="J4570">
        <v>94.92</v>
      </c>
      <c r="K4570">
        <v>20.399999999999999</v>
      </c>
      <c r="L4570" t="s">
        <v>14</v>
      </c>
      <c r="M4570">
        <v>0</v>
      </c>
      <c r="N4570" t="str">
        <f t="shared" si="213"/>
        <v>Under 40</v>
      </c>
      <c r="O4570" t="str">
        <f t="shared" si="214"/>
        <v>Normal</v>
      </c>
    </row>
    <row r="4571" spans="1:15" x14ac:dyDescent="0.3">
      <c r="A4571">
        <v>36210</v>
      </c>
      <c r="B4571" t="s">
        <v>7</v>
      </c>
      <c r="C4571">
        <v>16</v>
      </c>
      <c r="D4571">
        <v>0</v>
      </c>
      <c r="E4571">
        <v>0</v>
      </c>
      <c r="F4571" t="str">
        <f t="shared" si="215"/>
        <v>Lower Risk</v>
      </c>
      <c r="G4571" t="s">
        <v>13</v>
      </c>
      <c r="H4571" t="s">
        <v>4</v>
      </c>
      <c r="I4571" t="s">
        <v>9</v>
      </c>
      <c r="J4571">
        <v>112.7</v>
      </c>
      <c r="K4571">
        <v>29.6</v>
      </c>
      <c r="L4571" t="s">
        <v>11</v>
      </c>
      <c r="M4571">
        <v>0</v>
      </c>
      <c r="N4571" t="str">
        <f t="shared" si="213"/>
        <v>Under 40</v>
      </c>
      <c r="O4571" t="str">
        <f t="shared" si="214"/>
        <v>Overweight</v>
      </c>
    </row>
    <row r="4572" spans="1:15" x14ac:dyDescent="0.3">
      <c r="A4572">
        <v>34416</v>
      </c>
      <c r="B4572" t="s">
        <v>2</v>
      </c>
      <c r="C4572">
        <v>23</v>
      </c>
      <c r="D4572">
        <v>0</v>
      </c>
      <c r="E4572">
        <v>0</v>
      </c>
      <c r="F4572" t="str">
        <f t="shared" si="215"/>
        <v>Lower Risk</v>
      </c>
      <c r="G4572" t="s">
        <v>13</v>
      </c>
      <c r="H4572" t="s">
        <v>4</v>
      </c>
      <c r="I4572" t="s">
        <v>5</v>
      </c>
      <c r="J4572">
        <v>74.34</v>
      </c>
      <c r="K4572">
        <v>23.5</v>
      </c>
      <c r="L4572" t="s">
        <v>11</v>
      </c>
      <c r="M4572">
        <v>0</v>
      </c>
      <c r="N4572" t="str">
        <f t="shared" si="213"/>
        <v>Under 40</v>
      </c>
      <c r="O4572" t="str">
        <f t="shared" si="214"/>
        <v>Normal</v>
      </c>
    </row>
    <row r="4573" spans="1:15" x14ac:dyDescent="0.3">
      <c r="A4573">
        <v>37192</v>
      </c>
      <c r="B4573" t="s">
        <v>7</v>
      </c>
      <c r="C4573">
        <v>40</v>
      </c>
      <c r="D4573">
        <v>0</v>
      </c>
      <c r="E4573">
        <v>0</v>
      </c>
      <c r="F4573" t="str">
        <f t="shared" si="215"/>
        <v>Lower Risk</v>
      </c>
      <c r="G4573" t="s">
        <v>3</v>
      </c>
      <c r="H4573" t="s">
        <v>4</v>
      </c>
      <c r="I4573" t="s">
        <v>5</v>
      </c>
      <c r="J4573">
        <v>72.989999999999995</v>
      </c>
      <c r="K4573">
        <v>46.4</v>
      </c>
      <c r="L4573" t="s">
        <v>14</v>
      </c>
      <c r="M4573">
        <v>0</v>
      </c>
      <c r="N4573" t="str">
        <f t="shared" si="213"/>
        <v>40–59</v>
      </c>
      <c r="O4573" t="str">
        <f t="shared" si="214"/>
        <v>Obese</v>
      </c>
    </row>
    <row r="4574" spans="1:15" x14ac:dyDescent="0.3">
      <c r="A4574">
        <v>20237</v>
      </c>
      <c r="B4574" t="s">
        <v>2</v>
      </c>
      <c r="C4574">
        <v>15</v>
      </c>
      <c r="D4574">
        <v>0</v>
      </c>
      <c r="E4574">
        <v>0</v>
      </c>
      <c r="F4574" t="str">
        <f t="shared" si="215"/>
        <v>Lower Risk</v>
      </c>
      <c r="G4574" t="s">
        <v>13</v>
      </c>
      <c r="H4574" t="s">
        <v>4</v>
      </c>
      <c r="I4574" t="s">
        <v>5</v>
      </c>
      <c r="J4574">
        <v>104.9</v>
      </c>
      <c r="K4574">
        <v>27.4</v>
      </c>
      <c r="L4574" t="s">
        <v>11</v>
      </c>
      <c r="M4574">
        <v>0</v>
      </c>
      <c r="N4574" t="str">
        <f t="shared" si="213"/>
        <v>Under 40</v>
      </c>
      <c r="O4574" t="str">
        <f t="shared" si="214"/>
        <v>Overweight</v>
      </c>
    </row>
    <row r="4575" spans="1:15" x14ac:dyDescent="0.3">
      <c r="A4575">
        <v>60635</v>
      </c>
      <c r="B4575" t="s">
        <v>2</v>
      </c>
      <c r="C4575">
        <v>48</v>
      </c>
      <c r="D4575">
        <v>0</v>
      </c>
      <c r="E4575">
        <v>0</v>
      </c>
      <c r="F4575" t="str">
        <f t="shared" si="215"/>
        <v>Lower Risk</v>
      </c>
      <c r="G4575" t="s">
        <v>3</v>
      </c>
      <c r="H4575" t="s">
        <v>4</v>
      </c>
      <c r="I4575" t="s">
        <v>9</v>
      </c>
      <c r="J4575">
        <v>99.96</v>
      </c>
      <c r="K4575">
        <v>25.2</v>
      </c>
      <c r="L4575" t="s">
        <v>11</v>
      </c>
      <c r="M4575">
        <v>0</v>
      </c>
      <c r="N4575" t="str">
        <f t="shared" si="213"/>
        <v>40–59</v>
      </c>
      <c r="O4575" t="str">
        <f t="shared" si="214"/>
        <v>Overweight</v>
      </c>
    </row>
    <row r="4576" spans="1:15" x14ac:dyDescent="0.3">
      <c r="A4576">
        <v>32571</v>
      </c>
      <c r="B4576" t="s">
        <v>2</v>
      </c>
      <c r="C4576">
        <v>33</v>
      </c>
      <c r="D4576">
        <v>0</v>
      </c>
      <c r="E4576">
        <v>0</v>
      </c>
      <c r="F4576" t="str">
        <f t="shared" si="215"/>
        <v>Lower Risk</v>
      </c>
      <c r="G4576" t="s">
        <v>3</v>
      </c>
      <c r="H4576" t="s">
        <v>4</v>
      </c>
      <c r="I4576" t="s">
        <v>5</v>
      </c>
      <c r="J4576">
        <v>85.27</v>
      </c>
      <c r="K4576">
        <v>25.8</v>
      </c>
      <c r="L4576" t="s">
        <v>14</v>
      </c>
      <c r="M4576">
        <v>0</v>
      </c>
      <c r="N4576" t="str">
        <f t="shared" si="213"/>
        <v>Under 40</v>
      </c>
      <c r="O4576" t="str">
        <f t="shared" si="214"/>
        <v>Overweight</v>
      </c>
    </row>
    <row r="4577" spans="1:15" x14ac:dyDescent="0.3">
      <c r="A4577">
        <v>52368</v>
      </c>
      <c r="B4577" t="s">
        <v>2</v>
      </c>
      <c r="C4577">
        <v>46</v>
      </c>
      <c r="D4577">
        <v>0</v>
      </c>
      <c r="E4577">
        <v>0</v>
      </c>
      <c r="F4577" t="str">
        <f t="shared" si="215"/>
        <v>Lower Risk</v>
      </c>
      <c r="G4577" t="s">
        <v>3</v>
      </c>
      <c r="H4577" t="s">
        <v>4</v>
      </c>
      <c r="I4577" t="s">
        <v>5</v>
      </c>
      <c r="J4577">
        <v>60.32</v>
      </c>
      <c r="K4577">
        <v>33.299999999999997</v>
      </c>
      <c r="L4577" t="s">
        <v>12</v>
      </c>
      <c r="M4577">
        <v>0</v>
      </c>
      <c r="N4577" t="str">
        <f t="shared" si="213"/>
        <v>40–59</v>
      </c>
      <c r="O4577" t="str">
        <f t="shared" si="214"/>
        <v>Obese</v>
      </c>
    </row>
    <row r="4578" spans="1:15" x14ac:dyDescent="0.3">
      <c r="A4578">
        <v>66786</v>
      </c>
      <c r="B4578" t="s">
        <v>7</v>
      </c>
      <c r="C4578">
        <v>53</v>
      </c>
      <c r="D4578">
        <v>0</v>
      </c>
      <c r="E4578">
        <v>0</v>
      </c>
      <c r="F4578" t="str">
        <f t="shared" si="215"/>
        <v>Lower Risk</v>
      </c>
      <c r="G4578" t="s">
        <v>3</v>
      </c>
      <c r="H4578" t="s">
        <v>4</v>
      </c>
      <c r="I4578" t="s">
        <v>9</v>
      </c>
      <c r="J4578">
        <v>94.14</v>
      </c>
      <c r="K4578">
        <v>27.7</v>
      </c>
      <c r="L4578" t="s">
        <v>12</v>
      </c>
      <c r="M4578">
        <v>0</v>
      </c>
      <c r="N4578" t="str">
        <f t="shared" si="213"/>
        <v>40–59</v>
      </c>
      <c r="O4578" t="str">
        <f t="shared" si="214"/>
        <v>Overweight</v>
      </c>
    </row>
    <row r="4579" spans="1:15" x14ac:dyDescent="0.3">
      <c r="A4579">
        <v>12668</v>
      </c>
      <c r="B4579" t="s">
        <v>2</v>
      </c>
      <c r="C4579">
        <v>68</v>
      </c>
      <c r="D4579">
        <v>0</v>
      </c>
      <c r="E4579">
        <v>0</v>
      </c>
      <c r="F4579" t="str">
        <f t="shared" si="215"/>
        <v>Moderate Risk</v>
      </c>
      <c r="G4579" t="s">
        <v>3</v>
      </c>
      <c r="H4579" t="s">
        <v>8</v>
      </c>
      <c r="I4579" t="s">
        <v>5</v>
      </c>
      <c r="J4579">
        <v>195.43</v>
      </c>
      <c r="K4579">
        <v>28.9</v>
      </c>
      <c r="L4579" t="s">
        <v>11</v>
      </c>
      <c r="M4579">
        <v>0</v>
      </c>
      <c r="N4579" t="str">
        <f t="shared" si="213"/>
        <v>60+</v>
      </c>
      <c r="O4579" t="str">
        <f t="shared" si="214"/>
        <v>Overweight</v>
      </c>
    </row>
    <row r="4580" spans="1:15" x14ac:dyDescent="0.3">
      <c r="A4580">
        <v>64155</v>
      </c>
      <c r="B4580" t="s">
        <v>2</v>
      </c>
      <c r="C4580">
        <v>60</v>
      </c>
      <c r="D4580">
        <v>0</v>
      </c>
      <c r="E4580">
        <v>0</v>
      </c>
      <c r="F4580" t="str">
        <f t="shared" si="215"/>
        <v>Moderate Risk</v>
      </c>
      <c r="G4580" t="s">
        <v>3</v>
      </c>
      <c r="H4580" t="s">
        <v>15</v>
      </c>
      <c r="I4580" t="s">
        <v>9</v>
      </c>
      <c r="J4580">
        <v>200.25</v>
      </c>
      <c r="K4580">
        <v>33.1</v>
      </c>
      <c r="L4580" t="s">
        <v>11</v>
      </c>
      <c r="M4580">
        <v>0</v>
      </c>
      <c r="N4580" t="str">
        <f t="shared" si="213"/>
        <v>60+</v>
      </c>
      <c r="O4580" t="str">
        <f t="shared" si="214"/>
        <v>Obese</v>
      </c>
    </row>
    <row r="4581" spans="1:15" x14ac:dyDescent="0.3">
      <c r="A4581">
        <v>17885</v>
      </c>
      <c r="B4581" t="s">
        <v>2</v>
      </c>
      <c r="C4581">
        <v>57</v>
      </c>
      <c r="D4581">
        <v>0</v>
      </c>
      <c r="E4581">
        <v>0</v>
      </c>
      <c r="F4581" t="str">
        <f t="shared" si="215"/>
        <v>Lower Risk</v>
      </c>
      <c r="G4581" t="s">
        <v>13</v>
      </c>
      <c r="H4581" t="s">
        <v>15</v>
      </c>
      <c r="I4581" t="s">
        <v>9</v>
      </c>
      <c r="J4581">
        <v>90.31</v>
      </c>
      <c r="K4581">
        <v>38.1</v>
      </c>
      <c r="L4581" t="s">
        <v>12</v>
      </c>
      <c r="M4581">
        <v>0</v>
      </c>
      <c r="N4581" t="str">
        <f t="shared" si="213"/>
        <v>40–59</v>
      </c>
      <c r="O4581" t="str">
        <f t="shared" si="214"/>
        <v>Obese</v>
      </c>
    </row>
    <row r="4582" spans="1:15" x14ac:dyDescent="0.3">
      <c r="A4582">
        <v>18930</v>
      </c>
      <c r="B4582" t="s">
        <v>7</v>
      </c>
      <c r="C4582">
        <v>51</v>
      </c>
      <c r="D4582">
        <v>0</v>
      </c>
      <c r="E4582">
        <v>0</v>
      </c>
      <c r="F4582" t="str">
        <f t="shared" si="215"/>
        <v>Lower Risk</v>
      </c>
      <c r="G4582" t="s">
        <v>3</v>
      </c>
      <c r="H4582" t="s">
        <v>15</v>
      </c>
      <c r="I4582" t="s">
        <v>5</v>
      </c>
      <c r="J4582">
        <v>95.33</v>
      </c>
      <c r="K4582">
        <v>27.9</v>
      </c>
      <c r="L4582" t="s">
        <v>11</v>
      </c>
      <c r="M4582">
        <v>0</v>
      </c>
      <c r="N4582" t="str">
        <f t="shared" si="213"/>
        <v>40–59</v>
      </c>
      <c r="O4582" t="str">
        <f t="shared" si="214"/>
        <v>Overweight</v>
      </c>
    </row>
    <row r="4583" spans="1:15" x14ac:dyDescent="0.3">
      <c r="A4583">
        <v>15728</v>
      </c>
      <c r="B4583" t="s">
        <v>7</v>
      </c>
      <c r="C4583">
        <v>0.4</v>
      </c>
      <c r="D4583">
        <v>0</v>
      </c>
      <c r="E4583">
        <v>0</v>
      </c>
      <c r="F4583" t="str">
        <f t="shared" si="215"/>
        <v>Lower Risk</v>
      </c>
      <c r="G4583" t="s">
        <v>13</v>
      </c>
      <c r="H4583" t="s">
        <v>16</v>
      </c>
      <c r="I4583" t="s">
        <v>9</v>
      </c>
      <c r="J4583">
        <v>85.65</v>
      </c>
      <c r="K4583">
        <v>17.399999999999999</v>
      </c>
      <c r="L4583" t="s">
        <v>14</v>
      </c>
      <c r="M4583">
        <v>0</v>
      </c>
      <c r="N4583" t="str">
        <f t="shared" si="213"/>
        <v>Under 40</v>
      </c>
      <c r="O4583" t="str">
        <f t="shared" si="214"/>
        <v>Underweight</v>
      </c>
    </row>
    <row r="4584" spans="1:15" x14ac:dyDescent="0.3">
      <c r="A4584">
        <v>71846</v>
      </c>
      <c r="B4584" t="s">
        <v>7</v>
      </c>
      <c r="C4584">
        <v>76</v>
      </c>
      <c r="D4584">
        <v>0</v>
      </c>
      <c r="E4584">
        <v>0</v>
      </c>
      <c r="F4584" t="str">
        <f t="shared" si="215"/>
        <v>Moderate Risk</v>
      </c>
      <c r="G4584" t="s">
        <v>3</v>
      </c>
      <c r="H4584" t="s">
        <v>15</v>
      </c>
      <c r="I4584" t="s">
        <v>5</v>
      </c>
      <c r="J4584">
        <v>223.64</v>
      </c>
      <c r="K4584">
        <v>27.1</v>
      </c>
      <c r="L4584" t="s">
        <v>12</v>
      </c>
      <c r="M4584">
        <v>0</v>
      </c>
      <c r="N4584" t="str">
        <f t="shared" si="213"/>
        <v>60+</v>
      </c>
      <c r="O4584" t="str">
        <f t="shared" si="214"/>
        <v>Overweight</v>
      </c>
    </row>
    <row r="4585" spans="1:15" x14ac:dyDescent="0.3">
      <c r="A4585">
        <v>37515</v>
      </c>
      <c r="B4585" t="s">
        <v>7</v>
      </c>
      <c r="C4585">
        <v>46</v>
      </c>
      <c r="D4585">
        <v>0</v>
      </c>
      <c r="E4585">
        <v>0</v>
      </c>
      <c r="F4585" t="str">
        <f t="shared" si="215"/>
        <v>Lower Risk</v>
      </c>
      <c r="G4585" t="s">
        <v>3</v>
      </c>
      <c r="H4585" t="s">
        <v>15</v>
      </c>
      <c r="I4585" t="s">
        <v>9</v>
      </c>
      <c r="J4585">
        <v>76.430000000000007</v>
      </c>
      <c r="K4585">
        <v>22.7</v>
      </c>
      <c r="L4585" t="s">
        <v>14</v>
      </c>
      <c r="M4585">
        <v>0</v>
      </c>
      <c r="N4585" t="str">
        <f t="shared" si="213"/>
        <v>40–59</v>
      </c>
      <c r="O4585" t="str">
        <f t="shared" si="214"/>
        <v>Normal</v>
      </c>
    </row>
    <row r="4586" spans="1:15" x14ac:dyDescent="0.3">
      <c r="A4586">
        <v>25763</v>
      </c>
      <c r="B4586" t="s">
        <v>7</v>
      </c>
      <c r="C4586">
        <v>23</v>
      </c>
      <c r="D4586">
        <v>0</v>
      </c>
      <c r="E4586">
        <v>0</v>
      </c>
      <c r="F4586" t="str">
        <f t="shared" si="215"/>
        <v>Lower Risk</v>
      </c>
      <c r="G4586" t="s">
        <v>13</v>
      </c>
      <c r="H4586" t="s">
        <v>4</v>
      </c>
      <c r="I4586" t="s">
        <v>5</v>
      </c>
      <c r="J4586">
        <v>98.66</v>
      </c>
      <c r="K4586">
        <v>28.3</v>
      </c>
      <c r="L4586" t="s">
        <v>14</v>
      </c>
      <c r="M4586">
        <v>0</v>
      </c>
      <c r="N4586" t="str">
        <f t="shared" si="213"/>
        <v>Under 40</v>
      </c>
      <c r="O4586" t="str">
        <f t="shared" si="214"/>
        <v>Overweight</v>
      </c>
    </row>
    <row r="4587" spans="1:15" x14ac:dyDescent="0.3">
      <c r="A4587">
        <v>16566</v>
      </c>
      <c r="B4587" t="s">
        <v>2</v>
      </c>
      <c r="C4587">
        <v>9</v>
      </c>
      <c r="D4587">
        <v>0</v>
      </c>
      <c r="E4587">
        <v>0</v>
      </c>
      <c r="F4587" t="str">
        <f t="shared" si="215"/>
        <v>Lower Risk</v>
      </c>
      <c r="G4587" t="s">
        <v>13</v>
      </c>
      <c r="H4587" t="s">
        <v>16</v>
      </c>
      <c r="I4587" t="s">
        <v>5</v>
      </c>
      <c r="J4587">
        <v>75.84</v>
      </c>
      <c r="K4587">
        <v>21.5</v>
      </c>
      <c r="L4587" t="s">
        <v>14</v>
      </c>
      <c r="M4587">
        <v>0</v>
      </c>
      <c r="N4587" t="str">
        <f t="shared" si="213"/>
        <v>Under 40</v>
      </c>
      <c r="O4587" t="str">
        <f t="shared" si="214"/>
        <v>Normal</v>
      </c>
    </row>
    <row r="4588" spans="1:15" x14ac:dyDescent="0.3">
      <c r="A4588">
        <v>30836</v>
      </c>
      <c r="B4588" t="s">
        <v>7</v>
      </c>
      <c r="C4588">
        <v>53</v>
      </c>
      <c r="D4588">
        <v>0</v>
      </c>
      <c r="E4588">
        <v>0</v>
      </c>
      <c r="F4588" t="str">
        <f t="shared" si="215"/>
        <v>Lower Risk</v>
      </c>
      <c r="G4588" t="s">
        <v>3</v>
      </c>
      <c r="H4588" t="s">
        <v>4</v>
      </c>
      <c r="I4588" t="s">
        <v>5</v>
      </c>
      <c r="J4588">
        <v>85.46</v>
      </c>
      <c r="K4588">
        <v>30</v>
      </c>
      <c r="L4588" t="s">
        <v>11</v>
      </c>
      <c r="M4588">
        <v>0</v>
      </c>
      <c r="N4588" t="str">
        <f t="shared" si="213"/>
        <v>40–59</v>
      </c>
      <c r="O4588" t="str">
        <f t="shared" si="214"/>
        <v>Obese</v>
      </c>
    </row>
    <row r="4589" spans="1:15" x14ac:dyDescent="0.3">
      <c r="A4589">
        <v>68060</v>
      </c>
      <c r="B4589" t="s">
        <v>2</v>
      </c>
      <c r="C4589">
        <v>4</v>
      </c>
      <c r="D4589">
        <v>0</v>
      </c>
      <c r="E4589">
        <v>0</v>
      </c>
      <c r="F4589" t="str">
        <f t="shared" si="215"/>
        <v>Lower Risk</v>
      </c>
      <c r="G4589" t="s">
        <v>13</v>
      </c>
      <c r="H4589" t="s">
        <v>16</v>
      </c>
      <c r="I4589" t="s">
        <v>5</v>
      </c>
      <c r="J4589">
        <v>81.33</v>
      </c>
      <c r="K4589">
        <v>18.600000000000001</v>
      </c>
      <c r="L4589" t="s">
        <v>14</v>
      </c>
      <c r="M4589">
        <v>0</v>
      </c>
      <c r="N4589" t="str">
        <f t="shared" si="213"/>
        <v>Under 40</v>
      </c>
      <c r="O4589" t="str">
        <f t="shared" si="214"/>
        <v>Normal</v>
      </c>
    </row>
    <row r="4590" spans="1:15" x14ac:dyDescent="0.3">
      <c r="A4590">
        <v>51958</v>
      </c>
      <c r="B4590" t="s">
        <v>7</v>
      </c>
      <c r="C4590">
        <v>62</v>
      </c>
      <c r="D4590">
        <v>1</v>
      </c>
      <c r="E4590">
        <v>0</v>
      </c>
      <c r="F4590" t="str">
        <f t="shared" si="215"/>
        <v>High Risk</v>
      </c>
      <c r="G4590" t="s">
        <v>13</v>
      </c>
      <c r="H4590" t="s">
        <v>4</v>
      </c>
      <c r="I4590" t="s">
        <v>5</v>
      </c>
      <c r="J4590">
        <v>199.78</v>
      </c>
      <c r="K4590">
        <v>45.2</v>
      </c>
      <c r="L4590" t="s">
        <v>14</v>
      </c>
      <c r="M4590">
        <v>0</v>
      </c>
      <c r="N4590" t="str">
        <f t="shared" si="213"/>
        <v>60+</v>
      </c>
      <c r="O4590" t="str">
        <f t="shared" si="214"/>
        <v>Obese</v>
      </c>
    </row>
    <row r="4591" spans="1:15" x14ac:dyDescent="0.3">
      <c r="A4591">
        <v>45285</v>
      </c>
      <c r="B4591" t="s">
        <v>2</v>
      </c>
      <c r="C4591">
        <v>37</v>
      </c>
      <c r="D4591">
        <v>0</v>
      </c>
      <c r="E4591">
        <v>0</v>
      </c>
      <c r="F4591" t="str">
        <f t="shared" si="215"/>
        <v>Lower Risk</v>
      </c>
      <c r="G4591" t="s">
        <v>3</v>
      </c>
      <c r="H4591" t="s">
        <v>4</v>
      </c>
      <c r="I4591" t="s">
        <v>5</v>
      </c>
      <c r="J4591">
        <v>176.42</v>
      </c>
      <c r="K4591">
        <v>39.700000000000003</v>
      </c>
      <c r="L4591" t="s">
        <v>14</v>
      </c>
      <c r="M4591">
        <v>0</v>
      </c>
      <c r="N4591" t="str">
        <f t="shared" si="213"/>
        <v>Under 40</v>
      </c>
      <c r="O4591" t="str">
        <f t="shared" si="214"/>
        <v>Obese</v>
      </c>
    </row>
    <row r="4592" spans="1:15" x14ac:dyDescent="0.3">
      <c r="A4592">
        <v>19271</v>
      </c>
      <c r="B4592" t="s">
        <v>7</v>
      </c>
      <c r="C4592">
        <v>82</v>
      </c>
      <c r="D4592">
        <v>1</v>
      </c>
      <c r="E4592">
        <v>1</v>
      </c>
      <c r="F4592" t="str">
        <f t="shared" si="215"/>
        <v>High Risk</v>
      </c>
      <c r="G4592" t="s">
        <v>3</v>
      </c>
      <c r="H4592" t="s">
        <v>8</v>
      </c>
      <c r="I4592" t="s">
        <v>5</v>
      </c>
      <c r="J4592">
        <v>101.56</v>
      </c>
      <c r="K4592">
        <v>31.5</v>
      </c>
      <c r="L4592" t="s">
        <v>11</v>
      </c>
      <c r="M4592">
        <v>0</v>
      </c>
      <c r="N4592" t="str">
        <f t="shared" si="213"/>
        <v>60+</v>
      </c>
      <c r="O4592" t="str">
        <f t="shared" si="214"/>
        <v>Obese</v>
      </c>
    </row>
    <row r="4593" spans="1:15" x14ac:dyDescent="0.3">
      <c r="A4593">
        <v>6576</v>
      </c>
      <c r="B4593" t="s">
        <v>7</v>
      </c>
      <c r="C4593">
        <v>33</v>
      </c>
      <c r="D4593">
        <v>0</v>
      </c>
      <c r="E4593">
        <v>0</v>
      </c>
      <c r="F4593" t="str">
        <f t="shared" si="215"/>
        <v>Lower Risk</v>
      </c>
      <c r="G4593" t="s">
        <v>3</v>
      </c>
      <c r="H4593" t="s">
        <v>4</v>
      </c>
      <c r="I4593" t="s">
        <v>5</v>
      </c>
      <c r="J4593">
        <v>84.48</v>
      </c>
      <c r="K4593">
        <v>23.2</v>
      </c>
      <c r="L4593" t="s">
        <v>6</v>
      </c>
      <c r="M4593">
        <v>0</v>
      </c>
      <c r="N4593" t="str">
        <f t="shared" si="213"/>
        <v>Under 40</v>
      </c>
      <c r="O4593" t="str">
        <f t="shared" si="214"/>
        <v>Normal</v>
      </c>
    </row>
    <row r="4594" spans="1:15" x14ac:dyDescent="0.3">
      <c r="A4594">
        <v>6850</v>
      </c>
      <c r="B4594" t="s">
        <v>2</v>
      </c>
      <c r="C4594">
        <v>3</v>
      </c>
      <c r="D4594">
        <v>0</v>
      </c>
      <c r="E4594">
        <v>0</v>
      </c>
      <c r="F4594" t="str">
        <f t="shared" si="215"/>
        <v>Lower Risk</v>
      </c>
      <c r="G4594" t="s">
        <v>13</v>
      </c>
      <c r="H4594" t="s">
        <v>16</v>
      </c>
      <c r="I4594" t="s">
        <v>5</v>
      </c>
      <c r="J4594">
        <v>93.21</v>
      </c>
      <c r="K4594">
        <v>27.3</v>
      </c>
      <c r="L4594" t="s">
        <v>14</v>
      </c>
      <c r="M4594">
        <v>0</v>
      </c>
      <c r="N4594" t="str">
        <f t="shared" si="213"/>
        <v>Under 40</v>
      </c>
      <c r="O4594" t="str">
        <f t="shared" si="214"/>
        <v>Overweight</v>
      </c>
    </row>
    <row r="4595" spans="1:15" x14ac:dyDescent="0.3">
      <c r="A4595">
        <v>25798</v>
      </c>
      <c r="B4595" t="s">
        <v>2</v>
      </c>
      <c r="C4595">
        <v>14</v>
      </c>
      <c r="D4595">
        <v>0</v>
      </c>
      <c r="E4595">
        <v>0</v>
      </c>
      <c r="F4595" t="str">
        <f t="shared" si="215"/>
        <v>Lower Risk</v>
      </c>
      <c r="G4595" t="s">
        <v>13</v>
      </c>
      <c r="H4595" t="s">
        <v>4</v>
      </c>
      <c r="I4595" t="s">
        <v>5</v>
      </c>
      <c r="J4595">
        <v>72.88</v>
      </c>
      <c r="K4595">
        <v>26.5</v>
      </c>
      <c r="L4595" t="s">
        <v>11</v>
      </c>
      <c r="M4595">
        <v>0</v>
      </c>
      <c r="N4595" t="str">
        <f t="shared" si="213"/>
        <v>Under 40</v>
      </c>
      <c r="O4595" t="str">
        <f t="shared" si="214"/>
        <v>Overweight</v>
      </c>
    </row>
    <row r="4596" spans="1:15" x14ac:dyDescent="0.3">
      <c r="A4596">
        <v>28611</v>
      </c>
      <c r="B4596" t="s">
        <v>2</v>
      </c>
      <c r="C4596">
        <v>16</v>
      </c>
      <c r="D4596">
        <v>0</v>
      </c>
      <c r="E4596">
        <v>0</v>
      </c>
      <c r="F4596" t="str">
        <f t="shared" si="215"/>
        <v>Lower Risk</v>
      </c>
      <c r="G4596" t="s">
        <v>13</v>
      </c>
      <c r="H4596" t="s">
        <v>4</v>
      </c>
      <c r="I4596" t="s">
        <v>5</v>
      </c>
      <c r="J4596">
        <v>84.1</v>
      </c>
      <c r="K4596">
        <v>19.3</v>
      </c>
      <c r="L4596" t="s">
        <v>14</v>
      </c>
      <c r="M4596">
        <v>0</v>
      </c>
      <c r="N4596" t="str">
        <f t="shared" si="213"/>
        <v>Under 40</v>
      </c>
      <c r="O4596" t="str">
        <f t="shared" si="214"/>
        <v>Normal</v>
      </c>
    </row>
    <row r="4597" spans="1:15" x14ac:dyDescent="0.3">
      <c r="A4597">
        <v>15061</v>
      </c>
      <c r="B4597" t="s">
        <v>2</v>
      </c>
      <c r="C4597">
        <v>40</v>
      </c>
      <c r="D4597">
        <v>0</v>
      </c>
      <c r="E4597">
        <v>0</v>
      </c>
      <c r="F4597" t="str">
        <f t="shared" si="215"/>
        <v>Lower Risk</v>
      </c>
      <c r="G4597" t="s">
        <v>3</v>
      </c>
      <c r="H4597" t="s">
        <v>15</v>
      </c>
      <c r="I4597" t="s">
        <v>9</v>
      </c>
      <c r="J4597">
        <v>72.84</v>
      </c>
      <c r="K4597">
        <v>26.1</v>
      </c>
      <c r="L4597" t="s">
        <v>14</v>
      </c>
      <c r="M4597">
        <v>0</v>
      </c>
      <c r="N4597" t="str">
        <f t="shared" si="213"/>
        <v>40–59</v>
      </c>
      <c r="O4597" t="str">
        <f t="shared" si="214"/>
        <v>Overweight</v>
      </c>
    </row>
    <row r="4598" spans="1:15" x14ac:dyDescent="0.3">
      <c r="A4598">
        <v>40323</v>
      </c>
      <c r="B4598" t="s">
        <v>7</v>
      </c>
      <c r="C4598">
        <v>18</v>
      </c>
      <c r="D4598">
        <v>0</v>
      </c>
      <c r="E4598">
        <v>0</v>
      </c>
      <c r="F4598" t="str">
        <f t="shared" si="215"/>
        <v>Lower Risk</v>
      </c>
      <c r="G4598" t="s">
        <v>13</v>
      </c>
      <c r="H4598" t="s">
        <v>4</v>
      </c>
      <c r="I4598" t="s">
        <v>5</v>
      </c>
      <c r="J4598">
        <v>70.89</v>
      </c>
      <c r="K4598">
        <v>19.8</v>
      </c>
      <c r="L4598" t="s">
        <v>11</v>
      </c>
      <c r="M4598">
        <v>0</v>
      </c>
      <c r="N4598" t="str">
        <f t="shared" si="213"/>
        <v>Under 40</v>
      </c>
      <c r="O4598" t="str">
        <f t="shared" si="214"/>
        <v>Normal</v>
      </c>
    </row>
    <row r="4599" spans="1:15" x14ac:dyDescent="0.3">
      <c r="A4599">
        <v>40842</v>
      </c>
      <c r="B4599" t="s">
        <v>7</v>
      </c>
      <c r="C4599">
        <v>29</v>
      </c>
      <c r="D4599">
        <v>0</v>
      </c>
      <c r="E4599">
        <v>0</v>
      </c>
      <c r="F4599" t="str">
        <f t="shared" si="215"/>
        <v>Lower Risk</v>
      </c>
      <c r="G4599" t="s">
        <v>3</v>
      </c>
      <c r="H4599" t="s">
        <v>4</v>
      </c>
      <c r="I4599" t="s">
        <v>9</v>
      </c>
      <c r="J4599">
        <v>108.14</v>
      </c>
      <c r="K4599">
        <v>25.1</v>
      </c>
      <c r="L4599" t="s">
        <v>6</v>
      </c>
      <c r="M4599">
        <v>0</v>
      </c>
      <c r="N4599" t="str">
        <f t="shared" si="213"/>
        <v>Under 40</v>
      </c>
      <c r="O4599" t="str">
        <f t="shared" si="214"/>
        <v>Overweight</v>
      </c>
    </row>
    <row r="4600" spans="1:15" x14ac:dyDescent="0.3">
      <c r="A4600">
        <v>23765</v>
      </c>
      <c r="B4600" t="s">
        <v>7</v>
      </c>
      <c r="C4600">
        <v>56</v>
      </c>
      <c r="D4600">
        <v>0</v>
      </c>
      <c r="E4600">
        <v>0</v>
      </c>
      <c r="F4600" t="str">
        <f t="shared" si="215"/>
        <v>Lower Risk</v>
      </c>
      <c r="G4600" t="s">
        <v>3</v>
      </c>
      <c r="H4600" t="s">
        <v>15</v>
      </c>
      <c r="I4600" t="s">
        <v>9</v>
      </c>
      <c r="J4600">
        <v>244.3</v>
      </c>
      <c r="K4600">
        <v>37.299999999999997</v>
      </c>
      <c r="L4600" t="s">
        <v>11</v>
      </c>
      <c r="M4600">
        <v>0</v>
      </c>
      <c r="N4600" t="str">
        <f t="shared" si="213"/>
        <v>40–59</v>
      </c>
      <c r="O4600" t="str">
        <f t="shared" si="214"/>
        <v>Obese</v>
      </c>
    </row>
    <row r="4601" spans="1:15" x14ac:dyDescent="0.3">
      <c r="A4601">
        <v>66287</v>
      </c>
      <c r="B4601" t="s">
        <v>2</v>
      </c>
      <c r="C4601">
        <v>33</v>
      </c>
      <c r="D4601">
        <v>0</v>
      </c>
      <c r="E4601">
        <v>0</v>
      </c>
      <c r="F4601" t="str">
        <f t="shared" si="215"/>
        <v>Lower Risk</v>
      </c>
      <c r="G4601" t="s">
        <v>3</v>
      </c>
      <c r="H4601" t="s">
        <v>4</v>
      </c>
      <c r="I4601" t="s">
        <v>9</v>
      </c>
      <c r="J4601">
        <v>88.04</v>
      </c>
      <c r="K4601">
        <v>30.3</v>
      </c>
      <c r="L4601" t="s">
        <v>6</v>
      </c>
      <c r="M4601">
        <v>0</v>
      </c>
      <c r="N4601" t="str">
        <f t="shared" si="213"/>
        <v>Under 40</v>
      </c>
      <c r="O4601" t="str">
        <f t="shared" si="214"/>
        <v>Obese</v>
      </c>
    </row>
    <row r="4602" spans="1:15" x14ac:dyDescent="0.3">
      <c r="A4602">
        <v>50804</v>
      </c>
      <c r="B4602" t="s">
        <v>2</v>
      </c>
      <c r="C4602">
        <v>2</v>
      </c>
      <c r="D4602">
        <v>0</v>
      </c>
      <c r="E4602">
        <v>0</v>
      </c>
      <c r="F4602" t="str">
        <f t="shared" si="215"/>
        <v>Lower Risk</v>
      </c>
      <c r="G4602" t="s">
        <v>13</v>
      </c>
      <c r="H4602" t="s">
        <v>16</v>
      </c>
      <c r="I4602" t="s">
        <v>9</v>
      </c>
      <c r="J4602">
        <v>65.84</v>
      </c>
      <c r="K4602">
        <v>16.100000000000001</v>
      </c>
      <c r="L4602" t="s">
        <v>14</v>
      </c>
      <c r="M4602">
        <v>0</v>
      </c>
      <c r="N4602" t="str">
        <f t="shared" si="213"/>
        <v>Under 40</v>
      </c>
      <c r="O4602" t="str">
        <f t="shared" si="214"/>
        <v>Underweight</v>
      </c>
    </row>
    <row r="4603" spans="1:15" x14ac:dyDescent="0.3">
      <c r="A4603">
        <v>25927</v>
      </c>
      <c r="B4603" t="s">
        <v>2</v>
      </c>
      <c r="C4603">
        <v>36</v>
      </c>
      <c r="D4603">
        <v>0</v>
      </c>
      <c r="E4603">
        <v>0</v>
      </c>
      <c r="F4603" t="str">
        <f t="shared" si="215"/>
        <v>Lower Risk</v>
      </c>
      <c r="G4603" t="s">
        <v>3</v>
      </c>
      <c r="H4603" t="s">
        <v>4</v>
      </c>
      <c r="I4603" t="s">
        <v>9</v>
      </c>
      <c r="J4603">
        <v>106.73</v>
      </c>
      <c r="K4603">
        <v>25.1</v>
      </c>
      <c r="L4603" t="s">
        <v>11</v>
      </c>
      <c r="M4603">
        <v>0</v>
      </c>
      <c r="N4603" t="str">
        <f t="shared" si="213"/>
        <v>Under 40</v>
      </c>
      <c r="O4603" t="str">
        <f t="shared" si="214"/>
        <v>Overweight</v>
      </c>
    </row>
    <row r="4604" spans="1:15" x14ac:dyDescent="0.3">
      <c r="A4604">
        <v>41970</v>
      </c>
      <c r="B4604" t="s">
        <v>2</v>
      </c>
      <c r="C4604">
        <v>30</v>
      </c>
      <c r="D4604">
        <v>0</v>
      </c>
      <c r="E4604">
        <v>0</v>
      </c>
      <c r="F4604" t="str">
        <f t="shared" si="215"/>
        <v>Lower Risk</v>
      </c>
      <c r="G4604" t="s">
        <v>13</v>
      </c>
      <c r="H4604" t="s">
        <v>4</v>
      </c>
      <c r="I4604" t="s">
        <v>5</v>
      </c>
      <c r="J4604">
        <v>106.03</v>
      </c>
      <c r="K4604">
        <v>26.7</v>
      </c>
      <c r="L4604" t="s">
        <v>14</v>
      </c>
      <c r="M4604">
        <v>0</v>
      </c>
      <c r="N4604" t="str">
        <f t="shared" si="213"/>
        <v>Under 40</v>
      </c>
      <c r="O4604" t="str">
        <f t="shared" si="214"/>
        <v>Overweight</v>
      </c>
    </row>
    <row r="4605" spans="1:15" x14ac:dyDescent="0.3">
      <c r="A4605">
        <v>54206</v>
      </c>
      <c r="B4605" t="s">
        <v>7</v>
      </c>
      <c r="C4605">
        <v>31</v>
      </c>
      <c r="D4605">
        <v>0</v>
      </c>
      <c r="E4605">
        <v>0</v>
      </c>
      <c r="F4605" t="str">
        <f t="shared" si="215"/>
        <v>Lower Risk</v>
      </c>
      <c r="G4605" t="s">
        <v>13</v>
      </c>
      <c r="H4605" t="s">
        <v>15</v>
      </c>
      <c r="I4605" t="s">
        <v>5</v>
      </c>
      <c r="J4605">
        <v>80.88</v>
      </c>
      <c r="K4605">
        <v>29.3</v>
      </c>
      <c r="L4605" t="s">
        <v>6</v>
      </c>
      <c r="M4605">
        <v>0</v>
      </c>
      <c r="N4605" t="str">
        <f t="shared" si="213"/>
        <v>Under 40</v>
      </c>
      <c r="O4605" t="str">
        <f t="shared" si="214"/>
        <v>Overweight</v>
      </c>
    </row>
    <row r="4606" spans="1:15" x14ac:dyDescent="0.3">
      <c r="A4606">
        <v>46691</v>
      </c>
      <c r="B4606" t="s">
        <v>2</v>
      </c>
      <c r="C4606">
        <v>16</v>
      </c>
      <c r="D4606">
        <v>0</v>
      </c>
      <c r="E4606">
        <v>0</v>
      </c>
      <c r="F4606" t="str">
        <f t="shared" si="215"/>
        <v>Lower Risk</v>
      </c>
      <c r="G4606" t="s">
        <v>13</v>
      </c>
      <c r="H4606" t="s">
        <v>16</v>
      </c>
      <c r="I4606" t="s">
        <v>5</v>
      </c>
      <c r="J4606">
        <v>140.1</v>
      </c>
      <c r="K4606">
        <v>38.700000000000003</v>
      </c>
      <c r="L4606" t="s">
        <v>11</v>
      </c>
      <c r="M4606">
        <v>0</v>
      </c>
      <c r="N4606" t="str">
        <f t="shared" si="213"/>
        <v>Under 40</v>
      </c>
      <c r="O4606" t="str">
        <f t="shared" si="214"/>
        <v>Obese</v>
      </c>
    </row>
    <row r="4607" spans="1:15" x14ac:dyDescent="0.3">
      <c r="A4607">
        <v>37553</v>
      </c>
      <c r="B4607" t="s">
        <v>2</v>
      </c>
      <c r="C4607">
        <v>58</v>
      </c>
      <c r="D4607">
        <v>0</v>
      </c>
      <c r="E4607">
        <v>0</v>
      </c>
      <c r="F4607" t="str">
        <f t="shared" si="215"/>
        <v>Lower Risk</v>
      </c>
      <c r="G4607" t="s">
        <v>3</v>
      </c>
      <c r="H4607" t="s">
        <v>4</v>
      </c>
      <c r="I4607" t="s">
        <v>5</v>
      </c>
      <c r="J4607">
        <v>127.4</v>
      </c>
      <c r="K4607">
        <v>35.799999999999997</v>
      </c>
      <c r="L4607" t="s">
        <v>6</v>
      </c>
      <c r="M4607">
        <v>0</v>
      </c>
      <c r="N4607" t="str">
        <f t="shared" si="213"/>
        <v>40–59</v>
      </c>
      <c r="O4607" t="str">
        <f t="shared" si="214"/>
        <v>Obese</v>
      </c>
    </row>
    <row r="4608" spans="1:15" x14ac:dyDescent="0.3">
      <c r="A4608">
        <v>27507</v>
      </c>
      <c r="B4608" t="s">
        <v>7</v>
      </c>
      <c r="C4608">
        <v>19</v>
      </c>
      <c r="D4608">
        <v>0</v>
      </c>
      <c r="E4608">
        <v>0</v>
      </c>
      <c r="F4608" t="str">
        <f t="shared" si="215"/>
        <v>Lower Risk</v>
      </c>
      <c r="G4608" t="s">
        <v>13</v>
      </c>
      <c r="H4608" t="s">
        <v>4</v>
      </c>
      <c r="I4608" t="s">
        <v>5</v>
      </c>
      <c r="J4608">
        <v>87.72</v>
      </c>
      <c r="K4608">
        <v>21.7</v>
      </c>
      <c r="L4608" t="s">
        <v>11</v>
      </c>
      <c r="M4608">
        <v>0</v>
      </c>
      <c r="N4608" t="str">
        <f t="shared" si="213"/>
        <v>Under 40</v>
      </c>
      <c r="O4608" t="str">
        <f t="shared" si="214"/>
        <v>Normal</v>
      </c>
    </row>
    <row r="4609" spans="1:15" x14ac:dyDescent="0.3">
      <c r="A4609">
        <v>68209</v>
      </c>
      <c r="B4609" t="s">
        <v>2</v>
      </c>
      <c r="C4609">
        <v>47</v>
      </c>
      <c r="D4609">
        <v>0</v>
      </c>
      <c r="E4609">
        <v>0</v>
      </c>
      <c r="F4609" t="str">
        <f t="shared" si="215"/>
        <v>Lower Risk</v>
      </c>
      <c r="G4609" t="s">
        <v>3</v>
      </c>
      <c r="H4609" t="s">
        <v>15</v>
      </c>
      <c r="I4609" t="s">
        <v>9</v>
      </c>
      <c r="J4609">
        <v>58.23</v>
      </c>
      <c r="K4609">
        <v>31.4</v>
      </c>
      <c r="L4609" t="s">
        <v>6</v>
      </c>
      <c r="M4609">
        <v>0</v>
      </c>
      <c r="N4609" t="str">
        <f t="shared" si="213"/>
        <v>40–59</v>
      </c>
      <c r="O4609" t="str">
        <f t="shared" si="214"/>
        <v>Obese</v>
      </c>
    </row>
    <row r="4610" spans="1:15" x14ac:dyDescent="0.3">
      <c r="A4610">
        <v>42841</v>
      </c>
      <c r="B4610" t="s">
        <v>2</v>
      </c>
      <c r="C4610">
        <v>59</v>
      </c>
      <c r="D4610">
        <v>0</v>
      </c>
      <c r="E4610">
        <v>0</v>
      </c>
      <c r="F4610" t="str">
        <f t="shared" si="215"/>
        <v>Lower Risk</v>
      </c>
      <c r="G4610" t="s">
        <v>3</v>
      </c>
      <c r="H4610" t="s">
        <v>4</v>
      </c>
      <c r="I4610" t="s">
        <v>9</v>
      </c>
      <c r="J4610">
        <v>69.37</v>
      </c>
      <c r="K4610">
        <v>26.9</v>
      </c>
      <c r="L4610" t="s">
        <v>6</v>
      </c>
      <c r="M4610">
        <v>0</v>
      </c>
      <c r="N4610" t="str">
        <f t="shared" ref="N4610:N4673" si="216">IF(C4610&lt;40,"Under 40",IF(C4610&lt;60,"40–59","60+"))</f>
        <v>40–59</v>
      </c>
      <c r="O4610" t="str">
        <f t="shared" ref="O4610:O4673" si="217">IF(K4610="N/A","Unknown",
IF(K4610="","Unknown",
IF(K4610&lt;18.5,"Underweight",
IF(K4610&lt;25,"Normal",
IF(K4610&lt;30,"Overweight","Obese")))))</f>
        <v>Overweight</v>
      </c>
    </row>
    <row r="4611" spans="1:15" x14ac:dyDescent="0.3">
      <c r="A4611">
        <v>51889</v>
      </c>
      <c r="B4611" t="s">
        <v>7</v>
      </c>
      <c r="C4611">
        <v>40</v>
      </c>
      <c r="D4611">
        <v>0</v>
      </c>
      <c r="E4611">
        <v>0</v>
      </c>
      <c r="F4611" t="str">
        <f t="shared" ref="F4611:F4674" si="218">IF(C4611&gt;=60,
IF(OR(D4611=1,E4611=1),"High Risk","Moderate Risk"),
"Lower Risk")</f>
        <v>Lower Risk</v>
      </c>
      <c r="G4611" t="s">
        <v>3</v>
      </c>
      <c r="H4611" t="s">
        <v>4</v>
      </c>
      <c r="I4611" t="s">
        <v>5</v>
      </c>
      <c r="J4611">
        <v>58.64</v>
      </c>
      <c r="K4611">
        <v>33</v>
      </c>
      <c r="L4611" t="s">
        <v>11</v>
      </c>
      <c r="M4611">
        <v>0</v>
      </c>
      <c r="N4611" t="str">
        <f t="shared" si="216"/>
        <v>40–59</v>
      </c>
      <c r="O4611" t="str">
        <f t="shared" si="217"/>
        <v>Obese</v>
      </c>
    </row>
    <row r="4612" spans="1:15" x14ac:dyDescent="0.3">
      <c r="A4612">
        <v>72725</v>
      </c>
      <c r="B4612" t="s">
        <v>7</v>
      </c>
      <c r="C4612">
        <v>26</v>
      </c>
      <c r="D4612">
        <v>0</v>
      </c>
      <c r="E4612">
        <v>0</v>
      </c>
      <c r="F4612" t="str">
        <f t="shared" si="218"/>
        <v>Lower Risk</v>
      </c>
      <c r="G4612" t="s">
        <v>13</v>
      </c>
      <c r="H4612" t="s">
        <v>15</v>
      </c>
      <c r="I4612" t="s">
        <v>5</v>
      </c>
      <c r="J4612">
        <v>59.67</v>
      </c>
      <c r="K4612">
        <v>24.5</v>
      </c>
      <c r="L4612" t="s">
        <v>12</v>
      </c>
      <c r="M4612">
        <v>0</v>
      </c>
      <c r="N4612" t="str">
        <f t="shared" si="216"/>
        <v>Under 40</v>
      </c>
      <c r="O4612" t="str">
        <f t="shared" si="217"/>
        <v>Normal</v>
      </c>
    </row>
    <row r="4613" spans="1:15" x14ac:dyDescent="0.3">
      <c r="A4613">
        <v>18605</v>
      </c>
      <c r="B4613" t="s">
        <v>7</v>
      </c>
      <c r="C4613">
        <v>17</v>
      </c>
      <c r="D4613">
        <v>0</v>
      </c>
      <c r="E4613">
        <v>0</v>
      </c>
      <c r="F4613" t="str">
        <f t="shared" si="218"/>
        <v>Lower Risk</v>
      </c>
      <c r="G4613" t="s">
        <v>13</v>
      </c>
      <c r="H4613" t="s">
        <v>17</v>
      </c>
      <c r="I4613" t="s">
        <v>5</v>
      </c>
      <c r="J4613">
        <v>78.08</v>
      </c>
      <c r="K4613">
        <v>44.9</v>
      </c>
      <c r="L4613" t="s">
        <v>11</v>
      </c>
      <c r="M4613">
        <v>0</v>
      </c>
      <c r="N4613" t="str">
        <f t="shared" si="216"/>
        <v>Under 40</v>
      </c>
      <c r="O4613" t="str">
        <f t="shared" si="217"/>
        <v>Obese</v>
      </c>
    </row>
    <row r="4614" spans="1:15" x14ac:dyDescent="0.3">
      <c r="A4614">
        <v>23599</v>
      </c>
      <c r="B4614" t="s">
        <v>7</v>
      </c>
      <c r="C4614">
        <v>30</v>
      </c>
      <c r="D4614">
        <v>0</v>
      </c>
      <c r="E4614">
        <v>0</v>
      </c>
      <c r="F4614" t="str">
        <f t="shared" si="218"/>
        <v>Lower Risk</v>
      </c>
      <c r="G4614" t="s">
        <v>13</v>
      </c>
      <c r="H4614" t="s">
        <v>4</v>
      </c>
      <c r="I4614" t="s">
        <v>5</v>
      </c>
      <c r="J4614">
        <v>105.08</v>
      </c>
      <c r="K4614">
        <v>25.5</v>
      </c>
      <c r="L4614" t="s">
        <v>11</v>
      </c>
      <c r="M4614">
        <v>0</v>
      </c>
      <c r="N4614" t="str">
        <f t="shared" si="216"/>
        <v>Under 40</v>
      </c>
      <c r="O4614" t="str">
        <f t="shared" si="217"/>
        <v>Overweight</v>
      </c>
    </row>
    <row r="4615" spans="1:15" x14ac:dyDescent="0.3">
      <c r="A4615">
        <v>45530</v>
      </c>
      <c r="B4615" t="s">
        <v>7</v>
      </c>
      <c r="C4615">
        <v>19</v>
      </c>
      <c r="D4615">
        <v>0</v>
      </c>
      <c r="E4615">
        <v>0</v>
      </c>
      <c r="F4615" t="str">
        <f t="shared" si="218"/>
        <v>Lower Risk</v>
      </c>
      <c r="G4615" t="s">
        <v>13</v>
      </c>
      <c r="H4615" t="s">
        <v>4</v>
      </c>
      <c r="I4615" t="s">
        <v>5</v>
      </c>
      <c r="J4615">
        <v>89.3</v>
      </c>
      <c r="K4615">
        <v>22.1</v>
      </c>
      <c r="L4615" t="s">
        <v>11</v>
      </c>
      <c r="M4615">
        <v>0</v>
      </c>
      <c r="N4615" t="str">
        <f t="shared" si="216"/>
        <v>Under 40</v>
      </c>
      <c r="O4615" t="str">
        <f t="shared" si="217"/>
        <v>Normal</v>
      </c>
    </row>
    <row r="4616" spans="1:15" x14ac:dyDescent="0.3">
      <c r="A4616">
        <v>56425</v>
      </c>
      <c r="B4616" t="s">
        <v>7</v>
      </c>
      <c r="C4616">
        <v>78</v>
      </c>
      <c r="D4616">
        <v>0</v>
      </c>
      <c r="E4616">
        <v>0</v>
      </c>
      <c r="F4616" t="str">
        <f t="shared" si="218"/>
        <v>Moderate Risk</v>
      </c>
      <c r="G4616" t="s">
        <v>3</v>
      </c>
      <c r="H4616" t="s">
        <v>15</v>
      </c>
      <c r="I4616" t="s">
        <v>9</v>
      </c>
      <c r="J4616">
        <v>61.38</v>
      </c>
      <c r="K4616">
        <v>24.3</v>
      </c>
      <c r="L4616" t="s">
        <v>14</v>
      </c>
      <c r="M4616">
        <v>0</v>
      </c>
      <c r="N4616" t="str">
        <f t="shared" si="216"/>
        <v>60+</v>
      </c>
      <c r="O4616" t="str">
        <f t="shared" si="217"/>
        <v>Normal</v>
      </c>
    </row>
    <row r="4617" spans="1:15" x14ac:dyDescent="0.3">
      <c r="A4617">
        <v>69972</v>
      </c>
      <c r="B4617" t="s">
        <v>7</v>
      </c>
      <c r="C4617">
        <v>55</v>
      </c>
      <c r="D4617">
        <v>0</v>
      </c>
      <c r="E4617">
        <v>0</v>
      </c>
      <c r="F4617" t="str">
        <f t="shared" si="218"/>
        <v>Lower Risk</v>
      </c>
      <c r="G4617" t="s">
        <v>3</v>
      </c>
      <c r="H4617" t="s">
        <v>4</v>
      </c>
      <c r="I4617" t="s">
        <v>9</v>
      </c>
      <c r="J4617">
        <v>56.11</v>
      </c>
      <c r="K4617">
        <v>32.4</v>
      </c>
      <c r="L4617" t="s">
        <v>6</v>
      </c>
      <c r="M4617">
        <v>0</v>
      </c>
      <c r="N4617" t="str">
        <f t="shared" si="216"/>
        <v>40–59</v>
      </c>
      <c r="O4617" t="str">
        <f t="shared" si="217"/>
        <v>Obese</v>
      </c>
    </row>
    <row r="4618" spans="1:15" x14ac:dyDescent="0.3">
      <c r="A4618">
        <v>5774</v>
      </c>
      <c r="B4618" t="s">
        <v>2</v>
      </c>
      <c r="C4618">
        <v>59</v>
      </c>
      <c r="D4618">
        <v>0</v>
      </c>
      <c r="E4618">
        <v>0</v>
      </c>
      <c r="F4618" t="str">
        <f t="shared" si="218"/>
        <v>Lower Risk</v>
      </c>
      <c r="G4618" t="s">
        <v>3</v>
      </c>
      <c r="H4618" t="s">
        <v>4</v>
      </c>
      <c r="I4618" t="s">
        <v>5</v>
      </c>
      <c r="J4618">
        <v>223.16</v>
      </c>
      <c r="K4618" t="s">
        <v>10</v>
      </c>
      <c r="L4618" t="s">
        <v>14</v>
      </c>
      <c r="M4618">
        <v>0</v>
      </c>
      <c r="N4618" t="str">
        <f t="shared" si="216"/>
        <v>40–59</v>
      </c>
      <c r="O4618" t="str">
        <f t="shared" si="217"/>
        <v>Unknown</v>
      </c>
    </row>
    <row r="4619" spans="1:15" x14ac:dyDescent="0.3">
      <c r="A4619">
        <v>13307</v>
      </c>
      <c r="B4619" t="s">
        <v>2</v>
      </c>
      <c r="C4619">
        <v>57</v>
      </c>
      <c r="D4619">
        <v>0</v>
      </c>
      <c r="E4619">
        <v>0</v>
      </c>
      <c r="F4619" t="str">
        <f t="shared" si="218"/>
        <v>Lower Risk</v>
      </c>
      <c r="G4619" t="s">
        <v>3</v>
      </c>
      <c r="H4619" t="s">
        <v>15</v>
      </c>
      <c r="I4619" t="s">
        <v>5</v>
      </c>
      <c r="J4619">
        <v>75.53</v>
      </c>
      <c r="K4619">
        <v>33.1</v>
      </c>
      <c r="L4619" t="s">
        <v>6</v>
      </c>
      <c r="M4619">
        <v>0</v>
      </c>
      <c r="N4619" t="str">
        <f t="shared" si="216"/>
        <v>40–59</v>
      </c>
      <c r="O4619" t="str">
        <f t="shared" si="217"/>
        <v>Obese</v>
      </c>
    </row>
    <row r="4620" spans="1:15" x14ac:dyDescent="0.3">
      <c r="A4620">
        <v>72188</v>
      </c>
      <c r="B4620" t="s">
        <v>2</v>
      </c>
      <c r="C4620">
        <v>33</v>
      </c>
      <c r="D4620">
        <v>0</v>
      </c>
      <c r="E4620">
        <v>0</v>
      </c>
      <c r="F4620" t="str">
        <f t="shared" si="218"/>
        <v>Lower Risk</v>
      </c>
      <c r="G4620" t="s">
        <v>13</v>
      </c>
      <c r="H4620" t="s">
        <v>4</v>
      </c>
      <c r="I4620" t="s">
        <v>5</v>
      </c>
      <c r="J4620">
        <v>107.47</v>
      </c>
      <c r="K4620">
        <v>26.7</v>
      </c>
      <c r="L4620" t="s">
        <v>11</v>
      </c>
      <c r="M4620">
        <v>0</v>
      </c>
      <c r="N4620" t="str">
        <f t="shared" si="216"/>
        <v>Under 40</v>
      </c>
      <c r="O4620" t="str">
        <f t="shared" si="217"/>
        <v>Overweight</v>
      </c>
    </row>
    <row r="4621" spans="1:15" x14ac:dyDescent="0.3">
      <c r="A4621">
        <v>60226</v>
      </c>
      <c r="B4621" t="s">
        <v>7</v>
      </c>
      <c r="C4621">
        <v>35</v>
      </c>
      <c r="D4621">
        <v>0</v>
      </c>
      <c r="E4621">
        <v>0</v>
      </c>
      <c r="F4621" t="str">
        <f t="shared" si="218"/>
        <v>Lower Risk</v>
      </c>
      <c r="G4621" t="s">
        <v>3</v>
      </c>
      <c r="H4621" t="s">
        <v>4</v>
      </c>
      <c r="I4621" t="s">
        <v>5</v>
      </c>
      <c r="J4621">
        <v>76</v>
      </c>
      <c r="K4621">
        <v>37.9</v>
      </c>
      <c r="L4621" t="s">
        <v>14</v>
      </c>
      <c r="M4621">
        <v>0</v>
      </c>
      <c r="N4621" t="str">
        <f t="shared" si="216"/>
        <v>Under 40</v>
      </c>
      <c r="O4621" t="str">
        <f t="shared" si="217"/>
        <v>Obese</v>
      </c>
    </row>
    <row r="4622" spans="1:15" x14ac:dyDescent="0.3">
      <c r="A4622">
        <v>34940</v>
      </c>
      <c r="B4622" t="s">
        <v>2</v>
      </c>
      <c r="C4622">
        <v>32</v>
      </c>
      <c r="D4622">
        <v>0</v>
      </c>
      <c r="E4622">
        <v>0</v>
      </c>
      <c r="F4622" t="str">
        <f t="shared" si="218"/>
        <v>Lower Risk</v>
      </c>
      <c r="G4622" t="s">
        <v>3</v>
      </c>
      <c r="H4622" t="s">
        <v>4</v>
      </c>
      <c r="I4622" t="s">
        <v>5</v>
      </c>
      <c r="J4622">
        <v>90.28</v>
      </c>
      <c r="K4622">
        <v>39.6</v>
      </c>
      <c r="L4622" t="s">
        <v>11</v>
      </c>
      <c r="M4622">
        <v>0</v>
      </c>
      <c r="N4622" t="str">
        <f t="shared" si="216"/>
        <v>Under 40</v>
      </c>
      <c r="O4622" t="str">
        <f t="shared" si="217"/>
        <v>Obese</v>
      </c>
    </row>
    <row r="4623" spans="1:15" x14ac:dyDescent="0.3">
      <c r="A4623">
        <v>4403</v>
      </c>
      <c r="B4623" t="s">
        <v>7</v>
      </c>
      <c r="C4623">
        <v>55</v>
      </c>
      <c r="D4623">
        <v>0</v>
      </c>
      <c r="E4623">
        <v>0</v>
      </c>
      <c r="F4623" t="str">
        <f t="shared" si="218"/>
        <v>Lower Risk</v>
      </c>
      <c r="G4623" t="s">
        <v>3</v>
      </c>
      <c r="H4623" t="s">
        <v>4</v>
      </c>
      <c r="I4623" t="s">
        <v>5</v>
      </c>
      <c r="J4623">
        <v>65.22</v>
      </c>
      <c r="K4623">
        <v>19.8</v>
      </c>
      <c r="L4623" t="s">
        <v>11</v>
      </c>
      <c r="M4623">
        <v>0</v>
      </c>
      <c r="N4623" t="str">
        <f t="shared" si="216"/>
        <v>40–59</v>
      </c>
      <c r="O4623" t="str">
        <f t="shared" si="217"/>
        <v>Normal</v>
      </c>
    </row>
    <row r="4624" spans="1:15" x14ac:dyDescent="0.3">
      <c r="A4624">
        <v>33051</v>
      </c>
      <c r="B4624" t="s">
        <v>2</v>
      </c>
      <c r="C4624">
        <v>28</v>
      </c>
      <c r="D4624">
        <v>0</v>
      </c>
      <c r="E4624">
        <v>0</v>
      </c>
      <c r="F4624" t="str">
        <f t="shared" si="218"/>
        <v>Lower Risk</v>
      </c>
      <c r="G4624" t="s">
        <v>13</v>
      </c>
      <c r="H4624" t="s">
        <v>4</v>
      </c>
      <c r="I4624" t="s">
        <v>5</v>
      </c>
      <c r="J4624">
        <v>86.24</v>
      </c>
      <c r="K4624">
        <v>30</v>
      </c>
      <c r="L4624" t="s">
        <v>14</v>
      </c>
      <c r="M4624">
        <v>0</v>
      </c>
      <c r="N4624" t="str">
        <f t="shared" si="216"/>
        <v>Under 40</v>
      </c>
      <c r="O4624" t="str">
        <f t="shared" si="217"/>
        <v>Obese</v>
      </c>
    </row>
    <row r="4625" spans="1:15" x14ac:dyDescent="0.3">
      <c r="A4625">
        <v>37668</v>
      </c>
      <c r="B4625" t="s">
        <v>2</v>
      </c>
      <c r="C4625">
        <v>25</v>
      </c>
      <c r="D4625">
        <v>0</v>
      </c>
      <c r="E4625">
        <v>0</v>
      </c>
      <c r="F4625" t="str">
        <f t="shared" si="218"/>
        <v>Lower Risk</v>
      </c>
      <c r="G4625" t="s">
        <v>3</v>
      </c>
      <c r="H4625" t="s">
        <v>15</v>
      </c>
      <c r="I4625" t="s">
        <v>5</v>
      </c>
      <c r="J4625">
        <v>166.38</v>
      </c>
      <c r="K4625">
        <v>23.1</v>
      </c>
      <c r="L4625" t="s">
        <v>11</v>
      </c>
      <c r="M4625">
        <v>0</v>
      </c>
      <c r="N4625" t="str">
        <f t="shared" si="216"/>
        <v>Under 40</v>
      </c>
      <c r="O4625" t="str">
        <f t="shared" si="217"/>
        <v>Normal</v>
      </c>
    </row>
    <row r="4626" spans="1:15" x14ac:dyDescent="0.3">
      <c r="A4626">
        <v>27276</v>
      </c>
      <c r="B4626" t="s">
        <v>7</v>
      </c>
      <c r="C4626">
        <v>45</v>
      </c>
      <c r="D4626">
        <v>0</v>
      </c>
      <c r="E4626">
        <v>0</v>
      </c>
      <c r="F4626" t="str">
        <f t="shared" si="218"/>
        <v>Lower Risk</v>
      </c>
      <c r="G4626" t="s">
        <v>3</v>
      </c>
      <c r="H4626" t="s">
        <v>4</v>
      </c>
      <c r="I4626" t="s">
        <v>5</v>
      </c>
      <c r="J4626">
        <v>78.91</v>
      </c>
      <c r="K4626">
        <v>34.299999999999997</v>
      </c>
      <c r="L4626" t="s">
        <v>14</v>
      </c>
      <c r="M4626">
        <v>0</v>
      </c>
      <c r="N4626" t="str">
        <f t="shared" si="216"/>
        <v>40–59</v>
      </c>
      <c r="O4626" t="str">
        <f t="shared" si="217"/>
        <v>Obese</v>
      </c>
    </row>
    <row r="4627" spans="1:15" x14ac:dyDescent="0.3">
      <c r="A4627">
        <v>37808</v>
      </c>
      <c r="B4627" t="s">
        <v>7</v>
      </c>
      <c r="C4627">
        <v>34</v>
      </c>
      <c r="D4627">
        <v>0</v>
      </c>
      <c r="E4627">
        <v>0</v>
      </c>
      <c r="F4627" t="str">
        <f t="shared" si="218"/>
        <v>Lower Risk</v>
      </c>
      <c r="G4627" t="s">
        <v>13</v>
      </c>
      <c r="H4627" t="s">
        <v>15</v>
      </c>
      <c r="I4627" t="s">
        <v>5</v>
      </c>
      <c r="J4627">
        <v>226.28</v>
      </c>
      <c r="K4627">
        <v>38.4</v>
      </c>
      <c r="L4627" t="s">
        <v>14</v>
      </c>
      <c r="M4627">
        <v>0</v>
      </c>
      <c r="N4627" t="str">
        <f t="shared" si="216"/>
        <v>Under 40</v>
      </c>
      <c r="O4627" t="str">
        <f t="shared" si="217"/>
        <v>Obese</v>
      </c>
    </row>
    <row r="4628" spans="1:15" x14ac:dyDescent="0.3">
      <c r="A4628">
        <v>21678</v>
      </c>
      <c r="B4628" t="s">
        <v>2</v>
      </c>
      <c r="C4628">
        <v>33</v>
      </c>
      <c r="D4628">
        <v>0</v>
      </c>
      <c r="E4628">
        <v>0</v>
      </c>
      <c r="F4628" t="str">
        <f t="shared" si="218"/>
        <v>Lower Risk</v>
      </c>
      <c r="G4628" t="s">
        <v>3</v>
      </c>
      <c r="H4628" t="s">
        <v>4</v>
      </c>
      <c r="I4628" t="s">
        <v>5</v>
      </c>
      <c r="J4628">
        <v>90.73</v>
      </c>
      <c r="K4628">
        <v>32.799999999999997</v>
      </c>
      <c r="L4628" t="s">
        <v>12</v>
      </c>
      <c r="M4628">
        <v>0</v>
      </c>
      <c r="N4628" t="str">
        <f t="shared" si="216"/>
        <v>Under 40</v>
      </c>
      <c r="O4628" t="str">
        <f t="shared" si="217"/>
        <v>Obese</v>
      </c>
    </row>
    <row r="4629" spans="1:15" x14ac:dyDescent="0.3">
      <c r="A4629">
        <v>40087</v>
      </c>
      <c r="B4629" t="s">
        <v>2</v>
      </c>
      <c r="C4629">
        <v>65</v>
      </c>
      <c r="D4629">
        <v>0</v>
      </c>
      <c r="E4629">
        <v>0</v>
      </c>
      <c r="F4629" t="str">
        <f t="shared" si="218"/>
        <v>Moderate Risk</v>
      </c>
      <c r="G4629" t="s">
        <v>3</v>
      </c>
      <c r="H4629" t="s">
        <v>4</v>
      </c>
      <c r="I4629" t="s">
        <v>9</v>
      </c>
      <c r="J4629">
        <v>172.86</v>
      </c>
      <c r="K4629">
        <v>34.4</v>
      </c>
      <c r="L4629" t="s">
        <v>11</v>
      </c>
      <c r="M4629">
        <v>0</v>
      </c>
      <c r="N4629" t="str">
        <f t="shared" si="216"/>
        <v>60+</v>
      </c>
      <c r="O4629" t="str">
        <f t="shared" si="217"/>
        <v>Obese</v>
      </c>
    </row>
    <row r="4630" spans="1:15" x14ac:dyDescent="0.3">
      <c r="A4630">
        <v>38658</v>
      </c>
      <c r="B4630" t="s">
        <v>7</v>
      </c>
      <c r="C4630">
        <v>62</v>
      </c>
      <c r="D4630">
        <v>0</v>
      </c>
      <c r="E4630">
        <v>0</v>
      </c>
      <c r="F4630" t="str">
        <f t="shared" si="218"/>
        <v>Moderate Risk</v>
      </c>
      <c r="G4630" t="s">
        <v>3</v>
      </c>
      <c r="H4630" t="s">
        <v>8</v>
      </c>
      <c r="I4630" t="s">
        <v>9</v>
      </c>
      <c r="J4630">
        <v>213.92</v>
      </c>
      <c r="K4630">
        <v>44.6</v>
      </c>
      <c r="L4630" t="s">
        <v>11</v>
      </c>
      <c r="M4630">
        <v>0</v>
      </c>
      <c r="N4630" t="str">
        <f t="shared" si="216"/>
        <v>60+</v>
      </c>
      <c r="O4630" t="str">
        <f t="shared" si="217"/>
        <v>Obese</v>
      </c>
    </row>
    <row r="4631" spans="1:15" x14ac:dyDescent="0.3">
      <c r="A4631">
        <v>30353</v>
      </c>
      <c r="B4631" t="s">
        <v>2</v>
      </c>
      <c r="C4631">
        <v>36</v>
      </c>
      <c r="D4631">
        <v>0</v>
      </c>
      <c r="E4631">
        <v>0</v>
      </c>
      <c r="F4631" t="str">
        <f t="shared" si="218"/>
        <v>Lower Risk</v>
      </c>
      <c r="G4631" t="s">
        <v>3</v>
      </c>
      <c r="H4631" t="s">
        <v>4</v>
      </c>
      <c r="I4631" t="s">
        <v>5</v>
      </c>
      <c r="J4631">
        <v>92.23</v>
      </c>
      <c r="K4631">
        <v>32.799999999999997</v>
      </c>
      <c r="L4631" t="s">
        <v>11</v>
      </c>
      <c r="M4631">
        <v>0</v>
      </c>
      <c r="N4631" t="str">
        <f t="shared" si="216"/>
        <v>Under 40</v>
      </c>
      <c r="O4631" t="str">
        <f t="shared" si="217"/>
        <v>Obese</v>
      </c>
    </row>
    <row r="4632" spans="1:15" x14ac:dyDescent="0.3">
      <c r="A4632">
        <v>28803</v>
      </c>
      <c r="B4632" t="s">
        <v>2</v>
      </c>
      <c r="C4632">
        <v>31</v>
      </c>
      <c r="D4632">
        <v>0</v>
      </c>
      <c r="E4632">
        <v>0</v>
      </c>
      <c r="F4632" t="str">
        <f t="shared" si="218"/>
        <v>Lower Risk</v>
      </c>
      <c r="G4632" t="s">
        <v>3</v>
      </c>
      <c r="H4632" t="s">
        <v>4</v>
      </c>
      <c r="I4632" t="s">
        <v>5</v>
      </c>
      <c r="J4632">
        <v>79.81</v>
      </c>
      <c r="K4632">
        <v>26.4</v>
      </c>
      <c r="L4632" t="s">
        <v>11</v>
      </c>
      <c r="M4632">
        <v>0</v>
      </c>
      <c r="N4632" t="str">
        <f t="shared" si="216"/>
        <v>Under 40</v>
      </c>
      <c r="O4632" t="str">
        <f t="shared" si="217"/>
        <v>Overweight</v>
      </c>
    </row>
    <row r="4633" spans="1:15" x14ac:dyDescent="0.3">
      <c r="A4633">
        <v>10445</v>
      </c>
      <c r="B4633" t="s">
        <v>2</v>
      </c>
      <c r="C4633">
        <v>54</v>
      </c>
      <c r="D4633">
        <v>0</v>
      </c>
      <c r="E4633">
        <v>0</v>
      </c>
      <c r="F4633" t="str">
        <f t="shared" si="218"/>
        <v>Lower Risk</v>
      </c>
      <c r="G4633" t="s">
        <v>3</v>
      </c>
      <c r="H4633" t="s">
        <v>15</v>
      </c>
      <c r="I4633" t="s">
        <v>9</v>
      </c>
      <c r="J4633">
        <v>81.78</v>
      </c>
      <c r="K4633">
        <v>27.3</v>
      </c>
      <c r="L4633" t="s">
        <v>14</v>
      </c>
      <c r="M4633">
        <v>0</v>
      </c>
      <c r="N4633" t="str">
        <f t="shared" si="216"/>
        <v>40–59</v>
      </c>
      <c r="O4633" t="str">
        <f t="shared" si="217"/>
        <v>Overweight</v>
      </c>
    </row>
    <row r="4634" spans="1:15" x14ac:dyDescent="0.3">
      <c r="A4634">
        <v>12812</v>
      </c>
      <c r="B4634" t="s">
        <v>7</v>
      </c>
      <c r="C4634">
        <v>53</v>
      </c>
      <c r="D4634">
        <v>0</v>
      </c>
      <c r="E4634">
        <v>0</v>
      </c>
      <c r="F4634" t="str">
        <f t="shared" si="218"/>
        <v>Lower Risk</v>
      </c>
      <c r="G4634" t="s">
        <v>3</v>
      </c>
      <c r="H4634" t="s">
        <v>4</v>
      </c>
      <c r="I4634" t="s">
        <v>9</v>
      </c>
      <c r="J4634">
        <v>102</v>
      </c>
      <c r="K4634">
        <v>32.4</v>
      </c>
      <c r="L4634" t="s">
        <v>11</v>
      </c>
      <c r="M4634">
        <v>0</v>
      </c>
      <c r="N4634" t="str">
        <f t="shared" si="216"/>
        <v>40–59</v>
      </c>
      <c r="O4634" t="str">
        <f t="shared" si="217"/>
        <v>Obese</v>
      </c>
    </row>
    <row r="4635" spans="1:15" x14ac:dyDescent="0.3">
      <c r="A4635">
        <v>72289</v>
      </c>
      <c r="B4635" t="s">
        <v>7</v>
      </c>
      <c r="C4635">
        <v>44</v>
      </c>
      <c r="D4635">
        <v>0</v>
      </c>
      <c r="E4635">
        <v>0</v>
      </c>
      <c r="F4635" t="str">
        <f t="shared" si="218"/>
        <v>Lower Risk</v>
      </c>
      <c r="G4635" t="s">
        <v>3</v>
      </c>
      <c r="H4635" t="s">
        <v>4</v>
      </c>
      <c r="I4635" t="s">
        <v>9</v>
      </c>
      <c r="J4635">
        <v>68.42</v>
      </c>
      <c r="K4635">
        <v>43.2</v>
      </c>
      <c r="L4635" t="s">
        <v>12</v>
      </c>
      <c r="M4635">
        <v>0</v>
      </c>
      <c r="N4635" t="str">
        <f t="shared" si="216"/>
        <v>40–59</v>
      </c>
      <c r="O4635" t="str">
        <f t="shared" si="217"/>
        <v>Obese</v>
      </c>
    </row>
    <row r="4636" spans="1:15" x14ac:dyDescent="0.3">
      <c r="A4636">
        <v>30433</v>
      </c>
      <c r="B4636" t="s">
        <v>2</v>
      </c>
      <c r="C4636">
        <v>77</v>
      </c>
      <c r="D4636">
        <v>0</v>
      </c>
      <c r="E4636">
        <v>0</v>
      </c>
      <c r="F4636" t="str">
        <f t="shared" si="218"/>
        <v>Moderate Risk</v>
      </c>
      <c r="G4636" t="s">
        <v>3</v>
      </c>
      <c r="H4636" t="s">
        <v>4</v>
      </c>
      <c r="I4636" t="s">
        <v>5</v>
      </c>
      <c r="J4636">
        <v>94.68</v>
      </c>
      <c r="K4636">
        <v>33.6</v>
      </c>
      <c r="L4636" t="s">
        <v>14</v>
      </c>
      <c r="M4636">
        <v>0</v>
      </c>
      <c r="N4636" t="str">
        <f t="shared" si="216"/>
        <v>60+</v>
      </c>
      <c r="O4636" t="str">
        <f t="shared" si="217"/>
        <v>Obese</v>
      </c>
    </row>
    <row r="4637" spans="1:15" x14ac:dyDescent="0.3">
      <c r="A4637">
        <v>37640</v>
      </c>
      <c r="B4637" t="s">
        <v>7</v>
      </c>
      <c r="C4637">
        <v>67</v>
      </c>
      <c r="D4637">
        <v>0</v>
      </c>
      <c r="E4637">
        <v>0</v>
      </c>
      <c r="F4637" t="str">
        <f t="shared" si="218"/>
        <v>Moderate Risk</v>
      </c>
      <c r="G4637" t="s">
        <v>3</v>
      </c>
      <c r="H4637" t="s">
        <v>15</v>
      </c>
      <c r="I4637" t="s">
        <v>9</v>
      </c>
      <c r="J4637">
        <v>125.33</v>
      </c>
      <c r="K4637">
        <v>26.4</v>
      </c>
      <c r="L4637" t="s">
        <v>14</v>
      </c>
      <c r="M4637">
        <v>0</v>
      </c>
      <c r="N4637" t="str">
        <f t="shared" si="216"/>
        <v>60+</v>
      </c>
      <c r="O4637" t="str">
        <f t="shared" si="217"/>
        <v>Overweight</v>
      </c>
    </row>
    <row r="4638" spans="1:15" x14ac:dyDescent="0.3">
      <c r="A4638">
        <v>54378</v>
      </c>
      <c r="B4638" t="s">
        <v>7</v>
      </c>
      <c r="C4638">
        <v>48</v>
      </c>
      <c r="D4638">
        <v>0</v>
      </c>
      <c r="E4638">
        <v>0</v>
      </c>
      <c r="F4638" t="str">
        <f t="shared" si="218"/>
        <v>Lower Risk</v>
      </c>
      <c r="G4638" t="s">
        <v>3</v>
      </c>
      <c r="H4638" t="s">
        <v>8</v>
      </c>
      <c r="I4638" t="s">
        <v>5</v>
      </c>
      <c r="J4638">
        <v>212.19</v>
      </c>
      <c r="K4638">
        <v>46.9</v>
      </c>
      <c r="L4638" t="s">
        <v>11</v>
      </c>
      <c r="M4638">
        <v>0</v>
      </c>
      <c r="N4638" t="str">
        <f t="shared" si="216"/>
        <v>40–59</v>
      </c>
      <c r="O4638" t="str">
        <f t="shared" si="217"/>
        <v>Obese</v>
      </c>
    </row>
    <row r="4639" spans="1:15" x14ac:dyDescent="0.3">
      <c r="A4639">
        <v>34138</v>
      </c>
      <c r="B4639" t="s">
        <v>2</v>
      </c>
      <c r="C4639">
        <v>42</v>
      </c>
      <c r="D4639">
        <v>0</v>
      </c>
      <c r="E4639">
        <v>0</v>
      </c>
      <c r="F4639" t="str">
        <f t="shared" si="218"/>
        <v>Lower Risk</v>
      </c>
      <c r="G4639" t="s">
        <v>3</v>
      </c>
      <c r="H4639" t="s">
        <v>4</v>
      </c>
      <c r="I4639" t="s">
        <v>5</v>
      </c>
      <c r="J4639">
        <v>89</v>
      </c>
      <c r="K4639">
        <v>36.299999999999997</v>
      </c>
      <c r="L4639" t="s">
        <v>6</v>
      </c>
      <c r="M4639">
        <v>0</v>
      </c>
      <c r="N4639" t="str">
        <f t="shared" si="216"/>
        <v>40–59</v>
      </c>
      <c r="O4639" t="str">
        <f t="shared" si="217"/>
        <v>Obese</v>
      </c>
    </row>
    <row r="4640" spans="1:15" x14ac:dyDescent="0.3">
      <c r="A4640">
        <v>72160</v>
      </c>
      <c r="B4640" t="s">
        <v>2</v>
      </c>
      <c r="C4640">
        <v>72</v>
      </c>
      <c r="D4640">
        <v>1</v>
      </c>
      <c r="E4640">
        <v>1</v>
      </c>
      <c r="F4640" t="str">
        <f t="shared" si="218"/>
        <v>High Risk</v>
      </c>
      <c r="G4640" t="s">
        <v>3</v>
      </c>
      <c r="H4640" t="s">
        <v>4</v>
      </c>
      <c r="I4640" t="s">
        <v>9</v>
      </c>
      <c r="J4640">
        <v>60.98</v>
      </c>
      <c r="K4640">
        <v>34.9</v>
      </c>
      <c r="L4640" t="s">
        <v>6</v>
      </c>
      <c r="M4640">
        <v>0</v>
      </c>
      <c r="N4640" t="str">
        <f t="shared" si="216"/>
        <v>60+</v>
      </c>
      <c r="O4640" t="str">
        <f t="shared" si="217"/>
        <v>Obese</v>
      </c>
    </row>
    <row r="4641" spans="1:15" x14ac:dyDescent="0.3">
      <c r="A4641">
        <v>44447</v>
      </c>
      <c r="B4641" t="s">
        <v>2</v>
      </c>
      <c r="C4641">
        <v>49</v>
      </c>
      <c r="D4641">
        <v>0</v>
      </c>
      <c r="E4641">
        <v>0</v>
      </c>
      <c r="F4641" t="str">
        <f t="shared" si="218"/>
        <v>Lower Risk</v>
      </c>
      <c r="G4641" t="s">
        <v>3</v>
      </c>
      <c r="H4641" t="s">
        <v>4</v>
      </c>
      <c r="I4641" t="s">
        <v>5</v>
      </c>
      <c r="J4641">
        <v>58.19</v>
      </c>
      <c r="K4641">
        <v>29.6</v>
      </c>
      <c r="L4641" t="s">
        <v>12</v>
      </c>
      <c r="M4641">
        <v>0</v>
      </c>
      <c r="N4641" t="str">
        <f t="shared" si="216"/>
        <v>40–59</v>
      </c>
      <c r="O4641" t="str">
        <f t="shared" si="217"/>
        <v>Overweight</v>
      </c>
    </row>
    <row r="4642" spans="1:15" x14ac:dyDescent="0.3">
      <c r="A4642">
        <v>5927</v>
      </c>
      <c r="B4642" t="s">
        <v>7</v>
      </c>
      <c r="C4642">
        <v>1.32</v>
      </c>
      <c r="D4642">
        <v>0</v>
      </c>
      <c r="E4642">
        <v>0</v>
      </c>
      <c r="F4642" t="str">
        <f t="shared" si="218"/>
        <v>Lower Risk</v>
      </c>
      <c r="G4642" t="s">
        <v>13</v>
      </c>
      <c r="H4642" t="s">
        <v>16</v>
      </c>
      <c r="I4642" t="s">
        <v>9</v>
      </c>
      <c r="J4642">
        <v>67.680000000000007</v>
      </c>
      <c r="K4642">
        <v>16.5</v>
      </c>
      <c r="L4642" t="s">
        <v>14</v>
      </c>
      <c r="M4642">
        <v>0</v>
      </c>
      <c r="N4642" t="str">
        <f t="shared" si="216"/>
        <v>Under 40</v>
      </c>
      <c r="O4642" t="str">
        <f t="shared" si="217"/>
        <v>Underweight</v>
      </c>
    </row>
    <row r="4643" spans="1:15" x14ac:dyDescent="0.3">
      <c r="A4643">
        <v>44233</v>
      </c>
      <c r="B4643" t="s">
        <v>7</v>
      </c>
      <c r="C4643">
        <v>45</v>
      </c>
      <c r="D4643">
        <v>0</v>
      </c>
      <c r="E4643">
        <v>0</v>
      </c>
      <c r="F4643" t="str">
        <f t="shared" si="218"/>
        <v>Lower Risk</v>
      </c>
      <c r="G4643" t="s">
        <v>3</v>
      </c>
      <c r="H4643" t="s">
        <v>15</v>
      </c>
      <c r="I4643" t="s">
        <v>9</v>
      </c>
      <c r="J4643">
        <v>84.99</v>
      </c>
      <c r="K4643">
        <v>35.4</v>
      </c>
      <c r="L4643" t="s">
        <v>14</v>
      </c>
      <c r="M4643">
        <v>0</v>
      </c>
      <c r="N4643" t="str">
        <f t="shared" si="216"/>
        <v>40–59</v>
      </c>
      <c r="O4643" t="str">
        <f t="shared" si="217"/>
        <v>Obese</v>
      </c>
    </row>
    <row r="4644" spans="1:15" x14ac:dyDescent="0.3">
      <c r="A4644">
        <v>56021</v>
      </c>
      <c r="B4644" t="s">
        <v>7</v>
      </c>
      <c r="C4644">
        <v>63</v>
      </c>
      <c r="D4644">
        <v>1</v>
      </c>
      <c r="E4644">
        <v>0</v>
      </c>
      <c r="F4644" t="str">
        <f t="shared" si="218"/>
        <v>High Risk</v>
      </c>
      <c r="G4644" t="s">
        <v>3</v>
      </c>
      <c r="H4644" t="s">
        <v>4</v>
      </c>
      <c r="I4644" t="s">
        <v>5</v>
      </c>
      <c r="J4644">
        <v>62.13</v>
      </c>
      <c r="K4644">
        <v>23.6</v>
      </c>
      <c r="L4644" t="s">
        <v>11</v>
      </c>
      <c r="M4644">
        <v>0</v>
      </c>
      <c r="N4644" t="str">
        <f t="shared" si="216"/>
        <v>60+</v>
      </c>
      <c r="O4644" t="str">
        <f t="shared" si="217"/>
        <v>Normal</v>
      </c>
    </row>
    <row r="4645" spans="1:15" x14ac:dyDescent="0.3">
      <c r="A4645">
        <v>65038</v>
      </c>
      <c r="B4645" t="s">
        <v>7</v>
      </c>
      <c r="C4645">
        <v>33</v>
      </c>
      <c r="D4645">
        <v>0</v>
      </c>
      <c r="E4645">
        <v>0</v>
      </c>
      <c r="F4645" t="str">
        <f t="shared" si="218"/>
        <v>Lower Risk</v>
      </c>
      <c r="G4645" t="s">
        <v>3</v>
      </c>
      <c r="H4645" t="s">
        <v>4</v>
      </c>
      <c r="I4645" t="s">
        <v>9</v>
      </c>
      <c r="J4645">
        <v>57.1</v>
      </c>
      <c r="K4645">
        <v>33.1</v>
      </c>
      <c r="L4645" t="s">
        <v>11</v>
      </c>
      <c r="M4645">
        <v>0</v>
      </c>
      <c r="N4645" t="str">
        <f t="shared" si="216"/>
        <v>Under 40</v>
      </c>
      <c r="O4645" t="str">
        <f t="shared" si="217"/>
        <v>Obese</v>
      </c>
    </row>
    <row r="4646" spans="1:15" x14ac:dyDescent="0.3">
      <c r="A4646">
        <v>3595</v>
      </c>
      <c r="B4646" t="s">
        <v>2</v>
      </c>
      <c r="C4646">
        <v>32</v>
      </c>
      <c r="D4646">
        <v>0</v>
      </c>
      <c r="E4646">
        <v>0</v>
      </c>
      <c r="F4646" t="str">
        <f t="shared" si="218"/>
        <v>Lower Risk</v>
      </c>
      <c r="G4646" t="s">
        <v>3</v>
      </c>
      <c r="H4646" t="s">
        <v>4</v>
      </c>
      <c r="I4646" t="s">
        <v>5</v>
      </c>
      <c r="J4646">
        <v>97.95</v>
      </c>
      <c r="K4646">
        <v>40.200000000000003</v>
      </c>
      <c r="L4646" t="s">
        <v>12</v>
      </c>
      <c r="M4646">
        <v>0</v>
      </c>
      <c r="N4646" t="str">
        <f t="shared" si="216"/>
        <v>Under 40</v>
      </c>
      <c r="O4646" t="str">
        <f t="shared" si="217"/>
        <v>Obese</v>
      </c>
    </row>
    <row r="4647" spans="1:15" x14ac:dyDescent="0.3">
      <c r="A4647">
        <v>25783</v>
      </c>
      <c r="B4647" t="s">
        <v>7</v>
      </c>
      <c r="C4647">
        <v>0.48</v>
      </c>
      <c r="D4647">
        <v>0</v>
      </c>
      <c r="E4647">
        <v>0</v>
      </c>
      <c r="F4647" t="str">
        <f t="shared" si="218"/>
        <v>Lower Risk</v>
      </c>
      <c r="G4647" t="s">
        <v>13</v>
      </c>
      <c r="H4647" t="s">
        <v>16</v>
      </c>
      <c r="I4647" t="s">
        <v>9</v>
      </c>
      <c r="J4647">
        <v>94.06</v>
      </c>
      <c r="K4647">
        <v>14.8</v>
      </c>
      <c r="L4647" t="s">
        <v>14</v>
      </c>
      <c r="M4647">
        <v>0</v>
      </c>
      <c r="N4647" t="str">
        <f t="shared" si="216"/>
        <v>Under 40</v>
      </c>
      <c r="O4647" t="str">
        <f t="shared" si="217"/>
        <v>Underweight</v>
      </c>
    </row>
    <row r="4648" spans="1:15" x14ac:dyDescent="0.3">
      <c r="A4648">
        <v>68268</v>
      </c>
      <c r="B4648" t="s">
        <v>7</v>
      </c>
      <c r="C4648">
        <v>63</v>
      </c>
      <c r="D4648">
        <v>0</v>
      </c>
      <c r="E4648">
        <v>0</v>
      </c>
      <c r="F4648" t="str">
        <f t="shared" si="218"/>
        <v>Moderate Risk</v>
      </c>
      <c r="G4648" t="s">
        <v>3</v>
      </c>
      <c r="H4648" t="s">
        <v>8</v>
      </c>
      <c r="I4648" t="s">
        <v>5</v>
      </c>
      <c r="J4648">
        <v>93.88</v>
      </c>
      <c r="K4648">
        <v>34.799999999999997</v>
      </c>
      <c r="L4648" t="s">
        <v>14</v>
      </c>
      <c r="M4648">
        <v>0</v>
      </c>
      <c r="N4648" t="str">
        <f t="shared" si="216"/>
        <v>60+</v>
      </c>
      <c r="O4648" t="str">
        <f t="shared" si="217"/>
        <v>Obese</v>
      </c>
    </row>
    <row r="4649" spans="1:15" x14ac:dyDescent="0.3">
      <c r="A4649">
        <v>7564</v>
      </c>
      <c r="B4649" t="s">
        <v>2</v>
      </c>
      <c r="C4649">
        <v>70</v>
      </c>
      <c r="D4649">
        <v>0</v>
      </c>
      <c r="E4649">
        <v>0</v>
      </c>
      <c r="F4649" t="str">
        <f t="shared" si="218"/>
        <v>Moderate Risk</v>
      </c>
      <c r="G4649" t="s">
        <v>3</v>
      </c>
      <c r="H4649" t="s">
        <v>4</v>
      </c>
      <c r="I4649" t="s">
        <v>9</v>
      </c>
      <c r="J4649">
        <v>90.3</v>
      </c>
      <c r="K4649">
        <v>33.5</v>
      </c>
      <c r="L4649" t="s">
        <v>6</v>
      </c>
      <c r="M4649">
        <v>0</v>
      </c>
      <c r="N4649" t="str">
        <f t="shared" si="216"/>
        <v>60+</v>
      </c>
      <c r="O4649" t="str">
        <f t="shared" si="217"/>
        <v>Obese</v>
      </c>
    </row>
    <row r="4650" spans="1:15" x14ac:dyDescent="0.3">
      <c r="A4650">
        <v>26723</v>
      </c>
      <c r="B4650" t="s">
        <v>7</v>
      </c>
      <c r="C4650">
        <v>57</v>
      </c>
      <c r="D4650">
        <v>0</v>
      </c>
      <c r="E4650">
        <v>0</v>
      </c>
      <c r="F4650" t="str">
        <f t="shared" si="218"/>
        <v>Lower Risk</v>
      </c>
      <c r="G4650" t="s">
        <v>3</v>
      </c>
      <c r="H4650" t="s">
        <v>4</v>
      </c>
      <c r="I4650" t="s">
        <v>5</v>
      </c>
      <c r="J4650">
        <v>83.14</v>
      </c>
      <c r="K4650">
        <v>31.9</v>
      </c>
      <c r="L4650" t="s">
        <v>11</v>
      </c>
      <c r="M4650">
        <v>0</v>
      </c>
      <c r="N4650" t="str">
        <f t="shared" si="216"/>
        <v>40–59</v>
      </c>
      <c r="O4650" t="str">
        <f t="shared" si="217"/>
        <v>Obese</v>
      </c>
    </row>
    <row r="4651" spans="1:15" x14ac:dyDescent="0.3">
      <c r="A4651">
        <v>9995</v>
      </c>
      <c r="B4651" t="s">
        <v>2</v>
      </c>
      <c r="C4651">
        <v>8</v>
      </c>
      <c r="D4651">
        <v>0</v>
      </c>
      <c r="E4651">
        <v>0</v>
      </c>
      <c r="F4651" t="str">
        <f t="shared" si="218"/>
        <v>Lower Risk</v>
      </c>
      <c r="G4651" t="s">
        <v>13</v>
      </c>
      <c r="H4651" t="s">
        <v>16</v>
      </c>
      <c r="I4651" t="s">
        <v>5</v>
      </c>
      <c r="J4651">
        <v>118.66</v>
      </c>
      <c r="K4651">
        <v>16.100000000000001</v>
      </c>
      <c r="L4651" t="s">
        <v>14</v>
      </c>
      <c r="M4651">
        <v>0</v>
      </c>
      <c r="N4651" t="str">
        <f t="shared" si="216"/>
        <v>Under 40</v>
      </c>
      <c r="O4651" t="str">
        <f t="shared" si="217"/>
        <v>Underweight</v>
      </c>
    </row>
    <row r="4652" spans="1:15" x14ac:dyDescent="0.3">
      <c r="A4652">
        <v>68074</v>
      </c>
      <c r="B4652" t="s">
        <v>2</v>
      </c>
      <c r="C4652">
        <v>54</v>
      </c>
      <c r="D4652">
        <v>0</v>
      </c>
      <c r="E4652">
        <v>0</v>
      </c>
      <c r="F4652" t="str">
        <f t="shared" si="218"/>
        <v>Lower Risk</v>
      </c>
      <c r="G4652" t="s">
        <v>3</v>
      </c>
      <c r="H4652" t="s">
        <v>4</v>
      </c>
      <c r="I4652" t="s">
        <v>9</v>
      </c>
      <c r="J4652">
        <v>100.47</v>
      </c>
      <c r="K4652">
        <v>50.2</v>
      </c>
      <c r="L4652" t="s">
        <v>6</v>
      </c>
      <c r="M4652">
        <v>0</v>
      </c>
      <c r="N4652" t="str">
        <f t="shared" si="216"/>
        <v>40–59</v>
      </c>
      <c r="O4652" t="str">
        <f t="shared" si="217"/>
        <v>Obese</v>
      </c>
    </row>
    <row r="4653" spans="1:15" x14ac:dyDescent="0.3">
      <c r="A4653">
        <v>8385</v>
      </c>
      <c r="B4653" t="s">
        <v>2</v>
      </c>
      <c r="C4653">
        <v>37</v>
      </c>
      <c r="D4653">
        <v>0</v>
      </c>
      <c r="E4653">
        <v>0</v>
      </c>
      <c r="F4653" t="str">
        <f t="shared" si="218"/>
        <v>Lower Risk</v>
      </c>
      <c r="G4653" t="s">
        <v>3</v>
      </c>
      <c r="H4653" t="s">
        <v>4</v>
      </c>
      <c r="I4653" t="s">
        <v>5</v>
      </c>
      <c r="J4653">
        <v>90.78</v>
      </c>
      <c r="K4653">
        <v>35.9</v>
      </c>
      <c r="L4653" t="s">
        <v>14</v>
      </c>
      <c r="M4653">
        <v>0</v>
      </c>
      <c r="N4653" t="str">
        <f t="shared" si="216"/>
        <v>Under 40</v>
      </c>
      <c r="O4653" t="str">
        <f t="shared" si="217"/>
        <v>Obese</v>
      </c>
    </row>
    <row r="4654" spans="1:15" x14ac:dyDescent="0.3">
      <c r="A4654">
        <v>21796</v>
      </c>
      <c r="B4654" t="s">
        <v>2</v>
      </c>
      <c r="C4654">
        <v>59</v>
      </c>
      <c r="D4654">
        <v>0</v>
      </c>
      <c r="E4654">
        <v>0</v>
      </c>
      <c r="F4654" t="str">
        <f t="shared" si="218"/>
        <v>Lower Risk</v>
      </c>
      <c r="G4654" t="s">
        <v>3</v>
      </c>
      <c r="H4654" t="s">
        <v>4</v>
      </c>
      <c r="I4654" t="s">
        <v>5</v>
      </c>
      <c r="J4654">
        <v>66.459999999999994</v>
      </c>
      <c r="K4654">
        <v>39.6</v>
      </c>
      <c r="L4654" t="s">
        <v>6</v>
      </c>
      <c r="M4654">
        <v>0</v>
      </c>
      <c r="N4654" t="str">
        <f t="shared" si="216"/>
        <v>40–59</v>
      </c>
      <c r="O4654" t="str">
        <f t="shared" si="217"/>
        <v>Obese</v>
      </c>
    </row>
    <row r="4655" spans="1:15" x14ac:dyDescent="0.3">
      <c r="A4655">
        <v>53115</v>
      </c>
      <c r="B4655" t="s">
        <v>7</v>
      </c>
      <c r="C4655">
        <v>78</v>
      </c>
      <c r="D4655">
        <v>0</v>
      </c>
      <c r="E4655">
        <v>0</v>
      </c>
      <c r="F4655" t="str">
        <f t="shared" si="218"/>
        <v>Moderate Risk</v>
      </c>
      <c r="G4655" t="s">
        <v>3</v>
      </c>
      <c r="H4655" t="s">
        <v>15</v>
      </c>
      <c r="I4655" t="s">
        <v>5</v>
      </c>
      <c r="J4655">
        <v>73.56</v>
      </c>
      <c r="K4655">
        <v>27.5</v>
      </c>
      <c r="L4655" t="s">
        <v>6</v>
      </c>
      <c r="M4655">
        <v>0</v>
      </c>
      <c r="N4655" t="str">
        <f t="shared" si="216"/>
        <v>60+</v>
      </c>
      <c r="O4655" t="str">
        <f t="shared" si="217"/>
        <v>Overweight</v>
      </c>
    </row>
    <row r="4656" spans="1:15" x14ac:dyDescent="0.3">
      <c r="A4656">
        <v>27623</v>
      </c>
      <c r="B4656" t="s">
        <v>7</v>
      </c>
      <c r="C4656">
        <v>59</v>
      </c>
      <c r="D4656">
        <v>0</v>
      </c>
      <c r="E4656">
        <v>0</v>
      </c>
      <c r="F4656" t="str">
        <f t="shared" si="218"/>
        <v>Lower Risk</v>
      </c>
      <c r="G4656" t="s">
        <v>3</v>
      </c>
      <c r="H4656" t="s">
        <v>4</v>
      </c>
      <c r="I4656" t="s">
        <v>5</v>
      </c>
      <c r="J4656">
        <v>200.8</v>
      </c>
      <c r="K4656">
        <v>32.299999999999997</v>
      </c>
      <c r="L4656" t="s">
        <v>14</v>
      </c>
      <c r="M4656">
        <v>0</v>
      </c>
      <c r="N4656" t="str">
        <f t="shared" si="216"/>
        <v>40–59</v>
      </c>
      <c r="O4656" t="str">
        <f t="shared" si="217"/>
        <v>Obese</v>
      </c>
    </row>
    <row r="4657" spans="1:15" x14ac:dyDescent="0.3">
      <c r="A4657">
        <v>70823</v>
      </c>
      <c r="B4657" t="s">
        <v>7</v>
      </c>
      <c r="C4657">
        <v>10</v>
      </c>
      <c r="D4657">
        <v>0</v>
      </c>
      <c r="E4657">
        <v>0</v>
      </c>
      <c r="F4657" t="str">
        <f t="shared" si="218"/>
        <v>Lower Risk</v>
      </c>
      <c r="G4657" t="s">
        <v>13</v>
      </c>
      <c r="H4657" t="s">
        <v>16</v>
      </c>
      <c r="I4657" t="s">
        <v>5</v>
      </c>
      <c r="J4657">
        <v>57.28</v>
      </c>
      <c r="K4657">
        <v>15.4</v>
      </c>
      <c r="L4657" t="s">
        <v>11</v>
      </c>
      <c r="M4657">
        <v>0</v>
      </c>
      <c r="N4657" t="str">
        <f t="shared" si="216"/>
        <v>Under 40</v>
      </c>
      <c r="O4657" t="str">
        <f t="shared" si="217"/>
        <v>Underweight</v>
      </c>
    </row>
    <row r="4658" spans="1:15" x14ac:dyDescent="0.3">
      <c r="A4658">
        <v>5173</v>
      </c>
      <c r="B4658" t="s">
        <v>2</v>
      </c>
      <c r="C4658">
        <v>21</v>
      </c>
      <c r="D4658">
        <v>0</v>
      </c>
      <c r="E4658">
        <v>0</v>
      </c>
      <c r="F4658" t="str">
        <f t="shared" si="218"/>
        <v>Lower Risk</v>
      </c>
      <c r="G4658" t="s">
        <v>13</v>
      </c>
      <c r="H4658" t="s">
        <v>4</v>
      </c>
      <c r="I4658" t="s">
        <v>9</v>
      </c>
      <c r="J4658">
        <v>92.87</v>
      </c>
      <c r="K4658">
        <v>28.4</v>
      </c>
      <c r="L4658" t="s">
        <v>12</v>
      </c>
      <c r="M4658">
        <v>0</v>
      </c>
      <c r="N4658" t="str">
        <f t="shared" si="216"/>
        <v>Under 40</v>
      </c>
      <c r="O4658" t="str">
        <f t="shared" si="217"/>
        <v>Overweight</v>
      </c>
    </row>
    <row r="4659" spans="1:15" x14ac:dyDescent="0.3">
      <c r="A4659">
        <v>21852</v>
      </c>
      <c r="B4659" t="s">
        <v>2</v>
      </c>
      <c r="C4659">
        <v>2</v>
      </c>
      <c r="D4659">
        <v>0</v>
      </c>
      <c r="E4659">
        <v>0</v>
      </c>
      <c r="F4659" t="str">
        <f t="shared" si="218"/>
        <v>Lower Risk</v>
      </c>
      <c r="G4659" t="s">
        <v>13</v>
      </c>
      <c r="H4659" t="s">
        <v>16</v>
      </c>
      <c r="I4659" t="s">
        <v>9</v>
      </c>
      <c r="J4659">
        <v>96.47</v>
      </c>
      <c r="K4659">
        <v>19.5</v>
      </c>
      <c r="L4659" t="s">
        <v>14</v>
      </c>
      <c r="M4659">
        <v>0</v>
      </c>
      <c r="N4659" t="str">
        <f t="shared" si="216"/>
        <v>Under 40</v>
      </c>
      <c r="O4659" t="str">
        <f t="shared" si="217"/>
        <v>Normal</v>
      </c>
    </row>
    <row r="4660" spans="1:15" x14ac:dyDescent="0.3">
      <c r="A4660">
        <v>24711</v>
      </c>
      <c r="B4660" t="s">
        <v>7</v>
      </c>
      <c r="C4660">
        <v>55</v>
      </c>
      <c r="D4660">
        <v>0</v>
      </c>
      <c r="E4660">
        <v>0</v>
      </c>
      <c r="F4660" t="str">
        <f t="shared" si="218"/>
        <v>Lower Risk</v>
      </c>
      <c r="G4660" t="s">
        <v>3</v>
      </c>
      <c r="H4660" t="s">
        <v>15</v>
      </c>
      <c r="I4660" t="s">
        <v>5</v>
      </c>
      <c r="J4660">
        <v>99.44</v>
      </c>
      <c r="K4660">
        <v>25</v>
      </c>
      <c r="L4660" t="s">
        <v>6</v>
      </c>
      <c r="M4660">
        <v>0</v>
      </c>
      <c r="N4660" t="str">
        <f t="shared" si="216"/>
        <v>40–59</v>
      </c>
      <c r="O4660" t="str">
        <f t="shared" si="217"/>
        <v>Overweight</v>
      </c>
    </row>
    <row r="4661" spans="1:15" x14ac:dyDescent="0.3">
      <c r="A4661">
        <v>21967</v>
      </c>
      <c r="B4661" t="s">
        <v>7</v>
      </c>
      <c r="C4661">
        <v>20</v>
      </c>
      <c r="D4661">
        <v>0</v>
      </c>
      <c r="E4661">
        <v>0</v>
      </c>
      <c r="F4661" t="str">
        <f t="shared" si="218"/>
        <v>Lower Risk</v>
      </c>
      <c r="G4661" t="s">
        <v>3</v>
      </c>
      <c r="H4661" t="s">
        <v>4</v>
      </c>
      <c r="I4661" t="s">
        <v>5</v>
      </c>
      <c r="J4661">
        <v>77.959999999999994</v>
      </c>
      <c r="K4661">
        <v>26.3</v>
      </c>
      <c r="L4661" t="s">
        <v>12</v>
      </c>
      <c r="M4661">
        <v>0</v>
      </c>
      <c r="N4661" t="str">
        <f t="shared" si="216"/>
        <v>Under 40</v>
      </c>
      <c r="O4661" t="str">
        <f t="shared" si="217"/>
        <v>Overweight</v>
      </c>
    </row>
    <row r="4662" spans="1:15" x14ac:dyDescent="0.3">
      <c r="A4662">
        <v>36793</v>
      </c>
      <c r="B4662" t="s">
        <v>7</v>
      </c>
      <c r="C4662">
        <v>38</v>
      </c>
      <c r="D4662">
        <v>1</v>
      </c>
      <c r="E4662">
        <v>0</v>
      </c>
      <c r="F4662" t="str">
        <f t="shared" si="218"/>
        <v>Lower Risk</v>
      </c>
      <c r="G4662" t="s">
        <v>3</v>
      </c>
      <c r="H4662" t="s">
        <v>4</v>
      </c>
      <c r="I4662" t="s">
        <v>9</v>
      </c>
      <c r="J4662">
        <v>60.13</v>
      </c>
      <c r="K4662">
        <v>39.6</v>
      </c>
      <c r="L4662" t="s">
        <v>11</v>
      </c>
      <c r="M4662">
        <v>0</v>
      </c>
      <c r="N4662" t="str">
        <f t="shared" si="216"/>
        <v>Under 40</v>
      </c>
      <c r="O4662" t="str">
        <f t="shared" si="217"/>
        <v>Obese</v>
      </c>
    </row>
    <row r="4663" spans="1:15" x14ac:dyDescent="0.3">
      <c r="A4663">
        <v>37492</v>
      </c>
      <c r="B4663" t="s">
        <v>7</v>
      </c>
      <c r="C4663">
        <v>33</v>
      </c>
      <c r="D4663">
        <v>0</v>
      </c>
      <c r="E4663">
        <v>0</v>
      </c>
      <c r="F4663" t="str">
        <f t="shared" si="218"/>
        <v>Lower Risk</v>
      </c>
      <c r="G4663" t="s">
        <v>3</v>
      </c>
      <c r="H4663" t="s">
        <v>4</v>
      </c>
      <c r="I4663" t="s">
        <v>9</v>
      </c>
      <c r="J4663">
        <v>88.17</v>
      </c>
      <c r="K4663">
        <v>38.6</v>
      </c>
      <c r="L4663" t="s">
        <v>6</v>
      </c>
      <c r="M4663">
        <v>0</v>
      </c>
      <c r="N4663" t="str">
        <f t="shared" si="216"/>
        <v>Under 40</v>
      </c>
      <c r="O4663" t="str">
        <f t="shared" si="217"/>
        <v>Obese</v>
      </c>
    </row>
    <row r="4664" spans="1:15" x14ac:dyDescent="0.3">
      <c r="A4664">
        <v>45658</v>
      </c>
      <c r="B4664" t="s">
        <v>2</v>
      </c>
      <c r="C4664">
        <v>14</v>
      </c>
      <c r="D4664">
        <v>0</v>
      </c>
      <c r="E4664">
        <v>0</v>
      </c>
      <c r="F4664" t="str">
        <f t="shared" si="218"/>
        <v>Lower Risk</v>
      </c>
      <c r="G4664" t="s">
        <v>13</v>
      </c>
      <c r="H4664" t="s">
        <v>4</v>
      </c>
      <c r="I4664" t="s">
        <v>9</v>
      </c>
      <c r="J4664">
        <v>84.41</v>
      </c>
      <c r="K4664">
        <v>33.9</v>
      </c>
      <c r="L4664" t="s">
        <v>11</v>
      </c>
      <c r="M4664">
        <v>0</v>
      </c>
      <c r="N4664" t="str">
        <f t="shared" si="216"/>
        <v>Under 40</v>
      </c>
      <c r="O4664" t="str">
        <f t="shared" si="217"/>
        <v>Obese</v>
      </c>
    </row>
    <row r="4665" spans="1:15" x14ac:dyDescent="0.3">
      <c r="A4665">
        <v>6264</v>
      </c>
      <c r="B4665" t="s">
        <v>2</v>
      </c>
      <c r="C4665">
        <v>32</v>
      </c>
      <c r="D4665">
        <v>0</v>
      </c>
      <c r="E4665">
        <v>0</v>
      </c>
      <c r="F4665" t="str">
        <f t="shared" si="218"/>
        <v>Lower Risk</v>
      </c>
      <c r="G4665" t="s">
        <v>3</v>
      </c>
      <c r="H4665" t="s">
        <v>4</v>
      </c>
      <c r="I4665" t="s">
        <v>9</v>
      </c>
      <c r="J4665">
        <v>72.34</v>
      </c>
      <c r="K4665">
        <v>32.200000000000003</v>
      </c>
      <c r="L4665" t="s">
        <v>14</v>
      </c>
      <c r="M4665">
        <v>0</v>
      </c>
      <c r="N4665" t="str">
        <f t="shared" si="216"/>
        <v>Under 40</v>
      </c>
      <c r="O4665" t="str">
        <f t="shared" si="217"/>
        <v>Obese</v>
      </c>
    </row>
    <row r="4666" spans="1:15" x14ac:dyDescent="0.3">
      <c r="A4666">
        <v>37507</v>
      </c>
      <c r="B4666" t="s">
        <v>7</v>
      </c>
      <c r="C4666">
        <v>32</v>
      </c>
      <c r="D4666">
        <v>0</v>
      </c>
      <c r="E4666">
        <v>0</v>
      </c>
      <c r="F4666" t="str">
        <f t="shared" si="218"/>
        <v>Lower Risk</v>
      </c>
      <c r="G4666" t="s">
        <v>13</v>
      </c>
      <c r="H4666" t="s">
        <v>4</v>
      </c>
      <c r="I4666" t="s">
        <v>9</v>
      </c>
      <c r="J4666">
        <v>68.72</v>
      </c>
      <c r="K4666">
        <v>25.1</v>
      </c>
      <c r="L4666" t="s">
        <v>11</v>
      </c>
      <c r="M4666">
        <v>0</v>
      </c>
      <c r="N4666" t="str">
        <f t="shared" si="216"/>
        <v>Under 40</v>
      </c>
      <c r="O4666" t="str">
        <f t="shared" si="217"/>
        <v>Overweight</v>
      </c>
    </row>
    <row r="4667" spans="1:15" x14ac:dyDescent="0.3">
      <c r="A4667">
        <v>50557</v>
      </c>
      <c r="B4667" t="s">
        <v>7</v>
      </c>
      <c r="C4667">
        <v>68</v>
      </c>
      <c r="D4667">
        <v>0</v>
      </c>
      <c r="E4667">
        <v>0</v>
      </c>
      <c r="F4667" t="str">
        <f t="shared" si="218"/>
        <v>Moderate Risk</v>
      </c>
      <c r="G4667" t="s">
        <v>3</v>
      </c>
      <c r="H4667" t="s">
        <v>8</v>
      </c>
      <c r="I4667" t="s">
        <v>5</v>
      </c>
      <c r="J4667">
        <v>222.58</v>
      </c>
      <c r="K4667">
        <v>37.4</v>
      </c>
      <c r="L4667" t="s">
        <v>12</v>
      </c>
      <c r="M4667">
        <v>0</v>
      </c>
      <c r="N4667" t="str">
        <f t="shared" si="216"/>
        <v>60+</v>
      </c>
      <c r="O4667" t="str">
        <f t="shared" si="217"/>
        <v>Obese</v>
      </c>
    </row>
    <row r="4668" spans="1:15" x14ac:dyDescent="0.3">
      <c r="A4668">
        <v>21973</v>
      </c>
      <c r="B4668" t="s">
        <v>2</v>
      </c>
      <c r="C4668">
        <v>70</v>
      </c>
      <c r="D4668">
        <v>0</v>
      </c>
      <c r="E4668">
        <v>0</v>
      </c>
      <c r="F4668" t="str">
        <f t="shared" si="218"/>
        <v>Moderate Risk</v>
      </c>
      <c r="G4668" t="s">
        <v>3</v>
      </c>
      <c r="H4668" t="s">
        <v>4</v>
      </c>
      <c r="I4668" t="s">
        <v>9</v>
      </c>
      <c r="J4668">
        <v>66.06</v>
      </c>
      <c r="K4668">
        <v>30.1</v>
      </c>
      <c r="L4668" t="s">
        <v>6</v>
      </c>
      <c r="M4668">
        <v>0</v>
      </c>
      <c r="N4668" t="str">
        <f t="shared" si="216"/>
        <v>60+</v>
      </c>
      <c r="O4668" t="str">
        <f t="shared" si="217"/>
        <v>Obese</v>
      </c>
    </row>
    <row r="4669" spans="1:15" x14ac:dyDescent="0.3">
      <c r="A4669">
        <v>53346</v>
      </c>
      <c r="B4669" t="s">
        <v>7</v>
      </c>
      <c r="C4669">
        <v>24</v>
      </c>
      <c r="D4669">
        <v>0</v>
      </c>
      <c r="E4669">
        <v>0</v>
      </c>
      <c r="F4669" t="str">
        <f t="shared" si="218"/>
        <v>Lower Risk</v>
      </c>
      <c r="G4669" t="s">
        <v>3</v>
      </c>
      <c r="H4669" t="s">
        <v>4</v>
      </c>
      <c r="I4669" t="s">
        <v>9</v>
      </c>
      <c r="J4669">
        <v>156.43</v>
      </c>
      <c r="K4669">
        <v>27</v>
      </c>
      <c r="L4669" t="s">
        <v>6</v>
      </c>
      <c r="M4669">
        <v>0</v>
      </c>
      <c r="N4669" t="str">
        <f t="shared" si="216"/>
        <v>Under 40</v>
      </c>
      <c r="O4669" t="str">
        <f t="shared" si="217"/>
        <v>Overweight</v>
      </c>
    </row>
    <row r="4670" spans="1:15" x14ac:dyDescent="0.3">
      <c r="A4670">
        <v>41210</v>
      </c>
      <c r="B4670" t="s">
        <v>2</v>
      </c>
      <c r="C4670">
        <v>44</v>
      </c>
      <c r="D4670">
        <v>0</v>
      </c>
      <c r="E4670">
        <v>0</v>
      </c>
      <c r="F4670" t="str">
        <f t="shared" si="218"/>
        <v>Lower Risk</v>
      </c>
      <c r="G4670" t="s">
        <v>13</v>
      </c>
      <c r="H4670" t="s">
        <v>8</v>
      </c>
      <c r="I4670" t="s">
        <v>5</v>
      </c>
      <c r="J4670">
        <v>105.76</v>
      </c>
      <c r="K4670">
        <v>32.4</v>
      </c>
      <c r="L4670" t="s">
        <v>6</v>
      </c>
      <c r="M4670">
        <v>0</v>
      </c>
      <c r="N4670" t="str">
        <f t="shared" si="216"/>
        <v>40–59</v>
      </c>
      <c r="O4670" t="str">
        <f t="shared" si="217"/>
        <v>Obese</v>
      </c>
    </row>
    <row r="4671" spans="1:15" x14ac:dyDescent="0.3">
      <c r="A4671">
        <v>29078</v>
      </c>
      <c r="B4671" t="s">
        <v>2</v>
      </c>
      <c r="C4671">
        <v>39</v>
      </c>
      <c r="D4671">
        <v>0</v>
      </c>
      <c r="E4671">
        <v>0</v>
      </c>
      <c r="F4671" t="str">
        <f t="shared" si="218"/>
        <v>Lower Risk</v>
      </c>
      <c r="G4671" t="s">
        <v>3</v>
      </c>
      <c r="H4671" t="s">
        <v>15</v>
      </c>
      <c r="I4671" t="s">
        <v>9</v>
      </c>
      <c r="J4671">
        <v>73.069999999999993</v>
      </c>
      <c r="K4671">
        <v>26.8</v>
      </c>
      <c r="L4671" t="s">
        <v>12</v>
      </c>
      <c r="M4671">
        <v>0</v>
      </c>
      <c r="N4671" t="str">
        <f t="shared" si="216"/>
        <v>Under 40</v>
      </c>
      <c r="O4671" t="str">
        <f t="shared" si="217"/>
        <v>Overweight</v>
      </c>
    </row>
    <row r="4672" spans="1:15" x14ac:dyDescent="0.3">
      <c r="A4672">
        <v>24873</v>
      </c>
      <c r="B4672" t="s">
        <v>7</v>
      </c>
      <c r="C4672">
        <v>81</v>
      </c>
      <c r="D4672">
        <v>0</v>
      </c>
      <c r="E4672">
        <v>0</v>
      </c>
      <c r="F4672" t="str">
        <f t="shared" si="218"/>
        <v>Moderate Risk</v>
      </c>
      <c r="G4672" t="s">
        <v>3</v>
      </c>
      <c r="H4672" t="s">
        <v>4</v>
      </c>
      <c r="I4672" t="s">
        <v>9</v>
      </c>
      <c r="J4672">
        <v>99.48</v>
      </c>
      <c r="K4672">
        <v>27.2</v>
      </c>
      <c r="L4672" t="s">
        <v>11</v>
      </c>
      <c r="M4672">
        <v>0</v>
      </c>
      <c r="N4672" t="str">
        <f t="shared" si="216"/>
        <v>60+</v>
      </c>
      <c r="O4672" t="str">
        <f t="shared" si="217"/>
        <v>Overweight</v>
      </c>
    </row>
    <row r="4673" spans="1:15" x14ac:dyDescent="0.3">
      <c r="A4673">
        <v>15387</v>
      </c>
      <c r="B4673" t="s">
        <v>2</v>
      </c>
      <c r="C4673">
        <v>19</v>
      </c>
      <c r="D4673">
        <v>0</v>
      </c>
      <c r="E4673">
        <v>0</v>
      </c>
      <c r="F4673" t="str">
        <f t="shared" si="218"/>
        <v>Lower Risk</v>
      </c>
      <c r="G4673" t="s">
        <v>13</v>
      </c>
      <c r="H4673" t="s">
        <v>4</v>
      </c>
      <c r="I4673" t="s">
        <v>9</v>
      </c>
      <c r="J4673">
        <v>79.599999999999994</v>
      </c>
      <c r="K4673">
        <v>36.700000000000003</v>
      </c>
      <c r="L4673" t="s">
        <v>14</v>
      </c>
      <c r="M4673">
        <v>0</v>
      </c>
      <c r="N4673" t="str">
        <f t="shared" si="216"/>
        <v>Under 40</v>
      </c>
      <c r="O4673" t="str">
        <f t="shared" si="217"/>
        <v>Obese</v>
      </c>
    </row>
    <row r="4674" spans="1:15" x14ac:dyDescent="0.3">
      <c r="A4674">
        <v>63880</v>
      </c>
      <c r="B4674" t="s">
        <v>7</v>
      </c>
      <c r="C4674">
        <v>69</v>
      </c>
      <c r="D4674">
        <v>0</v>
      </c>
      <c r="E4674">
        <v>0</v>
      </c>
      <c r="F4674" t="str">
        <f t="shared" si="218"/>
        <v>Moderate Risk</v>
      </c>
      <c r="G4674" t="s">
        <v>3</v>
      </c>
      <c r="H4674" t="s">
        <v>8</v>
      </c>
      <c r="I4674" t="s">
        <v>5</v>
      </c>
      <c r="J4674">
        <v>70</v>
      </c>
      <c r="K4674">
        <v>36</v>
      </c>
      <c r="L4674" t="s">
        <v>11</v>
      </c>
      <c r="M4674">
        <v>0</v>
      </c>
      <c r="N4674" t="str">
        <f t="shared" ref="N4674:N4737" si="219">IF(C4674&lt;40,"Under 40",IF(C4674&lt;60,"40–59","60+"))</f>
        <v>60+</v>
      </c>
      <c r="O4674" t="str">
        <f t="shared" ref="O4674:O4737" si="220">IF(K4674="N/A","Unknown",
IF(K4674="","Unknown",
IF(K4674&lt;18.5,"Underweight",
IF(K4674&lt;25,"Normal",
IF(K4674&lt;30,"Overweight","Obese")))))</f>
        <v>Obese</v>
      </c>
    </row>
    <row r="4675" spans="1:15" x14ac:dyDescent="0.3">
      <c r="A4675">
        <v>49833</v>
      </c>
      <c r="B4675" t="s">
        <v>7</v>
      </c>
      <c r="C4675">
        <v>42</v>
      </c>
      <c r="D4675">
        <v>0</v>
      </c>
      <c r="E4675">
        <v>0</v>
      </c>
      <c r="F4675" t="str">
        <f t="shared" ref="F4675:F4738" si="221">IF(C4675&gt;=60,
IF(OR(D4675=1,E4675=1),"High Risk","Moderate Risk"),
"Lower Risk")</f>
        <v>Lower Risk</v>
      </c>
      <c r="G4675" t="s">
        <v>3</v>
      </c>
      <c r="H4675" t="s">
        <v>15</v>
      </c>
      <c r="I4675" t="s">
        <v>9</v>
      </c>
      <c r="J4675">
        <v>112.98</v>
      </c>
      <c r="K4675">
        <v>37.200000000000003</v>
      </c>
      <c r="L4675" t="s">
        <v>6</v>
      </c>
      <c r="M4675">
        <v>0</v>
      </c>
      <c r="N4675" t="str">
        <f t="shared" si="219"/>
        <v>40–59</v>
      </c>
      <c r="O4675" t="str">
        <f t="shared" si="220"/>
        <v>Obese</v>
      </c>
    </row>
    <row r="4676" spans="1:15" x14ac:dyDescent="0.3">
      <c r="A4676">
        <v>43773</v>
      </c>
      <c r="B4676" t="s">
        <v>2</v>
      </c>
      <c r="C4676">
        <v>8</v>
      </c>
      <c r="D4676">
        <v>0</v>
      </c>
      <c r="E4676">
        <v>0</v>
      </c>
      <c r="F4676" t="str">
        <f t="shared" si="221"/>
        <v>Lower Risk</v>
      </c>
      <c r="G4676" t="s">
        <v>13</v>
      </c>
      <c r="H4676" t="s">
        <v>16</v>
      </c>
      <c r="I4676" t="s">
        <v>5</v>
      </c>
      <c r="J4676">
        <v>61.07</v>
      </c>
      <c r="K4676">
        <v>19.100000000000001</v>
      </c>
      <c r="L4676" t="s">
        <v>14</v>
      </c>
      <c r="M4676">
        <v>0</v>
      </c>
      <c r="N4676" t="str">
        <f t="shared" si="219"/>
        <v>Under 40</v>
      </c>
      <c r="O4676" t="str">
        <f t="shared" si="220"/>
        <v>Normal</v>
      </c>
    </row>
    <row r="4677" spans="1:15" x14ac:dyDescent="0.3">
      <c r="A4677">
        <v>53095</v>
      </c>
      <c r="B4677" t="s">
        <v>2</v>
      </c>
      <c r="C4677">
        <v>8</v>
      </c>
      <c r="D4677">
        <v>0</v>
      </c>
      <c r="E4677">
        <v>0</v>
      </c>
      <c r="F4677" t="str">
        <f t="shared" si="221"/>
        <v>Lower Risk</v>
      </c>
      <c r="G4677" t="s">
        <v>13</v>
      </c>
      <c r="H4677" t="s">
        <v>16</v>
      </c>
      <c r="I4677" t="s">
        <v>9</v>
      </c>
      <c r="J4677">
        <v>63.43</v>
      </c>
      <c r="K4677">
        <v>21.8</v>
      </c>
      <c r="L4677" t="s">
        <v>14</v>
      </c>
      <c r="M4677">
        <v>0</v>
      </c>
      <c r="N4677" t="str">
        <f t="shared" si="219"/>
        <v>Under 40</v>
      </c>
      <c r="O4677" t="str">
        <f t="shared" si="220"/>
        <v>Normal</v>
      </c>
    </row>
    <row r="4678" spans="1:15" x14ac:dyDescent="0.3">
      <c r="A4678">
        <v>56185</v>
      </c>
      <c r="B4678" t="s">
        <v>7</v>
      </c>
      <c r="C4678">
        <v>28</v>
      </c>
      <c r="D4678">
        <v>0</v>
      </c>
      <c r="E4678">
        <v>0</v>
      </c>
      <c r="F4678" t="str">
        <f t="shared" si="221"/>
        <v>Lower Risk</v>
      </c>
      <c r="G4678" t="s">
        <v>13</v>
      </c>
      <c r="H4678" t="s">
        <v>4</v>
      </c>
      <c r="I4678" t="s">
        <v>5</v>
      </c>
      <c r="J4678">
        <v>73.2</v>
      </c>
      <c r="K4678">
        <v>26.5</v>
      </c>
      <c r="L4678" t="s">
        <v>12</v>
      </c>
      <c r="M4678">
        <v>0</v>
      </c>
      <c r="N4678" t="str">
        <f t="shared" si="219"/>
        <v>Under 40</v>
      </c>
      <c r="O4678" t="str">
        <f t="shared" si="220"/>
        <v>Overweight</v>
      </c>
    </row>
    <row r="4679" spans="1:15" x14ac:dyDescent="0.3">
      <c r="A4679">
        <v>57043</v>
      </c>
      <c r="B4679" t="s">
        <v>7</v>
      </c>
      <c r="C4679">
        <v>66</v>
      </c>
      <c r="D4679">
        <v>0</v>
      </c>
      <c r="E4679">
        <v>0</v>
      </c>
      <c r="F4679" t="str">
        <f t="shared" si="221"/>
        <v>Moderate Risk</v>
      </c>
      <c r="G4679" t="s">
        <v>3</v>
      </c>
      <c r="H4679" t="s">
        <v>8</v>
      </c>
      <c r="I4679" t="s">
        <v>5</v>
      </c>
      <c r="J4679">
        <v>102.73</v>
      </c>
      <c r="K4679">
        <v>35</v>
      </c>
      <c r="L4679" t="s">
        <v>6</v>
      </c>
      <c r="M4679">
        <v>0</v>
      </c>
      <c r="N4679" t="str">
        <f t="shared" si="219"/>
        <v>60+</v>
      </c>
      <c r="O4679" t="str">
        <f t="shared" si="220"/>
        <v>Obese</v>
      </c>
    </row>
    <row r="4680" spans="1:15" x14ac:dyDescent="0.3">
      <c r="A4680">
        <v>55545</v>
      </c>
      <c r="B4680" t="s">
        <v>7</v>
      </c>
      <c r="C4680">
        <v>66</v>
      </c>
      <c r="D4680">
        <v>0</v>
      </c>
      <c r="E4680">
        <v>0</v>
      </c>
      <c r="F4680" t="str">
        <f t="shared" si="221"/>
        <v>Moderate Risk</v>
      </c>
      <c r="G4680" t="s">
        <v>3</v>
      </c>
      <c r="H4680" t="s">
        <v>8</v>
      </c>
      <c r="I4680" t="s">
        <v>9</v>
      </c>
      <c r="J4680">
        <v>74.88</v>
      </c>
      <c r="K4680">
        <v>32.6</v>
      </c>
      <c r="L4680" t="s">
        <v>11</v>
      </c>
      <c r="M4680">
        <v>0</v>
      </c>
      <c r="N4680" t="str">
        <f t="shared" si="219"/>
        <v>60+</v>
      </c>
      <c r="O4680" t="str">
        <f t="shared" si="220"/>
        <v>Obese</v>
      </c>
    </row>
    <row r="4681" spans="1:15" x14ac:dyDescent="0.3">
      <c r="A4681">
        <v>60899</v>
      </c>
      <c r="B4681" t="s">
        <v>7</v>
      </c>
      <c r="C4681">
        <v>47</v>
      </c>
      <c r="D4681">
        <v>0</v>
      </c>
      <c r="E4681">
        <v>0</v>
      </c>
      <c r="F4681" t="str">
        <f t="shared" si="221"/>
        <v>Lower Risk</v>
      </c>
      <c r="G4681" t="s">
        <v>3</v>
      </c>
      <c r="H4681" t="s">
        <v>4</v>
      </c>
      <c r="I4681" t="s">
        <v>5</v>
      </c>
      <c r="J4681">
        <v>122.43</v>
      </c>
      <c r="K4681">
        <v>23.9</v>
      </c>
      <c r="L4681" t="s">
        <v>11</v>
      </c>
      <c r="M4681">
        <v>0</v>
      </c>
      <c r="N4681" t="str">
        <f t="shared" si="219"/>
        <v>40–59</v>
      </c>
      <c r="O4681" t="str">
        <f t="shared" si="220"/>
        <v>Normal</v>
      </c>
    </row>
    <row r="4682" spans="1:15" x14ac:dyDescent="0.3">
      <c r="A4682">
        <v>16136</v>
      </c>
      <c r="B4682" t="s">
        <v>7</v>
      </c>
      <c r="C4682">
        <v>78</v>
      </c>
      <c r="D4682">
        <v>0</v>
      </c>
      <c r="E4682">
        <v>0</v>
      </c>
      <c r="F4682" t="str">
        <f t="shared" si="221"/>
        <v>Moderate Risk</v>
      </c>
      <c r="G4682" t="s">
        <v>3</v>
      </c>
      <c r="H4682" t="s">
        <v>8</v>
      </c>
      <c r="I4682" t="s">
        <v>5</v>
      </c>
      <c r="J4682">
        <v>84.21</v>
      </c>
      <c r="K4682">
        <v>33.700000000000003</v>
      </c>
      <c r="L4682" t="s">
        <v>11</v>
      </c>
      <c r="M4682">
        <v>0</v>
      </c>
      <c r="N4682" t="str">
        <f t="shared" si="219"/>
        <v>60+</v>
      </c>
      <c r="O4682" t="str">
        <f t="shared" si="220"/>
        <v>Obese</v>
      </c>
    </row>
    <row r="4683" spans="1:15" x14ac:dyDescent="0.3">
      <c r="A4683">
        <v>11843</v>
      </c>
      <c r="B4683" t="s">
        <v>7</v>
      </c>
      <c r="C4683">
        <v>65</v>
      </c>
      <c r="D4683">
        <v>0</v>
      </c>
      <c r="E4683">
        <v>0</v>
      </c>
      <c r="F4683" t="str">
        <f t="shared" si="221"/>
        <v>Moderate Risk</v>
      </c>
      <c r="G4683" t="s">
        <v>3</v>
      </c>
      <c r="H4683" t="s">
        <v>8</v>
      </c>
      <c r="I4683" t="s">
        <v>9</v>
      </c>
      <c r="J4683">
        <v>80.42</v>
      </c>
      <c r="K4683">
        <v>29.4</v>
      </c>
      <c r="L4683" t="s">
        <v>6</v>
      </c>
      <c r="M4683">
        <v>0</v>
      </c>
      <c r="N4683" t="str">
        <f t="shared" si="219"/>
        <v>60+</v>
      </c>
      <c r="O4683" t="str">
        <f t="shared" si="220"/>
        <v>Overweight</v>
      </c>
    </row>
    <row r="4684" spans="1:15" x14ac:dyDescent="0.3">
      <c r="A4684">
        <v>3609</v>
      </c>
      <c r="B4684" t="s">
        <v>2</v>
      </c>
      <c r="C4684">
        <v>78</v>
      </c>
      <c r="D4684">
        <v>0</v>
      </c>
      <c r="E4684">
        <v>0</v>
      </c>
      <c r="F4684" t="str">
        <f t="shared" si="221"/>
        <v>Moderate Risk</v>
      </c>
      <c r="G4684" t="s">
        <v>3</v>
      </c>
      <c r="H4684" t="s">
        <v>4</v>
      </c>
      <c r="I4684" t="s">
        <v>5</v>
      </c>
      <c r="J4684">
        <v>80.44</v>
      </c>
      <c r="K4684">
        <v>29</v>
      </c>
      <c r="L4684" t="s">
        <v>11</v>
      </c>
      <c r="M4684">
        <v>0</v>
      </c>
      <c r="N4684" t="str">
        <f t="shared" si="219"/>
        <v>60+</v>
      </c>
      <c r="O4684" t="str">
        <f t="shared" si="220"/>
        <v>Overweight</v>
      </c>
    </row>
    <row r="4685" spans="1:15" x14ac:dyDescent="0.3">
      <c r="A4685">
        <v>29172</v>
      </c>
      <c r="B4685" t="s">
        <v>7</v>
      </c>
      <c r="C4685">
        <v>68</v>
      </c>
      <c r="D4685">
        <v>0</v>
      </c>
      <c r="E4685">
        <v>0</v>
      </c>
      <c r="F4685" t="str">
        <f t="shared" si="221"/>
        <v>Moderate Risk</v>
      </c>
      <c r="G4685" t="s">
        <v>3</v>
      </c>
      <c r="H4685" t="s">
        <v>8</v>
      </c>
      <c r="I4685" t="s">
        <v>9</v>
      </c>
      <c r="J4685">
        <v>80.63</v>
      </c>
      <c r="K4685">
        <v>20.2</v>
      </c>
      <c r="L4685" t="s">
        <v>11</v>
      </c>
      <c r="M4685">
        <v>0</v>
      </c>
      <c r="N4685" t="str">
        <f t="shared" si="219"/>
        <v>60+</v>
      </c>
      <c r="O4685" t="str">
        <f t="shared" si="220"/>
        <v>Normal</v>
      </c>
    </row>
    <row r="4686" spans="1:15" x14ac:dyDescent="0.3">
      <c r="A4686">
        <v>49894</v>
      </c>
      <c r="B4686" t="s">
        <v>7</v>
      </c>
      <c r="C4686">
        <v>78</v>
      </c>
      <c r="D4686">
        <v>1</v>
      </c>
      <c r="E4686">
        <v>1</v>
      </c>
      <c r="F4686" t="str">
        <f t="shared" si="221"/>
        <v>High Risk</v>
      </c>
      <c r="G4686" t="s">
        <v>3</v>
      </c>
      <c r="H4686" t="s">
        <v>4</v>
      </c>
      <c r="I4686" t="s">
        <v>9</v>
      </c>
      <c r="J4686">
        <v>206.53</v>
      </c>
      <c r="K4686" t="s">
        <v>10</v>
      </c>
      <c r="L4686" t="s">
        <v>11</v>
      </c>
      <c r="M4686">
        <v>0</v>
      </c>
      <c r="N4686" t="str">
        <f t="shared" si="219"/>
        <v>60+</v>
      </c>
      <c r="O4686" t="str">
        <f t="shared" si="220"/>
        <v>Unknown</v>
      </c>
    </row>
    <row r="4687" spans="1:15" x14ac:dyDescent="0.3">
      <c r="A4687">
        <v>6048</v>
      </c>
      <c r="B4687" t="s">
        <v>7</v>
      </c>
      <c r="C4687">
        <v>65</v>
      </c>
      <c r="D4687">
        <v>0</v>
      </c>
      <c r="E4687">
        <v>0</v>
      </c>
      <c r="F4687" t="str">
        <f t="shared" si="221"/>
        <v>Moderate Risk</v>
      </c>
      <c r="G4687" t="s">
        <v>3</v>
      </c>
      <c r="H4687" t="s">
        <v>4</v>
      </c>
      <c r="I4687" t="s">
        <v>5</v>
      </c>
      <c r="J4687">
        <v>104.12</v>
      </c>
      <c r="K4687">
        <v>27.4</v>
      </c>
      <c r="L4687" t="s">
        <v>11</v>
      </c>
      <c r="M4687">
        <v>0</v>
      </c>
      <c r="N4687" t="str">
        <f t="shared" si="219"/>
        <v>60+</v>
      </c>
      <c r="O4687" t="str">
        <f t="shared" si="220"/>
        <v>Overweight</v>
      </c>
    </row>
    <row r="4688" spans="1:15" x14ac:dyDescent="0.3">
      <c r="A4688">
        <v>16029</v>
      </c>
      <c r="B4688" t="s">
        <v>7</v>
      </c>
      <c r="C4688">
        <v>70</v>
      </c>
      <c r="D4688">
        <v>0</v>
      </c>
      <c r="E4688">
        <v>0</v>
      </c>
      <c r="F4688" t="str">
        <f t="shared" si="221"/>
        <v>Moderate Risk</v>
      </c>
      <c r="G4688" t="s">
        <v>3</v>
      </c>
      <c r="H4688" t="s">
        <v>8</v>
      </c>
      <c r="I4688" t="s">
        <v>9</v>
      </c>
      <c r="J4688">
        <v>96.82</v>
      </c>
      <c r="K4688">
        <v>25</v>
      </c>
      <c r="L4688" t="s">
        <v>11</v>
      </c>
      <c r="M4688">
        <v>0</v>
      </c>
      <c r="N4688" t="str">
        <f t="shared" si="219"/>
        <v>60+</v>
      </c>
      <c r="O4688" t="str">
        <f t="shared" si="220"/>
        <v>Overweight</v>
      </c>
    </row>
    <row r="4689" spans="1:15" x14ac:dyDescent="0.3">
      <c r="A4689">
        <v>63022</v>
      </c>
      <c r="B4689" t="s">
        <v>7</v>
      </c>
      <c r="C4689">
        <v>59</v>
      </c>
      <c r="D4689">
        <v>0</v>
      </c>
      <c r="E4689">
        <v>0</v>
      </c>
      <c r="F4689" t="str">
        <f t="shared" si="221"/>
        <v>Lower Risk</v>
      </c>
      <c r="G4689" t="s">
        <v>3</v>
      </c>
      <c r="H4689" t="s">
        <v>8</v>
      </c>
      <c r="I4689" t="s">
        <v>5</v>
      </c>
      <c r="J4689">
        <v>88.1</v>
      </c>
      <c r="K4689">
        <v>30.7</v>
      </c>
      <c r="L4689" t="s">
        <v>11</v>
      </c>
      <c r="M4689">
        <v>0</v>
      </c>
      <c r="N4689" t="str">
        <f t="shared" si="219"/>
        <v>40–59</v>
      </c>
      <c r="O4689" t="str">
        <f t="shared" si="220"/>
        <v>Obese</v>
      </c>
    </row>
    <row r="4690" spans="1:15" x14ac:dyDescent="0.3">
      <c r="A4690">
        <v>40041</v>
      </c>
      <c r="B4690" t="s">
        <v>2</v>
      </c>
      <c r="C4690">
        <v>31</v>
      </c>
      <c r="D4690">
        <v>0</v>
      </c>
      <c r="E4690">
        <v>0</v>
      </c>
      <c r="F4690" t="str">
        <f t="shared" si="221"/>
        <v>Lower Risk</v>
      </c>
      <c r="G4690" t="s">
        <v>13</v>
      </c>
      <c r="H4690" t="s">
        <v>8</v>
      </c>
      <c r="I4690" t="s">
        <v>9</v>
      </c>
      <c r="J4690">
        <v>64.849999999999994</v>
      </c>
      <c r="K4690">
        <v>23</v>
      </c>
      <c r="L4690" t="s">
        <v>14</v>
      </c>
      <c r="M4690">
        <v>0</v>
      </c>
      <c r="N4690" t="str">
        <f t="shared" si="219"/>
        <v>Under 40</v>
      </c>
      <c r="O4690" t="str">
        <f t="shared" si="220"/>
        <v>Normal</v>
      </c>
    </row>
    <row r="4691" spans="1:15" x14ac:dyDescent="0.3">
      <c r="A4691">
        <v>6924</v>
      </c>
      <c r="B4691" t="s">
        <v>7</v>
      </c>
      <c r="C4691">
        <v>32</v>
      </c>
      <c r="D4691">
        <v>0</v>
      </c>
      <c r="E4691">
        <v>0</v>
      </c>
      <c r="F4691" t="str">
        <f t="shared" si="221"/>
        <v>Lower Risk</v>
      </c>
      <c r="G4691" t="s">
        <v>3</v>
      </c>
      <c r="H4691" t="s">
        <v>4</v>
      </c>
      <c r="I4691" t="s">
        <v>9</v>
      </c>
      <c r="J4691">
        <v>102.87</v>
      </c>
      <c r="K4691">
        <v>26.6</v>
      </c>
      <c r="L4691" t="s">
        <v>12</v>
      </c>
      <c r="M4691">
        <v>0</v>
      </c>
      <c r="N4691" t="str">
        <f t="shared" si="219"/>
        <v>Under 40</v>
      </c>
      <c r="O4691" t="str">
        <f t="shared" si="220"/>
        <v>Overweight</v>
      </c>
    </row>
    <row r="4692" spans="1:15" x14ac:dyDescent="0.3">
      <c r="A4692">
        <v>22590</v>
      </c>
      <c r="B4692" t="s">
        <v>2</v>
      </c>
      <c r="C4692">
        <v>5</v>
      </c>
      <c r="D4692">
        <v>0</v>
      </c>
      <c r="E4692">
        <v>0</v>
      </c>
      <c r="F4692" t="str">
        <f t="shared" si="221"/>
        <v>Lower Risk</v>
      </c>
      <c r="G4692" t="s">
        <v>13</v>
      </c>
      <c r="H4692" t="s">
        <v>16</v>
      </c>
      <c r="I4692" t="s">
        <v>5</v>
      </c>
      <c r="J4692">
        <v>83.75</v>
      </c>
      <c r="K4692">
        <v>18.100000000000001</v>
      </c>
      <c r="L4692" t="s">
        <v>14</v>
      </c>
      <c r="M4692">
        <v>0</v>
      </c>
      <c r="N4692" t="str">
        <f t="shared" si="219"/>
        <v>Under 40</v>
      </c>
      <c r="O4692" t="str">
        <f t="shared" si="220"/>
        <v>Underweight</v>
      </c>
    </row>
    <row r="4693" spans="1:15" x14ac:dyDescent="0.3">
      <c r="A4693">
        <v>25878</v>
      </c>
      <c r="B4693" t="s">
        <v>2</v>
      </c>
      <c r="C4693">
        <v>55</v>
      </c>
      <c r="D4693">
        <v>0</v>
      </c>
      <c r="E4693">
        <v>0</v>
      </c>
      <c r="F4693" t="str">
        <f t="shared" si="221"/>
        <v>Lower Risk</v>
      </c>
      <c r="G4693" t="s">
        <v>3</v>
      </c>
      <c r="H4693" t="s">
        <v>8</v>
      </c>
      <c r="I4693" t="s">
        <v>9</v>
      </c>
      <c r="J4693">
        <v>97.68</v>
      </c>
      <c r="K4693">
        <v>47.1</v>
      </c>
      <c r="L4693" t="s">
        <v>6</v>
      </c>
      <c r="M4693">
        <v>0</v>
      </c>
      <c r="N4693" t="str">
        <f t="shared" si="219"/>
        <v>40–59</v>
      </c>
      <c r="O4693" t="str">
        <f t="shared" si="220"/>
        <v>Obese</v>
      </c>
    </row>
    <row r="4694" spans="1:15" x14ac:dyDescent="0.3">
      <c r="A4694">
        <v>11169</v>
      </c>
      <c r="B4694" t="s">
        <v>7</v>
      </c>
      <c r="C4694">
        <v>61</v>
      </c>
      <c r="D4694">
        <v>0</v>
      </c>
      <c r="E4694">
        <v>0</v>
      </c>
      <c r="F4694" t="str">
        <f t="shared" si="221"/>
        <v>Moderate Risk</v>
      </c>
      <c r="G4694" t="s">
        <v>3</v>
      </c>
      <c r="H4694" t="s">
        <v>4</v>
      </c>
      <c r="I4694" t="s">
        <v>5</v>
      </c>
      <c r="J4694">
        <v>97.58</v>
      </c>
      <c r="K4694">
        <v>29.7</v>
      </c>
      <c r="L4694" t="s">
        <v>6</v>
      </c>
      <c r="M4694">
        <v>0</v>
      </c>
      <c r="N4694" t="str">
        <f t="shared" si="219"/>
        <v>60+</v>
      </c>
      <c r="O4694" t="str">
        <f t="shared" si="220"/>
        <v>Overweight</v>
      </c>
    </row>
    <row r="4695" spans="1:15" x14ac:dyDescent="0.3">
      <c r="A4695">
        <v>44355</v>
      </c>
      <c r="B4695" t="s">
        <v>7</v>
      </c>
      <c r="C4695">
        <v>48</v>
      </c>
      <c r="D4695">
        <v>0</v>
      </c>
      <c r="E4695">
        <v>0</v>
      </c>
      <c r="F4695" t="str">
        <f t="shared" si="221"/>
        <v>Lower Risk</v>
      </c>
      <c r="G4695" t="s">
        <v>3</v>
      </c>
      <c r="H4695" t="s">
        <v>4</v>
      </c>
      <c r="I4695" t="s">
        <v>9</v>
      </c>
      <c r="J4695">
        <v>74.16</v>
      </c>
      <c r="K4695">
        <v>19.899999999999999</v>
      </c>
      <c r="L4695" t="s">
        <v>11</v>
      </c>
      <c r="M4695">
        <v>0</v>
      </c>
      <c r="N4695" t="str">
        <f t="shared" si="219"/>
        <v>40–59</v>
      </c>
      <c r="O4695" t="str">
        <f t="shared" si="220"/>
        <v>Normal</v>
      </c>
    </row>
    <row r="4696" spans="1:15" x14ac:dyDescent="0.3">
      <c r="A4696">
        <v>31113</v>
      </c>
      <c r="B4696" t="s">
        <v>7</v>
      </c>
      <c r="C4696">
        <v>1.1599999999999999</v>
      </c>
      <c r="D4696">
        <v>0</v>
      </c>
      <c r="E4696">
        <v>0</v>
      </c>
      <c r="F4696" t="str">
        <f t="shared" si="221"/>
        <v>Lower Risk</v>
      </c>
      <c r="G4696" t="s">
        <v>13</v>
      </c>
      <c r="H4696" t="s">
        <v>16</v>
      </c>
      <c r="I4696" t="s">
        <v>5</v>
      </c>
      <c r="J4696">
        <v>86</v>
      </c>
      <c r="K4696">
        <v>13.3</v>
      </c>
      <c r="L4696" t="s">
        <v>14</v>
      </c>
      <c r="M4696">
        <v>0</v>
      </c>
      <c r="N4696" t="str">
        <f t="shared" si="219"/>
        <v>Under 40</v>
      </c>
      <c r="O4696" t="str">
        <f t="shared" si="220"/>
        <v>Underweight</v>
      </c>
    </row>
    <row r="4697" spans="1:15" x14ac:dyDescent="0.3">
      <c r="A4697">
        <v>46514</v>
      </c>
      <c r="B4697" t="s">
        <v>7</v>
      </c>
      <c r="C4697">
        <v>50</v>
      </c>
      <c r="D4697">
        <v>0</v>
      </c>
      <c r="E4697">
        <v>0</v>
      </c>
      <c r="F4697" t="str">
        <f t="shared" si="221"/>
        <v>Lower Risk</v>
      </c>
      <c r="G4697" t="s">
        <v>3</v>
      </c>
      <c r="H4697" t="s">
        <v>15</v>
      </c>
      <c r="I4697" t="s">
        <v>5</v>
      </c>
      <c r="J4697">
        <v>100.93</v>
      </c>
      <c r="K4697">
        <v>32.700000000000003</v>
      </c>
      <c r="L4697" t="s">
        <v>11</v>
      </c>
      <c r="M4697">
        <v>0</v>
      </c>
      <c r="N4697" t="str">
        <f t="shared" si="219"/>
        <v>40–59</v>
      </c>
      <c r="O4697" t="str">
        <f t="shared" si="220"/>
        <v>Obese</v>
      </c>
    </row>
    <row r="4698" spans="1:15" x14ac:dyDescent="0.3">
      <c r="A4698">
        <v>67466</v>
      </c>
      <c r="B4698" t="s">
        <v>2</v>
      </c>
      <c r="C4698">
        <v>63</v>
      </c>
      <c r="D4698">
        <v>1</v>
      </c>
      <c r="E4698">
        <v>0</v>
      </c>
      <c r="F4698" t="str">
        <f t="shared" si="221"/>
        <v>High Risk</v>
      </c>
      <c r="G4698" t="s">
        <v>3</v>
      </c>
      <c r="H4698" t="s">
        <v>4</v>
      </c>
      <c r="I4698" t="s">
        <v>5</v>
      </c>
      <c r="J4698">
        <v>232.78</v>
      </c>
      <c r="K4698">
        <v>31.8</v>
      </c>
      <c r="L4698" t="s">
        <v>6</v>
      </c>
      <c r="M4698">
        <v>0</v>
      </c>
      <c r="N4698" t="str">
        <f t="shared" si="219"/>
        <v>60+</v>
      </c>
      <c r="O4698" t="str">
        <f t="shared" si="220"/>
        <v>Obese</v>
      </c>
    </row>
    <row r="4699" spans="1:15" x14ac:dyDescent="0.3">
      <c r="A4699">
        <v>3612</v>
      </c>
      <c r="B4699" t="s">
        <v>2</v>
      </c>
      <c r="C4699">
        <v>67</v>
      </c>
      <c r="D4699">
        <v>0</v>
      </c>
      <c r="E4699">
        <v>0</v>
      </c>
      <c r="F4699" t="str">
        <f t="shared" si="221"/>
        <v>Moderate Risk</v>
      </c>
      <c r="G4699" t="s">
        <v>3</v>
      </c>
      <c r="H4699" t="s">
        <v>4</v>
      </c>
      <c r="I4699" t="s">
        <v>9</v>
      </c>
      <c r="J4699">
        <v>86.96</v>
      </c>
      <c r="K4699">
        <v>31.4</v>
      </c>
      <c r="L4699" t="s">
        <v>6</v>
      </c>
      <c r="M4699">
        <v>0</v>
      </c>
      <c r="N4699" t="str">
        <f t="shared" si="219"/>
        <v>60+</v>
      </c>
      <c r="O4699" t="str">
        <f t="shared" si="220"/>
        <v>Obese</v>
      </c>
    </row>
    <row r="4700" spans="1:15" x14ac:dyDescent="0.3">
      <c r="A4700">
        <v>66590</v>
      </c>
      <c r="B4700" t="s">
        <v>7</v>
      </c>
      <c r="C4700">
        <v>43</v>
      </c>
      <c r="D4700">
        <v>0</v>
      </c>
      <c r="E4700">
        <v>0</v>
      </c>
      <c r="F4700" t="str">
        <f t="shared" si="221"/>
        <v>Lower Risk</v>
      </c>
      <c r="G4700" t="s">
        <v>3</v>
      </c>
      <c r="H4700" t="s">
        <v>8</v>
      </c>
      <c r="I4700" t="s">
        <v>5</v>
      </c>
      <c r="J4700">
        <v>67.5</v>
      </c>
      <c r="K4700">
        <v>20.399999999999999</v>
      </c>
      <c r="L4700" t="s">
        <v>6</v>
      </c>
      <c r="M4700">
        <v>0</v>
      </c>
      <c r="N4700" t="str">
        <f t="shared" si="219"/>
        <v>40–59</v>
      </c>
      <c r="O4700" t="str">
        <f t="shared" si="220"/>
        <v>Normal</v>
      </c>
    </row>
    <row r="4701" spans="1:15" x14ac:dyDescent="0.3">
      <c r="A4701">
        <v>19611</v>
      </c>
      <c r="B4701" t="s">
        <v>2</v>
      </c>
      <c r="C4701">
        <v>59</v>
      </c>
      <c r="D4701">
        <v>0</v>
      </c>
      <c r="E4701">
        <v>0</v>
      </c>
      <c r="F4701" t="str">
        <f t="shared" si="221"/>
        <v>Lower Risk</v>
      </c>
      <c r="G4701" t="s">
        <v>3</v>
      </c>
      <c r="H4701" t="s">
        <v>4</v>
      </c>
      <c r="I4701" t="s">
        <v>5</v>
      </c>
      <c r="J4701">
        <v>81.209999999999994</v>
      </c>
      <c r="K4701">
        <v>33.200000000000003</v>
      </c>
      <c r="L4701" t="s">
        <v>12</v>
      </c>
      <c r="M4701">
        <v>0</v>
      </c>
      <c r="N4701" t="str">
        <f t="shared" si="219"/>
        <v>40–59</v>
      </c>
      <c r="O4701" t="str">
        <f t="shared" si="220"/>
        <v>Obese</v>
      </c>
    </row>
    <row r="4702" spans="1:15" x14ac:dyDescent="0.3">
      <c r="A4702">
        <v>47216</v>
      </c>
      <c r="B4702" t="s">
        <v>2</v>
      </c>
      <c r="C4702">
        <v>47</v>
      </c>
      <c r="D4702">
        <v>0</v>
      </c>
      <c r="E4702">
        <v>0</v>
      </c>
      <c r="F4702" t="str">
        <f t="shared" si="221"/>
        <v>Lower Risk</v>
      </c>
      <c r="G4702" t="s">
        <v>3</v>
      </c>
      <c r="H4702" t="s">
        <v>4</v>
      </c>
      <c r="I4702" t="s">
        <v>9</v>
      </c>
      <c r="J4702">
        <v>110.14</v>
      </c>
      <c r="K4702">
        <v>30.5</v>
      </c>
      <c r="L4702" t="s">
        <v>12</v>
      </c>
      <c r="M4702">
        <v>0</v>
      </c>
      <c r="N4702" t="str">
        <f t="shared" si="219"/>
        <v>40–59</v>
      </c>
      <c r="O4702" t="str">
        <f t="shared" si="220"/>
        <v>Obese</v>
      </c>
    </row>
    <row r="4703" spans="1:15" x14ac:dyDescent="0.3">
      <c r="A4703">
        <v>55591</v>
      </c>
      <c r="B4703" t="s">
        <v>2</v>
      </c>
      <c r="C4703">
        <v>50</v>
      </c>
      <c r="D4703">
        <v>0</v>
      </c>
      <c r="E4703">
        <v>0</v>
      </c>
      <c r="F4703" t="str">
        <f t="shared" si="221"/>
        <v>Lower Risk</v>
      </c>
      <c r="G4703" t="s">
        <v>3</v>
      </c>
      <c r="H4703" t="s">
        <v>4</v>
      </c>
      <c r="I4703" t="s">
        <v>5</v>
      </c>
      <c r="J4703">
        <v>120.44</v>
      </c>
      <c r="K4703">
        <v>30.3</v>
      </c>
      <c r="L4703" t="s">
        <v>11</v>
      </c>
      <c r="M4703">
        <v>0</v>
      </c>
      <c r="N4703" t="str">
        <f t="shared" si="219"/>
        <v>40–59</v>
      </c>
      <c r="O4703" t="str">
        <f t="shared" si="220"/>
        <v>Obese</v>
      </c>
    </row>
    <row r="4704" spans="1:15" x14ac:dyDescent="0.3">
      <c r="A4704">
        <v>24381</v>
      </c>
      <c r="B4704" t="s">
        <v>2</v>
      </c>
      <c r="C4704">
        <v>51</v>
      </c>
      <c r="D4704">
        <v>0</v>
      </c>
      <c r="E4704">
        <v>1</v>
      </c>
      <c r="F4704" t="str">
        <f t="shared" si="221"/>
        <v>Lower Risk</v>
      </c>
      <c r="G4704" t="s">
        <v>3</v>
      </c>
      <c r="H4704" t="s">
        <v>8</v>
      </c>
      <c r="I4704" t="s">
        <v>5</v>
      </c>
      <c r="J4704">
        <v>187.47</v>
      </c>
      <c r="K4704">
        <v>34.200000000000003</v>
      </c>
      <c r="L4704" t="s">
        <v>11</v>
      </c>
      <c r="M4704">
        <v>0</v>
      </c>
      <c r="N4704" t="str">
        <f t="shared" si="219"/>
        <v>40–59</v>
      </c>
      <c r="O4704" t="str">
        <f t="shared" si="220"/>
        <v>Obese</v>
      </c>
    </row>
    <row r="4705" spans="1:15" x14ac:dyDescent="0.3">
      <c r="A4705">
        <v>8037</v>
      </c>
      <c r="B4705" t="s">
        <v>2</v>
      </c>
      <c r="C4705">
        <v>44</v>
      </c>
      <c r="D4705">
        <v>0</v>
      </c>
      <c r="E4705">
        <v>1</v>
      </c>
      <c r="F4705" t="str">
        <f t="shared" si="221"/>
        <v>Lower Risk</v>
      </c>
      <c r="G4705" t="s">
        <v>13</v>
      </c>
      <c r="H4705" t="s">
        <v>15</v>
      </c>
      <c r="I4705" t="s">
        <v>5</v>
      </c>
      <c r="J4705">
        <v>94.62</v>
      </c>
      <c r="K4705">
        <v>34.4</v>
      </c>
      <c r="L4705" t="s">
        <v>14</v>
      </c>
      <c r="M4705">
        <v>0</v>
      </c>
      <c r="N4705" t="str">
        <f t="shared" si="219"/>
        <v>40–59</v>
      </c>
      <c r="O4705" t="str">
        <f t="shared" si="220"/>
        <v>Obese</v>
      </c>
    </row>
    <row r="4706" spans="1:15" x14ac:dyDescent="0.3">
      <c r="A4706">
        <v>23911</v>
      </c>
      <c r="B4706" t="s">
        <v>7</v>
      </c>
      <c r="C4706">
        <v>39</v>
      </c>
      <c r="D4706">
        <v>0</v>
      </c>
      <c r="E4706">
        <v>0</v>
      </c>
      <c r="F4706" t="str">
        <f t="shared" si="221"/>
        <v>Lower Risk</v>
      </c>
      <c r="G4706" t="s">
        <v>13</v>
      </c>
      <c r="H4706" t="s">
        <v>4</v>
      </c>
      <c r="I4706" t="s">
        <v>9</v>
      </c>
      <c r="J4706">
        <v>89.57</v>
      </c>
      <c r="K4706">
        <v>48.1</v>
      </c>
      <c r="L4706" t="s">
        <v>11</v>
      </c>
      <c r="M4706">
        <v>0</v>
      </c>
      <c r="N4706" t="str">
        <f t="shared" si="219"/>
        <v>Under 40</v>
      </c>
      <c r="O4706" t="str">
        <f t="shared" si="220"/>
        <v>Obese</v>
      </c>
    </row>
    <row r="4707" spans="1:15" x14ac:dyDescent="0.3">
      <c r="A4707">
        <v>31596</v>
      </c>
      <c r="B4707" t="s">
        <v>7</v>
      </c>
      <c r="C4707">
        <v>24</v>
      </c>
      <c r="D4707">
        <v>0</v>
      </c>
      <c r="E4707">
        <v>0</v>
      </c>
      <c r="F4707" t="str">
        <f t="shared" si="221"/>
        <v>Lower Risk</v>
      </c>
      <c r="G4707" t="s">
        <v>13</v>
      </c>
      <c r="H4707" t="s">
        <v>4</v>
      </c>
      <c r="I4707" t="s">
        <v>5</v>
      </c>
      <c r="J4707">
        <v>95.31</v>
      </c>
      <c r="K4707">
        <v>22.8</v>
      </c>
      <c r="L4707" t="s">
        <v>11</v>
      </c>
      <c r="M4707">
        <v>0</v>
      </c>
      <c r="N4707" t="str">
        <f t="shared" si="219"/>
        <v>Under 40</v>
      </c>
      <c r="O4707" t="str">
        <f t="shared" si="220"/>
        <v>Normal</v>
      </c>
    </row>
    <row r="4708" spans="1:15" x14ac:dyDescent="0.3">
      <c r="A4708">
        <v>44647</v>
      </c>
      <c r="B4708" t="s">
        <v>2</v>
      </c>
      <c r="C4708">
        <v>62</v>
      </c>
      <c r="D4708">
        <v>0</v>
      </c>
      <c r="E4708">
        <v>0</v>
      </c>
      <c r="F4708" t="str">
        <f t="shared" si="221"/>
        <v>Moderate Risk</v>
      </c>
      <c r="G4708" t="s">
        <v>13</v>
      </c>
      <c r="H4708" t="s">
        <v>15</v>
      </c>
      <c r="I4708" t="s">
        <v>9</v>
      </c>
      <c r="J4708">
        <v>75.069999999999993</v>
      </c>
      <c r="K4708">
        <v>30.5</v>
      </c>
      <c r="L4708" t="s">
        <v>11</v>
      </c>
      <c r="M4708">
        <v>0</v>
      </c>
      <c r="N4708" t="str">
        <f t="shared" si="219"/>
        <v>60+</v>
      </c>
      <c r="O4708" t="str">
        <f t="shared" si="220"/>
        <v>Obese</v>
      </c>
    </row>
    <row r="4709" spans="1:15" x14ac:dyDescent="0.3">
      <c r="A4709">
        <v>51486</v>
      </c>
      <c r="B4709" t="s">
        <v>7</v>
      </c>
      <c r="C4709">
        <v>61</v>
      </c>
      <c r="D4709">
        <v>0</v>
      </c>
      <c r="E4709">
        <v>0</v>
      </c>
      <c r="F4709" t="str">
        <f t="shared" si="221"/>
        <v>Moderate Risk</v>
      </c>
      <c r="G4709" t="s">
        <v>3</v>
      </c>
      <c r="H4709" t="s">
        <v>4</v>
      </c>
      <c r="I4709" t="s">
        <v>9</v>
      </c>
      <c r="J4709">
        <v>106.65</v>
      </c>
      <c r="K4709">
        <v>35.9</v>
      </c>
      <c r="L4709" t="s">
        <v>6</v>
      </c>
      <c r="M4709">
        <v>0</v>
      </c>
      <c r="N4709" t="str">
        <f t="shared" si="219"/>
        <v>60+</v>
      </c>
      <c r="O4709" t="str">
        <f t="shared" si="220"/>
        <v>Obese</v>
      </c>
    </row>
    <row r="4710" spans="1:15" x14ac:dyDescent="0.3">
      <c r="A4710">
        <v>18263</v>
      </c>
      <c r="B4710" t="s">
        <v>7</v>
      </c>
      <c r="C4710">
        <v>78</v>
      </c>
      <c r="D4710">
        <v>0</v>
      </c>
      <c r="E4710">
        <v>0</v>
      </c>
      <c r="F4710" t="str">
        <f t="shared" si="221"/>
        <v>Moderate Risk</v>
      </c>
      <c r="G4710" t="s">
        <v>3</v>
      </c>
      <c r="H4710" t="s">
        <v>8</v>
      </c>
      <c r="I4710" t="s">
        <v>5</v>
      </c>
      <c r="J4710">
        <v>234.06</v>
      </c>
      <c r="K4710">
        <v>33.700000000000003</v>
      </c>
      <c r="L4710" t="s">
        <v>11</v>
      </c>
      <c r="M4710">
        <v>0</v>
      </c>
      <c r="N4710" t="str">
        <f t="shared" si="219"/>
        <v>60+</v>
      </c>
      <c r="O4710" t="str">
        <f t="shared" si="220"/>
        <v>Obese</v>
      </c>
    </row>
    <row r="4711" spans="1:15" x14ac:dyDescent="0.3">
      <c r="A4711">
        <v>41930</v>
      </c>
      <c r="B4711" t="s">
        <v>2</v>
      </c>
      <c r="C4711">
        <v>15</v>
      </c>
      <c r="D4711">
        <v>0</v>
      </c>
      <c r="E4711">
        <v>0</v>
      </c>
      <c r="F4711" t="str">
        <f t="shared" si="221"/>
        <v>Lower Risk</v>
      </c>
      <c r="G4711" t="s">
        <v>13</v>
      </c>
      <c r="H4711" t="s">
        <v>4</v>
      </c>
      <c r="I4711" t="s">
        <v>9</v>
      </c>
      <c r="J4711">
        <v>144.15</v>
      </c>
      <c r="K4711">
        <v>24.1</v>
      </c>
      <c r="L4711" t="s">
        <v>11</v>
      </c>
      <c r="M4711">
        <v>0</v>
      </c>
      <c r="N4711" t="str">
        <f t="shared" si="219"/>
        <v>Under 40</v>
      </c>
      <c r="O4711" t="str">
        <f t="shared" si="220"/>
        <v>Normal</v>
      </c>
    </row>
    <row r="4712" spans="1:15" x14ac:dyDescent="0.3">
      <c r="A4712">
        <v>45922</v>
      </c>
      <c r="B4712" t="s">
        <v>7</v>
      </c>
      <c r="C4712">
        <v>23</v>
      </c>
      <c r="D4712">
        <v>0</v>
      </c>
      <c r="E4712">
        <v>0</v>
      </c>
      <c r="F4712" t="str">
        <f t="shared" si="221"/>
        <v>Lower Risk</v>
      </c>
      <c r="G4712" t="s">
        <v>13</v>
      </c>
      <c r="H4712" t="s">
        <v>4</v>
      </c>
      <c r="I4712" t="s">
        <v>5</v>
      </c>
      <c r="J4712">
        <v>58.81</v>
      </c>
      <c r="K4712">
        <v>25.4</v>
      </c>
      <c r="L4712" t="s">
        <v>11</v>
      </c>
      <c r="M4712">
        <v>0</v>
      </c>
      <c r="N4712" t="str">
        <f t="shared" si="219"/>
        <v>Under 40</v>
      </c>
      <c r="O4712" t="str">
        <f t="shared" si="220"/>
        <v>Overweight</v>
      </c>
    </row>
    <row r="4713" spans="1:15" x14ac:dyDescent="0.3">
      <c r="A4713">
        <v>52934</v>
      </c>
      <c r="B4713" t="s">
        <v>2</v>
      </c>
      <c r="C4713">
        <v>79</v>
      </c>
      <c r="D4713">
        <v>0</v>
      </c>
      <c r="E4713">
        <v>0</v>
      </c>
      <c r="F4713" t="str">
        <f t="shared" si="221"/>
        <v>Moderate Risk</v>
      </c>
      <c r="G4713" t="s">
        <v>3</v>
      </c>
      <c r="H4713" t="s">
        <v>8</v>
      </c>
      <c r="I4713" t="s">
        <v>5</v>
      </c>
      <c r="J4713">
        <v>242.62</v>
      </c>
      <c r="K4713">
        <v>25.5</v>
      </c>
      <c r="L4713" t="s">
        <v>11</v>
      </c>
      <c r="M4713">
        <v>0</v>
      </c>
      <c r="N4713" t="str">
        <f t="shared" si="219"/>
        <v>60+</v>
      </c>
      <c r="O4713" t="str">
        <f t="shared" si="220"/>
        <v>Overweight</v>
      </c>
    </row>
    <row r="4714" spans="1:15" x14ac:dyDescent="0.3">
      <c r="A4714">
        <v>18020</v>
      </c>
      <c r="B4714" t="s">
        <v>2</v>
      </c>
      <c r="C4714">
        <v>57</v>
      </c>
      <c r="D4714">
        <v>0</v>
      </c>
      <c r="E4714">
        <v>0</v>
      </c>
      <c r="F4714" t="str">
        <f t="shared" si="221"/>
        <v>Lower Risk</v>
      </c>
      <c r="G4714" t="s">
        <v>3</v>
      </c>
      <c r="H4714" t="s">
        <v>4</v>
      </c>
      <c r="I4714" t="s">
        <v>5</v>
      </c>
      <c r="J4714">
        <v>93.04</v>
      </c>
      <c r="K4714">
        <v>29.2</v>
      </c>
      <c r="L4714" t="s">
        <v>11</v>
      </c>
      <c r="M4714">
        <v>0</v>
      </c>
      <c r="N4714" t="str">
        <f t="shared" si="219"/>
        <v>40–59</v>
      </c>
      <c r="O4714" t="str">
        <f t="shared" si="220"/>
        <v>Overweight</v>
      </c>
    </row>
    <row r="4715" spans="1:15" x14ac:dyDescent="0.3">
      <c r="A4715">
        <v>2044</v>
      </c>
      <c r="B4715" t="s">
        <v>7</v>
      </c>
      <c r="C4715">
        <v>70</v>
      </c>
      <c r="D4715">
        <v>0</v>
      </c>
      <c r="E4715">
        <v>1</v>
      </c>
      <c r="F4715" t="str">
        <f t="shared" si="221"/>
        <v>High Risk</v>
      </c>
      <c r="G4715" t="s">
        <v>3</v>
      </c>
      <c r="H4715" t="s">
        <v>8</v>
      </c>
      <c r="I4715" t="s">
        <v>9</v>
      </c>
      <c r="J4715">
        <v>65.680000000000007</v>
      </c>
      <c r="K4715" t="s">
        <v>10</v>
      </c>
      <c r="L4715" t="s">
        <v>14</v>
      </c>
      <c r="M4715">
        <v>0</v>
      </c>
      <c r="N4715" t="str">
        <f t="shared" si="219"/>
        <v>60+</v>
      </c>
      <c r="O4715" t="str">
        <f t="shared" si="220"/>
        <v>Unknown</v>
      </c>
    </row>
    <row r="4716" spans="1:15" x14ac:dyDescent="0.3">
      <c r="A4716">
        <v>63467</v>
      </c>
      <c r="B4716" t="s">
        <v>2</v>
      </c>
      <c r="C4716">
        <v>9</v>
      </c>
      <c r="D4716">
        <v>0</v>
      </c>
      <c r="E4716">
        <v>0</v>
      </c>
      <c r="F4716" t="str">
        <f t="shared" si="221"/>
        <v>Lower Risk</v>
      </c>
      <c r="G4716" t="s">
        <v>13</v>
      </c>
      <c r="H4716" t="s">
        <v>16</v>
      </c>
      <c r="I4716" t="s">
        <v>5</v>
      </c>
      <c r="J4716">
        <v>150</v>
      </c>
      <c r="K4716">
        <v>17.399999999999999</v>
      </c>
      <c r="L4716" t="s">
        <v>14</v>
      </c>
      <c r="M4716">
        <v>0</v>
      </c>
      <c r="N4716" t="str">
        <f t="shared" si="219"/>
        <v>Under 40</v>
      </c>
      <c r="O4716" t="str">
        <f t="shared" si="220"/>
        <v>Underweight</v>
      </c>
    </row>
    <row r="4717" spans="1:15" x14ac:dyDescent="0.3">
      <c r="A4717">
        <v>38642</v>
      </c>
      <c r="B4717" t="s">
        <v>2</v>
      </c>
      <c r="C4717">
        <v>55</v>
      </c>
      <c r="D4717">
        <v>0</v>
      </c>
      <c r="E4717">
        <v>0</v>
      </c>
      <c r="F4717" t="str">
        <f t="shared" si="221"/>
        <v>Lower Risk</v>
      </c>
      <c r="G4717" t="s">
        <v>3</v>
      </c>
      <c r="H4717" t="s">
        <v>4</v>
      </c>
      <c r="I4717" t="s">
        <v>5</v>
      </c>
      <c r="J4717">
        <v>63.56</v>
      </c>
      <c r="K4717">
        <v>29.9</v>
      </c>
      <c r="L4717" t="s">
        <v>14</v>
      </c>
      <c r="M4717">
        <v>0</v>
      </c>
      <c r="N4717" t="str">
        <f t="shared" si="219"/>
        <v>40–59</v>
      </c>
      <c r="O4717" t="str">
        <f t="shared" si="220"/>
        <v>Overweight</v>
      </c>
    </row>
    <row r="4718" spans="1:15" x14ac:dyDescent="0.3">
      <c r="A4718">
        <v>5387</v>
      </c>
      <c r="B4718" t="s">
        <v>7</v>
      </c>
      <c r="C4718">
        <v>82</v>
      </c>
      <c r="D4718">
        <v>0</v>
      </c>
      <c r="E4718">
        <v>0</v>
      </c>
      <c r="F4718" t="str">
        <f t="shared" si="221"/>
        <v>Moderate Risk</v>
      </c>
      <c r="G4718" t="s">
        <v>13</v>
      </c>
      <c r="H4718" t="s">
        <v>4</v>
      </c>
      <c r="I4718" t="s">
        <v>9</v>
      </c>
      <c r="J4718">
        <v>96.98</v>
      </c>
      <c r="K4718">
        <v>21.5</v>
      </c>
      <c r="L4718" t="s">
        <v>11</v>
      </c>
      <c r="M4718">
        <v>0</v>
      </c>
      <c r="N4718" t="str">
        <f t="shared" si="219"/>
        <v>60+</v>
      </c>
      <c r="O4718" t="str">
        <f t="shared" si="220"/>
        <v>Normal</v>
      </c>
    </row>
    <row r="4719" spans="1:15" x14ac:dyDescent="0.3">
      <c r="A4719">
        <v>68417</v>
      </c>
      <c r="B4719" t="s">
        <v>7</v>
      </c>
      <c r="C4719">
        <v>19</v>
      </c>
      <c r="D4719">
        <v>0</v>
      </c>
      <c r="E4719">
        <v>0</v>
      </c>
      <c r="F4719" t="str">
        <f t="shared" si="221"/>
        <v>Lower Risk</v>
      </c>
      <c r="G4719" t="s">
        <v>13</v>
      </c>
      <c r="H4719" t="s">
        <v>4</v>
      </c>
      <c r="I4719" t="s">
        <v>9</v>
      </c>
      <c r="J4719">
        <v>66.7</v>
      </c>
      <c r="K4719">
        <v>24.7</v>
      </c>
      <c r="L4719" t="s">
        <v>11</v>
      </c>
      <c r="M4719">
        <v>0</v>
      </c>
      <c r="N4719" t="str">
        <f t="shared" si="219"/>
        <v>Under 40</v>
      </c>
      <c r="O4719" t="str">
        <f t="shared" si="220"/>
        <v>Normal</v>
      </c>
    </row>
    <row r="4720" spans="1:15" x14ac:dyDescent="0.3">
      <c r="A4720">
        <v>22477</v>
      </c>
      <c r="B4720" t="s">
        <v>2</v>
      </c>
      <c r="C4720">
        <v>41</v>
      </c>
      <c r="D4720">
        <v>0</v>
      </c>
      <c r="E4720">
        <v>0</v>
      </c>
      <c r="F4720" t="str">
        <f t="shared" si="221"/>
        <v>Lower Risk</v>
      </c>
      <c r="G4720" t="s">
        <v>3</v>
      </c>
      <c r="H4720" t="s">
        <v>4</v>
      </c>
      <c r="I4720" t="s">
        <v>9</v>
      </c>
      <c r="J4720">
        <v>79.66</v>
      </c>
      <c r="K4720">
        <v>25.1</v>
      </c>
      <c r="L4720" t="s">
        <v>14</v>
      </c>
      <c r="M4720">
        <v>0</v>
      </c>
      <c r="N4720" t="str">
        <f t="shared" si="219"/>
        <v>40–59</v>
      </c>
      <c r="O4720" t="str">
        <f t="shared" si="220"/>
        <v>Overweight</v>
      </c>
    </row>
    <row r="4721" spans="1:15" x14ac:dyDescent="0.3">
      <c r="A4721">
        <v>23968</v>
      </c>
      <c r="B4721" t="s">
        <v>7</v>
      </c>
      <c r="C4721">
        <v>79</v>
      </c>
      <c r="D4721">
        <v>0</v>
      </c>
      <c r="E4721">
        <v>0</v>
      </c>
      <c r="F4721" t="str">
        <f t="shared" si="221"/>
        <v>Moderate Risk</v>
      </c>
      <c r="G4721" t="s">
        <v>3</v>
      </c>
      <c r="H4721" t="s">
        <v>15</v>
      </c>
      <c r="I4721" t="s">
        <v>9</v>
      </c>
      <c r="J4721">
        <v>90.16</v>
      </c>
      <c r="K4721">
        <v>34.4</v>
      </c>
      <c r="L4721" t="s">
        <v>11</v>
      </c>
      <c r="M4721">
        <v>0</v>
      </c>
      <c r="N4721" t="str">
        <f t="shared" si="219"/>
        <v>60+</v>
      </c>
      <c r="O4721" t="str">
        <f t="shared" si="220"/>
        <v>Obese</v>
      </c>
    </row>
    <row r="4722" spans="1:15" x14ac:dyDescent="0.3">
      <c r="A4722">
        <v>8111</v>
      </c>
      <c r="B4722" t="s">
        <v>7</v>
      </c>
      <c r="C4722">
        <v>23</v>
      </c>
      <c r="D4722">
        <v>0</v>
      </c>
      <c r="E4722">
        <v>0</v>
      </c>
      <c r="F4722" t="str">
        <f t="shared" si="221"/>
        <v>Lower Risk</v>
      </c>
      <c r="G4722" t="s">
        <v>13</v>
      </c>
      <c r="H4722" t="s">
        <v>4</v>
      </c>
      <c r="I4722" t="s">
        <v>9</v>
      </c>
      <c r="J4722">
        <v>104.09</v>
      </c>
      <c r="K4722">
        <v>27.9</v>
      </c>
      <c r="L4722" t="s">
        <v>14</v>
      </c>
      <c r="M4722">
        <v>0</v>
      </c>
      <c r="N4722" t="str">
        <f t="shared" si="219"/>
        <v>Under 40</v>
      </c>
      <c r="O4722" t="str">
        <f t="shared" si="220"/>
        <v>Overweight</v>
      </c>
    </row>
    <row r="4723" spans="1:15" x14ac:dyDescent="0.3">
      <c r="A4723">
        <v>15282</v>
      </c>
      <c r="B4723" t="s">
        <v>7</v>
      </c>
      <c r="C4723">
        <v>77</v>
      </c>
      <c r="D4723">
        <v>0</v>
      </c>
      <c r="E4723">
        <v>0</v>
      </c>
      <c r="F4723" t="str">
        <f t="shared" si="221"/>
        <v>Moderate Risk</v>
      </c>
      <c r="G4723" t="s">
        <v>3</v>
      </c>
      <c r="H4723" t="s">
        <v>4</v>
      </c>
      <c r="I4723" t="s">
        <v>9</v>
      </c>
      <c r="J4723">
        <v>90.96</v>
      </c>
      <c r="K4723">
        <v>31.5</v>
      </c>
      <c r="L4723" t="s">
        <v>6</v>
      </c>
      <c r="M4723">
        <v>0</v>
      </c>
      <c r="N4723" t="str">
        <f t="shared" si="219"/>
        <v>60+</v>
      </c>
      <c r="O4723" t="str">
        <f t="shared" si="220"/>
        <v>Obese</v>
      </c>
    </row>
    <row r="4724" spans="1:15" x14ac:dyDescent="0.3">
      <c r="A4724">
        <v>54395</v>
      </c>
      <c r="B4724" t="s">
        <v>7</v>
      </c>
      <c r="C4724">
        <v>78</v>
      </c>
      <c r="D4724">
        <v>1</v>
      </c>
      <c r="E4724">
        <v>0</v>
      </c>
      <c r="F4724" t="str">
        <f t="shared" si="221"/>
        <v>High Risk</v>
      </c>
      <c r="G4724" t="s">
        <v>3</v>
      </c>
      <c r="H4724" t="s">
        <v>8</v>
      </c>
      <c r="I4724" t="s">
        <v>9</v>
      </c>
      <c r="J4724">
        <v>152.38</v>
      </c>
      <c r="K4724">
        <v>31.8</v>
      </c>
      <c r="L4724" t="s">
        <v>11</v>
      </c>
      <c r="M4724">
        <v>0</v>
      </c>
      <c r="N4724" t="str">
        <f t="shared" si="219"/>
        <v>60+</v>
      </c>
      <c r="O4724" t="str">
        <f t="shared" si="220"/>
        <v>Obese</v>
      </c>
    </row>
    <row r="4725" spans="1:15" x14ac:dyDescent="0.3">
      <c r="A4725">
        <v>25408</v>
      </c>
      <c r="B4725" t="s">
        <v>7</v>
      </c>
      <c r="C4725">
        <v>24</v>
      </c>
      <c r="D4725">
        <v>0</v>
      </c>
      <c r="E4725">
        <v>0</v>
      </c>
      <c r="F4725" t="str">
        <f t="shared" si="221"/>
        <v>Lower Risk</v>
      </c>
      <c r="G4725" t="s">
        <v>3</v>
      </c>
      <c r="H4725" t="s">
        <v>8</v>
      </c>
      <c r="I4725" t="s">
        <v>9</v>
      </c>
      <c r="J4725">
        <v>114.54</v>
      </c>
      <c r="K4725">
        <v>30.1</v>
      </c>
      <c r="L4725" t="s">
        <v>12</v>
      </c>
      <c r="M4725">
        <v>0</v>
      </c>
      <c r="N4725" t="str">
        <f t="shared" si="219"/>
        <v>Under 40</v>
      </c>
      <c r="O4725" t="str">
        <f t="shared" si="220"/>
        <v>Obese</v>
      </c>
    </row>
    <row r="4726" spans="1:15" x14ac:dyDescent="0.3">
      <c r="A4726">
        <v>69284</v>
      </c>
      <c r="B4726" t="s">
        <v>7</v>
      </c>
      <c r="C4726">
        <v>81</v>
      </c>
      <c r="D4726">
        <v>1</v>
      </c>
      <c r="E4726">
        <v>0</v>
      </c>
      <c r="F4726" t="str">
        <f t="shared" si="221"/>
        <v>High Risk</v>
      </c>
      <c r="G4726" t="s">
        <v>3</v>
      </c>
      <c r="H4726" t="s">
        <v>8</v>
      </c>
      <c r="I4726" t="s">
        <v>5</v>
      </c>
      <c r="J4726">
        <v>174.54</v>
      </c>
      <c r="K4726">
        <v>26.4</v>
      </c>
      <c r="L4726" t="s">
        <v>11</v>
      </c>
      <c r="M4726">
        <v>0</v>
      </c>
      <c r="N4726" t="str">
        <f t="shared" si="219"/>
        <v>60+</v>
      </c>
      <c r="O4726" t="str">
        <f t="shared" si="220"/>
        <v>Overweight</v>
      </c>
    </row>
    <row r="4727" spans="1:15" x14ac:dyDescent="0.3">
      <c r="A4727">
        <v>28348</v>
      </c>
      <c r="B4727" t="s">
        <v>7</v>
      </c>
      <c r="C4727">
        <v>46</v>
      </c>
      <c r="D4727">
        <v>0</v>
      </c>
      <c r="E4727">
        <v>0</v>
      </c>
      <c r="F4727" t="str">
        <f t="shared" si="221"/>
        <v>Lower Risk</v>
      </c>
      <c r="G4727" t="s">
        <v>3</v>
      </c>
      <c r="H4727" t="s">
        <v>4</v>
      </c>
      <c r="I4727" t="s">
        <v>9</v>
      </c>
      <c r="J4727">
        <v>106.47</v>
      </c>
      <c r="K4727">
        <v>27.2</v>
      </c>
      <c r="L4727" t="s">
        <v>14</v>
      </c>
      <c r="M4727">
        <v>0</v>
      </c>
      <c r="N4727" t="str">
        <f t="shared" si="219"/>
        <v>40–59</v>
      </c>
      <c r="O4727" t="str">
        <f t="shared" si="220"/>
        <v>Overweight</v>
      </c>
    </row>
    <row r="4728" spans="1:15" x14ac:dyDescent="0.3">
      <c r="A4728">
        <v>46015</v>
      </c>
      <c r="B4728" t="s">
        <v>7</v>
      </c>
      <c r="C4728">
        <v>29</v>
      </c>
      <c r="D4728">
        <v>0</v>
      </c>
      <c r="E4728">
        <v>0</v>
      </c>
      <c r="F4728" t="str">
        <f t="shared" si="221"/>
        <v>Lower Risk</v>
      </c>
      <c r="G4728" t="s">
        <v>13</v>
      </c>
      <c r="H4728" t="s">
        <v>4</v>
      </c>
      <c r="I4728" t="s">
        <v>5</v>
      </c>
      <c r="J4728">
        <v>73.63</v>
      </c>
      <c r="K4728">
        <v>22.5</v>
      </c>
      <c r="L4728" t="s">
        <v>12</v>
      </c>
      <c r="M4728">
        <v>0</v>
      </c>
      <c r="N4728" t="str">
        <f t="shared" si="219"/>
        <v>Under 40</v>
      </c>
      <c r="O4728" t="str">
        <f t="shared" si="220"/>
        <v>Normal</v>
      </c>
    </row>
    <row r="4729" spans="1:15" x14ac:dyDescent="0.3">
      <c r="A4729">
        <v>69047</v>
      </c>
      <c r="B4729" t="s">
        <v>7</v>
      </c>
      <c r="C4729">
        <v>59</v>
      </c>
      <c r="D4729">
        <v>0</v>
      </c>
      <c r="E4729">
        <v>0</v>
      </c>
      <c r="F4729" t="str">
        <f t="shared" si="221"/>
        <v>Lower Risk</v>
      </c>
      <c r="G4729" t="s">
        <v>3</v>
      </c>
      <c r="H4729" t="s">
        <v>15</v>
      </c>
      <c r="I4729" t="s">
        <v>5</v>
      </c>
      <c r="J4729">
        <v>98.52</v>
      </c>
      <c r="K4729">
        <v>29.8</v>
      </c>
      <c r="L4729" t="s">
        <v>6</v>
      </c>
      <c r="M4729">
        <v>0</v>
      </c>
      <c r="N4729" t="str">
        <f t="shared" si="219"/>
        <v>40–59</v>
      </c>
      <c r="O4729" t="str">
        <f t="shared" si="220"/>
        <v>Overweight</v>
      </c>
    </row>
    <row r="4730" spans="1:15" x14ac:dyDescent="0.3">
      <c r="A4730">
        <v>39706</v>
      </c>
      <c r="B4730" t="s">
        <v>2</v>
      </c>
      <c r="C4730">
        <v>41</v>
      </c>
      <c r="D4730">
        <v>0</v>
      </c>
      <c r="E4730">
        <v>0</v>
      </c>
      <c r="F4730" t="str">
        <f t="shared" si="221"/>
        <v>Lower Risk</v>
      </c>
      <c r="G4730" t="s">
        <v>3</v>
      </c>
      <c r="H4730" t="s">
        <v>8</v>
      </c>
      <c r="I4730" t="s">
        <v>9</v>
      </c>
      <c r="J4730">
        <v>62.93</v>
      </c>
      <c r="K4730">
        <v>26.1</v>
      </c>
      <c r="L4730" t="s">
        <v>12</v>
      </c>
      <c r="M4730">
        <v>0</v>
      </c>
      <c r="N4730" t="str">
        <f t="shared" si="219"/>
        <v>40–59</v>
      </c>
      <c r="O4730" t="str">
        <f t="shared" si="220"/>
        <v>Overweight</v>
      </c>
    </row>
    <row r="4731" spans="1:15" x14ac:dyDescent="0.3">
      <c r="A4731">
        <v>9143</v>
      </c>
      <c r="B4731" t="s">
        <v>7</v>
      </c>
      <c r="C4731">
        <v>17</v>
      </c>
      <c r="D4731">
        <v>0</v>
      </c>
      <c r="E4731">
        <v>0</v>
      </c>
      <c r="F4731" t="str">
        <f t="shared" si="221"/>
        <v>Lower Risk</v>
      </c>
      <c r="G4731" t="s">
        <v>13</v>
      </c>
      <c r="H4731" t="s">
        <v>4</v>
      </c>
      <c r="I4731" t="s">
        <v>5</v>
      </c>
      <c r="J4731">
        <v>67.87</v>
      </c>
      <c r="K4731">
        <v>24.9</v>
      </c>
      <c r="L4731" t="s">
        <v>6</v>
      </c>
      <c r="M4731">
        <v>0</v>
      </c>
      <c r="N4731" t="str">
        <f t="shared" si="219"/>
        <v>Under 40</v>
      </c>
      <c r="O4731" t="str">
        <f t="shared" si="220"/>
        <v>Normal</v>
      </c>
    </row>
    <row r="4732" spans="1:15" x14ac:dyDescent="0.3">
      <c r="A4732">
        <v>64879</v>
      </c>
      <c r="B4732" t="s">
        <v>7</v>
      </c>
      <c r="C4732">
        <v>8</v>
      </c>
      <c r="D4732">
        <v>0</v>
      </c>
      <c r="E4732">
        <v>0</v>
      </c>
      <c r="F4732" t="str">
        <f t="shared" si="221"/>
        <v>Lower Risk</v>
      </c>
      <c r="G4732" t="s">
        <v>13</v>
      </c>
      <c r="H4732" t="s">
        <v>16</v>
      </c>
      <c r="I4732" t="s">
        <v>9</v>
      </c>
      <c r="J4732">
        <v>120.43</v>
      </c>
      <c r="K4732">
        <v>23.5</v>
      </c>
      <c r="L4732" t="s">
        <v>14</v>
      </c>
      <c r="M4732">
        <v>0</v>
      </c>
      <c r="N4732" t="str">
        <f t="shared" si="219"/>
        <v>Under 40</v>
      </c>
      <c r="O4732" t="str">
        <f t="shared" si="220"/>
        <v>Normal</v>
      </c>
    </row>
    <row r="4733" spans="1:15" x14ac:dyDescent="0.3">
      <c r="A4733">
        <v>17130</v>
      </c>
      <c r="B4733" t="s">
        <v>7</v>
      </c>
      <c r="C4733">
        <v>23</v>
      </c>
      <c r="D4733">
        <v>0</v>
      </c>
      <c r="E4733">
        <v>0</v>
      </c>
      <c r="F4733" t="str">
        <f t="shared" si="221"/>
        <v>Lower Risk</v>
      </c>
      <c r="G4733" t="s">
        <v>13</v>
      </c>
      <c r="H4733" t="s">
        <v>4</v>
      </c>
      <c r="I4733" t="s">
        <v>9</v>
      </c>
      <c r="J4733">
        <v>76.56</v>
      </c>
      <c r="K4733">
        <v>30.1</v>
      </c>
      <c r="L4733" t="s">
        <v>11</v>
      </c>
      <c r="M4733">
        <v>0</v>
      </c>
      <c r="N4733" t="str">
        <f t="shared" si="219"/>
        <v>Under 40</v>
      </c>
      <c r="O4733" t="str">
        <f t="shared" si="220"/>
        <v>Obese</v>
      </c>
    </row>
    <row r="4734" spans="1:15" x14ac:dyDescent="0.3">
      <c r="A4734">
        <v>16420</v>
      </c>
      <c r="B4734" t="s">
        <v>7</v>
      </c>
      <c r="C4734">
        <v>45</v>
      </c>
      <c r="D4734">
        <v>0</v>
      </c>
      <c r="E4734">
        <v>0</v>
      </c>
      <c r="F4734" t="str">
        <f t="shared" si="221"/>
        <v>Lower Risk</v>
      </c>
      <c r="G4734" t="s">
        <v>3</v>
      </c>
      <c r="H4734" t="s">
        <v>4</v>
      </c>
      <c r="I4734" t="s">
        <v>5</v>
      </c>
      <c r="J4734">
        <v>108.03</v>
      </c>
      <c r="K4734">
        <v>37.299999999999997</v>
      </c>
      <c r="L4734" t="s">
        <v>11</v>
      </c>
      <c r="M4734">
        <v>0</v>
      </c>
      <c r="N4734" t="str">
        <f t="shared" si="219"/>
        <v>40–59</v>
      </c>
      <c r="O4734" t="str">
        <f t="shared" si="220"/>
        <v>Obese</v>
      </c>
    </row>
    <row r="4735" spans="1:15" x14ac:dyDescent="0.3">
      <c r="A4735">
        <v>7529</v>
      </c>
      <c r="B4735" t="s">
        <v>2</v>
      </c>
      <c r="C4735">
        <v>67</v>
      </c>
      <c r="D4735">
        <v>0</v>
      </c>
      <c r="E4735">
        <v>0</v>
      </c>
      <c r="F4735" t="str">
        <f t="shared" si="221"/>
        <v>Moderate Risk</v>
      </c>
      <c r="G4735" t="s">
        <v>3</v>
      </c>
      <c r="H4735" t="s">
        <v>4</v>
      </c>
      <c r="I4735" t="s">
        <v>9</v>
      </c>
      <c r="J4735">
        <v>83.16</v>
      </c>
      <c r="K4735">
        <v>25.5</v>
      </c>
      <c r="L4735" t="s">
        <v>6</v>
      </c>
      <c r="M4735">
        <v>0</v>
      </c>
      <c r="N4735" t="str">
        <f t="shared" si="219"/>
        <v>60+</v>
      </c>
      <c r="O4735" t="str">
        <f t="shared" si="220"/>
        <v>Overweight</v>
      </c>
    </row>
    <row r="4736" spans="1:15" x14ac:dyDescent="0.3">
      <c r="A4736">
        <v>54022</v>
      </c>
      <c r="B4736" t="s">
        <v>7</v>
      </c>
      <c r="C4736">
        <v>78</v>
      </c>
      <c r="D4736">
        <v>0</v>
      </c>
      <c r="E4736">
        <v>0</v>
      </c>
      <c r="F4736" t="str">
        <f t="shared" si="221"/>
        <v>Moderate Risk</v>
      </c>
      <c r="G4736" t="s">
        <v>3</v>
      </c>
      <c r="H4736" t="s">
        <v>8</v>
      </c>
      <c r="I4736" t="s">
        <v>9</v>
      </c>
      <c r="J4736">
        <v>67.900000000000006</v>
      </c>
      <c r="K4736">
        <v>35.299999999999997</v>
      </c>
      <c r="L4736" t="s">
        <v>11</v>
      </c>
      <c r="M4736">
        <v>0</v>
      </c>
      <c r="N4736" t="str">
        <f t="shared" si="219"/>
        <v>60+</v>
      </c>
      <c r="O4736" t="str">
        <f t="shared" si="220"/>
        <v>Obese</v>
      </c>
    </row>
    <row r="4737" spans="1:15" x14ac:dyDescent="0.3">
      <c r="A4737">
        <v>35660</v>
      </c>
      <c r="B4737" t="s">
        <v>2</v>
      </c>
      <c r="C4737">
        <v>18</v>
      </c>
      <c r="D4737">
        <v>0</v>
      </c>
      <c r="E4737">
        <v>0</v>
      </c>
      <c r="F4737" t="str">
        <f t="shared" si="221"/>
        <v>Lower Risk</v>
      </c>
      <c r="G4737" t="s">
        <v>13</v>
      </c>
      <c r="H4737" t="s">
        <v>4</v>
      </c>
      <c r="I4737" t="s">
        <v>9</v>
      </c>
      <c r="J4737">
        <v>115.46</v>
      </c>
      <c r="K4737">
        <v>27.6</v>
      </c>
      <c r="L4737" t="s">
        <v>14</v>
      </c>
      <c r="M4737">
        <v>0</v>
      </c>
      <c r="N4737" t="str">
        <f t="shared" si="219"/>
        <v>Under 40</v>
      </c>
      <c r="O4737" t="str">
        <f t="shared" si="220"/>
        <v>Overweight</v>
      </c>
    </row>
    <row r="4738" spans="1:15" x14ac:dyDescent="0.3">
      <c r="A4738">
        <v>50605</v>
      </c>
      <c r="B4738" t="s">
        <v>7</v>
      </c>
      <c r="C4738">
        <v>35</v>
      </c>
      <c r="D4738">
        <v>0</v>
      </c>
      <c r="E4738">
        <v>0</v>
      </c>
      <c r="F4738" t="str">
        <f t="shared" si="221"/>
        <v>Lower Risk</v>
      </c>
      <c r="G4738" t="s">
        <v>3</v>
      </c>
      <c r="H4738" t="s">
        <v>4</v>
      </c>
      <c r="I4738" t="s">
        <v>9</v>
      </c>
      <c r="J4738">
        <v>123.94</v>
      </c>
      <c r="K4738">
        <v>28.7</v>
      </c>
      <c r="L4738" t="s">
        <v>11</v>
      </c>
      <c r="M4738">
        <v>0</v>
      </c>
      <c r="N4738" t="str">
        <f t="shared" ref="N4738:N4801" si="222">IF(C4738&lt;40,"Under 40",IF(C4738&lt;60,"40–59","60+"))</f>
        <v>Under 40</v>
      </c>
      <c r="O4738" t="str">
        <f t="shared" ref="O4738:O4801" si="223">IF(K4738="N/A","Unknown",
IF(K4738="","Unknown",
IF(K4738&lt;18.5,"Underweight",
IF(K4738&lt;25,"Normal",
IF(K4738&lt;30,"Overweight","Obese")))))</f>
        <v>Overweight</v>
      </c>
    </row>
    <row r="4739" spans="1:15" x14ac:dyDescent="0.3">
      <c r="A4739">
        <v>27803</v>
      </c>
      <c r="B4739" t="s">
        <v>7</v>
      </c>
      <c r="C4739">
        <v>54</v>
      </c>
      <c r="D4739">
        <v>0</v>
      </c>
      <c r="E4739">
        <v>0</v>
      </c>
      <c r="F4739" t="str">
        <f t="shared" ref="F4739:F4802" si="224">IF(C4739&gt;=60,
IF(OR(D4739=1,E4739=1),"High Risk","Moderate Risk"),
"Lower Risk")</f>
        <v>Lower Risk</v>
      </c>
      <c r="G4739" t="s">
        <v>3</v>
      </c>
      <c r="H4739" t="s">
        <v>15</v>
      </c>
      <c r="I4739" t="s">
        <v>5</v>
      </c>
      <c r="J4739">
        <v>231.54</v>
      </c>
      <c r="K4739">
        <v>29.9</v>
      </c>
      <c r="L4739" t="s">
        <v>11</v>
      </c>
      <c r="M4739">
        <v>0</v>
      </c>
      <c r="N4739" t="str">
        <f t="shared" si="222"/>
        <v>40–59</v>
      </c>
      <c r="O4739" t="str">
        <f t="shared" si="223"/>
        <v>Overweight</v>
      </c>
    </row>
    <row r="4740" spans="1:15" x14ac:dyDescent="0.3">
      <c r="A4740">
        <v>68981</v>
      </c>
      <c r="B4740" t="s">
        <v>7</v>
      </c>
      <c r="C4740">
        <v>71</v>
      </c>
      <c r="D4740">
        <v>1</v>
      </c>
      <c r="E4740">
        <v>0</v>
      </c>
      <c r="F4740" t="str">
        <f t="shared" si="224"/>
        <v>High Risk</v>
      </c>
      <c r="G4740" t="s">
        <v>3</v>
      </c>
      <c r="H4740" t="s">
        <v>15</v>
      </c>
      <c r="I4740" t="s">
        <v>5</v>
      </c>
      <c r="J4740">
        <v>219.8</v>
      </c>
      <c r="K4740">
        <v>34.200000000000003</v>
      </c>
      <c r="L4740" t="s">
        <v>6</v>
      </c>
      <c r="M4740">
        <v>0</v>
      </c>
      <c r="N4740" t="str">
        <f t="shared" si="222"/>
        <v>60+</v>
      </c>
      <c r="O4740" t="str">
        <f t="shared" si="223"/>
        <v>Obese</v>
      </c>
    </row>
    <row r="4741" spans="1:15" x14ac:dyDescent="0.3">
      <c r="A4741">
        <v>61505</v>
      </c>
      <c r="B4741" t="s">
        <v>7</v>
      </c>
      <c r="C4741">
        <v>24</v>
      </c>
      <c r="D4741">
        <v>0</v>
      </c>
      <c r="E4741">
        <v>0</v>
      </c>
      <c r="F4741" t="str">
        <f t="shared" si="224"/>
        <v>Lower Risk</v>
      </c>
      <c r="G4741" t="s">
        <v>13</v>
      </c>
      <c r="H4741" t="s">
        <v>4</v>
      </c>
      <c r="I4741" t="s">
        <v>9</v>
      </c>
      <c r="J4741">
        <v>187.99</v>
      </c>
      <c r="K4741">
        <v>24.9</v>
      </c>
      <c r="L4741" t="s">
        <v>12</v>
      </c>
      <c r="M4741">
        <v>0</v>
      </c>
      <c r="N4741" t="str">
        <f t="shared" si="222"/>
        <v>Under 40</v>
      </c>
      <c r="O4741" t="str">
        <f t="shared" si="223"/>
        <v>Normal</v>
      </c>
    </row>
    <row r="4742" spans="1:15" x14ac:dyDescent="0.3">
      <c r="A4742">
        <v>70677</v>
      </c>
      <c r="B4742" t="s">
        <v>2</v>
      </c>
      <c r="C4742">
        <v>60</v>
      </c>
      <c r="D4742">
        <v>0</v>
      </c>
      <c r="E4742">
        <v>0</v>
      </c>
      <c r="F4742" t="str">
        <f t="shared" si="224"/>
        <v>Moderate Risk</v>
      </c>
      <c r="G4742" t="s">
        <v>3</v>
      </c>
      <c r="H4742" t="s">
        <v>4</v>
      </c>
      <c r="I4742" t="s">
        <v>9</v>
      </c>
      <c r="J4742">
        <v>234.45</v>
      </c>
      <c r="K4742">
        <v>36.799999999999997</v>
      </c>
      <c r="L4742" t="s">
        <v>6</v>
      </c>
      <c r="M4742">
        <v>0</v>
      </c>
      <c r="N4742" t="str">
        <f t="shared" si="222"/>
        <v>60+</v>
      </c>
      <c r="O4742" t="str">
        <f t="shared" si="223"/>
        <v>Obese</v>
      </c>
    </row>
    <row r="4743" spans="1:15" x14ac:dyDescent="0.3">
      <c r="A4743">
        <v>49620</v>
      </c>
      <c r="B4743" t="s">
        <v>2</v>
      </c>
      <c r="C4743">
        <v>75</v>
      </c>
      <c r="D4743">
        <v>0</v>
      </c>
      <c r="E4743">
        <v>0</v>
      </c>
      <c r="F4743" t="str">
        <f t="shared" si="224"/>
        <v>Moderate Risk</v>
      </c>
      <c r="G4743" t="s">
        <v>3</v>
      </c>
      <c r="H4743" t="s">
        <v>4</v>
      </c>
      <c r="I4743" t="s">
        <v>9</v>
      </c>
      <c r="J4743">
        <v>75.47</v>
      </c>
      <c r="K4743">
        <v>24.5</v>
      </c>
      <c r="L4743" t="s">
        <v>6</v>
      </c>
      <c r="M4743">
        <v>0</v>
      </c>
      <c r="N4743" t="str">
        <f t="shared" si="222"/>
        <v>60+</v>
      </c>
      <c r="O4743" t="str">
        <f t="shared" si="223"/>
        <v>Normal</v>
      </c>
    </row>
    <row r="4744" spans="1:15" x14ac:dyDescent="0.3">
      <c r="A4744">
        <v>5319</v>
      </c>
      <c r="B4744" t="s">
        <v>2</v>
      </c>
      <c r="C4744">
        <v>48</v>
      </c>
      <c r="D4744">
        <v>0</v>
      </c>
      <c r="E4744">
        <v>0</v>
      </c>
      <c r="F4744" t="str">
        <f t="shared" si="224"/>
        <v>Lower Risk</v>
      </c>
      <c r="G4744" t="s">
        <v>3</v>
      </c>
      <c r="H4744" t="s">
        <v>4</v>
      </c>
      <c r="I4744" t="s">
        <v>9</v>
      </c>
      <c r="J4744">
        <v>98.24</v>
      </c>
      <c r="K4744">
        <v>34.6</v>
      </c>
      <c r="L4744" t="s">
        <v>11</v>
      </c>
      <c r="M4744">
        <v>0</v>
      </c>
      <c r="N4744" t="str">
        <f t="shared" si="222"/>
        <v>40–59</v>
      </c>
      <c r="O4744" t="str">
        <f t="shared" si="223"/>
        <v>Obese</v>
      </c>
    </row>
    <row r="4745" spans="1:15" x14ac:dyDescent="0.3">
      <c r="A4745">
        <v>51100</v>
      </c>
      <c r="B4745" t="s">
        <v>2</v>
      </c>
      <c r="C4745">
        <v>62</v>
      </c>
      <c r="D4745">
        <v>0</v>
      </c>
      <c r="E4745">
        <v>0</v>
      </c>
      <c r="F4745" t="str">
        <f t="shared" si="224"/>
        <v>Moderate Risk</v>
      </c>
      <c r="G4745" t="s">
        <v>3</v>
      </c>
      <c r="H4745" t="s">
        <v>15</v>
      </c>
      <c r="I4745" t="s">
        <v>9</v>
      </c>
      <c r="J4745">
        <v>66.2</v>
      </c>
      <c r="K4745">
        <v>30</v>
      </c>
      <c r="L4745" t="s">
        <v>14</v>
      </c>
      <c r="M4745">
        <v>0</v>
      </c>
      <c r="N4745" t="str">
        <f t="shared" si="222"/>
        <v>60+</v>
      </c>
      <c r="O4745" t="str">
        <f t="shared" si="223"/>
        <v>Obese</v>
      </c>
    </row>
    <row r="4746" spans="1:15" x14ac:dyDescent="0.3">
      <c r="A4746">
        <v>163</v>
      </c>
      <c r="B4746" t="s">
        <v>7</v>
      </c>
      <c r="C4746">
        <v>20</v>
      </c>
      <c r="D4746">
        <v>0</v>
      </c>
      <c r="E4746">
        <v>0</v>
      </c>
      <c r="F4746" t="str">
        <f t="shared" si="224"/>
        <v>Lower Risk</v>
      </c>
      <c r="G4746" t="s">
        <v>13</v>
      </c>
      <c r="H4746" t="s">
        <v>4</v>
      </c>
      <c r="I4746" t="s">
        <v>9</v>
      </c>
      <c r="J4746">
        <v>94.67</v>
      </c>
      <c r="K4746">
        <v>28.8</v>
      </c>
      <c r="L4746" t="s">
        <v>14</v>
      </c>
      <c r="M4746">
        <v>0</v>
      </c>
      <c r="N4746" t="str">
        <f t="shared" si="222"/>
        <v>Under 40</v>
      </c>
      <c r="O4746" t="str">
        <f t="shared" si="223"/>
        <v>Overweight</v>
      </c>
    </row>
    <row r="4747" spans="1:15" x14ac:dyDescent="0.3">
      <c r="A4747">
        <v>55140</v>
      </c>
      <c r="B4747" t="s">
        <v>2</v>
      </c>
      <c r="C4747">
        <v>69</v>
      </c>
      <c r="D4747">
        <v>1</v>
      </c>
      <c r="E4747">
        <v>0</v>
      </c>
      <c r="F4747" t="str">
        <f t="shared" si="224"/>
        <v>High Risk</v>
      </c>
      <c r="G4747" t="s">
        <v>13</v>
      </c>
      <c r="H4747" t="s">
        <v>4</v>
      </c>
      <c r="I4747" t="s">
        <v>5</v>
      </c>
      <c r="J4747">
        <v>75.95</v>
      </c>
      <c r="K4747">
        <v>28.6</v>
      </c>
      <c r="L4747" t="s">
        <v>11</v>
      </c>
      <c r="M4747">
        <v>0</v>
      </c>
      <c r="N4747" t="str">
        <f t="shared" si="222"/>
        <v>60+</v>
      </c>
      <c r="O4747" t="str">
        <f t="shared" si="223"/>
        <v>Overweight</v>
      </c>
    </row>
    <row r="4748" spans="1:15" x14ac:dyDescent="0.3">
      <c r="A4748">
        <v>52882</v>
      </c>
      <c r="B4748" t="s">
        <v>7</v>
      </c>
      <c r="C4748">
        <v>60</v>
      </c>
      <c r="D4748">
        <v>0</v>
      </c>
      <c r="E4748">
        <v>0</v>
      </c>
      <c r="F4748" t="str">
        <f t="shared" si="224"/>
        <v>Moderate Risk</v>
      </c>
      <c r="G4748" t="s">
        <v>3</v>
      </c>
      <c r="H4748" t="s">
        <v>15</v>
      </c>
      <c r="I4748" t="s">
        <v>9</v>
      </c>
      <c r="J4748">
        <v>111.79</v>
      </c>
      <c r="K4748">
        <v>23.6</v>
      </c>
      <c r="L4748" t="s">
        <v>12</v>
      </c>
      <c r="M4748">
        <v>0</v>
      </c>
      <c r="N4748" t="str">
        <f t="shared" si="222"/>
        <v>60+</v>
      </c>
      <c r="O4748" t="str">
        <f t="shared" si="223"/>
        <v>Normal</v>
      </c>
    </row>
    <row r="4749" spans="1:15" x14ac:dyDescent="0.3">
      <c r="A4749">
        <v>54344</v>
      </c>
      <c r="B4749" t="s">
        <v>7</v>
      </c>
      <c r="C4749">
        <v>12</v>
      </c>
      <c r="D4749">
        <v>0</v>
      </c>
      <c r="E4749">
        <v>0</v>
      </c>
      <c r="F4749" t="str">
        <f t="shared" si="224"/>
        <v>Lower Risk</v>
      </c>
      <c r="G4749" t="s">
        <v>13</v>
      </c>
      <c r="H4749" t="s">
        <v>16</v>
      </c>
      <c r="I4749" t="s">
        <v>9</v>
      </c>
      <c r="J4749">
        <v>80.89</v>
      </c>
      <c r="K4749">
        <v>20.100000000000001</v>
      </c>
      <c r="L4749" t="s">
        <v>14</v>
      </c>
      <c r="M4749">
        <v>0</v>
      </c>
      <c r="N4749" t="str">
        <f t="shared" si="222"/>
        <v>Under 40</v>
      </c>
      <c r="O4749" t="str">
        <f t="shared" si="223"/>
        <v>Normal</v>
      </c>
    </row>
    <row r="4750" spans="1:15" x14ac:dyDescent="0.3">
      <c r="A4750">
        <v>2550</v>
      </c>
      <c r="B4750" t="s">
        <v>7</v>
      </c>
      <c r="C4750">
        <v>28</v>
      </c>
      <c r="D4750">
        <v>0</v>
      </c>
      <c r="E4750">
        <v>0</v>
      </c>
      <c r="F4750" t="str">
        <f t="shared" si="224"/>
        <v>Lower Risk</v>
      </c>
      <c r="G4750" t="s">
        <v>3</v>
      </c>
      <c r="H4750" t="s">
        <v>15</v>
      </c>
      <c r="I4750" t="s">
        <v>9</v>
      </c>
      <c r="J4750">
        <v>86.91</v>
      </c>
      <c r="K4750">
        <v>21.1</v>
      </c>
      <c r="L4750" t="s">
        <v>6</v>
      </c>
      <c r="M4750">
        <v>0</v>
      </c>
      <c r="N4750" t="str">
        <f t="shared" si="222"/>
        <v>Under 40</v>
      </c>
      <c r="O4750" t="str">
        <f t="shared" si="223"/>
        <v>Normal</v>
      </c>
    </row>
    <row r="4751" spans="1:15" x14ac:dyDescent="0.3">
      <c r="A4751">
        <v>58610</v>
      </c>
      <c r="B4751" t="s">
        <v>7</v>
      </c>
      <c r="C4751">
        <v>55</v>
      </c>
      <c r="D4751">
        <v>0</v>
      </c>
      <c r="E4751">
        <v>0</v>
      </c>
      <c r="F4751" t="str">
        <f t="shared" si="224"/>
        <v>Lower Risk</v>
      </c>
      <c r="G4751" t="s">
        <v>3</v>
      </c>
      <c r="H4751" t="s">
        <v>4</v>
      </c>
      <c r="I4751" t="s">
        <v>5</v>
      </c>
      <c r="J4751">
        <v>59.36</v>
      </c>
      <c r="K4751">
        <v>34.1</v>
      </c>
      <c r="L4751" t="s">
        <v>12</v>
      </c>
      <c r="M4751">
        <v>0</v>
      </c>
      <c r="N4751" t="str">
        <f t="shared" si="222"/>
        <v>40–59</v>
      </c>
      <c r="O4751" t="str">
        <f t="shared" si="223"/>
        <v>Obese</v>
      </c>
    </row>
    <row r="4752" spans="1:15" x14ac:dyDescent="0.3">
      <c r="A4752">
        <v>16902</v>
      </c>
      <c r="B4752" t="s">
        <v>7</v>
      </c>
      <c r="C4752">
        <v>70</v>
      </c>
      <c r="D4752">
        <v>0</v>
      </c>
      <c r="E4752">
        <v>1</v>
      </c>
      <c r="F4752" t="str">
        <f t="shared" si="224"/>
        <v>High Risk</v>
      </c>
      <c r="G4752" t="s">
        <v>3</v>
      </c>
      <c r="H4752" t="s">
        <v>8</v>
      </c>
      <c r="I4752" t="s">
        <v>5</v>
      </c>
      <c r="J4752">
        <v>240.69</v>
      </c>
      <c r="K4752" t="s">
        <v>10</v>
      </c>
      <c r="L4752" t="s">
        <v>12</v>
      </c>
      <c r="M4752">
        <v>0</v>
      </c>
      <c r="N4752" t="str">
        <f t="shared" si="222"/>
        <v>60+</v>
      </c>
      <c r="O4752" t="str">
        <f t="shared" si="223"/>
        <v>Unknown</v>
      </c>
    </row>
    <row r="4753" spans="1:15" x14ac:dyDescent="0.3">
      <c r="A4753">
        <v>60603</v>
      </c>
      <c r="B4753" t="s">
        <v>7</v>
      </c>
      <c r="C4753">
        <v>51</v>
      </c>
      <c r="D4753">
        <v>0</v>
      </c>
      <c r="E4753">
        <v>0</v>
      </c>
      <c r="F4753" t="str">
        <f t="shared" si="224"/>
        <v>Lower Risk</v>
      </c>
      <c r="G4753" t="s">
        <v>13</v>
      </c>
      <c r="H4753" t="s">
        <v>4</v>
      </c>
      <c r="I4753" t="s">
        <v>9</v>
      </c>
      <c r="J4753">
        <v>66.67</v>
      </c>
      <c r="K4753">
        <v>29.5</v>
      </c>
      <c r="L4753" t="s">
        <v>11</v>
      </c>
      <c r="M4753">
        <v>0</v>
      </c>
      <c r="N4753" t="str">
        <f t="shared" si="222"/>
        <v>40–59</v>
      </c>
      <c r="O4753" t="str">
        <f t="shared" si="223"/>
        <v>Overweight</v>
      </c>
    </row>
    <row r="4754" spans="1:15" x14ac:dyDescent="0.3">
      <c r="A4754">
        <v>808</v>
      </c>
      <c r="B4754" t="s">
        <v>7</v>
      </c>
      <c r="C4754">
        <v>16</v>
      </c>
      <c r="D4754">
        <v>0</v>
      </c>
      <c r="E4754">
        <v>0</v>
      </c>
      <c r="F4754" t="str">
        <f t="shared" si="224"/>
        <v>Lower Risk</v>
      </c>
      <c r="G4754" t="s">
        <v>13</v>
      </c>
      <c r="H4754" t="s">
        <v>4</v>
      </c>
      <c r="I4754" t="s">
        <v>9</v>
      </c>
      <c r="J4754">
        <v>87.54</v>
      </c>
      <c r="K4754">
        <v>37.799999999999997</v>
      </c>
      <c r="L4754" t="s">
        <v>11</v>
      </c>
      <c r="M4754">
        <v>0</v>
      </c>
      <c r="N4754" t="str">
        <f t="shared" si="222"/>
        <v>Under 40</v>
      </c>
      <c r="O4754" t="str">
        <f t="shared" si="223"/>
        <v>Obese</v>
      </c>
    </row>
    <row r="4755" spans="1:15" x14ac:dyDescent="0.3">
      <c r="A4755">
        <v>61881</v>
      </c>
      <c r="B4755" t="s">
        <v>2</v>
      </c>
      <c r="C4755">
        <v>56</v>
      </c>
      <c r="D4755">
        <v>0</v>
      </c>
      <c r="E4755">
        <v>0</v>
      </c>
      <c r="F4755" t="str">
        <f t="shared" si="224"/>
        <v>Lower Risk</v>
      </c>
      <c r="G4755" t="s">
        <v>13</v>
      </c>
      <c r="H4755" t="s">
        <v>8</v>
      </c>
      <c r="I4755" t="s">
        <v>5</v>
      </c>
      <c r="J4755">
        <v>139.87</v>
      </c>
      <c r="K4755">
        <v>31.2</v>
      </c>
      <c r="L4755" t="s">
        <v>12</v>
      </c>
      <c r="M4755">
        <v>0</v>
      </c>
      <c r="N4755" t="str">
        <f t="shared" si="222"/>
        <v>40–59</v>
      </c>
      <c r="O4755" t="str">
        <f t="shared" si="223"/>
        <v>Obese</v>
      </c>
    </row>
    <row r="4756" spans="1:15" x14ac:dyDescent="0.3">
      <c r="A4756">
        <v>41600</v>
      </c>
      <c r="B4756" t="s">
        <v>2</v>
      </c>
      <c r="C4756">
        <v>52</v>
      </c>
      <c r="D4756">
        <v>0</v>
      </c>
      <c r="E4756">
        <v>0</v>
      </c>
      <c r="F4756" t="str">
        <f t="shared" si="224"/>
        <v>Lower Risk</v>
      </c>
      <c r="G4756" t="s">
        <v>3</v>
      </c>
      <c r="H4756" t="s">
        <v>4</v>
      </c>
      <c r="I4756" t="s">
        <v>9</v>
      </c>
      <c r="J4756">
        <v>67.92</v>
      </c>
      <c r="K4756">
        <v>31.1</v>
      </c>
      <c r="L4756" t="s">
        <v>11</v>
      </c>
      <c r="M4756">
        <v>0</v>
      </c>
      <c r="N4756" t="str">
        <f t="shared" si="222"/>
        <v>40–59</v>
      </c>
      <c r="O4756" t="str">
        <f t="shared" si="223"/>
        <v>Obese</v>
      </c>
    </row>
    <row r="4757" spans="1:15" x14ac:dyDescent="0.3">
      <c r="A4757">
        <v>12786</v>
      </c>
      <c r="B4757" t="s">
        <v>7</v>
      </c>
      <c r="C4757">
        <v>59</v>
      </c>
      <c r="D4757">
        <v>0</v>
      </c>
      <c r="E4757">
        <v>0</v>
      </c>
      <c r="F4757" t="str">
        <f t="shared" si="224"/>
        <v>Lower Risk</v>
      </c>
      <c r="G4757" t="s">
        <v>3</v>
      </c>
      <c r="H4757" t="s">
        <v>4</v>
      </c>
      <c r="I4757" t="s">
        <v>5</v>
      </c>
      <c r="J4757">
        <v>83.62</v>
      </c>
      <c r="K4757">
        <v>34.200000000000003</v>
      </c>
      <c r="L4757" t="s">
        <v>14</v>
      </c>
      <c r="M4757">
        <v>0</v>
      </c>
      <c r="N4757" t="str">
        <f t="shared" si="222"/>
        <v>40–59</v>
      </c>
      <c r="O4757" t="str">
        <f t="shared" si="223"/>
        <v>Obese</v>
      </c>
    </row>
    <row r="4758" spans="1:15" x14ac:dyDescent="0.3">
      <c r="A4758">
        <v>11935</v>
      </c>
      <c r="B4758" t="s">
        <v>7</v>
      </c>
      <c r="C4758">
        <v>9</v>
      </c>
      <c r="D4758">
        <v>0</v>
      </c>
      <c r="E4758">
        <v>0</v>
      </c>
      <c r="F4758" t="str">
        <f t="shared" si="224"/>
        <v>Lower Risk</v>
      </c>
      <c r="G4758" t="s">
        <v>13</v>
      </c>
      <c r="H4758" t="s">
        <v>16</v>
      </c>
      <c r="I4758" t="s">
        <v>9</v>
      </c>
      <c r="J4758">
        <v>110.97</v>
      </c>
      <c r="K4758">
        <v>17.7</v>
      </c>
      <c r="L4758" t="s">
        <v>14</v>
      </c>
      <c r="M4758">
        <v>0</v>
      </c>
      <c r="N4758" t="str">
        <f t="shared" si="222"/>
        <v>Under 40</v>
      </c>
      <c r="O4758" t="str">
        <f t="shared" si="223"/>
        <v>Underweight</v>
      </c>
    </row>
    <row r="4759" spans="1:15" x14ac:dyDescent="0.3">
      <c r="A4759">
        <v>44655</v>
      </c>
      <c r="B4759" t="s">
        <v>7</v>
      </c>
      <c r="C4759">
        <v>34</v>
      </c>
      <c r="D4759">
        <v>0</v>
      </c>
      <c r="E4759">
        <v>0</v>
      </c>
      <c r="F4759" t="str">
        <f t="shared" si="224"/>
        <v>Lower Risk</v>
      </c>
      <c r="G4759" t="s">
        <v>3</v>
      </c>
      <c r="H4759" t="s">
        <v>4</v>
      </c>
      <c r="I4759" t="s">
        <v>9</v>
      </c>
      <c r="J4759">
        <v>70.53</v>
      </c>
      <c r="K4759">
        <v>39.200000000000003</v>
      </c>
      <c r="L4759" t="s">
        <v>11</v>
      </c>
      <c r="M4759">
        <v>0</v>
      </c>
      <c r="N4759" t="str">
        <f t="shared" si="222"/>
        <v>Under 40</v>
      </c>
      <c r="O4759" t="str">
        <f t="shared" si="223"/>
        <v>Obese</v>
      </c>
    </row>
    <row r="4760" spans="1:15" x14ac:dyDescent="0.3">
      <c r="A4760">
        <v>48644</v>
      </c>
      <c r="B4760" t="s">
        <v>7</v>
      </c>
      <c r="C4760">
        <v>47</v>
      </c>
      <c r="D4760">
        <v>0</v>
      </c>
      <c r="E4760">
        <v>0</v>
      </c>
      <c r="F4760" t="str">
        <f t="shared" si="224"/>
        <v>Lower Risk</v>
      </c>
      <c r="G4760" t="s">
        <v>3</v>
      </c>
      <c r="H4760" t="s">
        <v>8</v>
      </c>
      <c r="I4760" t="s">
        <v>9</v>
      </c>
      <c r="J4760">
        <v>115.91</v>
      </c>
      <c r="K4760">
        <v>22.2</v>
      </c>
      <c r="L4760" t="s">
        <v>6</v>
      </c>
      <c r="M4760">
        <v>0</v>
      </c>
      <c r="N4760" t="str">
        <f t="shared" si="222"/>
        <v>40–59</v>
      </c>
      <c r="O4760" t="str">
        <f t="shared" si="223"/>
        <v>Normal</v>
      </c>
    </row>
    <row r="4761" spans="1:15" x14ac:dyDescent="0.3">
      <c r="A4761">
        <v>41527</v>
      </c>
      <c r="B4761" t="s">
        <v>2</v>
      </c>
      <c r="C4761">
        <v>46</v>
      </c>
      <c r="D4761">
        <v>0</v>
      </c>
      <c r="E4761">
        <v>0</v>
      </c>
      <c r="F4761" t="str">
        <f t="shared" si="224"/>
        <v>Lower Risk</v>
      </c>
      <c r="G4761" t="s">
        <v>3</v>
      </c>
      <c r="H4761" t="s">
        <v>4</v>
      </c>
      <c r="I4761" t="s">
        <v>5</v>
      </c>
      <c r="J4761">
        <v>59.74</v>
      </c>
      <c r="K4761">
        <v>29.5</v>
      </c>
      <c r="L4761" t="s">
        <v>12</v>
      </c>
      <c r="M4761">
        <v>0</v>
      </c>
      <c r="N4761" t="str">
        <f t="shared" si="222"/>
        <v>40–59</v>
      </c>
      <c r="O4761" t="str">
        <f t="shared" si="223"/>
        <v>Overweight</v>
      </c>
    </row>
    <row r="4762" spans="1:15" x14ac:dyDescent="0.3">
      <c r="A4762">
        <v>50975</v>
      </c>
      <c r="B4762" t="s">
        <v>2</v>
      </c>
      <c r="C4762">
        <v>49</v>
      </c>
      <c r="D4762">
        <v>0</v>
      </c>
      <c r="E4762">
        <v>0</v>
      </c>
      <c r="F4762" t="str">
        <f t="shared" si="224"/>
        <v>Lower Risk</v>
      </c>
      <c r="G4762" t="s">
        <v>3</v>
      </c>
      <c r="H4762" t="s">
        <v>4</v>
      </c>
      <c r="I4762" t="s">
        <v>9</v>
      </c>
      <c r="J4762">
        <v>62.64</v>
      </c>
      <c r="K4762">
        <v>27</v>
      </c>
      <c r="L4762" t="s">
        <v>11</v>
      </c>
      <c r="M4762">
        <v>0</v>
      </c>
      <c r="N4762" t="str">
        <f t="shared" si="222"/>
        <v>40–59</v>
      </c>
      <c r="O4762" t="str">
        <f t="shared" si="223"/>
        <v>Overweight</v>
      </c>
    </row>
    <row r="4763" spans="1:15" x14ac:dyDescent="0.3">
      <c r="A4763">
        <v>49179</v>
      </c>
      <c r="B4763" t="s">
        <v>2</v>
      </c>
      <c r="C4763">
        <v>10</v>
      </c>
      <c r="D4763">
        <v>0</v>
      </c>
      <c r="E4763">
        <v>0</v>
      </c>
      <c r="F4763" t="str">
        <f t="shared" si="224"/>
        <v>Lower Risk</v>
      </c>
      <c r="G4763" t="s">
        <v>13</v>
      </c>
      <c r="H4763" t="s">
        <v>16</v>
      </c>
      <c r="I4763" t="s">
        <v>9</v>
      </c>
      <c r="J4763">
        <v>84.81</v>
      </c>
      <c r="K4763">
        <v>16.8</v>
      </c>
      <c r="L4763" t="s">
        <v>11</v>
      </c>
      <c r="M4763">
        <v>0</v>
      </c>
      <c r="N4763" t="str">
        <f t="shared" si="222"/>
        <v>Under 40</v>
      </c>
      <c r="O4763" t="str">
        <f t="shared" si="223"/>
        <v>Underweight</v>
      </c>
    </row>
    <row r="4764" spans="1:15" x14ac:dyDescent="0.3">
      <c r="A4764">
        <v>27509</v>
      </c>
      <c r="B4764" t="s">
        <v>7</v>
      </c>
      <c r="C4764">
        <v>76</v>
      </c>
      <c r="D4764">
        <v>1</v>
      </c>
      <c r="E4764">
        <v>0</v>
      </c>
      <c r="F4764" t="str">
        <f t="shared" si="224"/>
        <v>High Risk</v>
      </c>
      <c r="G4764" t="s">
        <v>3</v>
      </c>
      <c r="H4764" t="s">
        <v>8</v>
      </c>
      <c r="I4764" t="s">
        <v>5</v>
      </c>
      <c r="J4764">
        <v>78.680000000000007</v>
      </c>
      <c r="K4764">
        <v>23.3</v>
      </c>
      <c r="L4764" t="s">
        <v>11</v>
      </c>
      <c r="M4764">
        <v>0</v>
      </c>
      <c r="N4764" t="str">
        <f t="shared" si="222"/>
        <v>60+</v>
      </c>
      <c r="O4764" t="str">
        <f t="shared" si="223"/>
        <v>Normal</v>
      </c>
    </row>
    <row r="4765" spans="1:15" x14ac:dyDescent="0.3">
      <c r="A4765">
        <v>19191</v>
      </c>
      <c r="B4765" t="s">
        <v>2</v>
      </c>
      <c r="C4765">
        <v>82</v>
      </c>
      <c r="D4765">
        <v>0</v>
      </c>
      <c r="E4765">
        <v>0</v>
      </c>
      <c r="F4765" t="str">
        <f t="shared" si="224"/>
        <v>Moderate Risk</v>
      </c>
      <c r="G4765" t="s">
        <v>3</v>
      </c>
      <c r="H4765" t="s">
        <v>4</v>
      </c>
      <c r="I4765" t="s">
        <v>5</v>
      </c>
      <c r="J4765">
        <v>217.57</v>
      </c>
      <c r="K4765">
        <v>33.5</v>
      </c>
      <c r="L4765" t="s">
        <v>6</v>
      </c>
      <c r="M4765">
        <v>0</v>
      </c>
      <c r="N4765" t="str">
        <f t="shared" si="222"/>
        <v>60+</v>
      </c>
      <c r="O4765" t="str">
        <f t="shared" si="223"/>
        <v>Obese</v>
      </c>
    </row>
    <row r="4766" spans="1:15" x14ac:dyDescent="0.3">
      <c r="A4766">
        <v>25149</v>
      </c>
      <c r="B4766" t="s">
        <v>7</v>
      </c>
      <c r="C4766">
        <v>3</v>
      </c>
      <c r="D4766">
        <v>0</v>
      </c>
      <c r="E4766">
        <v>0</v>
      </c>
      <c r="F4766" t="str">
        <f t="shared" si="224"/>
        <v>Lower Risk</v>
      </c>
      <c r="G4766" t="s">
        <v>13</v>
      </c>
      <c r="H4766" t="s">
        <v>16</v>
      </c>
      <c r="I4766" t="s">
        <v>9</v>
      </c>
      <c r="J4766">
        <v>79.760000000000005</v>
      </c>
      <c r="K4766">
        <v>15.6</v>
      </c>
      <c r="L4766" t="s">
        <v>14</v>
      </c>
      <c r="M4766">
        <v>0</v>
      </c>
      <c r="N4766" t="str">
        <f t="shared" si="222"/>
        <v>Under 40</v>
      </c>
      <c r="O4766" t="str">
        <f t="shared" si="223"/>
        <v>Underweight</v>
      </c>
    </row>
    <row r="4767" spans="1:15" x14ac:dyDescent="0.3">
      <c r="A4767">
        <v>42626</v>
      </c>
      <c r="B4767" t="s">
        <v>7</v>
      </c>
      <c r="C4767">
        <v>76</v>
      </c>
      <c r="D4767">
        <v>1</v>
      </c>
      <c r="E4767">
        <v>0</v>
      </c>
      <c r="F4767" t="str">
        <f t="shared" si="224"/>
        <v>High Risk</v>
      </c>
      <c r="G4767" t="s">
        <v>3</v>
      </c>
      <c r="H4767" t="s">
        <v>15</v>
      </c>
      <c r="I4767" t="s">
        <v>9</v>
      </c>
      <c r="J4767">
        <v>63.28</v>
      </c>
      <c r="K4767">
        <v>28.2</v>
      </c>
      <c r="L4767" t="s">
        <v>11</v>
      </c>
      <c r="M4767">
        <v>0</v>
      </c>
      <c r="N4767" t="str">
        <f t="shared" si="222"/>
        <v>60+</v>
      </c>
      <c r="O4767" t="str">
        <f t="shared" si="223"/>
        <v>Overweight</v>
      </c>
    </row>
    <row r="4768" spans="1:15" x14ac:dyDescent="0.3">
      <c r="A4768">
        <v>2578</v>
      </c>
      <c r="B4768" t="s">
        <v>2</v>
      </c>
      <c r="C4768">
        <v>16</v>
      </c>
      <c r="D4768">
        <v>0</v>
      </c>
      <c r="E4768">
        <v>0</v>
      </c>
      <c r="F4768" t="str">
        <f t="shared" si="224"/>
        <v>Lower Risk</v>
      </c>
      <c r="G4768" t="s">
        <v>13</v>
      </c>
      <c r="H4768" t="s">
        <v>15</v>
      </c>
      <c r="I4768" t="s">
        <v>9</v>
      </c>
      <c r="J4768">
        <v>78.48</v>
      </c>
      <c r="K4768">
        <v>22.6</v>
      </c>
      <c r="L4768" t="s">
        <v>11</v>
      </c>
      <c r="M4768">
        <v>0</v>
      </c>
      <c r="N4768" t="str">
        <f t="shared" si="222"/>
        <v>Under 40</v>
      </c>
      <c r="O4768" t="str">
        <f t="shared" si="223"/>
        <v>Normal</v>
      </c>
    </row>
    <row r="4769" spans="1:15" x14ac:dyDescent="0.3">
      <c r="A4769">
        <v>55975</v>
      </c>
      <c r="B4769" t="s">
        <v>7</v>
      </c>
      <c r="C4769">
        <v>44</v>
      </c>
      <c r="D4769">
        <v>0</v>
      </c>
      <c r="E4769">
        <v>0</v>
      </c>
      <c r="F4769" t="str">
        <f t="shared" si="224"/>
        <v>Lower Risk</v>
      </c>
      <c r="G4769" t="s">
        <v>3</v>
      </c>
      <c r="H4769" t="s">
        <v>15</v>
      </c>
      <c r="I4769" t="s">
        <v>9</v>
      </c>
      <c r="J4769">
        <v>70.48</v>
      </c>
      <c r="K4769">
        <v>20.2</v>
      </c>
      <c r="L4769" t="s">
        <v>11</v>
      </c>
      <c r="M4769">
        <v>0</v>
      </c>
      <c r="N4769" t="str">
        <f t="shared" si="222"/>
        <v>40–59</v>
      </c>
      <c r="O4769" t="str">
        <f t="shared" si="223"/>
        <v>Normal</v>
      </c>
    </row>
    <row r="4770" spans="1:15" x14ac:dyDescent="0.3">
      <c r="A4770">
        <v>62182</v>
      </c>
      <c r="B4770" t="s">
        <v>7</v>
      </c>
      <c r="C4770">
        <v>17</v>
      </c>
      <c r="D4770">
        <v>0</v>
      </c>
      <c r="E4770">
        <v>0</v>
      </c>
      <c r="F4770" t="str">
        <f t="shared" si="224"/>
        <v>Lower Risk</v>
      </c>
      <c r="G4770" t="s">
        <v>13</v>
      </c>
      <c r="H4770" t="s">
        <v>4</v>
      </c>
      <c r="I4770" t="s">
        <v>9</v>
      </c>
      <c r="J4770">
        <v>120.96</v>
      </c>
      <c r="K4770">
        <v>22.2</v>
      </c>
      <c r="L4770" t="s">
        <v>6</v>
      </c>
      <c r="M4770">
        <v>0</v>
      </c>
      <c r="N4770" t="str">
        <f t="shared" si="222"/>
        <v>Under 40</v>
      </c>
      <c r="O4770" t="str">
        <f t="shared" si="223"/>
        <v>Normal</v>
      </c>
    </row>
    <row r="4771" spans="1:15" x14ac:dyDescent="0.3">
      <c r="A4771">
        <v>12037</v>
      </c>
      <c r="B4771" t="s">
        <v>7</v>
      </c>
      <c r="C4771">
        <v>73</v>
      </c>
      <c r="D4771">
        <v>0</v>
      </c>
      <c r="E4771">
        <v>0</v>
      </c>
      <c r="F4771" t="str">
        <f t="shared" si="224"/>
        <v>Moderate Risk</v>
      </c>
      <c r="G4771" t="s">
        <v>3</v>
      </c>
      <c r="H4771" t="s">
        <v>8</v>
      </c>
      <c r="I4771" t="s">
        <v>9</v>
      </c>
      <c r="J4771">
        <v>77.290000000000006</v>
      </c>
      <c r="K4771">
        <v>22.6</v>
      </c>
      <c r="L4771" t="s">
        <v>11</v>
      </c>
      <c r="M4771">
        <v>0</v>
      </c>
      <c r="N4771" t="str">
        <f t="shared" si="222"/>
        <v>60+</v>
      </c>
      <c r="O4771" t="str">
        <f t="shared" si="223"/>
        <v>Normal</v>
      </c>
    </row>
    <row r="4772" spans="1:15" x14ac:dyDescent="0.3">
      <c r="A4772">
        <v>21963</v>
      </c>
      <c r="B4772" t="s">
        <v>2</v>
      </c>
      <c r="C4772">
        <v>31</v>
      </c>
      <c r="D4772">
        <v>0</v>
      </c>
      <c r="E4772">
        <v>0</v>
      </c>
      <c r="F4772" t="str">
        <f t="shared" si="224"/>
        <v>Lower Risk</v>
      </c>
      <c r="G4772" t="s">
        <v>3</v>
      </c>
      <c r="H4772" t="s">
        <v>4</v>
      </c>
      <c r="I4772" t="s">
        <v>5</v>
      </c>
      <c r="J4772">
        <v>108.51</v>
      </c>
      <c r="K4772">
        <v>26.7</v>
      </c>
      <c r="L4772" t="s">
        <v>14</v>
      </c>
      <c r="M4772">
        <v>0</v>
      </c>
      <c r="N4772" t="str">
        <f t="shared" si="222"/>
        <v>Under 40</v>
      </c>
      <c r="O4772" t="str">
        <f t="shared" si="223"/>
        <v>Overweight</v>
      </c>
    </row>
    <row r="4773" spans="1:15" x14ac:dyDescent="0.3">
      <c r="A4773">
        <v>26250</v>
      </c>
      <c r="B4773" t="s">
        <v>2</v>
      </c>
      <c r="C4773">
        <v>17</v>
      </c>
      <c r="D4773">
        <v>0</v>
      </c>
      <c r="E4773">
        <v>0</v>
      </c>
      <c r="F4773" t="str">
        <f t="shared" si="224"/>
        <v>Lower Risk</v>
      </c>
      <c r="G4773" t="s">
        <v>13</v>
      </c>
      <c r="H4773" t="s">
        <v>8</v>
      </c>
      <c r="I4773" t="s">
        <v>5</v>
      </c>
      <c r="J4773">
        <v>113.85</v>
      </c>
      <c r="K4773">
        <v>22.9</v>
      </c>
      <c r="L4773" t="s">
        <v>14</v>
      </c>
      <c r="M4773">
        <v>0</v>
      </c>
      <c r="N4773" t="str">
        <f t="shared" si="222"/>
        <v>Under 40</v>
      </c>
      <c r="O4773" t="str">
        <f t="shared" si="223"/>
        <v>Normal</v>
      </c>
    </row>
    <row r="4774" spans="1:15" x14ac:dyDescent="0.3">
      <c r="A4774">
        <v>13960</v>
      </c>
      <c r="B4774" t="s">
        <v>7</v>
      </c>
      <c r="C4774">
        <v>18</v>
      </c>
      <c r="D4774">
        <v>0</v>
      </c>
      <c r="E4774">
        <v>0</v>
      </c>
      <c r="F4774" t="str">
        <f t="shared" si="224"/>
        <v>Lower Risk</v>
      </c>
      <c r="G4774" t="s">
        <v>13</v>
      </c>
      <c r="H4774" t="s">
        <v>17</v>
      </c>
      <c r="I4774" t="s">
        <v>5</v>
      </c>
      <c r="J4774">
        <v>97.65</v>
      </c>
      <c r="K4774">
        <v>21.5</v>
      </c>
      <c r="L4774" t="s">
        <v>14</v>
      </c>
      <c r="M4774">
        <v>0</v>
      </c>
      <c r="N4774" t="str">
        <f t="shared" si="222"/>
        <v>Under 40</v>
      </c>
      <c r="O4774" t="str">
        <f t="shared" si="223"/>
        <v>Normal</v>
      </c>
    </row>
    <row r="4775" spans="1:15" x14ac:dyDescent="0.3">
      <c r="A4775">
        <v>56573</v>
      </c>
      <c r="B4775" t="s">
        <v>2</v>
      </c>
      <c r="C4775">
        <v>73</v>
      </c>
      <c r="D4775">
        <v>0</v>
      </c>
      <c r="E4775">
        <v>0</v>
      </c>
      <c r="F4775" t="str">
        <f t="shared" si="224"/>
        <v>Moderate Risk</v>
      </c>
      <c r="G4775" t="s">
        <v>3</v>
      </c>
      <c r="H4775" t="s">
        <v>4</v>
      </c>
      <c r="I4775" t="s">
        <v>9</v>
      </c>
      <c r="J4775">
        <v>121.83</v>
      </c>
      <c r="K4775">
        <v>30.3</v>
      </c>
      <c r="L4775" t="s">
        <v>6</v>
      </c>
      <c r="M4775">
        <v>0</v>
      </c>
      <c r="N4775" t="str">
        <f t="shared" si="222"/>
        <v>60+</v>
      </c>
      <c r="O4775" t="str">
        <f t="shared" si="223"/>
        <v>Obese</v>
      </c>
    </row>
    <row r="4776" spans="1:15" x14ac:dyDescent="0.3">
      <c r="A4776">
        <v>10659</v>
      </c>
      <c r="B4776" t="s">
        <v>7</v>
      </c>
      <c r="C4776">
        <v>8</v>
      </c>
      <c r="D4776">
        <v>0</v>
      </c>
      <c r="E4776">
        <v>0</v>
      </c>
      <c r="F4776" t="str">
        <f t="shared" si="224"/>
        <v>Lower Risk</v>
      </c>
      <c r="G4776" t="s">
        <v>13</v>
      </c>
      <c r="H4776" t="s">
        <v>16</v>
      </c>
      <c r="I4776" t="s">
        <v>5</v>
      </c>
      <c r="J4776">
        <v>81.53</v>
      </c>
      <c r="K4776">
        <v>14.8</v>
      </c>
      <c r="L4776" t="s">
        <v>14</v>
      </c>
      <c r="M4776">
        <v>0</v>
      </c>
      <c r="N4776" t="str">
        <f t="shared" si="222"/>
        <v>Under 40</v>
      </c>
      <c r="O4776" t="str">
        <f t="shared" si="223"/>
        <v>Underweight</v>
      </c>
    </row>
    <row r="4777" spans="1:15" x14ac:dyDescent="0.3">
      <c r="A4777">
        <v>50763</v>
      </c>
      <c r="B4777" t="s">
        <v>2</v>
      </c>
      <c r="C4777">
        <v>42</v>
      </c>
      <c r="D4777">
        <v>0</v>
      </c>
      <c r="E4777">
        <v>0</v>
      </c>
      <c r="F4777" t="str">
        <f t="shared" si="224"/>
        <v>Lower Risk</v>
      </c>
      <c r="G4777" t="s">
        <v>3</v>
      </c>
      <c r="H4777" t="s">
        <v>15</v>
      </c>
      <c r="I4777" t="s">
        <v>5</v>
      </c>
      <c r="J4777">
        <v>58.35</v>
      </c>
      <c r="K4777">
        <v>24.3</v>
      </c>
      <c r="L4777" t="s">
        <v>11</v>
      </c>
      <c r="M4777">
        <v>0</v>
      </c>
      <c r="N4777" t="str">
        <f t="shared" si="222"/>
        <v>40–59</v>
      </c>
      <c r="O4777" t="str">
        <f t="shared" si="223"/>
        <v>Normal</v>
      </c>
    </row>
    <row r="4778" spans="1:15" x14ac:dyDescent="0.3">
      <c r="A4778">
        <v>62075</v>
      </c>
      <c r="B4778" t="s">
        <v>7</v>
      </c>
      <c r="C4778">
        <v>40</v>
      </c>
      <c r="D4778">
        <v>0</v>
      </c>
      <c r="E4778">
        <v>0</v>
      </c>
      <c r="F4778" t="str">
        <f t="shared" si="224"/>
        <v>Lower Risk</v>
      </c>
      <c r="G4778" t="s">
        <v>3</v>
      </c>
      <c r="H4778" t="s">
        <v>4</v>
      </c>
      <c r="I4778" t="s">
        <v>5</v>
      </c>
      <c r="J4778">
        <v>65.42</v>
      </c>
      <c r="K4778">
        <v>17.399999999999999</v>
      </c>
      <c r="L4778" t="s">
        <v>6</v>
      </c>
      <c r="M4778">
        <v>0</v>
      </c>
      <c r="N4778" t="str">
        <f t="shared" si="222"/>
        <v>40–59</v>
      </c>
      <c r="O4778" t="str">
        <f t="shared" si="223"/>
        <v>Underweight</v>
      </c>
    </row>
    <row r="4779" spans="1:15" x14ac:dyDescent="0.3">
      <c r="A4779">
        <v>10119</v>
      </c>
      <c r="B4779" t="s">
        <v>2</v>
      </c>
      <c r="C4779">
        <v>79</v>
      </c>
      <c r="D4779">
        <v>0</v>
      </c>
      <c r="E4779">
        <v>0</v>
      </c>
      <c r="F4779" t="str">
        <f t="shared" si="224"/>
        <v>Moderate Risk</v>
      </c>
      <c r="G4779" t="s">
        <v>3</v>
      </c>
      <c r="H4779" t="s">
        <v>4</v>
      </c>
      <c r="I4779" t="s">
        <v>9</v>
      </c>
      <c r="J4779">
        <v>69.34</v>
      </c>
      <c r="K4779">
        <v>29</v>
      </c>
      <c r="L4779" t="s">
        <v>11</v>
      </c>
      <c r="M4779">
        <v>0</v>
      </c>
      <c r="N4779" t="str">
        <f t="shared" si="222"/>
        <v>60+</v>
      </c>
      <c r="O4779" t="str">
        <f t="shared" si="223"/>
        <v>Overweight</v>
      </c>
    </row>
    <row r="4780" spans="1:15" x14ac:dyDescent="0.3">
      <c r="A4780">
        <v>48127</v>
      </c>
      <c r="B4780" t="s">
        <v>2</v>
      </c>
      <c r="C4780">
        <v>53</v>
      </c>
      <c r="D4780">
        <v>0</v>
      </c>
      <c r="E4780">
        <v>0</v>
      </c>
      <c r="F4780" t="str">
        <f t="shared" si="224"/>
        <v>Lower Risk</v>
      </c>
      <c r="G4780" t="s">
        <v>3</v>
      </c>
      <c r="H4780" t="s">
        <v>8</v>
      </c>
      <c r="I4780" t="s">
        <v>5</v>
      </c>
      <c r="J4780">
        <v>109.09</v>
      </c>
      <c r="K4780">
        <v>26.3</v>
      </c>
      <c r="L4780" t="s">
        <v>12</v>
      </c>
      <c r="M4780">
        <v>0</v>
      </c>
      <c r="N4780" t="str">
        <f t="shared" si="222"/>
        <v>40–59</v>
      </c>
      <c r="O4780" t="str">
        <f t="shared" si="223"/>
        <v>Overweight</v>
      </c>
    </row>
    <row r="4781" spans="1:15" x14ac:dyDescent="0.3">
      <c r="A4781">
        <v>65892</v>
      </c>
      <c r="B4781" t="s">
        <v>7</v>
      </c>
      <c r="C4781">
        <v>58</v>
      </c>
      <c r="D4781">
        <v>0</v>
      </c>
      <c r="E4781">
        <v>0</v>
      </c>
      <c r="F4781" t="str">
        <f t="shared" si="224"/>
        <v>Lower Risk</v>
      </c>
      <c r="G4781" t="s">
        <v>3</v>
      </c>
      <c r="H4781" t="s">
        <v>8</v>
      </c>
      <c r="I4781" t="s">
        <v>5</v>
      </c>
      <c r="J4781">
        <v>66.709999999999994</v>
      </c>
      <c r="K4781">
        <v>51.7</v>
      </c>
      <c r="L4781" t="s">
        <v>11</v>
      </c>
      <c r="M4781">
        <v>0</v>
      </c>
      <c r="N4781" t="str">
        <f t="shared" si="222"/>
        <v>40–59</v>
      </c>
      <c r="O4781" t="str">
        <f t="shared" si="223"/>
        <v>Obese</v>
      </c>
    </row>
    <row r="4782" spans="1:15" x14ac:dyDescent="0.3">
      <c r="A4782">
        <v>33370</v>
      </c>
      <c r="B4782" t="s">
        <v>7</v>
      </c>
      <c r="C4782">
        <v>48</v>
      </c>
      <c r="D4782">
        <v>0</v>
      </c>
      <c r="E4782">
        <v>0</v>
      </c>
      <c r="F4782" t="str">
        <f t="shared" si="224"/>
        <v>Lower Risk</v>
      </c>
      <c r="G4782" t="s">
        <v>3</v>
      </c>
      <c r="H4782" t="s">
        <v>4</v>
      </c>
      <c r="I4782" t="s">
        <v>9</v>
      </c>
      <c r="J4782">
        <v>114.92</v>
      </c>
      <c r="K4782">
        <v>29.2</v>
      </c>
      <c r="L4782" t="s">
        <v>14</v>
      </c>
      <c r="M4782">
        <v>0</v>
      </c>
      <c r="N4782" t="str">
        <f t="shared" si="222"/>
        <v>40–59</v>
      </c>
      <c r="O4782" t="str">
        <f t="shared" si="223"/>
        <v>Overweight</v>
      </c>
    </row>
    <row r="4783" spans="1:15" x14ac:dyDescent="0.3">
      <c r="A4783">
        <v>59049</v>
      </c>
      <c r="B4783" t="s">
        <v>7</v>
      </c>
      <c r="C4783">
        <v>17</v>
      </c>
      <c r="D4783">
        <v>0</v>
      </c>
      <c r="E4783">
        <v>0</v>
      </c>
      <c r="F4783" t="str">
        <f t="shared" si="224"/>
        <v>Lower Risk</v>
      </c>
      <c r="G4783" t="s">
        <v>13</v>
      </c>
      <c r="H4783" t="s">
        <v>4</v>
      </c>
      <c r="I4783" t="s">
        <v>9</v>
      </c>
      <c r="J4783">
        <v>120.58</v>
      </c>
      <c r="K4783">
        <v>18.3</v>
      </c>
      <c r="L4783" t="s">
        <v>11</v>
      </c>
      <c r="M4783">
        <v>0</v>
      </c>
      <c r="N4783" t="str">
        <f t="shared" si="222"/>
        <v>Under 40</v>
      </c>
      <c r="O4783" t="str">
        <f t="shared" si="223"/>
        <v>Underweight</v>
      </c>
    </row>
    <row r="4784" spans="1:15" x14ac:dyDescent="0.3">
      <c r="A4784">
        <v>53896</v>
      </c>
      <c r="B4784" t="s">
        <v>7</v>
      </c>
      <c r="C4784">
        <v>23</v>
      </c>
      <c r="D4784">
        <v>0</v>
      </c>
      <c r="E4784">
        <v>0</v>
      </c>
      <c r="F4784" t="str">
        <f t="shared" si="224"/>
        <v>Lower Risk</v>
      </c>
      <c r="G4784" t="s">
        <v>13</v>
      </c>
      <c r="H4784" t="s">
        <v>4</v>
      </c>
      <c r="I4784" t="s">
        <v>9</v>
      </c>
      <c r="J4784">
        <v>165.36</v>
      </c>
      <c r="K4784">
        <v>21.9</v>
      </c>
      <c r="L4784" t="s">
        <v>12</v>
      </c>
      <c r="M4784">
        <v>0</v>
      </c>
      <c r="N4784" t="str">
        <f t="shared" si="222"/>
        <v>Under 40</v>
      </c>
      <c r="O4784" t="str">
        <f t="shared" si="223"/>
        <v>Normal</v>
      </c>
    </row>
    <row r="4785" spans="1:15" x14ac:dyDescent="0.3">
      <c r="A4785">
        <v>21980</v>
      </c>
      <c r="B4785" t="s">
        <v>2</v>
      </c>
      <c r="C4785">
        <v>9</v>
      </c>
      <c r="D4785">
        <v>0</v>
      </c>
      <c r="E4785">
        <v>0</v>
      </c>
      <c r="F4785" t="str">
        <f t="shared" si="224"/>
        <v>Lower Risk</v>
      </c>
      <c r="G4785" t="s">
        <v>13</v>
      </c>
      <c r="H4785" t="s">
        <v>16</v>
      </c>
      <c r="I4785" t="s">
        <v>5</v>
      </c>
      <c r="J4785">
        <v>66.11</v>
      </c>
      <c r="K4785">
        <v>16.3</v>
      </c>
      <c r="L4785" t="s">
        <v>14</v>
      </c>
      <c r="M4785">
        <v>0</v>
      </c>
      <c r="N4785" t="str">
        <f t="shared" si="222"/>
        <v>Under 40</v>
      </c>
      <c r="O4785" t="str">
        <f t="shared" si="223"/>
        <v>Underweight</v>
      </c>
    </row>
    <row r="4786" spans="1:15" x14ac:dyDescent="0.3">
      <c r="A4786">
        <v>70497</v>
      </c>
      <c r="B4786" t="s">
        <v>7</v>
      </c>
      <c r="C4786">
        <v>81</v>
      </c>
      <c r="D4786">
        <v>1</v>
      </c>
      <c r="E4786">
        <v>1</v>
      </c>
      <c r="F4786" t="str">
        <f t="shared" si="224"/>
        <v>High Risk</v>
      </c>
      <c r="G4786" t="s">
        <v>3</v>
      </c>
      <c r="H4786" t="s">
        <v>4</v>
      </c>
      <c r="I4786" t="s">
        <v>9</v>
      </c>
      <c r="J4786">
        <v>126.34</v>
      </c>
      <c r="K4786">
        <v>27.4</v>
      </c>
      <c r="L4786" t="s">
        <v>12</v>
      </c>
      <c r="M4786">
        <v>0</v>
      </c>
      <c r="N4786" t="str">
        <f t="shared" si="222"/>
        <v>60+</v>
      </c>
      <c r="O4786" t="str">
        <f t="shared" si="223"/>
        <v>Overweight</v>
      </c>
    </row>
    <row r="4787" spans="1:15" x14ac:dyDescent="0.3">
      <c r="A4787">
        <v>58652</v>
      </c>
      <c r="B4787" t="s">
        <v>7</v>
      </c>
      <c r="C4787">
        <v>16</v>
      </c>
      <c r="D4787">
        <v>0</v>
      </c>
      <c r="E4787">
        <v>0</v>
      </c>
      <c r="F4787" t="str">
        <f t="shared" si="224"/>
        <v>Lower Risk</v>
      </c>
      <c r="G4787" t="s">
        <v>13</v>
      </c>
      <c r="H4787" t="s">
        <v>17</v>
      </c>
      <c r="I4787" t="s">
        <v>9</v>
      </c>
      <c r="J4787">
        <v>68.27</v>
      </c>
      <c r="K4787">
        <v>20.399999999999999</v>
      </c>
      <c r="L4787" t="s">
        <v>11</v>
      </c>
      <c r="M4787">
        <v>0</v>
      </c>
      <c r="N4787" t="str">
        <f t="shared" si="222"/>
        <v>Under 40</v>
      </c>
      <c r="O4787" t="str">
        <f t="shared" si="223"/>
        <v>Normal</v>
      </c>
    </row>
    <row r="4788" spans="1:15" x14ac:dyDescent="0.3">
      <c r="A4788">
        <v>30335</v>
      </c>
      <c r="B4788" t="s">
        <v>2</v>
      </c>
      <c r="C4788">
        <v>21</v>
      </c>
      <c r="D4788">
        <v>0</v>
      </c>
      <c r="E4788">
        <v>0</v>
      </c>
      <c r="F4788" t="str">
        <f t="shared" si="224"/>
        <v>Lower Risk</v>
      </c>
      <c r="G4788" t="s">
        <v>13</v>
      </c>
      <c r="H4788" t="s">
        <v>4</v>
      </c>
      <c r="I4788" t="s">
        <v>9</v>
      </c>
      <c r="J4788">
        <v>92.86</v>
      </c>
      <c r="K4788">
        <v>23.2</v>
      </c>
      <c r="L4788" t="s">
        <v>11</v>
      </c>
      <c r="M4788">
        <v>0</v>
      </c>
      <c r="N4788" t="str">
        <f t="shared" si="222"/>
        <v>Under 40</v>
      </c>
      <c r="O4788" t="str">
        <f t="shared" si="223"/>
        <v>Normal</v>
      </c>
    </row>
    <row r="4789" spans="1:15" x14ac:dyDescent="0.3">
      <c r="A4789">
        <v>26305</v>
      </c>
      <c r="B4789" t="s">
        <v>2</v>
      </c>
      <c r="C4789">
        <v>29</v>
      </c>
      <c r="D4789">
        <v>0</v>
      </c>
      <c r="E4789">
        <v>0</v>
      </c>
      <c r="F4789" t="str">
        <f t="shared" si="224"/>
        <v>Lower Risk</v>
      </c>
      <c r="G4789" t="s">
        <v>13</v>
      </c>
      <c r="H4789" t="s">
        <v>8</v>
      </c>
      <c r="I4789" t="s">
        <v>9</v>
      </c>
      <c r="J4789">
        <v>96.77</v>
      </c>
      <c r="K4789">
        <v>30.3</v>
      </c>
      <c r="L4789" t="s">
        <v>6</v>
      </c>
      <c r="M4789">
        <v>0</v>
      </c>
      <c r="N4789" t="str">
        <f t="shared" si="222"/>
        <v>Under 40</v>
      </c>
      <c r="O4789" t="str">
        <f t="shared" si="223"/>
        <v>Obese</v>
      </c>
    </row>
    <row r="4790" spans="1:15" x14ac:dyDescent="0.3">
      <c r="A4790">
        <v>31227</v>
      </c>
      <c r="B4790" t="s">
        <v>2</v>
      </c>
      <c r="C4790">
        <v>8</v>
      </c>
      <c r="D4790">
        <v>0</v>
      </c>
      <c r="E4790">
        <v>0</v>
      </c>
      <c r="F4790" t="str">
        <f t="shared" si="224"/>
        <v>Lower Risk</v>
      </c>
      <c r="G4790" t="s">
        <v>13</v>
      </c>
      <c r="H4790" t="s">
        <v>16</v>
      </c>
      <c r="I4790" t="s">
        <v>9</v>
      </c>
      <c r="J4790">
        <v>89.24</v>
      </c>
      <c r="K4790">
        <v>16.7</v>
      </c>
      <c r="L4790" t="s">
        <v>14</v>
      </c>
      <c r="M4790">
        <v>0</v>
      </c>
      <c r="N4790" t="str">
        <f t="shared" si="222"/>
        <v>Under 40</v>
      </c>
      <c r="O4790" t="str">
        <f t="shared" si="223"/>
        <v>Underweight</v>
      </c>
    </row>
    <row r="4791" spans="1:15" x14ac:dyDescent="0.3">
      <c r="A4791">
        <v>5581</v>
      </c>
      <c r="B4791" t="s">
        <v>7</v>
      </c>
      <c r="C4791">
        <v>39</v>
      </c>
      <c r="D4791">
        <v>0</v>
      </c>
      <c r="E4791">
        <v>0</v>
      </c>
      <c r="F4791" t="str">
        <f t="shared" si="224"/>
        <v>Lower Risk</v>
      </c>
      <c r="G4791" t="s">
        <v>3</v>
      </c>
      <c r="H4791" t="s">
        <v>4</v>
      </c>
      <c r="I4791" t="s">
        <v>9</v>
      </c>
      <c r="J4791">
        <v>89.32</v>
      </c>
      <c r="K4791">
        <v>31</v>
      </c>
      <c r="L4791" t="s">
        <v>6</v>
      </c>
      <c r="M4791">
        <v>0</v>
      </c>
      <c r="N4791" t="str">
        <f t="shared" si="222"/>
        <v>Under 40</v>
      </c>
      <c r="O4791" t="str">
        <f t="shared" si="223"/>
        <v>Obese</v>
      </c>
    </row>
    <row r="4792" spans="1:15" x14ac:dyDescent="0.3">
      <c r="A4792">
        <v>1989</v>
      </c>
      <c r="B4792" t="s">
        <v>2</v>
      </c>
      <c r="C4792">
        <v>37</v>
      </c>
      <c r="D4792">
        <v>0</v>
      </c>
      <c r="E4792">
        <v>0</v>
      </c>
      <c r="F4792" t="str">
        <f t="shared" si="224"/>
        <v>Lower Risk</v>
      </c>
      <c r="G4792" t="s">
        <v>3</v>
      </c>
      <c r="H4792" t="s">
        <v>4</v>
      </c>
      <c r="I4792" t="s">
        <v>9</v>
      </c>
      <c r="J4792">
        <v>107.06</v>
      </c>
      <c r="K4792" t="s">
        <v>10</v>
      </c>
      <c r="L4792" t="s">
        <v>12</v>
      </c>
      <c r="M4792">
        <v>0</v>
      </c>
      <c r="N4792" t="str">
        <f t="shared" si="222"/>
        <v>Under 40</v>
      </c>
      <c r="O4792" t="str">
        <f t="shared" si="223"/>
        <v>Unknown</v>
      </c>
    </row>
    <row r="4793" spans="1:15" x14ac:dyDescent="0.3">
      <c r="A4793">
        <v>43803</v>
      </c>
      <c r="B4793" t="s">
        <v>7</v>
      </c>
      <c r="C4793">
        <v>64</v>
      </c>
      <c r="D4793">
        <v>0</v>
      </c>
      <c r="E4793">
        <v>0</v>
      </c>
      <c r="F4793" t="str">
        <f t="shared" si="224"/>
        <v>Moderate Risk</v>
      </c>
      <c r="G4793" t="s">
        <v>3</v>
      </c>
      <c r="H4793" t="s">
        <v>4</v>
      </c>
      <c r="I4793" t="s">
        <v>5</v>
      </c>
      <c r="J4793">
        <v>65.63</v>
      </c>
      <c r="K4793">
        <v>33.5</v>
      </c>
      <c r="L4793" t="s">
        <v>12</v>
      </c>
      <c r="M4793">
        <v>0</v>
      </c>
      <c r="N4793" t="str">
        <f t="shared" si="222"/>
        <v>60+</v>
      </c>
      <c r="O4793" t="str">
        <f t="shared" si="223"/>
        <v>Obese</v>
      </c>
    </row>
    <row r="4794" spans="1:15" x14ac:dyDescent="0.3">
      <c r="A4794">
        <v>41395</v>
      </c>
      <c r="B4794" t="s">
        <v>2</v>
      </c>
      <c r="C4794">
        <v>9</v>
      </c>
      <c r="D4794">
        <v>0</v>
      </c>
      <c r="E4794">
        <v>0</v>
      </c>
      <c r="F4794" t="str">
        <f t="shared" si="224"/>
        <v>Lower Risk</v>
      </c>
      <c r="G4794" t="s">
        <v>13</v>
      </c>
      <c r="H4794" t="s">
        <v>16</v>
      </c>
      <c r="I4794" t="s">
        <v>5</v>
      </c>
      <c r="J4794">
        <v>123.66</v>
      </c>
      <c r="K4794">
        <v>17</v>
      </c>
      <c r="L4794" t="s">
        <v>14</v>
      </c>
      <c r="M4794">
        <v>0</v>
      </c>
      <c r="N4794" t="str">
        <f t="shared" si="222"/>
        <v>Under 40</v>
      </c>
      <c r="O4794" t="str">
        <f t="shared" si="223"/>
        <v>Underweight</v>
      </c>
    </row>
    <row r="4795" spans="1:15" x14ac:dyDescent="0.3">
      <c r="A4795">
        <v>71784</v>
      </c>
      <c r="B4795" t="s">
        <v>2</v>
      </c>
      <c r="C4795">
        <v>17</v>
      </c>
      <c r="D4795">
        <v>0</v>
      </c>
      <c r="E4795">
        <v>0</v>
      </c>
      <c r="F4795" t="str">
        <f t="shared" si="224"/>
        <v>Lower Risk</v>
      </c>
      <c r="G4795" t="s">
        <v>13</v>
      </c>
      <c r="H4795" t="s">
        <v>4</v>
      </c>
      <c r="I4795" t="s">
        <v>9</v>
      </c>
      <c r="J4795">
        <v>63.82</v>
      </c>
      <c r="K4795">
        <v>19.399999999999999</v>
      </c>
      <c r="L4795" t="s">
        <v>12</v>
      </c>
      <c r="M4795">
        <v>0</v>
      </c>
      <c r="N4795" t="str">
        <f t="shared" si="222"/>
        <v>Under 40</v>
      </c>
      <c r="O4795" t="str">
        <f t="shared" si="223"/>
        <v>Normal</v>
      </c>
    </row>
    <row r="4796" spans="1:15" x14ac:dyDescent="0.3">
      <c r="A4796">
        <v>57979</v>
      </c>
      <c r="B4796" t="s">
        <v>2</v>
      </c>
      <c r="C4796">
        <v>8</v>
      </c>
      <c r="D4796">
        <v>0</v>
      </c>
      <c r="E4796">
        <v>0</v>
      </c>
      <c r="F4796" t="str">
        <f t="shared" si="224"/>
        <v>Lower Risk</v>
      </c>
      <c r="G4796" t="s">
        <v>13</v>
      </c>
      <c r="H4796" t="s">
        <v>16</v>
      </c>
      <c r="I4796" t="s">
        <v>9</v>
      </c>
      <c r="J4796">
        <v>108.06</v>
      </c>
      <c r="K4796">
        <v>14.6</v>
      </c>
      <c r="L4796" t="s">
        <v>14</v>
      </c>
      <c r="M4796">
        <v>0</v>
      </c>
      <c r="N4796" t="str">
        <f t="shared" si="222"/>
        <v>Under 40</v>
      </c>
      <c r="O4796" t="str">
        <f t="shared" si="223"/>
        <v>Underweight</v>
      </c>
    </row>
    <row r="4797" spans="1:15" x14ac:dyDescent="0.3">
      <c r="A4797">
        <v>54437</v>
      </c>
      <c r="B4797" t="s">
        <v>2</v>
      </c>
      <c r="C4797">
        <v>62</v>
      </c>
      <c r="D4797">
        <v>0</v>
      </c>
      <c r="E4797">
        <v>0</v>
      </c>
      <c r="F4797" t="str">
        <f t="shared" si="224"/>
        <v>Moderate Risk</v>
      </c>
      <c r="G4797" t="s">
        <v>3</v>
      </c>
      <c r="H4797" t="s">
        <v>8</v>
      </c>
      <c r="I4797" t="s">
        <v>9</v>
      </c>
      <c r="J4797">
        <v>136.18</v>
      </c>
      <c r="K4797">
        <v>32.200000000000003</v>
      </c>
      <c r="L4797" t="s">
        <v>14</v>
      </c>
      <c r="M4797">
        <v>0</v>
      </c>
      <c r="N4797" t="str">
        <f t="shared" si="222"/>
        <v>60+</v>
      </c>
      <c r="O4797" t="str">
        <f t="shared" si="223"/>
        <v>Obese</v>
      </c>
    </row>
    <row r="4798" spans="1:15" x14ac:dyDescent="0.3">
      <c r="A4798">
        <v>67159</v>
      </c>
      <c r="B4798" t="s">
        <v>2</v>
      </c>
      <c r="C4798">
        <v>73</v>
      </c>
      <c r="D4798">
        <v>1</v>
      </c>
      <c r="E4798">
        <v>0</v>
      </c>
      <c r="F4798" t="str">
        <f t="shared" si="224"/>
        <v>High Risk</v>
      </c>
      <c r="G4798" t="s">
        <v>13</v>
      </c>
      <c r="H4798" t="s">
        <v>15</v>
      </c>
      <c r="I4798" t="s">
        <v>5</v>
      </c>
      <c r="J4798">
        <v>71.290000000000006</v>
      </c>
      <c r="K4798">
        <v>37.700000000000003</v>
      </c>
      <c r="L4798" t="s">
        <v>11</v>
      </c>
      <c r="M4798">
        <v>0</v>
      </c>
      <c r="N4798" t="str">
        <f t="shared" si="222"/>
        <v>60+</v>
      </c>
      <c r="O4798" t="str">
        <f t="shared" si="223"/>
        <v>Obese</v>
      </c>
    </row>
    <row r="4799" spans="1:15" x14ac:dyDescent="0.3">
      <c r="A4799">
        <v>7230</v>
      </c>
      <c r="B4799" t="s">
        <v>2</v>
      </c>
      <c r="C4799">
        <v>48</v>
      </c>
      <c r="D4799">
        <v>0</v>
      </c>
      <c r="E4799">
        <v>0</v>
      </c>
      <c r="F4799" t="str">
        <f t="shared" si="224"/>
        <v>Lower Risk</v>
      </c>
      <c r="G4799" t="s">
        <v>3</v>
      </c>
      <c r="H4799" t="s">
        <v>15</v>
      </c>
      <c r="I4799" t="s">
        <v>9</v>
      </c>
      <c r="J4799">
        <v>76.58</v>
      </c>
      <c r="K4799">
        <v>27.4</v>
      </c>
      <c r="L4799" t="s">
        <v>11</v>
      </c>
      <c r="M4799">
        <v>0</v>
      </c>
      <c r="N4799" t="str">
        <f t="shared" si="222"/>
        <v>40–59</v>
      </c>
      <c r="O4799" t="str">
        <f t="shared" si="223"/>
        <v>Overweight</v>
      </c>
    </row>
    <row r="4800" spans="1:15" x14ac:dyDescent="0.3">
      <c r="A4800">
        <v>68306</v>
      </c>
      <c r="B4800" t="s">
        <v>2</v>
      </c>
      <c r="C4800">
        <v>17</v>
      </c>
      <c r="D4800">
        <v>0</v>
      </c>
      <c r="E4800">
        <v>0</v>
      </c>
      <c r="F4800" t="str">
        <f t="shared" si="224"/>
        <v>Lower Risk</v>
      </c>
      <c r="G4800" t="s">
        <v>13</v>
      </c>
      <c r="H4800" t="s">
        <v>4</v>
      </c>
      <c r="I4800" t="s">
        <v>9</v>
      </c>
      <c r="J4800">
        <v>119.58</v>
      </c>
      <c r="K4800">
        <v>25</v>
      </c>
      <c r="L4800" t="s">
        <v>11</v>
      </c>
      <c r="M4800">
        <v>0</v>
      </c>
      <c r="N4800" t="str">
        <f t="shared" si="222"/>
        <v>Under 40</v>
      </c>
      <c r="O4800" t="str">
        <f t="shared" si="223"/>
        <v>Overweight</v>
      </c>
    </row>
    <row r="4801" spans="1:15" x14ac:dyDescent="0.3">
      <c r="A4801">
        <v>33087</v>
      </c>
      <c r="B4801" t="s">
        <v>7</v>
      </c>
      <c r="C4801">
        <v>10</v>
      </c>
      <c r="D4801">
        <v>0</v>
      </c>
      <c r="E4801">
        <v>0</v>
      </c>
      <c r="F4801" t="str">
        <f t="shared" si="224"/>
        <v>Lower Risk</v>
      </c>
      <c r="G4801" t="s">
        <v>13</v>
      </c>
      <c r="H4801" t="s">
        <v>16</v>
      </c>
      <c r="I4801" t="s">
        <v>5</v>
      </c>
      <c r="J4801">
        <v>109.3</v>
      </c>
      <c r="K4801">
        <v>20.100000000000001</v>
      </c>
      <c r="L4801" t="s">
        <v>14</v>
      </c>
      <c r="M4801">
        <v>0</v>
      </c>
      <c r="N4801" t="str">
        <f t="shared" si="222"/>
        <v>Under 40</v>
      </c>
      <c r="O4801" t="str">
        <f t="shared" si="223"/>
        <v>Normal</v>
      </c>
    </row>
    <row r="4802" spans="1:15" x14ac:dyDescent="0.3">
      <c r="A4802">
        <v>40850</v>
      </c>
      <c r="B4802" t="s">
        <v>7</v>
      </c>
      <c r="C4802">
        <v>74</v>
      </c>
      <c r="D4802">
        <v>0</v>
      </c>
      <c r="E4802">
        <v>0</v>
      </c>
      <c r="F4802" t="str">
        <f t="shared" si="224"/>
        <v>Moderate Risk</v>
      </c>
      <c r="G4802" t="s">
        <v>3</v>
      </c>
      <c r="H4802" t="s">
        <v>15</v>
      </c>
      <c r="I4802" t="s">
        <v>5</v>
      </c>
      <c r="J4802">
        <v>111.94</v>
      </c>
      <c r="K4802">
        <v>21.7</v>
      </c>
      <c r="L4802" t="s">
        <v>11</v>
      </c>
      <c r="M4802">
        <v>0</v>
      </c>
      <c r="N4802" t="str">
        <f t="shared" ref="N4802:N4865" si="225">IF(C4802&lt;40,"Under 40",IF(C4802&lt;60,"40–59","60+"))</f>
        <v>60+</v>
      </c>
      <c r="O4802" t="str">
        <f t="shared" ref="O4802:O4865" si="226">IF(K4802="N/A","Unknown",
IF(K4802="","Unknown",
IF(K4802&lt;18.5,"Underweight",
IF(K4802&lt;25,"Normal",
IF(K4802&lt;30,"Overweight","Obese")))))</f>
        <v>Normal</v>
      </c>
    </row>
    <row r="4803" spans="1:15" x14ac:dyDescent="0.3">
      <c r="A4803">
        <v>57612</v>
      </c>
      <c r="B4803" t="s">
        <v>2</v>
      </c>
      <c r="C4803">
        <v>62</v>
      </c>
      <c r="D4803">
        <v>0</v>
      </c>
      <c r="E4803">
        <v>0</v>
      </c>
      <c r="F4803" t="str">
        <f t="shared" ref="F4803:F4866" si="227">IF(C4803&gt;=60,
IF(OR(D4803=1,E4803=1),"High Risk","Moderate Risk"),
"Lower Risk")</f>
        <v>Moderate Risk</v>
      </c>
      <c r="G4803" t="s">
        <v>3</v>
      </c>
      <c r="H4803" t="s">
        <v>4</v>
      </c>
      <c r="I4803" t="s">
        <v>5</v>
      </c>
      <c r="J4803">
        <v>81.64</v>
      </c>
      <c r="K4803">
        <v>38.200000000000003</v>
      </c>
      <c r="L4803" t="s">
        <v>11</v>
      </c>
      <c r="M4803">
        <v>0</v>
      </c>
      <c r="N4803" t="str">
        <f t="shared" si="225"/>
        <v>60+</v>
      </c>
      <c r="O4803" t="str">
        <f t="shared" si="226"/>
        <v>Obese</v>
      </c>
    </row>
    <row r="4804" spans="1:15" x14ac:dyDescent="0.3">
      <c r="A4804">
        <v>37029</v>
      </c>
      <c r="B4804" t="s">
        <v>2</v>
      </c>
      <c r="C4804">
        <v>5</v>
      </c>
      <c r="D4804">
        <v>0</v>
      </c>
      <c r="E4804">
        <v>0</v>
      </c>
      <c r="F4804" t="str">
        <f t="shared" si="227"/>
        <v>Lower Risk</v>
      </c>
      <c r="G4804" t="s">
        <v>13</v>
      </c>
      <c r="H4804" t="s">
        <v>16</v>
      </c>
      <c r="I4804" t="s">
        <v>9</v>
      </c>
      <c r="J4804">
        <v>97.64</v>
      </c>
      <c r="K4804">
        <v>17</v>
      </c>
      <c r="L4804" t="s">
        <v>14</v>
      </c>
      <c r="M4804">
        <v>0</v>
      </c>
      <c r="N4804" t="str">
        <f t="shared" si="225"/>
        <v>Under 40</v>
      </c>
      <c r="O4804" t="str">
        <f t="shared" si="226"/>
        <v>Underweight</v>
      </c>
    </row>
    <row r="4805" spans="1:15" x14ac:dyDescent="0.3">
      <c r="A4805">
        <v>338</v>
      </c>
      <c r="B4805" t="s">
        <v>7</v>
      </c>
      <c r="C4805">
        <v>43</v>
      </c>
      <c r="D4805">
        <v>0</v>
      </c>
      <c r="E4805">
        <v>0</v>
      </c>
      <c r="F4805" t="str">
        <f t="shared" si="227"/>
        <v>Lower Risk</v>
      </c>
      <c r="G4805" t="s">
        <v>3</v>
      </c>
      <c r="H4805" t="s">
        <v>4</v>
      </c>
      <c r="I4805" t="s">
        <v>9</v>
      </c>
      <c r="J4805">
        <v>110.32</v>
      </c>
      <c r="K4805">
        <v>28.4</v>
      </c>
      <c r="L4805" t="s">
        <v>11</v>
      </c>
      <c r="M4805">
        <v>0</v>
      </c>
      <c r="N4805" t="str">
        <f t="shared" si="225"/>
        <v>40–59</v>
      </c>
      <c r="O4805" t="str">
        <f t="shared" si="226"/>
        <v>Overweight</v>
      </c>
    </row>
    <row r="4806" spans="1:15" x14ac:dyDescent="0.3">
      <c r="A4806">
        <v>9565</v>
      </c>
      <c r="B4806" t="s">
        <v>7</v>
      </c>
      <c r="C4806">
        <v>39</v>
      </c>
      <c r="D4806">
        <v>0</v>
      </c>
      <c r="E4806">
        <v>0</v>
      </c>
      <c r="F4806" t="str">
        <f t="shared" si="227"/>
        <v>Lower Risk</v>
      </c>
      <c r="G4806" t="s">
        <v>13</v>
      </c>
      <c r="H4806" t="s">
        <v>4</v>
      </c>
      <c r="I4806" t="s">
        <v>9</v>
      </c>
      <c r="J4806">
        <v>79</v>
      </c>
      <c r="K4806">
        <v>30</v>
      </c>
      <c r="L4806" t="s">
        <v>11</v>
      </c>
      <c r="M4806">
        <v>0</v>
      </c>
      <c r="N4806" t="str">
        <f t="shared" si="225"/>
        <v>Under 40</v>
      </c>
      <c r="O4806" t="str">
        <f t="shared" si="226"/>
        <v>Obese</v>
      </c>
    </row>
    <row r="4807" spans="1:15" x14ac:dyDescent="0.3">
      <c r="A4807">
        <v>3623</v>
      </c>
      <c r="B4807" t="s">
        <v>7</v>
      </c>
      <c r="C4807">
        <v>37</v>
      </c>
      <c r="D4807">
        <v>0</v>
      </c>
      <c r="E4807">
        <v>0</v>
      </c>
      <c r="F4807" t="str">
        <f t="shared" si="227"/>
        <v>Lower Risk</v>
      </c>
      <c r="G4807" t="s">
        <v>3</v>
      </c>
      <c r="H4807" t="s">
        <v>8</v>
      </c>
      <c r="I4807" t="s">
        <v>5</v>
      </c>
      <c r="J4807">
        <v>95.08</v>
      </c>
      <c r="K4807">
        <v>34.1</v>
      </c>
      <c r="L4807" t="s">
        <v>11</v>
      </c>
      <c r="M4807">
        <v>0</v>
      </c>
      <c r="N4807" t="str">
        <f t="shared" si="225"/>
        <v>Under 40</v>
      </c>
      <c r="O4807" t="str">
        <f t="shared" si="226"/>
        <v>Obese</v>
      </c>
    </row>
    <row r="4808" spans="1:15" x14ac:dyDescent="0.3">
      <c r="A4808">
        <v>69723</v>
      </c>
      <c r="B4808" t="s">
        <v>2</v>
      </c>
      <c r="C4808">
        <v>15</v>
      </c>
      <c r="D4808">
        <v>0</v>
      </c>
      <c r="E4808">
        <v>0</v>
      </c>
      <c r="F4808" t="str">
        <f t="shared" si="227"/>
        <v>Lower Risk</v>
      </c>
      <c r="G4808" t="s">
        <v>13</v>
      </c>
      <c r="H4808" t="s">
        <v>4</v>
      </c>
      <c r="I4808" t="s">
        <v>5</v>
      </c>
      <c r="J4808">
        <v>137.27000000000001</v>
      </c>
      <c r="K4808">
        <v>19.3</v>
      </c>
      <c r="L4808" t="s">
        <v>11</v>
      </c>
      <c r="M4808">
        <v>0</v>
      </c>
      <c r="N4808" t="str">
        <f t="shared" si="225"/>
        <v>Under 40</v>
      </c>
      <c r="O4808" t="str">
        <f t="shared" si="226"/>
        <v>Normal</v>
      </c>
    </row>
    <row r="4809" spans="1:15" x14ac:dyDescent="0.3">
      <c r="A4809">
        <v>47662</v>
      </c>
      <c r="B4809" t="s">
        <v>7</v>
      </c>
      <c r="C4809">
        <v>36</v>
      </c>
      <c r="D4809">
        <v>0</v>
      </c>
      <c r="E4809">
        <v>0</v>
      </c>
      <c r="F4809" t="str">
        <f t="shared" si="227"/>
        <v>Lower Risk</v>
      </c>
      <c r="G4809" t="s">
        <v>13</v>
      </c>
      <c r="H4809" t="s">
        <v>8</v>
      </c>
      <c r="I4809" t="s">
        <v>5</v>
      </c>
      <c r="J4809">
        <v>57.83</v>
      </c>
      <c r="K4809">
        <v>21.6</v>
      </c>
      <c r="L4809" t="s">
        <v>12</v>
      </c>
      <c r="M4809">
        <v>0</v>
      </c>
      <c r="N4809" t="str">
        <f t="shared" si="225"/>
        <v>Under 40</v>
      </c>
      <c r="O4809" t="str">
        <f t="shared" si="226"/>
        <v>Normal</v>
      </c>
    </row>
    <row r="4810" spans="1:15" x14ac:dyDescent="0.3">
      <c r="A4810">
        <v>58495</v>
      </c>
      <c r="B4810" t="s">
        <v>2</v>
      </c>
      <c r="C4810">
        <v>34</v>
      </c>
      <c r="D4810">
        <v>0</v>
      </c>
      <c r="E4810">
        <v>0</v>
      </c>
      <c r="F4810" t="str">
        <f t="shared" si="227"/>
        <v>Lower Risk</v>
      </c>
      <c r="G4810" t="s">
        <v>3</v>
      </c>
      <c r="H4810" t="s">
        <v>4</v>
      </c>
      <c r="I4810" t="s">
        <v>9</v>
      </c>
      <c r="J4810">
        <v>84.08</v>
      </c>
      <c r="K4810">
        <v>32.9</v>
      </c>
      <c r="L4810" t="s">
        <v>11</v>
      </c>
      <c r="M4810">
        <v>0</v>
      </c>
      <c r="N4810" t="str">
        <f t="shared" si="225"/>
        <v>Under 40</v>
      </c>
      <c r="O4810" t="str">
        <f t="shared" si="226"/>
        <v>Obese</v>
      </c>
    </row>
    <row r="4811" spans="1:15" x14ac:dyDescent="0.3">
      <c r="A4811">
        <v>71222</v>
      </c>
      <c r="B4811" t="s">
        <v>2</v>
      </c>
      <c r="C4811">
        <v>75</v>
      </c>
      <c r="D4811">
        <v>1</v>
      </c>
      <c r="E4811">
        <v>0</v>
      </c>
      <c r="F4811" t="str">
        <f t="shared" si="227"/>
        <v>High Risk</v>
      </c>
      <c r="G4811" t="s">
        <v>3</v>
      </c>
      <c r="H4811" t="s">
        <v>4</v>
      </c>
      <c r="I4811" t="s">
        <v>5</v>
      </c>
      <c r="J4811">
        <v>234.51</v>
      </c>
      <c r="K4811">
        <v>27.2</v>
      </c>
      <c r="L4811" t="s">
        <v>6</v>
      </c>
      <c r="M4811">
        <v>0</v>
      </c>
      <c r="N4811" t="str">
        <f t="shared" si="225"/>
        <v>60+</v>
      </c>
      <c r="O4811" t="str">
        <f t="shared" si="226"/>
        <v>Overweight</v>
      </c>
    </row>
    <row r="4812" spans="1:15" x14ac:dyDescent="0.3">
      <c r="A4812">
        <v>37865</v>
      </c>
      <c r="B4812" t="s">
        <v>2</v>
      </c>
      <c r="C4812">
        <v>53</v>
      </c>
      <c r="D4812">
        <v>0</v>
      </c>
      <c r="E4812">
        <v>0</v>
      </c>
      <c r="F4812" t="str">
        <f t="shared" si="227"/>
        <v>Lower Risk</v>
      </c>
      <c r="G4812" t="s">
        <v>3</v>
      </c>
      <c r="H4812" t="s">
        <v>4</v>
      </c>
      <c r="I4812" t="s">
        <v>5</v>
      </c>
      <c r="J4812">
        <v>142.63999999999999</v>
      </c>
      <c r="K4812">
        <v>27.8</v>
      </c>
      <c r="L4812" t="s">
        <v>12</v>
      </c>
      <c r="M4812">
        <v>0</v>
      </c>
      <c r="N4812" t="str">
        <f t="shared" si="225"/>
        <v>40–59</v>
      </c>
      <c r="O4812" t="str">
        <f t="shared" si="226"/>
        <v>Overweight</v>
      </c>
    </row>
    <row r="4813" spans="1:15" x14ac:dyDescent="0.3">
      <c r="A4813">
        <v>20185</v>
      </c>
      <c r="B4813" t="s">
        <v>7</v>
      </c>
      <c r="C4813">
        <v>61</v>
      </c>
      <c r="D4813">
        <v>0</v>
      </c>
      <c r="E4813">
        <v>0</v>
      </c>
      <c r="F4813" t="str">
        <f t="shared" si="227"/>
        <v>Moderate Risk</v>
      </c>
      <c r="G4813" t="s">
        <v>3</v>
      </c>
      <c r="H4813" t="s">
        <v>8</v>
      </c>
      <c r="I4813" t="s">
        <v>9</v>
      </c>
      <c r="J4813">
        <v>69.77</v>
      </c>
      <c r="K4813">
        <v>29.9</v>
      </c>
      <c r="L4813" t="s">
        <v>11</v>
      </c>
      <c r="M4813">
        <v>0</v>
      </c>
      <c r="N4813" t="str">
        <f t="shared" si="225"/>
        <v>60+</v>
      </c>
      <c r="O4813" t="str">
        <f t="shared" si="226"/>
        <v>Overweight</v>
      </c>
    </row>
    <row r="4814" spans="1:15" x14ac:dyDescent="0.3">
      <c r="A4814">
        <v>41875</v>
      </c>
      <c r="B4814" t="s">
        <v>7</v>
      </c>
      <c r="C4814">
        <v>45</v>
      </c>
      <c r="D4814">
        <v>0</v>
      </c>
      <c r="E4814">
        <v>0</v>
      </c>
      <c r="F4814" t="str">
        <f t="shared" si="227"/>
        <v>Lower Risk</v>
      </c>
      <c r="G4814" t="s">
        <v>3</v>
      </c>
      <c r="H4814" t="s">
        <v>4</v>
      </c>
      <c r="I4814" t="s">
        <v>5</v>
      </c>
      <c r="J4814">
        <v>71.400000000000006</v>
      </c>
      <c r="K4814">
        <v>28.4</v>
      </c>
      <c r="L4814" t="s">
        <v>12</v>
      </c>
      <c r="M4814">
        <v>0</v>
      </c>
      <c r="N4814" t="str">
        <f t="shared" si="225"/>
        <v>40–59</v>
      </c>
      <c r="O4814" t="str">
        <f t="shared" si="226"/>
        <v>Overweight</v>
      </c>
    </row>
    <row r="4815" spans="1:15" x14ac:dyDescent="0.3">
      <c r="A4815">
        <v>67602</v>
      </c>
      <c r="B4815" t="s">
        <v>7</v>
      </c>
      <c r="C4815">
        <v>17</v>
      </c>
      <c r="D4815">
        <v>0</v>
      </c>
      <c r="E4815">
        <v>0</v>
      </c>
      <c r="F4815" t="str">
        <f t="shared" si="227"/>
        <v>Lower Risk</v>
      </c>
      <c r="G4815" t="s">
        <v>13</v>
      </c>
      <c r="H4815" t="s">
        <v>4</v>
      </c>
      <c r="I4815" t="s">
        <v>5</v>
      </c>
      <c r="J4815">
        <v>79.61</v>
      </c>
      <c r="K4815">
        <v>24.1</v>
      </c>
      <c r="L4815" t="s">
        <v>14</v>
      </c>
      <c r="M4815">
        <v>0</v>
      </c>
      <c r="N4815" t="str">
        <f t="shared" si="225"/>
        <v>Under 40</v>
      </c>
      <c r="O4815" t="str">
        <f t="shared" si="226"/>
        <v>Normal</v>
      </c>
    </row>
    <row r="4816" spans="1:15" x14ac:dyDescent="0.3">
      <c r="A4816">
        <v>40387</v>
      </c>
      <c r="B4816" t="s">
        <v>7</v>
      </c>
      <c r="C4816">
        <v>17</v>
      </c>
      <c r="D4816">
        <v>0</v>
      </c>
      <c r="E4816">
        <v>0</v>
      </c>
      <c r="F4816" t="str">
        <f t="shared" si="227"/>
        <v>Lower Risk</v>
      </c>
      <c r="G4816" t="s">
        <v>13</v>
      </c>
      <c r="H4816" t="s">
        <v>4</v>
      </c>
      <c r="I4816" t="s">
        <v>9</v>
      </c>
      <c r="J4816">
        <v>77.459999999999994</v>
      </c>
      <c r="K4816">
        <v>24</v>
      </c>
      <c r="L4816" t="s">
        <v>14</v>
      </c>
      <c r="M4816">
        <v>0</v>
      </c>
      <c r="N4816" t="str">
        <f t="shared" si="225"/>
        <v>Under 40</v>
      </c>
      <c r="O4816" t="str">
        <f t="shared" si="226"/>
        <v>Normal</v>
      </c>
    </row>
    <row r="4817" spans="1:15" x14ac:dyDescent="0.3">
      <c r="A4817">
        <v>43208</v>
      </c>
      <c r="B4817" t="s">
        <v>7</v>
      </c>
      <c r="C4817">
        <v>19</v>
      </c>
      <c r="D4817">
        <v>0</v>
      </c>
      <c r="E4817">
        <v>0</v>
      </c>
      <c r="F4817" t="str">
        <f t="shared" si="227"/>
        <v>Lower Risk</v>
      </c>
      <c r="G4817" t="s">
        <v>13</v>
      </c>
      <c r="H4817" t="s">
        <v>4</v>
      </c>
      <c r="I4817" t="s">
        <v>5</v>
      </c>
      <c r="J4817">
        <v>96.85</v>
      </c>
      <c r="K4817">
        <v>23.4</v>
      </c>
      <c r="L4817" t="s">
        <v>14</v>
      </c>
      <c r="M4817">
        <v>0</v>
      </c>
      <c r="N4817" t="str">
        <f t="shared" si="225"/>
        <v>Under 40</v>
      </c>
      <c r="O4817" t="str">
        <f t="shared" si="226"/>
        <v>Normal</v>
      </c>
    </row>
    <row r="4818" spans="1:15" x14ac:dyDescent="0.3">
      <c r="A4818">
        <v>54324</v>
      </c>
      <c r="B4818" t="s">
        <v>7</v>
      </c>
      <c r="C4818">
        <v>54</v>
      </c>
      <c r="D4818">
        <v>1</v>
      </c>
      <c r="E4818">
        <v>0</v>
      </c>
      <c r="F4818" t="str">
        <f t="shared" si="227"/>
        <v>Lower Risk</v>
      </c>
      <c r="G4818" t="s">
        <v>13</v>
      </c>
      <c r="H4818" t="s">
        <v>15</v>
      </c>
      <c r="I4818" t="s">
        <v>5</v>
      </c>
      <c r="J4818">
        <v>182.22</v>
      </c>
      <c r="K4818">
        <v>32.6</v>
      </c>
      <c r="L4818" t="s">
        <v>6</v>
      </c>
      <c r="M4818">
        <v>0</v>
      </c>
      <c r="N4818" t="str">
        <f t="shared" si="225"/>
        <v>40–59</v>
      </c>
      <c r="O4818" t="str">
        <f t="shared" si="226"/>
        <v>Obese</v>
      </c>
    </row>
    <row r="4819" spans="1:15" x14ac:dyDescent="0.3">
      <c r="A4819">
        <v>51110</v>
      </c>
      <c r="B4819" t="s">
        <v>7</v>
      </c>
      <c r="C4819">
        <v>51</v>
      </c>
      <c r="D4819">
        <v>0</v>
      </c>
      <c r="E4819">
        <v>0</v>
      </c>
      <c r="F4819" t="str">
        <f t="shared" si="227"/>
        <v>Lower Risk</v>
      </c>
      <c r="G4819" t="s">
        <v>3</v>
      </c>
      <c r="H4819" t="s">
        <v>8</v>
      </c>
      <c r="I4819" t="s">
        <v>5</v>
      </c>
      <c r="J4819">
        <v>67.260000000000005</v>
      </c>
      <c r="K4819">
        <v>33.1</v>
      </c>
      <c r="L4819" t="s">
        <v>6</v>
      </c>
      <c r="M4819">
        <v>0</v>
      </c>
      <c r="N4819" t="str">
        <f t="shared" si="225"/>
        <v>40–59</v>
      </c>
      <c r="O4819" t="str">
        <f t="shared" si="226"/>
        <v>Obese</v>
      </c>
    </row>
    <row r="4820" spans="1:15" x14ac:dyDescent="0.3">
      <c r="A4820">
        <v>36969</v>
      </c>
      <c r="B4820" t="s">
        <v>7</v>
      </c>
      <c r="C4820">
        <v>44</v>
      </c>
      <c r="D4820">
        <v>0</v>
      </c>
      <c r="E4820">
        <v>0</v>
      </c>
      <c r="F4820" t="str">
        <f t="shared" si="227"/>
        <v>Lower Risk</v>
      </c>
      <c r="G4820" t="s">
        <v>3</v>
      </c>
      <c r="H4820" t="s">
        <v>4</v>
      </c>
      <c r="I4820" t="s">
        <v>9</v>
      </c>
      <c r="J4820">
        <v>60.02</v>
      </c>
      <c r="K4820">
        <v>33.799999999999997</v>
      </c>
      <c r="L4820" t="s">
        <v>6</v>
      </c>
      <c r="M4820">
        <v>0</v>
      </c>
      <c r="N4820" t="str">
        <f t="shared" si="225"/>
        <v>40–59</v>
      </c>
      <c r="O4820" t="str">
        <f t="shared" si="226"/>
        <v>Obese</v>
      </c>
    </row>
    <row r="4821" spans="1:15" x14ac:dyDescent="0.3">
      <c r="A4821">
        <v>48118</v>
      </c>
      <c r="B4821" t="s">
        <v>7</v>
      </c>
      <c r="C4821">
        <v>82</v>
      </c>
      <c r="D4821">
        <v>0</v>
      </c>
      <c r="E4821">
        <v>0</v>
      </c>
      <c r="F4821" t="str">
        <f t="shared" si="227"/>
        <v>Moderate Risk</v>
      </c>
      <c r="G4821" t="s">
        <v>3</v>
      </c>
      <c r="H4821" t="s">
        <v>8</v>
      </c>
      <c r="I4821" t="s">
        <v>5</v>
      </c>
      <c r="J4821">
        <v>113.45</v>
      </c>
      <c r="K4821">
        <v>30.3</v>
      </c>
      <c r="L4821" t="s">
        <v>11</v>
      </c>
      <c r="M4821">
        <v>0</v>
      </c>
      <c r="N4821" t="str">
        <f t="shared" si="225"/>
        <v>60+</v>
      </c>
      <c r="O4821" t="str">
        <f t="shared" si="226"/>
        <v>Obese</v>
      </c>
    </row>
    <row r="4822" spans="1:15" x14ac:dyDescent="0.3">
      <c r="A4822">
        <v>4607</v>
      </c>
      <c r="B4822" t="s">
        <v>7</v>
      </c>
      <c r="C4822">
        <v>49</v>
      </c>
      <c r="D4822">
        <v>0</v>
      </c>
      <c r="E4822">
        <v>0</v>
      </c>
      <c r="F4822" t="str">
        <f t="shared" si="227"/>
        <v>Lower Risk</v>
      </c>
      <c r="G4822" t="s">
        <v>3</v>
      </c>
      <c r="H4822" t="s">
        <v>8</v>
      </c>
      <c r="I4822" t="s">
        <v>5</v>
      </c>
      <c r="J4822">
        <v>112.31</v>
      </c>
      <c r="K4822">
        <v>36.9</v>
      </c>
      <c r="L4822" t="s">
        <v>14</v>
      </c>
      <c r="M4822">
        <v>0</v>
      </c>
      <c r="N4822" t="str">
        <f t="shared" si="225"/>
        <v>40–59</v>
      </c>
      <c r="O4822" t="str">
        <f t="shared" si="226"/>
        <v>Obese</v>
      </c>
    </row>
    <row r="4823" spans="1:15" x14ac:dyDescent="0.3">
      <c r="A4823">
        <v>62471</v>
      </c>
      <c r="B4823" t="s">
        <v>7</v>
      </c>
      <c r="C4823">
        <v>34</v>
      </c>
      <c r="D4823">
        <v>0</v>
      </c>
      <c r="E4823">
        <v>0</v>
      </c>
      <c r="F4823" t="str">
        <f t="shared" si="227"/>
        <v>Lower Risk</v>
      </c>
      <c r="G4823" t="s">
        <v>3</v>
      </c>
      <c r="H4823" t="s">
        <v>8</v>
      </c>
      <c r="I4823" t="s">
        <v>9</v>
      </c>
      <c r="J4823">
        <v>68.53</v>
      </c>
      <c r="K4823">
        <v>29.7</v>
      </c>
      <c r="L4823" t="s">
        <v>11</v>
      </c>
      <c r="M4823">
        <v>0</v>
      </c>
      <c r="N4823" t="str">
        <f t="shared" si="225"/>
        <v>Under 40</v>
      </c>
      <c r="O4823" t="str">
        <f t="shared" si="226"/>
        <v>Overweight</v>
      </c>
    </row>
    <row r="4824" spans="1:15" x14ac:dyDescent="0.3">
      <c r="A4824">
        <v>43821</v>
      </c>
      <c r="B4824" t="s">
        <v>7</v>
      </c>
      <c r="C4824">
        <v>63</v>
      </c>
      <c r="D4824">
        <v>1</v>
      </c>
      <c r="E4824">
        <v>0</v>
      </c>
      <c r="F4824" t="str">
        <f t="shared" si="227"/>
        <v>High Risk</v>
      </c>
      <c r="G4824" t="s">
        <v>3</v>
      </c>
      <c r="H4824" t="s">
        <v>4</v>
      </c>
      <c r="I4824" t="s">
        <v>9</v>
      </c>
      <c r="J4824">
        <v>57.15</v>
      </c>
      <c r="K4824">
        <v>38.799999999999997</v>
      </c>
      <c r="L4824" t="s">
        <v>11</v>
      </c>
      <c r="M4824">
        <v>0</v>
      </c>
      <c r="N4824" t="str">
        <f t="shared" si="225"/>
        <v>60+</v>
      </c>
      <c r="O4824" t="str">
        <f t="shared" si="226"/>
        <v>Obese</v>
      </c>
    </row>
    <row r="4825" spans="1:15" x14ac:dyDescent="0.3">
      <c r="A4825">
        <v>7218</v>
      </c>
      <c r="B4825" t="s">
        <v>7</v>
      </c>
      <c r="C4825">
        <v>79</v>
      </c>
      <c r="D4825">
        <v>0</v>
      </c>
      <c r="E4825">
        <v>0</v>
      </c>
      <c r="F4825" t="str">
        <f t="shared" si="227"/>
        <v>Moderate Risk</v>
      </c>
      <c r="G4825" t="s">
        <v>3</v>
      </c>
      <c r="H4825" t="s">
        <v>4</v>
      </c>
      <c r="I4825" t="s">
        <v>9</v>
      </c>
      <c r="J4825">
        <v>214.73</v>
      </c>
      <c r="K4825">
        <v>30.9</v>
      </c>
      <c r="L4825" t="s">
        <v>11</v>
      </c>
      <c r="M4825">
        <v>0</v>
      </c>
      <c r="N4825" t="str">
        <f t="shared" si="225"/>
        <v>60+</v>
      </c>
      <c r="O4825" t="str">
        <f t="shared" si="226"/>
        <v>Obese</v>
      </c>
    </row>
    <row r="4826" spans="1:15" x14ac:dyDescent="0.3">
      <c r="A4826">
        <v>23427</v>
      </c>
      <c r="B4826" t="s">
        <v>7</v>
      </c>
      <c r="C4826">
        <v>81</v>
      </c>
      <c r="D4826">
        <v>0</v>
      </c>
      <c r="E4826">
        <v>0</v>
      </c>
      <c r="F4826" t="str">
        <f t="shared" si="227"/>
        <v>Moderate Risk</v>
      </c>
      <c r="G4826" t="s">
        <v>3</v>
      </c>
      <c r="H4826" t="s">
        <v>4</v>
      </c>
      <c r="I4826" t="s">
        <v>9</v>
      </c>
      <c r="J4826">
        <v>91.82</v>
      </c>
      <c r="K4826">
        <v>36.9</v>
      </c>
      <c r="L4826" t="s">
        <v>14</v>
      </c>
      <c r="M4826">
        <v>0</v>
      </c>
      <c r="N4826" t="str">
        <f t="shared" si="225"/>
        <v>60+</v>
      </c>
      <c r="O4826" t="str">
        <f t="shared" si="226"/>
        <v>Obese</v>
      </c>
    </row>
    <row r="4827" spans="1:15" x14ac:dyDescent="0.3">
      <c r="A4827">
        <v>66014</v>
      </c>
      <c r="B4827" t="s">
        <v>7</v>
      </c>
      <c r="C4827">
        <v>14</v>
      </c>
      <c r="D4827">
        <v>0</v>
      </c>
      <c r="E4827">
        <v>0</v>
      </c>
      <c r="F4827" t="str">
        <f t="shared" si="227"/>
        <v>Lower Risk</v>
      </c>
      <c r="G4827" t="s">
        <v>13</v>
      </c>
      <c r="H4827" t="s">
        <v>16</v>
      </c>
      <c r="I4827" t="s">
        <v>5</v>
      </c>
      <c r="J4827">
        <v>71.8</v>
      </c>
      <c r="K4827">
        <v>18.8</v>
      </c>
      <c r="L4827" t="s">
        <v>14</v>
      </c>
      <c r="M4827">
        <v>0</v>
      </c>
      <c r="N4827" t="str">
        <f t="shared" si="225"/>
        <v>Under 40</v>
      </c>
      <c r="O4827" t="str">
        <f t="shared" si="226"/>
        <v>Normal</v>
      </c>
    </row>
    <row r="4828" spans="1:15" x14ac:dyDescent="0.3">
      <c r="A4828">
        <v>41652</v>
      </c>
      <c r="B4828" t="s">
        <v>7</v>
      </c>
      <c r="C4828">
        <v>31</v>
      </c>
      <c r="D4828">
        <v>0</v>
      </c>
      <c r="E4828">
        <v>0</v>
      </c>
      <c r="F4828" t="str">
        <f t="shared" si="227"/>
        <v>Lower Risk</v>
      </c>
      <c r="G4828" t="s">
        <v>13</v>
      </c>
      <c r="H4828" t="s">
        <v>4</v>
      </c>
      <c r="I4828" t="s">
        <v>5</v>
      </c>
      <c r="J4828">
        <v>63.41</v>
      </c>
      <c r="K4828">
        <v>25.5</v>
      </c>
      <c r="L4828" t="s">
        <v>6</v>
      </c>
      <c r="M4828">
        <v>0</v>
      </c>
      <c r="N4828" t="str">
        <f t="shared" si="225"/>
        <v>Under 40</v>
      </c>
      <c r="O4828" t="str">
        <f t="shared" si="226"/>
        <v>Overweight</v>
      </c>
    </row>
    <row r="4829" spans="1:15" x14ac:dyDescent="0.3">
      <c r="A4829">
        <v>16605</v>
      </c>
      <c r="B4829" t="s">
        <v>2</v>
      </c>
      <c r="C4829">
        <v>57</v>
      </c>
      <c r="D4829">
        <v>0</v>
      </c>
      <c r="E4829">
        <v>0</v>
      </c>
      <c r="F4829" t="str">
        <f t="shared" si="227"/>
        <v>Lower Risk</v>
      </c>
      <c r="G4829" t="s">
        <v>3</v>
      </c>
      <c r="H4829" t="s">
        <v>4</v>
      </c>
      <c r="I4829" t="s">
        <v>5</v>
      </c>
      <c r="J4829">
        <v>106.24</v>
      </c>
      <c r="K4829">
        <v>32.299999999999997</v>
      </c>
      <c r="L4829" t="s">
        <v>11</v>
      </c>
      <c r="M4829">
        <v>0</v>
      </c>
      <c r="N4829" t="str">
        <f t="shared" si="225"/>
        <v>40–59</v>
      </c>
      <c r="O4829" t="str">
        <f t="shared" si="226"/>
        <v>Obese</v>
      </c>
    </row>
    <row r="4830" spans="1:15" x14ac:dyDescent="0.3">
      <c r="A4830">
        <v>42091</v>
      </c>
      <c r="B4830" t="s">
        <v>2</v>
      </c>
      <c r="C4830">
        <v>32</v>
      </c>
      <c r="D4830">
        <v>0</v>
      </c>
      <c r="E4830">
        <v>0</v>
      </c>
      <c r="F4830" t="str">
        <f t="shared" si="227"/>
        <v>Lower Risk</v>
      </c>
      <c r="G4830" t="s">
        <v>3</v>
      </c>
      <c r="H4830" t="s">
        <v>15</v>
      </c>
      <c r="I4830" t="s">
        <v>9</v>
      </c>
      <c r="J4830">
        <v>83.01</v>
      </c>
      <c r="K4830">
        <v>25.8</v>
      </c>
      <c r="L4830" t="s">
        <v>12</v>
      </c>
      <c r="M4830">
        <v>0</v>
      </c>
      <c r="N4830" t="str">
        <f t="shared" si="225"/>
        <v>Under 40</v>
      </c>
      <c r="O4830" t="str">
        <f t="shared" si="226"/>
        <v>Overweight</v>
      </c>
    </row>
    <row r="4831" spans="1:15" x14ac:dyDescent="0.3">
      <c r="A4831">
        <v>66067</v>
      </c>
      <c r="B4831" t="s">
        <v>2</v>
      </c>
      <c r="C4831">
        <v>66</v>
      </c>
      <c r="D4831">
        <v>0</v>
      </c>
      <c r="E4831">
        <v>0</v>
      </c>
      <c r="F4831" t="str">
        <f t="shared" si="227"/>
        <v>Moderate Risk</v>
      </c>
      <c r="G4831" t="s">
        <v>3</v>
      </c>
      <c r="H4831" t="s">
        <v>4</v>
      </c>
      <c r="I4831" t="s">
        <v>9</v>
      </c>
      <c r="J4831">
        <v>67.92</v>
      </c>
      <c r="K4831">
        <v>31.1</v>
      </c>
      <c r="L4831" t="s">
        <v>6</v>
      </c>
      <c r="M4831">
        <v>0</v>
      </c>
      <c r="N4831" t="str">
        <f t="shared" si="225"/>
        <v>60+</v>
      </c>
      <c r="O4831" t="str">
        <f t="shared" si="226"/>
        <v>Obese</v>
      </c>
    </row>
    <row r="4832" spans="1:15" x14ac:dyDescent="0.3">
      <c r="A4832">
        <v>50222</v>
      </c>
      <c r="B4832" t="s">
        <v>7</v>
      </c>
      <c r="C4832">
        <v>22</v>
      </c>
      <c r="D4832">
        <v>0</v>
      </c>
      <c r="E4832">
        <v>0</v>
      </c>
      <c r="F4832" t="str">
        <f t="shared" si="227"/>
        <v>Lower Risk</v>
      </c>
      <c r="G4832" t="s">
        <v>13</v>
      </c>
      <c r="H4832" t="s">
        <v>4</v>
      </c>
      <c r="I4832" t="s">
        <v>9</v>
      </c>
      <c r="J4832">
        <v>74.989999999999995</v>
      </c>
      <c r="K4832">
        <v>27.9</v>
      </c>
      <c r="L4832" t="s">
        <v>12</v>
      </c>
      <c r="M4832">
        <v>0</v>
      </c>
      <c r="N4832" t="str">
        <f t="shared" si="225"/>
        <v>Under 40</v>
      </c>
      <c r="O4832" t="str">
        <f t="shared" si="226"/>
        <v>Overweight</v>
      </c>
    </row>
    <row r="4833" spans="1:15" x14ac:dyDescent="0.3">
      <c r="A4833">
        <v>41214</v>
      </c>
      <c r="B4833" t="s">
        <v>7</v>
      </c>
      <c r="C4833">
        <v>1.32</v>
      </c>
      <c r="D4833">
        <v>0</v>
      </c>
      <c r="E4833">
        <v>0</v>
      </c>
      <c r="F4833" t="str">
        <f t="shared" si="227"/>
        <v>Lower Risk</v>
      </c>
      <c r="G4833" t="s">
        <v>13</v>
      </c>
      <c r="H4833" t="s">
        <v>16</v>
      </c>
      <c r="I4833" t="s">
        <v>9</v>
      </c>
      <c r="J4833">
        <v>75.22</v>
      </c>
      <c r="K4833">
        <v>18.600000000000001</v>
      </c>
      <c r="L4833" t="s">
        <v>14</v>
      </c>
      <c r="M4833">
        <v>0</v>
      </c>
      <c r="N4833" t="str">
        <f t="shared" si="225"/>
        <v>Under 40</v>
      </c>
      <c r="O4833" t="str">
        <f t="shared" si="226"/>
        <v>Normal</v>
      </c>
    </row>
    <row r="4834" spans="1:15" x14ac:dyDescent="0.3">
      <c r="A4834">
        <v>72386</v>
      </c>
      <c r="B4834" t="s">
        <v>7</v>
      </c>
      <c r="C4834">
        <v>20</v>
      </c>
      <c r="D4834">
        <v>0</v>
      </c>
      <c r="E4834">
        <v>0</v>
      </c>
      <c r="F4834" t="str">
        <f t="shared" si="227"/>
        <v>Lower Risk</v>
      </c>
      <c r="G4834" t="s">
        <v>13</v>
      </c>
      <c r="H4834" t="s">
        <v>4</v>
      </c>
      <c r="I4834" t="s">
        <v>5</v>
      </c>
      <c r="J4834">
        <v>61.88</v>
      </c>
      <c r="K4834">
        <v>20.100000000000001</v>
      </c>
      <c r="L4834" t="s">
        <v>11</v>
      </c>
      <c r="M4834">
        <v>0</v>
      </c>
      <c r="N4834" t="str">
        <f t="shared" si="225"/>
        <v>Under 40</v>
      </c>
      <c r="O4834" t="str">
        <f t="shared" si="226"/>
        <v>Normal</v>
      </c>
    </row>
    <row r="4835" spans="1:15" x14ac:dyDescent="0.3">
      <c r="A4835">
        <v>14918</v>
      </c>
      <c r="B4835" t="s">
        <v>7</v>
      </c>
      <c r="C4835">
        <v>41</v>
      </c>
      <c r="D4835">
        <v>0</v>
      </c>
      <c r="E4835">
        <v>0</v>
      </c>
      <c r="F4835" t="str">
        <f t="shared" si="227"/>
        <v>Lower Risk</v>
      </c>
      <c r="G4835" t="s">
        <v>3</v>
      </c>
      <c r="H4835" t="s">
        <v>4</v>
      </c>
      <c r="I4835" t="s">
        <v>5</v>
      </c>
      <c r="J4835">
        <v>65.67</v>
      </c>
      <c r="K4835">
        <v>26.7</v>
      </c>
      <c r="L4835" t="s">
        <v>12</v>
      </c>
      <c r="M4835">
        <v>0</v>
      </c>
      <c r="N4835" t="str">
        <f t="shared" si="225"/>
        <v>40–59</v>
      </c>
      <c r="O4835" t="str">
        <f t="shared" si="226"/>
        <v>Overweight</v>
      </c>
    </row>
    <row r="4836" spans="1:15" x14ac:dyDescent="0.3">
      <c r="A4836">
        <v>55457</v>
      </c>
      <c r="B4836" t="s">
        <v>7</v>
      </c>
      <c r="C4836">
        <v>48</v>
      </c>
      <c r="D4836">
        <v>0</v>
      </c>
      <c r="E4836">
        <v>0</v>
      </c>
      <c r="F4836" t="str">
        <f t="shared" si="227"/>
        <v>Lower Risk</v>
      </c>
      <c r="G4836" t="s">
        <v>3</v>
      </c>
      <c r="H4836" t="s">
        <v>4</v>
      </c>
      <c r="I4836" t="s">
        <v>5</v>
      </c>
      <c r="J4836">
        <v>110.18</v>
      </c>
      <c r="K4836">
        <v>30.3</v>
      </c>
      <c r="L4836" t="s">
        <v>12</v>
      </c>
      <c r="M4836">
        <v>0</v>
      </c>
      <c r="N4836" t="str">
        <f t="shared" si="225"/>
        <v>40–59</v>
      </c>
      <c r="O4836" t="str">
        <f t="shared" si="226"/>
        <v>Obese</v>
      </c>
    </row>
    <row r="4837" spans="1:15" x14ac:dyDescent="0.3">
      <c r="A4837">
        <v>63323</v>
      </c>
      <c r="B4837" t="s">
        <v>2</v>
      </c>
      <c r="C4837">
        <v>49</v>
      </c>
      <c r="D4837">
        <v>1</v>
      </c>
      <c r="E4837">
        <v>0</v>
      </c>
      <c r="F4837" t="str">
        <f t="shared" si="227"/>
        <v>Lower Risk</v>
      </c>
      <c r="G4837" t="s">
        <v>3</v>
      </c>
      <c r="H4837" t="s">
        <v>8</v>
      </c>
      <c r="I4837" t="s">
        <v>9</v>
      </c>
      <c r="J4837">
        <v>119.3</v>
      </c>
      <c r="K4837">
        <v>30.4</v>
      </c>
      <c r="L4837" t="s">
        <v>6</v>
      </c>
      <c r="M4837">
        <v>0</v>
      </c>
      <c r="N4837" t="str">
        <f t="shared" si="225"/>
        <v>40–59</v>
      </c>
      <c r="O4837" t="str">
        <f t="shared" si="226"/>
        <v>Obese</v>
      </c>
    </row>
    <row r="4838" spans="1:15" x14ac:dyDescent="0.3">
      <c r="A4838">
        <v>35446</v>
      </c>
      <c r="B4838" t="s">
        <v>2</v>
      </c>
      <c r="C4838">
        <v>73</v>
      </c>
      <c r="D4838">
        <v>0</v>
      </c>
      <c r="E4838">
        <v>0</v>
      </c>
      <c r="F4838" t="str">
        <f t="shared" si="227"/>
        <v>Moderate Risk</v>
      </c>
      <c r="G4838" t="s">
        <v>3</v>
      </c>
      <c r="H4838" t="s">
        <v>15</v>
      </c>
      <c r="I4838" t="s">
        <v>9</v>
      </c>
      <c r="J4838">
        <v>208.69</v>
      </c>
      <c r="K4838">
        <v>30</v>
      </c>
      <c r="L4838" t="s">
        <v>14</v>
      </c>
      <c r="M4838">
        <v>0</v>
      </c>
      <c r="N4838" t="str">
        <f t="shared" si="225"/>
        <v>60+</v>
      </c>
      <c r="O4838" t="str">
        <f t="shared" si="226"/>
        <v>Obese</v>
      </c>
    </row>
    <row r="4839" spans="1:15" x14ac:dyDescent="0.3">
      <c r="A4839">
        <v>8208</v>
      </c>
      <c r="B4839" t="s">
        <v>2</v>
      </c>
      <c r="C4839">
        <v>19</v>
      </c>
      <c r="D4839">
        <v>0</v>
      </c>
      <c r="E4839">
        <v>0</v>
      </c>
      <c r="F4839" t="str">
        <f t="shared" si="227"/>
        <v>Lower Risk</v>
      </c>
      <c r="G4839" t="s">
        <v>13</v>
      </c>
      <c r="H4839" t="s">
        <v>4</v>
      </c>
      <c r="I4839" t="s">
        <v>9</v>
      </c>
      <c r="J4839">
        <v>95.18</v>
      </c>
      <c r="K4839">
        <v>24.9</v>
      </c>
      <c r="L4839" t="s">
        <v>12</v>
      </c>
      <c r="M4839">
        <v>0</v>
      </c>
      <c r="N4839" t="str">
        <f t="shared" si="225"/>
        <v>Under 40</v>
      </c>
      <c r="O4839" t="str">
        <f t="shared" si="226"/>
        <v>Normal</v>
      </c>
    </row>
    <row r="4840" spans="1:15" x14ac:dyDescent="0.3">
      <c r="A4840">
        <v>5131</v>
      </c>
      <c r="B4840" t="s">
        <v>7</v>
      </c>
      <c r="C4840">
        <v>51</v>
      </c>
      <c r="D4840">
        <v>0</v>
      </c>
      <c r="E4840">
        <v>0</v>
      </c>
      <c r="F4840" t="str">
        <f t="shared" si="227"/>
        <v>Lower Risk</v>
      </c>
      <c r="G4840" t="s">
        <v>3</v>
      </c>
      <c r="H4840" t="s">
        <v>4</v>
      </c>
      <c r="I4840" t="s">
        <v>5</v>
      </c>
      <c r="J4840">
        <v>107.72</v>
      </c>
      <c r="K4840">
        <v>60.9</v>
      </c>
      <c r="L4840" t="s">
        <v>14</v>
      </c>
      <c r="M4840">
        <v>0</v>
      </c>
      <c r="N4840" t="str">
        <f t="shared" si="225"/>
        <v>40–59</v>
      </c>
      <c r="O4840" t="str">
        <f t="shared" si="226"/>
        <v>Obese</v>
      </c>
    </row>
    <row r="4841" spans="1:15" x14ac:dyDescent="0.3">
      <c r="A4841">
        <v>68157</v>
      </c>
      <c r="B4841" t="s">
        <v>2</v>
      </c>
      <c r="C4841">
        <v>1.08</v>
      </c>
      <c r="D4841">
        <v>0</v>
      </c>
      <c r="E4841">
        <v>0</v>
      </c>
      <c r="F4841" t="str">
        <f t="shared" si="227"/>
        <v>Lower Risk</v>
      </c>
      <c r="G4841" t="s">
        <v>13</v>
      </c>
      <c r="H4841" t="s">
        <v>16</v>
      </c>
      <c r="I4841" t="s">
        <v>9</v>
      </c>
      <c r="J4841">
        <v>83.27</v>
      </c>
      <c r="K4841">
        <v>24.3</v>
      </c>
      <c r="L4841" t="s">
        <v>14</v>
      </c>
      <c r="M4841">
        <v>0</v>
      </c>
      <c r="N4841" t="str">
        <f t="shared" si="225"/>
        <v>Under 40</v>
      </c>
      <c r="O4841" t="str">
        <f t="shared" si="226"/>
        <v>Normal</v>
      </c>
    </row>
    <row r="4842" spans="1:15" x14ac:dyDescent="0.3">
      <c r="A4842">
        <v>4795</v>
      </c>
      <c r="B4842" t="s">
        <v>7</v>
      </c>
      <c r="C4842">
        <v>31</v>
      </c>
      <c r="D4842">
        <v>0</v>
      </c>
      <c r="E4842">
        <v>0</v>
      </c>
      <c r="F4842" t="str">
        <f t="shared" si="227"/>
        <v>Lower Risk</v>
      </c>
      <c r="G4842" t="s">
        <v>13</v>
      </c>
      <c r="H4842" t="s">
        <v>4</v>
      </c>
      <c r="I4842" t="s">
        <v>9</v>
      </c>
      <c r="J4842">
        <v>90.29</v>
      </c>
      <c r="K4842">
        <v>38.700000000000003</v>
      </c>
      <c r="L4842" t="s">
        <v>14</v>
      </c>
      <c r="M4842">
        <v>0</v>
      </c>
      <c r="N4842" t="str">
        <f t="shared" si="225"/>
        <v>Under 40</v>
      </c>
      <c r="O4842" t="str">
        <f t="shared" si="226"/>
        <v>Obese</v>
      </c>
    </row>
    <row r="4843" spans="1:15" x14ac:dyDescent="0.3">
      <c r="A4843">
        <v>7581</v>
      </c>
      <c r="B4843" t="s">
        <v>2</v>
      </c>
      <c r="C4843">
        <v>4</v>
      </c>
      <c r="D4843">
        <v>0</v>
      </c>
      <c r="E4843">
        <v>0</v>
      </c>
      <c r="F4843" t="str">
        <f t="shared" si="227"/>
        <v>Lower Risk</v>
      </c>
      <c r="G4843" t="s">
        <v>13</v>
      </c>
      <c r="H4843" t="s">
        <v>16</v>
      </c>
      <c r="I4843" t="s">
        <v>5</v>
      </c>
      <c r="J4843">
        <v>81.87</v>
      </c>
      <c r="K4843">
        <v>18.600000000000001</v>
      </c>
      <c r="L4843" t="s">
        <v>14</v>
      </c>
      <c r="M4843">
        <v>0</v>
      </c>
      <c r="N4843" t="str">
        <f t="shared" si="225"/>
        <v>Under 40</v>
      </c>
      <c r="O4843" t="str">
        <f t="shared" si="226"/>
        <v>Normal</v>
      </c>
    </row>
    <row r="4844" spans="1:15" x14ac:dyDescent="0.3">
      <c r="A4844">
        <v>47383</v>
      </c>
      <c r="B4844" t="s">
        <v>2</v>
      </c>
      <c r="C4844">
        <v>1.8</v>
      </c>
      <c r="D4844">
        <v>0</v>
      </c>
      <c r="E4844">
        <v>0</v>
      </c>
      <c r="F4844" t="str">
        <f t="shared" si="227"/>
        <v>Lower Risk</v>
      </c>
      <c r="G4844" t="s">
        <v>13</v>
      </c>
      <c r="H4844" t="s">
        <v>16</v>
      </c>
      <c r="I4844" t="s">
        <v>5</v>
      </c>
      <c r="J4844">
        <v>153.31</v>
      </c>
      <c r="K4844">
        <v>17.100000000000001</v>
      </c>
      <c r="L4844" t="s">
        <v>14</v>
      </c>
      <c r="M4844">
        <v>0</v>
      </c>
      <c r="N4844" t="str">
        <f t="shared" si="225"/>
        <v>Under 40</v>
      </c>
      <c r="O4844" t="str">
        <f t="shared" si="226"/>
        <v>Underweight</v>
      </c>
    </row>
    <row r="4845" spans="1:15" x14ac:dyDescent="0.3">
      <c r="A4845">
        <v>14036</v>
      </c>
      <c r="B4845" t="s">
        <v>2</v>
      </c>
      <c r="C4845">
        <v>44</v>
      </c>
      <c r="D4845">
        <v>0</v>
      </c>
      <c r="E4845">
        <v>0</v>
      </c>
      <c r="F4845" t="str">
        <f t="shared" si="227"/>
        <v>Lower Risk</v>
      </c>
      <c r="G4845" t="s">
        <v>3</v>
      </c>
      <c r="H4845" t="s">
        <v>4</v>
      </c>
      <c r="I4845" t="s">
        <v>9</v>
      </c>
      <c r="J4845">
        <v>101.46</v>
      </c>
      <c r="K4845">
        <v>29.4</v>
      </c>
      <c r="L4845" t="s">
        <v>14</v>
      </c>
      <c r="M4845">
        <v>0</v>
      </c>
      <c r="N4845" t="str">
        <f t="shared" si="225"/>
        <v>40–59</v>
      </c>
      <c r="O4845" t="str">
        <f t="shared" si="226"/>
        <v>Overweight</v>
      </c>
    </row>
    <row r="4846" spans="1:15" x14ac:dyDescent="0.3">
      <c r="A4846">
        <v>25942</v>
      </c>
      <c r="B4846" t="s">
        <v>7</v>
      </c>
      <c r="C4846">
        <v>4</v>
      </c>
      <c r="D4846">
        <v>0</v>
      </c>
      <c r="E4846">
        <v>0</v>
      </c>
      <c r="F4846" t="str">
        <f t="shared" si="227"/>
        <v>Lower Risk</v>
      </c>
      <c r="G4846" t="s">
        <v>13</v>
      </c>
      <c r="H4846" t="s">
        <v>16</v>
      </c>
      <c r="I4846" t="s">
        <v>5</v>
      </c>
      <c r="J4846">
        <v>72.489999999999995</v>
      </c>
      <c r="K4846">
        <v>16.899999999999999</v>
      </c>
      <c r="L4846" t="s">
        <v>14</v>
      </c>
      <c r="M4846">
        <v>0</v>
      </c>
      <c r="N4846" t="str">
        <f t="shared" si="225"/>
        <v>Under 40</v>
      </c>
      <c r="O4846" t="str">
        <f t="shared" si="226"/>
        <v>Underweight</v>
      </c>
    </row>
    <row r="4847" spans="1:15" x14ac:dyDescent="0.3">
      <c r="A4847">
        <v>24018</v>
      </c>
      <c r="B4847" t="s">
        <v>2</v>
      </c>
      <c r="C4847">
        <v>55</v>
      </c>
      <c r="D4847">
        <v>0</v>
      </c>
      <c r="E4847">
        <v>0</v>
      </c>
      <c r="F4847" t="str">
        <f t="shared" si="227"/>
        <v>Lower Risk</v>
      </c>
      <c r="G4847" t="s">
        <v>3</v>
      </c>
      <c r="H4847" t="s">
        <v>4</v>
      </c>
      <c r="I4847" t="s">
        <v>9</v>
      </c>
      <c r="J4847">
        <v>86.58</v>
      </c>
      <c r="K4847">
        <v>34.200000000000003</v>
      </c>
      <c r="L4847" t="s">
        <v>11</v>
      </c>
      <c r="M4847">
        <v>0</v>
      </c>
      <c r="N4847" t="str">
        <f t="shared" si="225"/>
        <v>40–59</v>
      </c>
      <c r="O4847" t="str">
        <f t="shared" si="226"/>
        <v>Obese</v>
      </c>
    </row>
    <row r="4848" spans="1:15" x14ac:dyDescent="0.3">
      <c r="A4848">
        <v>27801</v>
      </c>
      <c r="B4848" t="s">
        <v>7</v>
      </c>
      <c r="C4848">
        <v>34</v>
      </c>
      <c r="D4848">
        <v>0</v>
      </c>
      <c r="E4848">
        <v>0</v>
      </c>
      <c r="F4848" t="str">
        <f t="shared" si="227"/>
        <v>Lower Risk</v>
      </c>
      <c r="G4848" t="s">
        <v>3</v>
      </c>
      <c r="H4848" t="s">
        <v>4</v>
      </c>
      <c r="I4848" t="s">
        <v>5</v>
      </c>
      <c r="J4848">
        <v>113.26</v>
      </c>
      <c r="K4848">
        <v>27.6</v>
      </c>
      <c r="L4848" t="s">
        <v>11</v>
      </c>
      <c r="M4848">
        <v>0</v>
      </c>
      <c r="N4848" t="str">
        <f t="shared" si="225"/>
        <v>Under 40</v>
      </c>
      <c r="O4848" t="str">
        <f t="shared" si="226"/>
        <v>Overweight</v>
      </c>
    </row>
    <row r="4849" spans="1:15" x14ac:dyDescent="0.3">
      <c r="A4849">
        <v>52978</v>
      </c>
      <c r="B4849" t="s">
        <v>7</v>
      </c>
      <c r="C4849">
        <v>30</v>
      </c>
      <c r="D4849">
        <v>0</v>
      </c>
      <c r="E4849">
        <v>0</v>
      </c>
      <c r="F4849" t="str">
        <f t="shared" si="227"/>
        <v>Lower Risk</v>
      </c>
      <c r="G4849" t="s">
        <v>3</v>
      </c>
      <c r="H4849" t="s">
        <v>4</v>
      </c>
      <c r="I4849" t="s">
        <v>5</v>
      </c>
      <c r="J4849">
        <v>84.92</v>
      </c>
      <c r="K4849">
        <v>47.8</v>
      </c>
      <c r="L4849" t="s">
        <v>11</v>
      </c>
      <c r="M4849">
        <v>0</v>
      </c>
      <c r="N4849" t="str">
        <f t="shared" si="225"/>
        <v>Under 40</v>
      </c>
      <c r="O4849" t="str">
        <f t="shared" si="226"/>
        <v>Obese</v>
      </c>
    </row>
    <row r="4850" spans="1:15" x14ac:dyDescent="0.3">
      <c r="A4850">
        <v>15593</v>
      </c>
      <c r="B4850" t="s">
        <v>7</v>
      </c>
      <c r="C4850">
        <v>7</v>
      </c>
      <c r="D4850">
        <v>0</v>
      </c>
      <c r="E4850">
        <v>0</v>
      </c>
      <c r="F4850" t="str">
        <f t="shared" si="227"/>
        <v>Lower Risk</v>
      </c>
      <c r="G4850" t="s">
        <v>13</v>
      </c>
      <c r="H4850" t="s">
        <v>16</v>
      </c>
      <c r="I4850" t="s">
        <v>5</v>
      </c>
      <c r="J4850">
        <v>128.16999999999999</v>
      </c>
      <c r="K4850">
        <v>18.899999999999999</v>
      </c>
      <c r="L4850" t="s">
        <v>14</v>
      </c>
      <c r="M4850">
        <v>0</v>
      </c>
      <c r="N4850" t="str">
        <f t="shared" si="225"/>
        <v>Under 40</v>
      </c>
      <c r="O4850" t="str">
        <f t="shared" si="226"/>
        <v>Normal</v>
      </c>
    </row>
    <row r="4851" spans="1:15" x14ac:dyDescent="0.3">
      <c r="A4851">
        <v>11098</v>
      </c>
      <c r="B4851" t="s">
        <v>2</v>
      </c>
      <c r="C4851">
        <v>75</v>
      </c>
      <c r="D4851">
        <v>0</v>
      </c>
      <c r="E4851">
        <v>0</v>
      </c>
      <c r="F4851" t="str">
        <f t="shared" si="227"/>
        <v>Moderate Risk</v>
      </c>
      <c r="G4851" t="s">
        <v>3</v>
      </c>
      <c r="H4851" t="s">
        <v>15</v>
      </c>
      <c r="I4851" t="s">
        <v>9</v>
      </c>
      <c r="J4851">
        <v>93.93</v>
      </c>
      <c r="K4851">
        <v>24.4</v>
      </c>
      <c r="L4851" t="s">
        <v>6</v>
      </c>
      <c r="M4851">
        <v>0</v>
      </c>
      <c r="N4851" t="str">
        <f t="shared" si="225"/>
        <v>60+</v>
      </c>
      <c r="O4851" t="str">
        <f t="shared" si="226"/>
        <v>Normal</v>
      </c>
    </row>
    <row r="4852" spans="1:15" x14ac:dyDescent="0.3">
      <c r="A4852">
        <v>12015</v>
      </c>
      <c r="B4852" t="s">
        <v>2</v>
      </c>
      <c r="C4852">
        <v>14</v>
      </c>
      <c r="D4852">
        <v>0</v>
      </c>
      <c r="E4852">
        <v>0</v>
      </c>
      <c r="F4852" t="str">
        <f t="shared" si="227"/>
        <v>Lower Risk</v>
      </c>
      <c r="G4852" t="s">
        <v>13</v>
      </c>
      <c r="H4852" t="s">
        <v>16</v>
      </c>
      <c r="I4852" t="s">
        <v>5</v>
      </c>
      <c r="J4852">
        <v>99.87</v>
      </c>
      <c r="K4852">
        <v>25.2</v>
      </c>
      <c r="L4852" t="s">
        <v>14</v>
      </c>
      <c r="M4852">
        <v>0</v>
      </c>
      <c r="N4852" t="str">
        <f t="shared" si="225"/>
        <v>Under 40</v>
      </c>
      <c r="O4852" t="str">
        <f t="shared" si="226"/>
        <v>Overweight</v>
      </c>
    </row>
    <row r="4853" spans="1:15" x14ac:dyDescent="0.3">
      <c r="A4853">
        <v>47348</v>
      </c>
      <c r="B4853" t="s">
        <v>7</v>
      </c>
      <c r="C4853">
        <v>61</v>
      </c>
      <c r="D4853">
        <v>0</v>
      </c>
      <c r="E4853">
        <v>0</v>
      </c>
      <c r="F4853" t="str">
        <f t="shared" si="227"/>
        <v>Moderate Risk</v>
      </c>
      <c r="G4853" t="s">
        <v>3</v>
      </c>
      <c r="H4853" t="s">
        <v>4</v>
      </c>
      <c r="I4853" t="s">
        <v>5</v>
      </c>
      <c r="J4853">
        <v>129.31</v>
      </c>
      <c r="K4853">
        <v>30.7</v>
      </c>
      <c r="L4853" t="s">
        <v>6</v>
      </c>
      <c r="M4853">
        <v>0</v>
      </c>
      <c r="N4853" t="str">
        <f t="shared" si="225"/>
        <v>60+</v>
      </c>
      <c r="O4853" t="str">
        <f t="shared" si="226"/>
        <v>Obese</v>
      </c>
    </row>
    <row r="4854" spans="1:15" x14ac:dyDescent="0.3">
      <c r="A4854">
        <v>44155</v>
      </c>
      <c r="B4854" t="s">
        <v>7</v>
      </c>
      <c r="C4854">
        <v>55</v>
      </c>
      <c r="D4854">
        <v>0</v>
      </c>
      <c r="E4854">
        <v>0</v>
      </c>
      <c r="F4854" t="str">
        <f t="shared" si="227"/>
        <v>Lower Risk</v>
      </c>
      <c r="G4854" t="s">
        <v>3</v>
      </c>
      <c r="H4854" t="s">
        <v>15</v>
      </c>
      <c r="I4854" t="s">
        <v>5</v>
      </c>
      <c r="J4854">
        <v>89.43</v>
      </c>
      <c r="K4854">
        <v>26.1</v>
      </c>
      <c r="L4854" t="s">
        <v>6</v>
      </c>
      <c r="M4854">
        <v>0</v>
      </c>
      <c r="N4854" t="str">
        <f t="shared" si="225"/>
        <v>40–59</v>
      </c>
      <c r="O4854" t="str">
        <f t="shared" si="226"/>
        <v>Overweight</v>
      </c>
    </row>
    <row r="4855" spans="1:15" x14ac:dyDescent="0.3">
      <c r="A4855">
        <v>62656</v>
      </c>
      <c r="B4855" t="s">
        <v>7</v>
      </c>
      <c r="C4855">
        <v>14</v>
      </c>
      <c r="D4855">
        <v>0</v>
      </c>
      <c r="E4855">
        <v>0</v>
      </c>
      <c r="F4855" t="str">
        <f t="shared" si="227"/>
        <v>Lower Risk</v>
      </c>
      <c r="G4855" t="s">
        <v>13</v>
      </c>
      <c r="H4855" t="s">
        <v>16</v>
      </c>
      <c r="I4855" t="s">
        <v>9</v>
      </c>
      <c r="J4855">
        <v>101.6</v>
      </c>
      <c r="K4855">
        <v>25.3</v>
      </c>
      <c r="L4855" t="s">
        <v>11</v>
      </c>
      <c r="M4855">
        <v>0</v>
      </c>
      <c r="N4855" t="str">
        <f t="shared" si="225"/>
        <v>Under 40</v>
      </c>
      <c r="O4855" t="str">
        <f t="shared" si="226"/>
        <v>Overweight</v>
      </c>
    </row>
    <row r="4856" spans="1:15" x14ac:dyDescent="0.3">
      <c r="A4856">
        <v>8838</v>
      </c>
      <c r="B4856" t="s">
        <v>7</v>
      </c>
      <c r="C4856">
        <v>36</v>
      </c>
      <c r="D4856">
        <v>0</v>
      </c>
      <c r="E4856">
        <v>0</v>
      </c>
      <c r="F4856" t="str">
        <f t="shared" si="227"/>
        <v>Lower Risk</v>
      </c>
      <c r="G4856" t="s">
        <v>13</v>
      </c>
      <c r="H4856" t="s">
        <v>4</v>
      </c>
      <c r="I4856" t="s">
        <v>9</v>
      </c>
      <c r="J4856">
        <v>66.55</v>
      </c>
      <c r="K4856">
        <v>32.799999999999997</v>
      </c>
      <c r="L4856" t="s">
        <v>12</v>
      </c>
      <c r="M4856">
        <v>0</v>
      </c>
      <c r="N4856" t="str">
        <f t="shared" si="225"/>
        <v>Under 40</v>
      </c>
      <c r="O4856" t="str">
        <f t="shared" si="226"/>
        <v>Obese</v>
      </c>
    </row>
    <row r="4857" spans="1:15" x14ac:dyDescent="0.3">
      <c r="A4857">
        <v>42563</v>
      </c>
      <c r="B4857" t="s">
        <v>7</v>
      </c>
      <c r="C4857">
        <v>57</v>
      </c>
      <c r="D4857">
        <v>1</v>
      </c>
      <c r="E4857">
        <v>1</v>
      </c>
      <c r="F4857" t="str">
        <f t="shared" si="227"/>
        <v>Lower Risk</v>
      </c>
      <c r="G4857" t="s">
        <v>3</v>
      </c>
      <c r="H4857" t="s">
        <v>4</v>
      </c>
      <c r="I4857" t="s">
        <v>9</v>
      </c>
      <c r="J4857">
        <v>231.72</v>
      </c>
      <c r="K4857">
        <v>45.7</v>
      </c>
      <c r="L4857" t="s">
        <v>6</v>
      </c>
      <c r="M4857">
        <v>0</v>
      </c>
      <c r="N4857" t="str">
        <f t="shared" si="225"/>
        <v>40–59</v>
      </c>
      <c r="O4857" t="str">
        <f t="shared" si="226"/>
        <v>Obese</v>
      </c>
    </row>
    <row r="4858" spans="1:15" x14ac:dyDescent="0.3">
      <c r="A4858">
        <v>31254</v>
      </c>
      <c r="B4858" t="s">
        <v>7</v>
      </c>
      <c r="C4858">
        <v>20</v>
      </c>
      <c r="D4858">
        <v>0</v>
      </c>
      <c r="E4858">
        <v>0</v>
      </c>
      <c r="F4858" t="str">
        <f t="shared" si="227"/>
        <v>Lower Risk</v>
      </c>
      <c r="G4858" t="s">
        <v>13</v>
      </c>
      <c r="H4858" t="s">
        <v>4</v>
      </c>
      <c r="I4858" t="s">
        <v>5</v>
      </c>
      <c r="J4858">
        <v>96.69</v>
      </c>
      <c r="K4858">
        <v>24.6</v>
      </c>
      <c r="L4858" t="s">
        <v>14</v>
      </c>
      <c r="M4858">
        <v>0</v>
      </c>
      <c r="N4858" t="str">
        <f t="shared" si="225"/>
        <v>Under 40</v>
      </c>
      <c r="O4858" t="str">
        <f t="shared" si="226"/>
        <v>Normal</v>
      </c>
    </row>
    <row r="4859" spans="1:15" x14ac:dyDescent="0.3">
      <c r="A4859">
        <v>27922</v>
      </c>
      <c r="B4859" t="s">
        <v>2</v>
      </c>
      <c r="C4859">
        <v>32</v>
      </c>
      <c r="D4859">
        <v>0</v>
      </c>
      <c r="E4859">
        <v>0</v>
      </c>
      <c r="F4859" t="str">
        <f t="shared" si="227"/>
        <v>Lower Risk</v>
      </c>
      <c r="G4859" t="s">
        <v>3</v>
      </c>
      <c r="H4859" t="s">
        <v>4</v>
      </c>
      <c r="I4859" t="s">
        <v>9</v>
      </c>
      <c r="J4859">
        <v>102.13</v>
      </c>
      <c r="K4859">
        <v>32.299999999999997</v>
      </c>
      <c r="L4859" t="s">
        <v>11</v>
      </c>
      <c r="M4859">
        <v>0</v>
      </c>
      <c r="N4859" t="str">
        <f t="shared" si="225"/>
        <v>Under 40</v>
      </c>
      <c r="O4859" t="str">
        <f t="shared" si="226"/>
        <v>Obese</v>
      </c>
    </row>
    <row r="4860" spans="1:15" x14ac:dyDescent="0.3">
      <c r="A4860">
        <v>1696</v>
      </c>
      <c r="B4860" t="s">
        <v>7</v>
      </c>
      <c r="C4860">
        <v>43</v>
      </c>
      <c r="D4860">
        <v>0</v>
      </c>
      <c r="E4860">
        <v>0</v>
      </c>
      <c r="F4860" t="str">
        <f t="shared" si="227"/>
        <v>Lower Risk</v>
      </c>
      <c r="G4860" t="s">
        <v>3</v>
      </c>
      <c r="H4860" t="s">
        <v>4</v>
      </c>
      <c r="I4860" t="s">
        <v>5</v>
      </c>
      <c r="J4860">
        <v>100.88</v>
      </c>
      <c r="K4860">
        <v>47.6</v>
      </c>
      <c r="L4860" t="s">
        <v>12</v>
      </c>
      <c r="M4860">
        <v>0</v>
      </c>
      <c r="N4860" t="str">
        <f t="shared" si="225"/>
        <v>40–59</v>
      </c>
      <c r="O4860" t="str">
        <f t="shared" si="226"/>
        <v>Obese</v>
      </c>
    </row>
    <row r="4861" spans="1:15" x14ac:dyDescent="0.3">
      <c r="A4861">
        <v>54162</v>
      </c>
      <c r="B4861" t="s">
        <v>2</v>
      </c>
      <c r="C4861">
        <v>43</v>
      </c>
      <c r="D4861">
        <v>0</v>
      </c>
      <c r="E4861">
        <v>0</v>
      </c>
      <c r="F4861" t="str">
        <f t="shared" si="227"/>
        <v>Lower Risk</v>
      </c>
      <c r="G4861" t="s">
        <v>3</v>
      </c>
      <c r="H4861" t="s">
        <v>4</v>
      </c>
      <c r="I4861" t="s">
        <v>9</v>
      </c>
      <c r="J4861">
        <v>66.22</v>
      </c>
      <c r="K4861">
        <v>34.4</v>
      </c>
      <c r="L4861" t="s">
        <v>14</v>
      </c>
      <c r="M4861">
        <v>0</v>
      </c>
      <c r="N4861" t="str">
        <f t="shared" si="225"/>
        <v>40–59</v>
      </c>
      <c r="O4861" t="str">
        <f t="shared" si="226"/>
        <v>Obese</v>
      </c>
    </row>
    <row r="4862" spans="1:15" x14ac:dyDescent="0.3">
      <c r="A4862">
        <v>70396</v>
      </c>
      <c r="B4862" t="s">
        <v>7</v>
      </c>
      <c r="C4862">
        <v>1.08</v>
      </c>
      <c r="D4862">
        <v>0</v>
      </c>
      <c r="E4862">
        <v>0</v>
      </c>
      <c r="F4862" t="str">
        <f t="shared" si="227"/>
        <v>Lower Risk</v>
      </c>
      <c r="G4862" t="s">
        <v>13</v>
      </c>
      <c r="H4862" t="s">
        <v>16</v>
      </c>
      <c r="I4862" t="s">
        <v>5</v>
      </c>
      <c r="J4862">
        <v>109.33</v>
      </c>
      <c r="K4862">
        <v>18.2</v>
      </c>
      <c r="L4862" t="s">
        <v>14</v>
      </c>
      <c r="M4862">
        <v>0</v>
      </c>
      <c r="N4862" t="str">
        <f t="shared" si="225"/>
        <v>Under 40</v>
      </c>
      <c r="O4862" t="str">
        <f t="shared" si="226"/>
        <v>Underweight</v>
      </c>
    </row>
    <row r="4863" spans="1:15" x14ac:dyDescent="0.3">
      <c r="A4863">
        <v>65907</v>
      </c>
      <c r="B4863" t="s">
        <v>7</v>
      </c>
      <c r="C4863">
        <v>49</v>
      </c>
      <c r="D4863">
        <v>0</v>
      </c>
      <c r="E4863">
        <v>0</v>
      </c>
      <c r="F4863" t="str">
        <f t="shared" si="227"/>
        <v>Lower Risk</v>
      </c>
      <c r="G4863" t="s">
        <v>3</v>
      </c>
      <c r="H4863" t="s">
        <v>4</v>
      </c>
      <c r="I4863" t="s">
        <v>5</v>
      </c>
      <c r="J4863">
        <v>206.53</v>
      </c>
      <c r="K4863">
        <v>44.5</v>
      </c>
      <c r="L4863" t="s">
        <v>12</v>
      </c>
      <c r="M4863">
        <v>0</v>
      </c>
      <c r="N4863" t="str">
        <f t="shared" si="225"/>
        <v>40–59</v>
      </c>
      <c r="O4863" t="str">
        <f t="shared" si="226"/>
        <v>Obese</v>
      </c>
    </row>
    <row r="4864" spans="1:15" x14ac:dyDescent="0.3">
      <c r="A4864">
        <v>49451</v>
      </c>
      <c r="B4864" t="s">
        <v>7</v>
      </c>
      <c r="C4864">
        <v>53</v>
      </c>
      <c r="D4864">
        <v>0</v>
      </c>
      <c r="E4864">
        <v>0</v>
      </c>
      <c r="F4864" t="str">
        <f t="shared" si="227"/>
        <v>Lower Risk</v>
      </c>
      <c r="G4864" t="s">
        <v>3</v>
      </c>
      <c r="H4864" t="s">
        <v>4</v>
      </c>
      <c r="I4864" t="s">
        <v>9</v>
      </c>
      <c r="J4864">
        <v>83.91</v>
      </c>
      <c r="K4864">
        <v>36.6</v>
      </c>
      <c r="L4864" t="s">
        <v>14</v>
      </c>
      <c r="M4864">
        <v>0</v>
      </c>
      <c r="N4864" t="str">
        <f t="shared" si="225"/>
        <v>40–59</v>
      </c>
      <c r="O4864" t="str">
        <f t="shared" si="226"/>
        <v>Obese</v>
      </c>
    </row>
    <row r="4865" spans="1:15" x14ac:dyDescent="0.3">
      <c r="A4865">
        <v>68601</v>
      </c>
      <c r="B4865" t="s">
        <v>7</v>
      </c>
      <c r="C4865">
        <v>18</v>
      </c>
      <c r="D4865">
        <v>0</v>
      </c>
      <c r="E4865">
        <v>0</v>
      </c>
      <c r="F4865" t="str">
        <f t="shared" si="227"/>
        <v>Lower Risk</v>
      </c>
      <c r="G4865" t="s">
        <v>13</v>
      </c>
      <c r="H4865" t="s">
        <v>4</v>
      </c>
      <c r="I4865" t="s">
        <v>5</v>
      </c>
      <c r="J4865">
        <v>67.92</v>
      </c>
      <c r="K4865">
        <v>19.399999999999999</v>
      </c>
      <c r="L4865" t="s">
        <v>11</v>
      </c>
      <c r="M4865">
        <v>0</v>
      </c>
      <c r="N4865" t="str">
        <f t="shared" si="225"/>
        <v>Under 40</v>
      </c>
      <c r="O4865" t="str">
        <f t="shared" si="226"/>
        <v>Normal</v>
      </c>
    </row>
    <row r="4866" spans="1:15" x14ac:dyDescent="0.3">
      <c r="A4866">
        <v>13236</v>
      </c>
      <c r="B4866" t="s">
        <v>7</v>
      </c>
      <c r="C4866">
        <v>13</v>
      </c>
      <c r="D4866">
        <v>0</v>
      </c>
      <c r="E4866">
        <v>0</v>
      </c>
      <c r="F4866" t="str">
        <f t="shared" si="227"/>
        <v>Lower Risk</v>
      </c>
      <c r="G4866" t="s">
        <v>13</v>
      </c>
      <c r="H4866" t="s">
        <v>16</v>
      </c>
      <c r="I4866" t="s">
        <v>9</v>
      </c>
      <c r="J4866">
        <v>73.48</v>
      </c>
      <c r="K4866">
        <v>22.9</v>
      </c>
      <c r="L4866" t="s">
        <v>14</v>
      </c>
      <c r="M4866">
        <v>0</v>
      </c>
      <c r="N4866" t="str">
        <f t="shared" ref="N4866:N4929" si="228">IF(C4866&lt;40,"Under 40",IF(C4866&lt;60,"40–59","60+"))</f>
        <v>Under 40</v>
      </c>
      <c r="O4866" t="str">
        <f t="shared" ref="O4866:O4929" si="229">IF(K4866="N/A","Unknown",
IF(K4866="","Unknown",
IF(K4866&lt;18.5,"Underweight",
IF(K4866&lt;25,"Normal",
IF(K4866&lt;30,"Overweight","Obese")))))</f>
        <v>Normal</v>
      </c>
    </row>
    <row r="4867" spans="1:15" x14ac:dyDescent="0.3">
      <c r="A4867">
        <v>65998</v>
      </c>
      <c r="B4867" t="s">
        <v>2</v>
      </c>
      <c r="C4867">
        <v>5</v>
      </c>
      <c r="D4867">
        <v>0</v>
      </c>
      <c r="E4867">
        <v>0</v>
      </c>
      <c r="F4867" t="str">
        <f t="shared" ref="F4867:F4930" si="230">IF(C4867&gt;=60,
IF(OR(D4867=1,E4867=1),"High Risk","Moderate Risk"),
"Lower Risk")</f>
        <v>Lower Risk</v>
      </c>
      <c r="G4867" t="s">
        <v>13</v>
      </c>
      <c r="H4867" t="s">
        <v>16</v>
      </c>
      <c r="I4867" t="s">
        <v>9</v>
      </c>
      <c r="J4867">
        <v>101.31</v>
      </c>
      <c r="K4867">
        <v>20</v>
      </c>
      <c r="L4867" t="s">
        <v>14</v>
      </c>
      <c r="M4867">
        <v>0</v>
      </c>
      <c r="N4867" t="str">
        <f t="shared" si="228"/>
        <v>Under 40</v>
      </c>
      <c r="O4867" t="str">
        <f t="shared" si="229"/>
        <v>Normal</v>
      </c>
    </row>
    <row r="4868" spans="1:15" x14ac:dyDescent="0.3">
      <c r="A4868">
        <v>5875</v>
      </c>
      <c r="B4868" t="s">
        <v>7</v>
      </c>
      <c r="C4868">
        <v>37</v>
      </c>
      <c r="D4868">
        <v>0</v>
      </c>
      <c r="E4868">
        <v>0</v>
      </c>
      <c r="F4868" t="str">
        <f t="shared" si="230"/>
        <v>Lower Risk</v>
      </c>
      <c r="G4868" t="s">
        <v>3</v>
      </c>
      <c r="H4868" t="s">
        <v>4</v>
      </c>
      <c r="I4868" t="s">
        <v>5</v>
      </c>
      <c r="J4868">
        <v>103.66</v>
      </c>
      <c r="K4868">
        <v>36.1</v>
      </c>
      <c r="L4868" t="s">
        <v>12</v>
      </c>
      <c r="M4868">
        <v>0</v>
      </c>
      <c r="N4868" t="str">
        <f t="shared" si="228"/>
        <v>Under 40</v>
      </c>
      <c r="O4868" t="str">
        <f t="shared" si="229"/>
        <v>Obese</v>
      </c>
    </row>
    <row r="4869" spans="1:15" x14ac:dyDescent="0.3">
      <c r="A4869">
        <v>47427</v>
      </c>
      <c r="B4869" t="s">
        <v>2</v>
      </c>
      <c r="C4869">
        <v>49</v>
      </c>
      <c r="D4869">
        <v>0</v>
      </c>
      <c r="E4869">
        <v>0</v>
      </c>
      <c r="F4869" t="str">
        <f t="shared" si="230"/>
        <v>Lower Risk</v>
      </c>
      <c r="G4869" t="s">
        <v>3</v>
      </c>
      <c r="H4869" t="s">
        <v>8</v>
      </c>
      <c r="I4869" t="s">
        <v>5</v>
      </c>
      <c r="J4869">
        <v>70.73</v>
      </c>
      <c r="K4869">
        <v>27.3</v>
      </c>
      <c r="L4869" t="s">
        <v>6</v>
      </c>
      <c r="M4869">
        <v>0</v>
      </c>
      <c r="N4869" t="str">
        <f t="shared" si="228"/>
        <v>40–59</v>
      </c>
      <c r="O4869" t="str">
        <f t="shared" si="229"/>
        <v>Overweight</v>
      </c>
    </row>
    <row r="4870" spans="1:15" x14ac:dyDescent="0.3">
      <c r="A4870">
        <v>29734</v>
      </c>
      <c r="B4870" t="s">
        <v>7</v>
      </c>
      <c r="C4870">
        <v>45</v>
      </c>
      <c r="D4870">
        <v>0</v>
      </c>
      <c r="E4870">
        <v>0</v>
      </c>
      <c r="F4870" t="str">
        <f t="shared" si="230"/>
        <v>Lower Risk</v>
      </c>
      <c r="G4870" t="s">
        <v>13</v>
      </c>
      <c r="H4870" t="s">
        <v>15</v>
      </c>
      <c r="I4870" t="s">
        <v>9</v>
      </c>
      <c r="J4870">
        <v>77.45</v>
      </c>
      <c r="K4870">
        <v>42.2</v>
      </c>
      <c r="L4870" t="s">
        <v>6</v>
      </c>
      <c r="M4870">
        <v>0</v>
      </c>
      <c r="N4870" t="str">
        <f t="shared" si="228"/>
        <v>40–59</v>
      </c>
      <c r="O4870" t="str">
        <f t="shared" si="229"/>
        <v>Obese</v>
      </c>
    </row>
    <row r="4871" spans="1:15" x14ac:dyDescent="0.3">
      <c r="A4871">
        <v>72715</v>
      </c>
      <c r="B4871" t="s">
        <v>7</v>
      </c>
      <c r="C4871">
        <v>50</v>
      </c>
      <c r="D4871">
        <v>0</v>
      </c>
      <c r="E4871">
        <v>1</v>
      </c>
      <c r="F4871" t="str">
        <f t="shared" si="230"/>
        <v>Lower Risk</v>
      </c>
      <c r="G4871" t="s">
        <v>3</v>
      </c>
      <c r="H4871" t="s">
        <v>4</v>
      </c>
      <c r="I4871" t="s">
        <v>5</v>
      </c>
      <c r="J4871">
        <v>193.8</v>
      </c>
      <c r="K4871">
        <v>26.4</v>
      </c>
      <c r="L4871" t="s">
        <v>11</v>
      </c>
      <c r="M4871">
        <v>0</v>
      </c>
      <c r="N4871" t="str">
        <f t="shared" si="228"/>
        <v>40–59</v>
      </c>
      <c r="O4871" t="str">
        <f t="shared" si="229"/>
        <v>Overweight</v>
      </c>
    </row>
    <row r="4872" spans="1:15" x14ac:dyDescent="0.3">
      <c r="A4872">
        <v>59847</v>
      </c>
      <c r="B4872" t="s">
        <v>7</v>
      </c>
      <c r="C4872">
        <v>12</v>
      </c>
      <c r="D4872">
        <v>0</v>
      </c>
      <c r="E4872">
        <v>0</v>
      </c>
      <c r="F4872" t="str">
        <f t="shared" si="230"/>
        <v>Lower Risk</v>
      </c>
      <c r="G4872" t="s">
        <v>13</v>
      </c>
      <c r="H4872" t="s">
        <v>16</v>
      </c>
      <c r="I4872" t="s">
        <v>9</v>
      </c>
      <c r="J4872">
        <v>114.34</v>
      </c>
      <c r="K4872">
        <v>23.6</v>
      </c>
      <c r="L4872" t="s">
        <v>11</v>
      </c>
      <c r="M4872">
        <v>0</v>
      </c>
      <c r="N4872" t="str">
        <f t="shared" si="228"/>
        <v>Under 40</v>
      </c>
      <c r="O4872" t="str">
        <f t="shared" si="229"/>
        <v>Normal</v>
      </c>
    </row>
    <row r="4873" spans="1:15" x14ac:dyDescent="0.3">
      <c r="A4873">
        <v>59911</v>
      </c>
      <c r="B4873" t="s">
        <v>2</v>
      </c>
      <c r="C4873">
        <v>12</v>
      </c>
      <c r="D4873">
        <v>0</v>
      </c>
      <c r="E4873">
        <v>0</v>
      </c>
      <c r="F4873" t="str">
        <f t="shared" si="230"/>
        <v>Lower Risk</v>
      </c>
      <c r="G4873" t="s">
        <v>13</v>
      </c>
      <c r="H4873" t="s">
        <v>16</v>
      </c>
      <c r="I4873" t="s">
        <v>5</v>
      </c>
      <c r="J4873">
        <v>69.25</v>
      </c>
      <c r="K4873">
        <v>18.600000000000001</v>
      </c>
      <c r="L4873" t="s">
        <v>14</v>
      </c>
      <c r="M4873">
        <v>0</v>
      </c>
      <c r="N4873" t="str">
        <f t="shared" si="228"/>
        <v>Under 40</v>
      </c>
      <c r="O4873" t="str">
        <f t="shared" si="229"/>
        <v>Normal</v>
      </c>
    </row>
    <row r="4874" spans="1:15" x14ac:dyDescent="0.3">
      <c r="A4874">
        <v>13583</v>
      </c>
      <c r="B4874" t="s">
        <v>7</v>
      </c>
      <c r="C4874">
        <v>5</v>
      </c>
      <c r="D4874">
        <v>0</v>
      </c>
      <c r="E4874">
        <v>0</v>
      </c>
      <c r="F4874" t="str">
        <f t="shared" si="230"/>
        <v>Lower Risk</v>
      </c>
      <c r="G4874" t="s">
        <v>13</v>
      </c>
      <c r="H4874" t="s">
        <v>16</v>
      </c>
      <c r="I4874" t="s">
        <v>9</v>
      </c>
      <c r="J4874">
        <v>88.44</v>
      </c>
      <c r="K4874">
        <v>18</v>
      </c>
      <c r="L4874" t="s">
        <v>14</v>
      </c>
      <c r="M4874">
        <v>0</v>
      </c>
      <c r="N4874" t="str">
        <f t="shared" si="228"/>
        <v>Under 40</v>
      </c>
      <c r="O4874" t="str">
        <f t="shared" si="229"/>
        <v>Underweight</v>
      </c>
    </row>
    <row r="4875" spans="1:15" x14ac:dyDescent="0.3">
      <c r="A4875">
        <v>22897</v>
      </c>
      <c r="B4875" t="s">
        <v>2</v>
      </c>
      <c r="C4875">
        <v>39</v>
      </c>
      <c r="D4875">
        <v>0</v>
      </c>
      <c r="E4875">
        <v>0</v>
      </c>
      <c r="F4875" t="str">
        <f t="shared" si="230"/>
        <v>Lower Risk</v>
      </c>
      <c r="G4875" t="s">
        <v>3</v>
      </c>
      <c r="H4875" t="s">
        <v>4</v>
      </c>
      <c r="I4875" t="s">
        <v>9</v>
      </c>
      <c r="J4875">
        <v>84.09</v>
      </c>
      <c r="K4875">
        <v>31.1</v>
      </c>
      <c r="L4875" t="s">
        <v>6</v>
      </c>
      <c r="M4875">
        <v>0</v>
      </c>
      <c r="N4875" t="str">
        <f t="shared" si="228"/>
        <v>Under 40</v>
      </c>
      <c r="O4875" t="str">
        <f t="shared" si="229"/>
        <v>Obese</v>
      </c>
    </row>
    <row r="4876" spans="1:15" x14ac:dyDescent="0.3">
      <c r="A4876">
        <v>11898</v>
      </c>
      <c r="B4876" t="s">
        <v>7</v>
      </c>
      <c r="C4876">
        <v>41</v>
      </c>
      <c r="D4876">
        <v>0</v>
      </c>
      <c r="E4876">
        <v>0</v>
      </c>
      <c r="F4876" t="str">
        <f t="shared" si="230"/>
        <v>Lower Risk</v>
      </c>
      <c r="G4876" t="s">
        <v>3</v>
      </c>
      <c r="H4876" t="s">
        <v>4</v>
      </c>
      <c r="I4876" t="s">
        <v>5</v>
      </c>
      <c r="J4876">
        <v>87.06</v>
      </c>
      <c r="K4876">
        <v>30</v>
      </c>
      <c r="L4876" t="s">
        <v>11</v>
      </c>
      <c r="M4876">
        <v>0</v>
      </c>
      <c r="N4876" t="str">
        <f t="shared" si="228"/>
        <v>40–59</v>
      </c>
      <c r="O4876" t="str">
        <f t="shared" si="229"/>
        <v>Obese</v>
      </c>
    </row>
    <row r="4877" spans="1:15" x14ac:dyDescent="0.3">
      <c r="A4877">
        <v>14785</v>
      </c>
      <c r="B4877" t="s">
        <v>7</v>
      </c>
      <c r="C4877">
        <v>41</v>
      </c>
      <c r="D4877">
        <v>0</v>
      </c>
      <c r="E4877">
        <v>0</v>
      </c>
      <c r="F4877" t="str">
        <f t="shared" si="230"/>
        <v>Lower Risk</v>
      </c>
      <c r="G4877" t="s">
        <v>3</v>
      </c>
      <c r="H4877" t="s">
        <v>4</v>
      </c>
      <c r="I4877" t="s">
        <v>9</v>
      </c>
      <c r="J4877">
        <v>92.64</v>
      </c>
      <c r="K4877">
        <v>43.8</v>
      </c>
      <c r="L4877" t="s">
        <v>11</v>
      </c>
      <c r="M4877">
        <v>0</v>
      </c>
      <c r="N4877" t="str">
        <f t="shared" si="228"/>
        <v>40–59</v>
      </c>
      <c r="O4877" t="str">
        <f t="shared" si="229"/>
        <v>Obese</v>
      </c>
    </row>
    <row r="4878" spans="1:15" x14ac:dyDescent="0.3">
      <c r="A4878">
        <v>45163</v>
      </c>
      <c r="B4878" t="s">
        <v>7</v>
      </c>
      <c r="C4878">
        <v>47</v>
      </c>
      <c r="D4878">
        <v>0</v>
      </c>
      <c r="E4878">
        <v>0</v>
      </c>
      <c r="F4878" t="str">
        <f t="shared" si="230"/>
        <v>Lower Risk</v>
      </c>
      <c r="G4878" t="s">
        <v>3</v>
      </c>
      <c r="H4878" t="s">
        <v>4</v>
      </c>
      <c r="I4878" t="s">
        <v>5</v>
      </c>
      <c r="J4878">
        <v>99.36</v>
      </c>
      <c r="K4878">
        <v>23.8</v>
      </c>
      <c r="L4878" t="s">
        <v>12</v>
      </c>
      <c r="M4878">
        <v>0</v>
      </c>
      <c r="N4878" t="str">
        <f t="shared" si="228"/>
        <v>40–59</v>
      </c>
      <c r="O4878" t="str">
        <f t="shared" si="229"/>
        <v>Normal</v>
      </c>
    </row>
    <row r="4879" spans="1:15" x14ac:dyDescent="0.3">
      <c r="A4879">
        <v>57254</v>
      </c>
      <c r="B4879" t="s">
        <v>7</v>
      </c>
      <c r="C4879">
        <v>57</v>
      </c>
      <c r="D4879">
        <v>0</v>
      </c>
      <c r="E4879">
        <v>0</v>
      </c>
      <c r="F4879" t="str">
        <f t="shared" si="230"/>
        <v>Lower Risk</v>
      </c>
      <c r="G4879" t="s">
        <v>3</v>
      </c>
      <c r="H4879" t="s">
        <v>4</v>
      </c>
      <c r="I4879" t="s">
        <v>9</v>
      </c>
      <c r="J4879">
        <v>135.63</v>
      </c>
      <c r="K4879">
        <v>36.200000000000003</v>
      </c>
      <c r="L4879" t="s">
        <v>6</v>
      </c>
      <c r="M4879">
        <v>0</v>
      </c>
      <c r="N4879" t="str">
        <f t="shared" si="228"/>
        <v>40–59</v>
      </c>
      <c r="O4879" t="str">
        <f t="shared" si="229"/>
        <v>Obese</v>
      </c>
    </row>
    <row r="4880" spans="1:15" x14ac:dyDescent="0.3">
      <c r="A4880">
        <v>30658</v>
      </c>
      <c r="B4880" t="s">
        <v>2</v>
      </c>
      <c r="C4880">
        <v>16</v>
      </c>
      <c r="D4880">
        <v>0</v>
      </c>
      <c r="E4880">
        <v>0</v>
      </c>
      <c r="F4880" t="str">
        <f t="shared" si="230"/>
        <v>Lower Risk</v>
      </c>
      <c r="G4880" t="s">
        <v>13</v>
      </c>
      <c r="H4880" t="s">
        <v>16</v>
      </c>
      <c r="I4880" t="s">
        <v>9</v>
      </c>
      <c r="J4880">
        <v>82.44</v>
      </c>
      <c r="K4880">
        <v>32.6</v>
      </c>
      <c r="L4880" t="s">
        <v>14</v>
      </c>
      <c r="M4880">
        <v>0</v>
      </c>
      <c r="N4880" t="str">
        <f t="shared" si="228"/>
        <v>Under 40</v>
      </c>
      <c r="O4880" t="str">
        <f t="shared" si="229"/>
        <v>Obese</v>
      </c>
    </row>
    <row r="4881" spans="1:15" x14ac:dyDescent="0.3">
      <c r="A4881">
        <v>32617</v>
      </c>
      <c r="B4881" t="s">
        <v>2</v>
      </c>
      <c r="C4881">
        <v>3</v>
      </c>
      <c r="D4881">
        <v>0</v>
      </c>
      <c r="E4881">
        <v>0</v>
      </c>
      <c r="F4881" t="str">
        <f t="shared" si="230"/>
        <v>Lower Risk</v>
      </c>
      <c r="G4881" t="s">
        <v>13</v>
      </c>
      <c r="H4881" t="s">
        <v>16</v>
      </c>
      <c r="I4881" t="s">
        <v>5</v>
      </c>
      <c r="J4881">
        <v>81.88</v>
      </c>
      <c r="K4881">
        <v>18</v>
      </c>
      <c r="L4881" t="s">
        <v>14</v>
      </c>
      <c r="M4881">
        <v>0</v>
      </c>
      <c r="N4881" t="str">
        <f t="shared" si="228"/>
        <v>Under 40</v>
      </c>
      <c r="O4881" t="str">
        <f t="shared" si="229"/>
        <v>Underweight</v>
      </c>
    </row>
    <row r="4882" spans="1:15" x14ac:dyDescent="0.3">
      <c r="A4882">
        <v>65376</v>
      </c>
      <c r="B4882" t="s">
        <v>7</v>
      </c>
      <c r="C4882">
        <v>65</v>
      </c>
      <c r="D4882">
        <v>0</v>
      </c>
      <c r="E4882">
        <v>0</v>
      </c>
      <c r="F4882" t="str">
        <f t="shared" si="230"/>
        <v>Moderate Risk</v>
      </c>
      <c r="G4882" t="s">
        <v>3</v>
      </c>
      <c r="H4882" t="s">
        <v>8</v>
      </c>
      <c r="I4882" t="s">
        <v>5</v>
      </c>
      <c r="J4882">
        <v>95.44</v>
      </c>
      <c r="K4882">
        <v>25.5</v>
      </c>
      <c r="L4882" t="s">
        <v>12</v>
      </c>
      <c r="M4882">
        <v>0</v>
      </c>
      <c r="N4882" t="str">
        <f t="shared" si="228"/>
        <v>60+</v>
      </c>
      <c r="O4882" t="str">
        <f t="shared" si="229"/>
        <v>Overweight</v>
      </c>
    </row>
    <row r="4883" spans="1:15" x14ac:dyDescent="0.3">
      <c r="A4883">
        <v>1731</v>
      </c>
      <c r="B4883" t="s">
        <v>7</v>
      </c>
      <c r="C4883">
        <v>80</v>
      </c>
      <c r="D4883">
        <v>0</v>
      </c>
      <c r="E4883">
        <v>0</v>
      </c>
      <c r="F4883" t="str">
        <f t="shared" si="230"/>
        <v>Moderate Risk</v>
      </c>
      <c r="G4883" t="s">
        <v>13</v>
      </c>
      <c r="H4883" t="s">
        <v>8</v>
      </c>
      <c r="I4883" t="s">
        <v>5</v>
      </c>
      <c r="J4883">
        <v>72.709999999999994</v>
      </c>
      <c r="K4883">
        <v>29.9</v>
      </c>
      <c r="L4883" t="s">
        <v>11</v>
      </c>
      <c r="M4883">
        <v>0</v>
      </c>
      <c r="N4883" t="str">
        <f t="shared" si="228"/>
        <v>60+</v>
      </c>
      <c r="O4883" t="str">
        <f t="shared" si="229"/>
        <v>Overweight</v>
      </c>
    </row>
    <row r="4884" spans="1:15" x14ac:dyDescent="0.3">
      <c r="A4884">
        <v>38441</v>
      </c>
      <c r="B4884" t="s">
        <v>7</v>
      </c>
      <c r="C4884">
        <v>58</v>
      </c>
      <c r="D4884">
        <v>0</v>
      </c>
      <c r="E4884">
        <v>0</v>
      </c>
      <c r="F4884" t="str">
        <f t="shared" si="230"/>
        <v>Lower Risk</v>
      </c>
      <c r="G4884" t="s">
        <v>3</v>
      </c>
      <c r="H4884" t="s">
        <v>4</v>
      </c>
      <c r="I4884" t="s">
        <v>5</v>
      </c>
      <c r="J4884">
        <v>65.45</v>
      </c>
      <c r="K4884">
        <v>32.1</v>
      </c>
      <c r="L4884" t="s">
        <v>11</v>
      </c>
      <c r="M4884">
        <v>0</v>
      </c>
      <c r="N4884" t="str">
        <f t="shared" si="228"/>
        <v>40–59</v>
      </c>
      <c r="O4884" t="str">
        <f t="shared" si="229"/>
        <v>Obese</v>
      </c>
    </row>
    <row r="4885" spans="1:15" x14ac:dyDescent="0.3">
      <c r="A4885">
        <v>22147</v>
      </c>
      <c r="B4885" t="s">
        <v>7</v>
      </c>
      <c r="C4885">
        <v>74</v>
      </c>
      <c r="D4885">
        <v>0</v>
      </c>
      <c r="E4885">
        <v>0</v>
      </c>
      <c r="F4885" t="str">
        <f t="shared" si="230"/>
        <v>Moderate Risk</v>
      </c>
      <c r="G4885" t="s">
        <v>3</v>
      </c>
      <c r="H4885" t="s">
        <v>4</v>
      </c>
      <c r="I4885" t="s">
        <v>5</v>
      </c>
      <c r="J4885">
        <v>203.01</v>
      </c>
      <c r="K4885">
        <v>25.4</v>
      </c>
      <c r="L4885" t="s">
        <v>11</v>
      </c>
      <c r="M4885">
        <v>0</v>
      </c>
      <c r="N4885" t="str">
        <f t="shared" si="228"/>
        <v>60+</v>
      </c>
      <c r="O4885" t="str">
        <f t="shared" si="229"/>
        <v>Overweight</v>
      </c>
    </row>
    <row r="4886" spans="1:15" x14ac:dyDescent="0.3">
      <c r="A4886">
        <v>50663</v>
      </c>
      <c r="B4886" t="s">
        <v>7</v>
      </c>
      <c r="C4886">
        <v>62</v>
      </c>
      <c r="D4886">
        <v>0</v>
      </c>
      <c r="E4886">
        <v>0</v>
      </c>
      <c r="F4886" t="str">
        <f t="shared" si="230"/>
        <v>Moderate Risk</v>
      </c>
      <c r="G4886" t="s">
        <v>3</v>
      </c>
      <c r="H4886" t="s">
        <v>15</v>
      </c>
      <c r="I4886" t="s">
        <v>5</v>
      </c>
      <c r="J4886">
        <v>110.84</v>
      </c>
      <c r="K4886">
        <v>23.4</v>
      </c>
      <c r="L4886" t="s">
        <v>12</v>
      </c>
      <c r="M4886">
        <v>0</v>
      </c>
      <c r="N4886" t="str">
        <f t="shared" si="228"/>
        <v>60+</v>
      </c>
      <c r="O4886" t="str">
        <f t="shared" si="229"/>
        <v>Normal</v>
      </c>
    </row>
    <row r="4887" spans="1:15" x14ac:dyDescent="0.3">
      <c r="A4887">
        <v>19165</v>
      </c>
      <c r="B4887" t="s">
        <v>2</v>
      </c>
      <c r="C4887">
        <v>33</v>
      </c>
      <c r="D4887">
        <v>0</v>
      </c>
      <c r="E4887">
        <v>0</v>
      </c>
      <c r="F4887" t="str">
        <f t="shared" si="230"/>
        <v>Lower Risk</v>
      </c>
      <c r="G4887" t="s">
        <v>3</v>
      </c>
      <c r="H4887" t="s">
        <v>4</v>
      </c>
      <c r="I4887" t="s">
        <v>5</v>
      </c>
      <c r="J4887">
        <v>83.12</v>
      </c>
      <c r="K4887">
        <v>23.4</v>
      </c>
      <c r="L4887" t="s">
        <v>14</v>
      </c>
      <c r="M4887">
        <v>0</v>
      </c>
      <c r="N4887" t="str">
        <f t="shared" si="228"/>
        <v>Under 40</v>
      </c>
      <c r="O4887" t="str">
        <f t="shared" si="229"/>
        <v>Normal</v>
      </c>
    </row>
    <row r="4888" spans="1:15" x14ac:dyDescent="0.3">
      <c r="A4888">
        <v>60562</v>
      </c>
      <c r="B4888" t="s">
        <v>7</v>
      </c>
      <c r="C4888">
        <v>21</v>
      </c>
      <c r="D4888">
        <v>0</v>
      </c>
      <c r="E4888">
        <v>0</v>
      </c>
      <c r="F4888" t="str">
        <f t="shared" si="230"/>
        <v>Lower Risk</v>
      </c>
      <c r="G4888" t="s">
        <v>13</v>
      </c>
      <c r="H4888" t="s">
        <v>4</v>
      </c>
      <c r="I4888" t="s">
        <v>9</v>
      </c>
      <c r="J4888">
        <v>55.12</v>
      </c>
      <c r="K4888">
        <v>21.8</v>
      </c>
      <c r="L4888" t="s">
        <v>11</v>
      </c>
      <c r="M4888">
        <v>0</v>
      </c>
      <c r="N4888" t="str">
        <f t="shared" si="228"/>
        <v>Under 40</v>
      </c>
      <c r="O4888" t="str">
        <f t="shared" si="229"/>
        <v>Normal</v>
      </c>
    </row>
    <row r="4889" spans="1:15" x14ac:dyDescent="0.3">
      <c r="A4889">
        <v>22013</v>
      </c>
      <c r="B4889" t="s">
        <v>7</v>
      </c>
      <c r="C4889">
        <v>17</v>
      </c>
      <c r="D4889">
        <v>0</v>
      </c>
      <c r="E4889">
        <v>0</v>
      </c>
      <c r="F4889" t="str">
        <f t="shared" si="230"/>
        <v>Lower Risk</v>
      </c>
      <c r="G4889" t="s">
        <v>13</v>
      </c>
      <c r="H4889" t="s">
        <v>4</v>
      </c>
      <c r="I4889" t="s">
        <v>9</v>
      </c>
      <c r="J4889">
        <v>105.91</v>
      </c>
      <c r="K4889">
        <v>30.8</v>
      </c>
      <c r="L4889" t="s">
        <v>11</v>
      </c>
      <c r="M4889">
        <v>0</v>
      </c>
      <c r="N4889" t="str">
        <f t="shared" si="228"/>
        <v>Under 40</v>
      </c>
      <c r="O4889" t="str">
        <f t="shared" si="229"/>
        <v>Obese</v>
      </c>
    </row>
    <row r="4890" spans="1:15" x14ac:dyDescent="0.3">
      <c r="A4890">
        <v>39936</v>
      </c>
      <c r="B4890" t="s">
        <v>7</v>
      </c>
      <c r="C4890">
        <v>49</v>
      </c>
      <c r="D4890">
        <v>0</v>
      </c>
      <c r="E4890">
        <v>0</v>
      </c>
      <c r="F4890" t="str">
        <f t="shared" si="230"/>
        <v>Lower Risk</v>
      </c>
      <c r="G4890" t="s">
        <v>3</v>
      </c>
      <c r="H4890" t="s">
        <v>4</v>
      </c>
      <c r="I4890" t="s">
        <v>9</v>
      </c>
      <c r="J4890">
        <v>61.57</v>
      </c>
      <c r="K4890">
        <v>37.9</v>
      </c>
      <c r="L4890" t="s">
        <v>6</v>
      </c>
      <c r="M4890">
        <v>0</v>
      </c>
      <c r="N4890" t="str">
        <f t="shared" si="228"/>
        <v>40–59</v>
      </c>
      <c r="O4890" t="str">
        <f t="shared" si="229"/>
        <v>Obese</v>
      </c>
    </row>
    <row r="4891" spans="1:15" x14ac:dyDescent="0.3">
      <c r="A4891">
        <v>6517</v>
      </c>
      <c r="B4891" t="s">
        <v>7</v>
      </c>
      <c r="C4891">
        <v>24</v>
      </c>
      <c r="D4891">
        <v>0</v>
      </c>
      <c r="E4891">
        <v>0</v>
      </c>
      <c r="F4891" t="str">
        <f t="shared" si="230"/>
        <v>Lower Risk</v>
      </c>
      <c r="G4891" t="s">
        <v>3</v>
      </c>
      <c r="H4891" t="s">
        <v>15</v>
      </c>
      <c r="I4891" t="s">
        <v>5</v>
      </c>
      <c r="J4891">
        <v>83.1</v>
      </c>
      <c r="K4891">
        <v>42.5</v>
      </c>
      <c r="L4891" t="s">
        <v>12</v>
      </c>
      <c r="M4891">
        <v>0</v>
      </c>
      <c r="N4891" t="str">
        <f t="shared" si="228"/>
        <v>Under 40</v>
      </c>
      <c r="O4891" t="str">
        <f t="shared" si="229"/>
        <v>Obese</v>
      </c>
    </row>
    <row r="4892" spans="1:15" x14ac:dyDescent="0.3">
      <c r="A4892">
        <v>62576</v>
      </c>
      <c r="B4892" t="s">
        <v>7</v>
      </c>
      <c r="C4892">
        <v>56</v>
      </c>
      <c r="D4892">
        <v>0</v>
      </c>
      <c r="E4892">
        <v>0</v>
      </c>
      <c r="F4892" t="str">
        <f t="shared" si="230"/>
        <v>Lower Risk</v>
      </c>
      <c r="G4892" t="s">
        <v>3</v>
      </c>
      <c r="H4892" t="s">
        <v>4</v>
      </c>
      <c r="I4892" t="s">
        <v>5</v>
      </c>
      <c r="J4892">
        <v>66.319999999999993</v>
      </c>
      <c r="K4892">
        <v>23.4</v>
      </c>
      <c r="L4892" t="s">
        <v>11</v>
      </c>
      <c r="M4892">
        <v>0</v>
      </c>
      <c r="N4892" t="str">
        <f t="shared" si="228"/>
        <v>40–59</v>
      </c>
      <c r="O4892" t="str">
        <f t="shared" si="229"/>
        <v>Normal</v>
      </c>
    </row>
    <row r="4893" spans="1:15" x14ac:dyDescent="0.3">
      <c r="A4893">
        <v>18636</v>
      </c>
      <c r="B4893" t="s">
        <v>7</v>
      </c>
      <c r="C4893">
        <v>26</v>
      </c>
      <c r="D4893">
        <v>0</v>
      </c>
      <c r="E4893">
        <v>0</v>
      </c>
      <c r="F4893" t="str">
        <f t="shared" si="230"/>
        <v>Lower Risk</v>
      </c>
      <c r="G4893" t="s">
        <v>3</v>
      </c>
      <c r="H4893" t="s">
        <v>15</v>
      </c>
      <c r="I4893" t="s">
        <v>5</v>
      </c>
      <c r="J4893">
        <v>72.56</v>
      </c>
      <c r="K4893">
        <v>35.4</v>
      </c>
      <c r="L4893" t="s">
        <v>11</v>
      </c>
      <c r="M4893">
        <v>0</v>
      </c>
      <c r="N4893" t="str">
        <f t="shared" si="228"/>
        <v>Under 40</v>
      </c>
      <c r="O4893" t="str">
        <f t="shared" si="229"/>
        <v>Obese</v>
      </c>
    </row>
    <row r="4894" spans="1:15" x14ac:dyDescent="0.3">
      <c r="A4894">
        <v>24299</v>
      </c>
      <c r="B4894" t="s">
        <v>2</v>
      </c>
      <c r="C4894">
        <v>54</v>
      </c>
      <c r="D4894">
        <v>1</v>
      </c>
      <c r="E4894">
        <v>0</v>
      </c>
      <c r="F4894" t="str">
        <f t="shared" si="230"/>
        <v>Lower Risk</v>
      </c>
      <c r="G4894" t="s">
        <v>3</v>
      </c>
      <c r="H4894" t="s">
        <v>8</v>
      </c>
      <c r="I4894" t="s">
        <v>9</v>
      </c>
      <c r="J4894">
        <v>97.99</v>
      </c>
      <c r="K4894">
        <v>32.299999999999997</v>
      </c>
      <c r="L4894" t="s">
        <v>12</v>
      </c>
      <c r="M4894">
        <v>0</v>
      </c>
      <c r="N4894" t="str">
        <f t="shared" si="228"/>
        <v>40–59</v>
      </c>
      <c r="O4894" t="str">
        <f t="shared" si="229"/>
        <v>Obese</v>
      </c>
    </row>
    <row r="4895" spans="1:15" x14ac:dyDescent="0.3">
      <c r="A4895">
        <v>40826</v>
      </c>
      <c r="B4895" t="s">
        <v>7</v>
      </c>
      <c r="C4895">
        <v>42</v>
      </c>
      <c r="D4895">
        <v>0</v>
      </c>
      <c r="E4895">
        <v>0</v>
      </c>
      <c r="F4895" t="str">
        <f t="shared" si="230"/>
        <v>Lower Risk</v>
      </c>
      <c r="G4895" t="s">
        <v>13</v>
      </c>
      <c r="H4895" t="s">
        <v>4</v>
      </c>
      <c r="I4895" t="s">
        <v>5</v>
      </c>
      <c r="J4895">
        <v>63.27</v>
      </c>
      <c r="K4895">
        <v>27</v>
      </c>
      <c r="L4895" t="s">
        <v>11</v>
      </c>
      <c r="M4895">
        <v>0</v>
      </c>
      <c r="N4895" t="str">
        <f t="shared" si="228"/>
        <v>40–59</v>
      </c>
      <c r="O4895" t="str">
        <f t="shared" si="229"/>
        <v>Overweight</v>
      </c>
    </row>
    <row r="4896" spans="1:15" x14ac:dyDescent="0.3">
      <c r="A4896">
        <v>53323</v>
      </c>
      <c r="B4896" t="s">
        <v>7</v>
      </c>
      <c r="C4896">
        <v>34</v>
      </c>
      <c r="D4896">
        <v>0</v>
      </c>
      <c r="E4896">
        <v>0</v>
      </c>
      <c r="F4896" t="str">
        <f t="shared" si="230"/>
        <v>Lower Risk</v>
      </c>
      <c r="G4896" t="s">
        <v>13</v>
      </c>
      <c r="H4896" t="s">
        <v>15</v>
      </c>
      <c r="I4896" t="s">
        <v>5</v>
      </c>
      <c r="J4896">
        <v>79.599999999999994</v>
      </c>
      <c r="K4896">
        <v>46.3</v>
      </c>
      <c r="L4896" t="s">
        <v>11</v>
      </c>
      <c r="M4896">
        <v>0</v>
      </c>
      <c r="N4896" t="str">
        <f t="shared" si="228"/>
        <v>Under 40</v>
      </c>
      <c r="O4896" t="str">
        <f t="shared" si="229"/>
        <v>Obese</v>
      </c>
    </row>
    <row r="4897" spans="1:15" x14ac:dyDescent="0.3">
      <c r="A4897">
        <v>28717</v>
      </c>
      <c r="B4897" t="s">
        <v>7</v>
      </c>
      <c r="C4897">
        <v>56</v>
      </c>
      <c r="D4897">
        <v>1</v>
      </c>
      <c r="E4897">
        <v>0</v>
      </c>
      <c r="F4897" t="str">
        <f t="shared" si="230"/>
        <v>Lower Risk</v>
      </c>
      <c r="G4897" t="s">
        <v>3</v>
      </c>
      <c r="H4897" t="s">
        <v>4</v>
      </c>
      <c r="I4897" t="s">
        <v>9</v>
      </c>
      <c r="J4897">
        <v>177.56</v>
      </c>
      <c r="K4897">
        <v>30.1</v>
      </c>
      <c r="L4897" t="s">
        <v>11</v>
      </c>
      <c r="M4897">
        <v>0</v>
      </c>
      <c r="N4897" t="str">
        <f t="shared" si="228"/>
        <v>40–59</v>
      </c>
      <c r="O4897" t="str">
        <f t="shared" si="229"/>
        <v>Obese</v>
      </c>
    </row>
    <row r="4898" spans="1:15" x14ac:dyDescent="0.3">
      <c r="A4898">
        <v>53028</v>
      </c>
      <c r="B4898" t="s">
        <v>7</v>
      </c>
      <c r="C4898">
        <v>39</v>
      </c>
      <c r="D4898">
        <v>0</v>
      </c>
      <c r="E4898">
        <v>0</v>
      </c>
      <c r="F4898" t="str">
        <f t="shared" si="230"/>
        <v>Lower Risk</v>
      </c>
      <c r="G4898" t="s">
        <v>3</v>
      </c>
      <c r="H4898" t="s">
        <v>4</v>
      </c>
      <c r="I4898" t="s">
        <v>9</v>
      </c>
      <c r="J4898">
        <v>81.31</v>
      </c>
      <c r="K4898">
        <v>34.700000000000003</v>
      </c>
      <c r="L4898" t="s">
        <v>11</v>
      </c>
      <c r="M4898">
        <v>0</v>
      </c>
      <c r="N4898" t="str">
        <f t="shared" si="228"/>
        <v>Under 40</v>
      </c>
      <c r="O4898" t="str">
        <f t="shared" si="229"/>
        <v>Obese</v>
      </c>
    </row>
    <row r="4899" spans="1:15" x14ac:dyDescent="0.3">
      <c r="A4899">
        <v>57757</v>
      </c>
      <c r="B4899" t="s">
        <v>7</v>
      </c>
      <c r="C4899">
        <v>77</v>
      </c>
      <c r="D4899">
        <v>0</v>
      </c>
      <c r="E4899">
        <v>0</v>
      </c>
      <c r="F4899" t="str">
        <f t="shared" si="230"/>
        <v>Moderate Risk</v>
      </c>
      <c r="G4899" t="s">
        <v>3</v>
      </c>
      <c r="H4899" t="s">
        <v>8</v>
      </c>
      <c r="I4899" t="s">
        <v>9</v>
      </c>
      <c r="J4899">
        <v>59.91</v>
      </c>
      <c r="K4899">
        <v>18.3</v>
      </c>
      <c r="L4899" t="s">
        <v>11</v>
      </c>
      <c r="M4899">
        <v>0</v>
      </c>
      <c r="N4899" t="str">
        <f t="shared" si="228"/>
        <v>60+</v>
      </c>
      <c r="O4899" t="str">
        <f t="shared" si="229"/>
        <v>Underweight</v>
      </c>
    </row>
    <row r="4900" spans="1:15" x14ac:dyDescent="0.3">
      <c r="A4900">
        <v>54795</v>
      </c>
      <c r="B4900" t="s">
        <v>7</v>
      </c>
      <c r="C4900">
        <v>12</v>
      </c>
      <c r="D4900">
        <v>0</v>
      </c>
      <c r="E4900">
        <v>0</v>
      </c>
      <c r="F4900" t="str">
        <f t="shared" si="230"/>
        <v>Lower Risk</v>
      </c>
      <c r="G4900" t="s">
        <v>13</v>
      </c>
      <c r="H4900" t="s">
        <v>16</v>
      </c>
      <c r="I4900" t="s">
        <v>9</v>
      </c>
      <c r="J4900">
        <v>132.85</v>
      </c>
      <c r="K4900">
        <v>16.2</v>
      </c>
      <c r="L4900" t="s">
        <v>11</v>
      </c>
      <c r="M4900">
        <v>0</v>
      </c>
      <c r="N4900" t="str">
        <f t="shared" si="228"/>
        <v>Under 40</v>
      </c>
      <c r="O4900" t="str">
        <f t="shared" si="229"/>
        <v>Underweight</v>
      </c>
    </row>
    <row r="4901" spans="1:15" x14ac:dyDescent="0.3">
      <c r="A4901">
        <v>70267</v>
      </c>
      <c r="B4901" t="s">
        <v>2</v>
      </c>
      <c r="C4901">
        <v>65</v>
      </c>
      <c r="D4901">
        <v>0</v>
      </c>
      <c r="E4901">
        <v>0</v>
      </c>
      <c r="F4901" t="str">
        <f t="shared" si="230"/>
        <v>Moderate Risk</v>
      </c>
      <c r="G4901" t="s">
        <v>3</v>
      </c>
      <c r="H4901" t="s">
        <v>4</v>
      </c>
      <c r="I4901" t="s">
        <v>9</v>
      </c>
      <c r="J4901">
        <v>198.84</v>
      </c>
      <c r="K4901">
        <v>33.200000000000003</v>
      </c>
      <c r="L4901" t="s">
        <v>6</v>
      </c>
      <c r="M4901">
        <v>0</v>
      </c>
      <c r="N4901" t="str">
        <f t="shared" si="228"/>
        <v>60+</v>
      </c>
      <c r="O4901" t="str">
        <f t="shared" si="229"/>
        <v>Obese</v>
      </c>
    </row>
    <row r="4902" spans="1:15" x14ac:dyDescent="0.3">
      <c r="A4902">
        <v>34084</v>
      </c>
      <c r="B4902" t="s">
        <v>2</v>
      </c>
      <c r="C4902">
        <v>7</v>
      </c>
      <c r="D4902">
        <v>0</v>
      </c>
      <c r="E4902">
        <v>0</v>
      </c>
      <c r="F4902" t="str">
        <f t="shared" si="230"/>
        <v>Lower Risk</v>
      </c>
      <c r="G4902" t="s">
        <v>13</v>
      </c>
      <c r="H4902" t="s">
        <v>16</v>
      </c>
      <c r="I4902" t="s">
        <v>5</v>
      </c>
      <c r="J4902">
        <v>77.12</v>
      </c>
      <c r="K4902">
        <v>18.600000000000001</v>
      </c>
      <c r="L4902" t="s">
        <v>14</v>
      </c>
      <c r="M4902">
        <v>0</v>
      </c>
      <c r="N4902" t="str">
        <f t="shared" si="228"/>
        <v>Under 40</v>
      </c>
      <c r="O4902" t="str">
        <f t="shared" si="229"/>
        <v>Normal</v>
      </c>
    </row>
    <row r="4903" spans="1:15" x14ac:dyDescent="0.3">
      <c r="A4903">
        <v>20258</v>
      </c>
      <c r="B4903" t="s">
        <v>2</v>
      </c>
      <c r="C4903">
        <v>25</v>
      </c>
      <c r="D4903">
        <v>0</v>
      </c>
      <c r="E4903">
        <v>0</v>
      </c>
      <c r="F4903" t="str">
        <f t="shared" si="230"/>
        <v>Lower Risk</v>
      </c>
      <c r="G4903" t="s">
        <v>13</v>
      </c>
      <c r="H4903" t="s">
        <v>4</v>
      </c>
      <c r="I4903" t="s">
        <v>5</v>
      </c>
      <c r="J4903">
        <v>87.17</v>
      </c>
      <c r="K4903">
        <v>25.1</v>
      </c>
      <c r="L4903" t="s">
        <v>11</v>
      </c>
      <c r="M4903">
        <v>0</v>
      </c>
      <c r="N4903" t="str">
        <f t="shared" si="228"/>
        <v>Under 40</v>
      </c>
      <c r="O4903" t="str">
        <f t="shared" si="229"/>
        <v>Overweight</v>
      </c>
    </row>
    <row r="4904" spans="1:15" x14ac:dyDescent="0.3">
      <c r="A4904">
        <v>65333</v>
      </c>
      <c r="B4904" t="s">
        <v>7</v>
      </c>
      <c r="C4904">
        <v>31</v>
      </c>
      <c r="D4904">
        <v>0</v>
      </c>
      <c r="E4904">
        <v>0</v>
      </c>
      <c r="F4904" t="str">
        <f t="shared" si="230"/>
        <v>Lower Risk</v>
      </c>
      <c r="G4904" t="s">
        <v>3</v>
      </c>
      <c r="H4904" t="s">
        <v>4</v>
      </c>
      <c r="I4904" t="s">
        <v>9</v>
      </c>
      <c r="J4904">
        <v>96.03</v>
      </c>
      <c r="K4904">
        <v>24.1</v>
      </c>
      <c r="L4904" t="s">
        <v>14</v>
      </c>
      <c r="M4904">
        <v>0</v>
      </c>
      <c r="N4904" t="str">
        <f t="shared" si="228"/>
        <v>Under 40</v>
      </c>
      <c r="O4904" t="str">
        <f t="shared" si="229"/>
        <v>Normal</v>
      </c>
    </row>
    <row r="4905" spans="1:15" x14ac:dyDescent="0.3">
      <c r="A4905">
        <v>56629</v>
      </c>
      <c r="B4905" t="s">
        <v>7</v>
      </c>
      <c r="C4905">
        <v>14</v>
      </c>
      <c r="D4905">
        <v>0</v>
      </c>
      <c r="E4905">
        <v>0</v>
      </c>
      <c r="F4905" t="str">
        <f t="shared" si="230"/>
        <v>Lower Risk</v>
      </c>
      <c r="G4905" t="s">
        <v>13</v>
      </c>
      <c r="H4905" t="s">
        <v>4</v>
      </c>
      <c r="I4905" t="s">
        <v>9</v>
      </c>
      <c r="J4905">
        <v>83.56</v>
      </c>
      <c r="K4905">
        <v>33.1</v>
      </c>
      <c r="L4905" t="s">
        <v>14</v>
      </c>
      <c r="M4905">
        <v>0</v>
      </c>
      <c r="N4905" t="str">
        <f t="shared" si="228"/>
        <v>Under 40</v>
      </c>
      <c r="O4905" t="str">
        <f t="shared" si="229"/>
        <v>Obese</v>
      </c>
    </row>
    <row r="4906" spans="1:15" x14ac:dyDescent="0.3">
      <c r="A4906">
        <v>22417</v>
      </c>
      <c r="B4906" t="s">
        <v>7</v>
      </c>
      <c r="C4906">
        <v>5</v>
      </c>
      <c r="D4906">
        <v>0</v>
      </c>
      <c r="E4906">
        <v>0</v>
      </c>
      <c r="F4906" t="str">
        <f t="shared" si="230"/>
        <v>Lower Risk</v>
      </c>
      <c r="G4906" t="s">
        <v>13</v>
      </c>
      <c r="H4906" t="s">
        <v>16</v>
      </c>
      <c r="I4906" t="s">
        <v>9</v>
      </c>
      <c r="J4906">
        <v>80.930000000000007</v>
      </c>
      <c r="K4906">
        <v>24.8</v>
      </c>
      <c r="L4906" t="s">
        <v>14</v>
      </c>
      <c r="M4906">
        <v>0</v>
      </c>
      <c r="N4906" t="str">
        <f t="shared" si="228"/>
        <v>Under 40</v>
      </c>
      <c r="O4906" t="str">
        <f t="shared" si="229"/>
        <v>Normal</v>
      </c>
    </row>
    <row r="4907" spans="1:15" x14ac:dyDescent="0.3">
      <c r="A4907">
        <v>49925</v>
      </c>
      <c r="B4907" t="s">
        <v>7</v>
      </c>
      <c r="C4907">
        <v>60</v>
      </c>
      <c r="D4907">
        <v>0</v>
      </c>
      <c r="E4907">
        <v>0</v>
      </c>
      <c r="F4907" t="str">
        <f t="shared" si="230"/>
        <v>Moderate Risk</v>
      </c>
      <c r="G4907" t="s">
        <v>3</v>
      </c>
      <c r="H4907" t="s">
        <v>4</v>
      </c>
      <c r="I4907" t="s">
        <v>9</v>
      </c>
      <c r="J4907">
        <v>84.54</v>
      </c>
      <c r="K4907">
        <v>23.4</v>
      </c>
      <c r="L4907" t="s">
        <v>12</v>
      </c>
      <c r="M4907">
        <v>0</v>
      </c>
      <c r="N4907" t="str">
        <f t="shared" si="228"/>
        <v>60+</v>
      </c>
      <c r="O4907" t="str">
        <f t="shared" si="229"/>
        <v>Normal</v>
      </c>
    </row>
    <row r="4908" spans="1:15" x14ac:dyDescent="0.3">
      <c r="A4908">
        <v>72696</v>
      </c>
      <c r="B4908" t="s">
        <v>7</v>
      </c>
      <c r="C4908">
        <v>53</v>
      </c>
      <c r="D4908">
        <v>0</v>
      </c>
      <c r="E4908">
        <v>0</v>
      </c>
      <c r="F4908" t="str">
        <f t="shared" si="230"/>
        <v>Lower Risk</v>
      </c>
      <c r="G4908" t="s">
        <v>3</v>
      </c>
      <c r="H4908" t="s">
        <v>4</v>
      </c>
      <c r="I4908" t="s">
        <v>5</v>
      </c>
      <c r="J4908">
        <v>70.510000000000005</v>
      </c>
      <c r="K4908">
        <v>54.1</v>
      </c>
      <c r="L4908" t="s">
        <v>11</v>
      </c>
      <c r="M4908">
        <v>0</v>
      </c>
      <c r="N4908" t="str">
        <f t="shared" si="228"/>
        <v>40–59</v>
      </c>
      <c r="O4908" t="str">
        <f t="shared" si="229"/>
        <v>Obese</v>
      </c>
    </row>
    <row r="4909" spans="1:15" x14ac:dyDescent="0.3">
      <c r="A4909">
        <v>39708</v>
      </c>
      <c r="B4909" t="s">
        <v>2</v>
      </c>
      <c r="C4909">
        <v>55</v>
      </c>
      <c r="D4909">
        <v>0</v>
      </c>
      <c r="E4909">
        <v>0</v>
      </c>
      <c r="F4909" t="str">
        <f t="shared" si="230"/>
        <v>Lower Risk</v>
      </c>
      <c r="G4909" t="s">
        <v>3</v>
      </c>
      <c r="H4909" t="s">
        <v>4</v>
      </c>
      <c r="I4909" t="s">
        <v>9</v>
      </c>
      <c r="J4909">
        <v>56.87</v>
      </c>
      <c r="K4909">
        <v>28.9</v>
      </c>
      <c r="L4909" t="s">
        <v>6</v>
      </c>
      <c r="M4909">
        <v>0</v>
      </c>
      <c r="N4909" t="str">
        <f t="shared" si="228"/>
        <v>40–59</v>
      </c>
      <c r="O4909" t="str">
        <f t="shared" si="229"/>
        <v>Overweight</v>
      </c>
    </row>
    <row r="4910" spans="1:15" x14ac:dyDescent="0.3">
      <c r="A4910">
        <v>60426</v>
      </c>
      <c r="B4910" t="s">
        <v>7</v>
      </c>
      <c r="C4910">
        <v>69</v>
      </c>
      <c r="D4910">
        <v>0</v>
      </c>
      <c r="E4910">
        <v>0</v>
      </c>
      <c r="F4910" t="str">
        <f t="shared" si="230"/>
        <v>Moderate Risk</v>
      </c>
      <c r="G4910" t="s">
        <v>3</v>
      </c>
      <c r="H4910" t="s">
        <v>8</v>
      </c>
      <c r="I4910" t="s">
        <v>5</v>
      </c>
      <c r="J4910">
        <v>67.55</v>
      </c>
      <c r="K4910">
        <v>38.1</v>
      </c>
      <c r="L4910" t="s">
        <v>14</v>
      </c>
      <c r="M4910">
        <v>0</v>
      </c>
      <c r="N4910" t="str">
        <f t="shared" si="228"/>
        <v>60+</v>
      </c>
      <c r="O4910" t="str">
        <f t="shared" si="229"/>
        <v>Obese</v>
      </c>
    </row>
    <row r="4911" spans="1:15" x14ac:dyDescent="0.3">
      <c r="A4911">
        <v>70540</v>
      </c>
      <c r="B4911" t="s">
        <v>7</v>
      </c>
      <c r="C4911">
        <v>39</v>
      </c>
      <c r="D4911">
        <v>0</v>
      </c>
      <c r="E4911">
        <v>0</v>
      </c>
      <c r="F4911" t="str">
        <f t="shared" si="230"/>
        <v>Lower Risk</v>
      </c>
      <c r="G4911" t="s">
        <v>3</v>
      </c>
      <c r="H4911" t="s">
        <v>4</v>
      </c>
      <c r="I4911" t="s">
        <v>5</v>
      </c>
      <c r="J4911">
        <v>243.52</v>
      </c>
      <c r="K4911">
        <v>37.200000000000003</v>
      </c>
      <c r="L4911" t="s">
        <v>12</v>
      </c>
      <c r="M4911">
        <v>0</v>
      </c>
      <c r="N4911" t="str">
        <f t="shared" si="228"/>
        <v>Under 40</v>
      </c>
      <c r="O4911" t="str">
        <f t="shared" si="229"/>
        <v>Obese</v>
      </c>
    </row>
    <row r="4912" spans="1:15" x14ac:dyDescent="0.3">
      <c r="A4912">
        <v>37622</v>
      </c>
      <c r="B4912" t="s">
        <v>7</v>
      </c>
      <c r="C4912">
        <v>0.32</v>
      </c>
      <c r="D4912">
        <v>0</v>
      </c>
      <c r="E4912">
        <v>0</v>
      </c>
      <c r="F4912" t="str">
        <f t="shared" si="230"/>
        <v>Lower Risk</v>
      </c>
      <c r="G4912" t="s">
        <v>13</v>
      </c>
      <c r="H4912" t="s">
        <v>16</v>
      </c>
      <c r="I4912" t="s">
        <v>5</v>
      </c>
      <c r="J4912">
        <v>108.63</v>
      </c>
      <c r="K4912">
        <v>19.600000000000001</v>
      </c>
      <c r="L4912" t="s">
        <v>14</v>
      </c>
      <c r="M4912">
        <v>0</v>
      </c>
      <c r="N4912" t="str">
        <f t="shared" si="228"/>
        <v>Under 40</v>
      </c>
      <c r="O4912" t="str">
        <f t="shared" si="229"/>
        <v>Normal</v>
      </c>
    </row>
    <row r="4913" spans="1:15" x14ac:dyDescent="0.3">
      <c r="A4913">
        <v>44813</v>
      </c>
      <c r="B4913" t="s">
        <v>7</v>
      </c>
      <c r="C4913">
        <v>34</v>
      </c>
      <c r="D4913">
        <v>0</v>
      </c>
      <c r="E4913">
        <v>0</v>
      </c>
      <c r="F4913" t="str">
        <f t="shared" si="230"/>
        <v>Lower Risk</v>
      </c>
      <c r="G4913" t="s">
        <v>13</v>
      </c>
      <c r="H4913" t="s">
        <v>4</v>
      </c>
      <c r="I4913" t="s">
        <v>9</v>
      </c>
      <c r="J4913">
        <v>69.06</v>
      </c>
      <c r="K4913">
        <v>29</v>
      </c>
      <c r="L4913" t="s">
        <v>12</v>
      </c>
      <c r="M4913">
        <v>0</v>
      </c>
      <c r="N4913" t="str">
        <f t="shared" si="228"/>
        <v>Under 40</v>
      </c>
      <c r="O4913" t="str">
        <f t="shared" si="229"/>
        <v>Overweight</v>
      </c>
    </row>
    <row r="4914" spans="1:15" x14ac:dyDescent="0.3">
      <c r="A4914">
        <v>47153</v>
      </c>
      <c r="B4914" t="s">
        <v>7</v>
      </c>
      <c r="C4914">
        <v>80</v>
      </c>
      <c r="D4914">
        <v>0</v>
      </c>
      <c r="E4914">
        <v>0</v>
      </c>
      <c r="F4914" t="str">
        <f t="shared" si="230"/>
        <v>Moderate Risk</v>
      </c>
      <c r="G4914" t="s">
        <v>3</v>
      </c>
      <c r="H4914" t="s">
        <v>4</v>
      </c>
      <c r="I4914" t="s">
        <v>5</v>
      </c>
      <c r="J4914">
        <v>73.89</v>
      </c>
      <c r="K4914">
        <v>26.7</v>
      </c>
      <c r="L4914" t="s">
        <v>6</v>
      </c>
      <c r="M4914">
        <v>0</v>
      </c>
      <c r="N4914" t="str">
        <f t="shared" si="228"/>
        <v>60+</v>
      </c>
      <c r="O4914" t="str">
        <f t="shared" si="229"/>
        <v>Overweight</v>
      </c>
    </row>
    <row r="4915" spans="1:15" x14ac:dyDescent="0.3">
      <c r="A4915">
        <v>8175</v>
      </c>
      <c r="B4915" t="s">
        <v>2</v>
      </c>
      <c r="C4915">
        <v>20</v>
      </c>
      <c r="D4915">
        <v>0</v>
      </c>
      <c r="E4915">
        <v>0</v>
      </c>
      <c r="F4915" t="str">
        <f t="shared" si="230"/>
        <v>Lower Risk</v>
      </c>
      <c r="G4915" t="s">
        <v>13</v>
      </c>
      <c r="H4915" t="s">
        <v>4</v>
      </c>
      <c r="I4915" t="s">
        <v>5</v>
      </c>
      <c r="J4915">
        <v>84.49</v>
      </c>
      <c r="K4915">
        <v>20.5</v>
      </c>
      <c r="L4915" t="s">
        <v>11</v>
      </c>
      <c r="M4915">
        <v>0</v>
      </c>
      <c r="N4915" t="str">
        <f t="shared" si="228"/>
        <v>Under 40</v>
      </c>
      <c r="O4915" t="str">
        <f t="shared" si="229"/>
        <v>Normal</v>
      </c>
    </row>
    <row r="4916" spans="1:15" x14ac:dyDescent="0.3">
      <c r="A4916">
        <v>61528</v>
      </c>
      <c r="B4916" t="s">
        <v>7</v>
      </c>
      <c r="C4916">
        <v>45</v>
      </c>
      <c r="D4916">
        <v>0</v>
      </c>
      <c r="E4916">
        <v>0</v>
      </c>
      <c r="F4916" t="str">
        <f t="shared" si="230"/>
        <v>Lower Risk</v>
      </c>
      <c r="G4916" t="s">
        <v>3</v>
      </c>
      <c r="H4916" t="s">
        <v>15</v>
      </c>
      <c r="I4916" t="s">
        <v>5</v>
      </c>
      <c r="J4916">
        <v>73.709999999999994</v>
      </c>
      <c r="K4916">
        <v>34.1</v>
      </c>
      <c r="L4916" t="s">
        <v>11</v>
      </c>
      <c r="M4916">
        <v>0</v>
      </c>
      <c r="N4916" t="str">
        <f t="shared" si="228"/>
        <v>40–59</v>
      </c>
      <c r="O4916" t="str">
        <f t="shared" si="229"/>
        <v>Obese</v>
      </c>
    </row>
    <row r="4917" spans="1:15" x14ac:dyDescent="0.3">
      <c r="A4917">
        <v>38771</v>
      </c>
      <c r="B4917" t="s">
        <v>7</v>
      </c>
      <c r="C4917">
        <v>41</v>
      </c>
      <c r="D4917">
        <v>0</v>
      </c>
      <c r="E4917">
        <v>0</v>
      </c>
      <c r="F4917" t="str">
        <f t="shared" si="230"/>
        <v>Lower Risk</v>
      </c>
      <c r="G4917" t="s">
        <v>13</v>
      </c>
      <c r="H4917" t="s">
        <v>15</v>
      </c>
      <c r="I4917" t="s">
        <v>5</v>
      </c>
      <c r="J4917">
        <v>129.01</v>
      </c>
      <c r="K4917">
        <v>42.4</v>
      </c>
      <c r="L4917" t="s">
        <v>14</v>
      </c>
      <c r="M4917">
        <v>0</v>
      </c>
      <c r="N4917" t="str">
        <f t="shared" si="228"/>
        <v>40–59</v>
      </c>
      <c r="O4917" t="str">
        <f t="shared" si="229"/>
        <v>Obese</v>
      </c>
    </row>
    <row r="4918" spans="1:15" x14ac:dyDescent="0.3">
      <c r="A4918">
        <v>31189</v>
      </c>
      <c r="B4918" t="s">
        <v>2</v>
      </c>
      <c r="C4918">
        <v>54</v>
      </c>
      <c r="D4918">
        <v>0</v>
      </c>
      <c r="E4918">
        <v>0</v>
      </c>
      <c r="F4918" t="str">
        <f t="shared" si="230"/>
        <v>Lower Risk</v>
      </c>
      <c r="G4918" t="s">
        <v>3</v>
      </c>
      <c r="H4918" t="s">
        <v>15</v>
      </c>
      <c r="I4918" t="s">
        <v>5</v>
      </c>
      <c r="J4918">
        <v>72.959999999999994</v>
      </c>
      <c r="K4918">
        <v>37.700000000000003</v>
      </c>
      <c r="L4918" t="s">
        <v>12</v>
      </c>
      <c r="M4918">
        <v>0</v>
      </c>
      <c r="N4918" t="str">
        <f t="shared" si="228"/>
        <v>40–59</v>
      </c>
      <c r="O4918" t="str">
        <f t="shared" si="229"/>
        <v>Obese</v>
      </c>
    </row>
    <row r="4919" spans="1:15" x14ac:dyDescent="0.3">
      <c r="A4919">
        <v>27804</v>
      </c>
      <c r="B4919" t="s">
        <v>2</v>
      </c>
      <c r="C4919">
        <v>23</v>
      </c>
      <c r="D4919">
        <v>0</v>
      </c>
      <c r="E4919">
        <v>0</v>
      </c>
      <c r="F4919" t="str">
        <f t="shared" si="230"/>
        <v>Lower Risk</v>
      </c>
      <c r="G4919" t="s">
        <v>13</v>
      </c>
      <c r="H4919" t="s">
        <v>4</v>
      </c>
      <c r="I4919" t="s">
        <v>9</v>
      </c>
      <c r="J4919">
        <v>110.23</v>
      </c>
      <c r="K4919">
        <v>39.1</v>
      </c>
      <c r="L4919" t="s">
        <v>14</v>
      </c>
      <c r="M4919">
        <v>0</v>
      </c>
      <c r="N4919" t="str">
        <f t="shared" si="228"/>
        <v>Under 40</v>
      </c>
      <c r="O4919" t="str">
        <f t="shared" si="229"/>
        <v>Obese</v>
      </c>
    </row>
    <row r="4920" spans="1:15" x14ac:dyDescent="0.3">
      <c r="A4920">
        <v>41842</v>
      </c>
      <c r="B4920" t="s">
        <v>2</v>
      </c>
      <c r="C4920">
        <v>75</v>
      </c>
      <c r="D4920">
        <v>0</v>
      </c>
      <c r="E4920">
        <v>0</v>
      </c>
      <c r="F4920" t="str">
        <f t="shared" si="230"/>
        <v>Moderate Risk</v>
      </c>
      <c r="G4920" t="s">
        <v>3</v>
      </c>
      <c r="H4920" t="s">
        <v>15</v>
      </c>
      <c r="I4920" t="s">
        <v>9</v>
      </c>
      <c r="J4920">
        <v>79.489999999999995</v>
      </c>
      <c r="K4920">
        <v>28.9</v>
      </c>
      <c r="L4920" t="s">
        <v>14</v>
      </c>
      <c r="M4920">
        <v>0</v>
      </c>
      <c r="N4920" t="str">
        <f t="shared" si="228"/>
        <v>60+</v>
      </c>
      <c r="O4920" t="str">
        <f t="shared" si="229"/>
        <v>Overweight</v>
      </c>
    </row>
    <row r="4921" spans="1:15" x14ac:dyDescent="0.3">
      <c r="A4921">
        <v>11962</v>
      </c>
      <c r="B4921" t="s">
        <v>2</v>
      </c>
      <c r="C4921">
        <v>36</v>
      </c>
      <c r="D4921">
        <v>0</v>
      </c>
      <c r="E4921">
        <v>0</v>
      </c>
      <c r="F4921" t="str">
        <f t="shared" si="230"/>
        <v>Lower Risk</v>
      </c>
      <c r="G4921" t="s">
        <v>3</v>
      </c>
      <c r="H4921" t="s">
        <v>4</v>
      </c>
      <c r="I4921" t="s">
        <v>5</v>
      </c>
      <c r="J4921">
        <v>89.33</v>
      </c>
      <c r="K4921">
        <v>30.7</v>
      </c>
      <c r="L4921" t="s">
        <v>11</v>
      </c>
      <c r="M4921">
        <v>0</v>
      </c>
      <c r="N4921" t="str">
        <f t="shared" si="228"/>
        <v>Under 40</v>
      </c>
      <c r="O4921" t="str">
        <f t="shared" si="229"/>
        <v>Obese</v>
      </c>
    </row>
    <row r="4922" spans="1:15" x14ac:dyDescent="0.3">
      <c r="A4922">
        <v>45404</v>
      </c>
      <c r="B4922" t="s">
        <v>7</v>
      </c>
      <c r="C4922">
        <v>75</v>
      </c>
      <c r="D4922">
        <v>0</v>
      </c>
      <c r="E4922">
        <v>0</v>
      </c>
      <c r="F4922" t="str">
        <f t="shared" si="230"/>
        <v>Moderate Risk</v>
      </c>
      <c r="G4922" t="s">
        <v>3</v>
      </c>
      <c r="H4922" t="s">
        <v>4</v>
      </c>
      <c r="I4922" t="s">
        <v>9</v>
      </c>
      <c r="J4922">
        <v>68.38</v>
      </c>
      <c r="K4922">
        <v>33.799999999999997</v>
      </c>
      <c r="L4922" t="s">
        <v>14</v>
      </c>
      <c r="M4922">
        <v>0</v>
      </c>
      <c r="N4922" t="str">
        <f t="shared" si="228"/>
        <v>60+</v>
      </c>
      <c r="O4922" t="str">
        <f t="shared" si="229"/>
        <v>Obese</v>
      </c>
    </row>
    <row r="4923" spans="1:15" x14ac:dyDescent="0.3">
      <c r="A4923">
        <v>4062</v>
      </c>
      <c r="B4923" t="s">
        <v>2</v>
      </c>
      <c r="C4923">
        <v>72</v>
      </c>
      <c r="D4923">
        <v>0</v>
      </c>
      <c r="E4923">
        <v>1</v>
      </c>
      <c r="F4923" t="str">
        <f t="shared" si="230"/>
        <v>High Risk</v>
      </c>
      <c r="G4923" t="s">
        <v>3</v>
      </c>
      <c r="H4923" t="s">
        <v>4</v>
      </c>
      <c r="I4923" t="s">
        <v>9</v>
      </c>
      <c r="J4923">
        <v>238.27</v>
      </c>
      <c r="K4923" t="s">
        <v>10</v>
      </c>
      <c r="L4923" t="s">
        <v>12</v>
      </c>
      <c r="M4923">
        <v>0</v>
      </c>
      <c r="N4923" t="str">
        <f t="shared" si="228"/>
        <v>60+</v>
      </c>
      <c r="O4923" t="str">
        <f t="shared" si="229"/>
        <v>Unknown</v>
      </c>
    </row>
    <row r="4924" spans="1:15" x14ac:dyDescent="0.3">
      <c r="A4924">
        <v>63650</v>
      </c>
      <c r="B4924" t="s">
        <v>7</v>
      </c>
      <c r="C4924">
        <v>47</v>
      </c>
      <c r="D4924">
        <v>0</v>
      </c>
      <c r="E4924">
        <v>0</v>
      </c>
      <c r="F4924" t="str">
        <f t="shared" si="230"/>
        <v>Lower Risk</v>
      </c>
      <c r="G4924" t="s">
        <v>3</v>
      </c>
      <c r="H4924" t="s">
        <v>15</v>
      </c>
      <c r="I4924" t="s">
        <v>5</v>
      </c>
      <c r="J4924">
        <v>135.79</v>
      </c>
      <c r="K4924">
        <v>32.1</v>
      </c>
      <c r="L4924" t="s">
        <v>6</v>
      </c>
      <c r="M4924">
        <v>0</v>
      </c>
      <c r="N4924" t="str">
        <f t="shared" si="228"/>
        <v>40–59</v>
      </c>
      <c r="O4924" t="str">
        <f t="shared" si="229"/>
        <v>Obese</v>
      </c>
    </row>
    <row r="4925" spans="1:15" x14ac:dyDescent="0.3">
      <c r="A4925">
        <v>72186</v>
      </c>
      <c r="B4925" t="s">
        <v>7</v>
      </c>
      <c r="C4925">
        <v>15</v>
      </c>
      <c r="D4925">
        <v>0</v>
      </c>
      <c r="E4925">
        <v>0</v>
      </c>
      <c r="F4925" t="str">
        <f t="shared" si="230"/>
        <v>Lower Risk</v>
      </c>
      <c r="G4925" t="s">
        <v>13</v>
      </c>
      <c r="H4925" t="s">
        <v>4</v>
      </c>
      <c r="I4925" t="s">
        <v>9</v>
      </c>
      <c r="J4925">
        <v>82.19</v>
      </c>
      <c r="K4925">
        <v>40.5</v>
      </c>
      <c r="L4925" t="s">
        <v>11</v>
      </c>
      <c r="M4925">
        <v>0</v>
      </c>
      <c r="N4925" t="str">
        <f t="shared" si="228"/>
        <v>Under 40</v>
      </c>
      <c r="O4925" t="str">
        <f t="shared" si="229"/>
        <v>Obese</v>
      </c>
    </row>
    <row r="4926" spans="1:15" x14ac:dyDescent="0.3">
      <c r="A4926">
        <v>40240</v>
      </c>
      <c r="B4926" t="s">
        <v>2</v>
      </c>
      <c r="C4926">
        <v>40</v>
      </c>
      <c r="D4926">
        <v>1</v>
      </c>
      <c r="E4926">
        <v>0</v>
      </c>
      <c r="F4926" t="str">
        <f t="shared" si="230"/>
        <v>Lower Risk</v>
      </c>
      <c r="G4926" t="s">
        <v>3</v>
      </c>
      <c r="H4926" t="s">
        <v>8</v>
      </c>
      <c r="I4926" t="s">
        <v>5</v>
      </c>
      <c r="J4926">
        <v>93.2</v>
      </c>
      <c r="K4926">
        <v>24.8</v>
      </c>
      <c r="L4926" t="s">
        <v>12</v>
      </c>
      <c r="M4926">
        <v>0</v>
      </c>
      <c r="N4926" t="str">
        <f t="shared" si="228"/>
        <v>40–59</v>
      </c>
      <c r="O4926" t="str">
        <f t="shared" si="229"/>
        <v>Normal</v>
      </c>
    </row>
    <row r="4927" spans="1:15" x14ac:dyDescent="0.3">
      <c r="A4927">
        <v>25931</v>
      </c>
      <c r="B4927" t="s">
        <v>7</v>
      </c>
      <c r="C4927">
        <v>71</v>
      </c>
      <c r="D4927">
        <v>0</v>
      </c>
      <c r="E4927">
        <v>0</v>
      </c>
      <c r="F4927" t="str">
        <f t="shared" si="230"/>
        <v>Moderate Risk</v>
      </c>
      <c r="G4927" t="s">
        <v>3</v>
      </c>
      <c r="H4927" t="s">
        <v>8</v>
      </c>
      <c r="I4927" t="s">
        <v>5</v>
      </c>
      <c r="J4927">
        <v>208.31</v>
      </c>
      <c r="K4927">
        <v>31.8</v>
      </c>
      <c r="L4927" t="s">
        <v>6</v>
      </c>
      <c r="M4927">
        <v>0</v>
      </c>
      <c r="N4927" t="str">
        <f t="shared" si="228"/>
        <v>60+</v>
      </c>
      <c r="O4927" t="str">
        <f t="shared" si="229"/>
        <v>Obese</v>
      </c>
    </row>
    <row r="4928" spans="1:15" x14ac:dyDescent="0.3">
      <c r="A4928">
        <v>21292</v>
      </c>
      <c r="B4928" t="s">
        <v>2</v>
      </c>
      <c r="C4928">
        <v>38</v>
      </c>
      <c r="D4928">
        <v>0</v>
      </c>
      <c r="E4928">
        <v>0</v>
      </c>
      <c r="F4928" t="str">
        <f t="shared" si="230"/>
        <v>Lower Risk</v>
      </c>
      <c r="G4928" t="s">
        <v>3</v>
      </c>
      <c r="H4928" t="s">
        <v>4</v>
      </c>
      <c r="I4928" t="s">
        <v>9</v>
      </c>
      <c r="J4928">
        <v>111.33</v>
      </c>
      <c r="K4928">
        <v>27</v>
      </c>
      <c r="L4928" t="s">
        <v>11</v>
      </c>
      <c r="M4928">
        <v>0</v>
      </c>
      <c r="N4928" t="str">
        <f t="shared" si="228"/>
        <v>Under 40</v>
      </c>
      <c r="O4928" t="str">
        <f t="shared" si="229"/>
        <v>Overweight</v>
      </c>
    </row>
    <row r="4929" spans="1:15" x14ac:dyDescent="0.3">
      <c r="A4929">
        <v>25391</v>
      </c>
      <c r="B4929" t="s">
        <v>7</v>
      </c>
      <c r="C4929">
        <v>10</v>
      </c>
      <c r="D4929">
        <v>0</v>
      </c>
      <c r="E4929">
        <v>0</v>
      </c>
      <c r="F4929" t="str">
        <f t="shared" si="230"/>
        <v>Lower Risk</v>
      </c>
      <c r="G4929" t="s">
        <v>13</v>
      </c>
      <c r="H4929" t="s">
        <v>16</v>
      </c>
      <c r="I4929" t="s">
        <v>9</v>
      </c>
      <c r="J4929">
        <v>69.84</v>
      </c>
      <c r="K4929">
        <v>13.7</v>
      </c>
      <c r="L4929" t="s">
        <v>14</v>
      </c>
      <c r="M4929">
        <v>0</v>
      </c>
      <c r="N4929" t="str">
        <f t="shared" si="228"/>
        <v>Under 40</v>
      </c>
      <c r="O4929" t="str">
        <f t="shared" si="229"/>
        <v>Underweight</v>
      </c>
    </row>
    <row r="4930" spans="1:15" x14ac:dyDescent="0.3">
      <c r="A4930">
        <v>65469</v>
      </c>
      <c r="B4930" t="s">
        <v>2</v>
      </c>
      <c r="C4930">
        <v>11</v>
      </c>
      <c r="D4930">
        <v>0</v>
      </c>
      <c r="E4930">
        <v>0</v>
      </c>
      <c r="F4930" t="str">
        <f t="shared" si="230"/>
        <v>Lower Risk</v>
      </c>
      <c r="G4930" t="s">
        <v>13</v>
      </c>
      <c r="H4930" t="s">
        <v>16</v>
      </c>
      <c r="I4930" t="s">
        <v>9</v>
      </c>
      <c r="J4930">
        <v>121.71</v>
      </c>
      <c r="K4930">
        <v>23.4</v>
      </c>
      <c r="L4930" t="s">
        <v>11</v>
      </c>
      <c r="M4930">
        <v>0</v>
      </c>
      <c r="N4930" t="str">
        <f t="shared" ref="N4930:N4993" si="231">IF(C4930&lt;40,"Under 40",IF(C4930&lt;60,"40–59","60+"))</f>
        <v>Under 40</v>
      </c>
      <c r="O4930" t="str">
        <f t="shared" ref="O4930:O4993" si="232">IF(K4930="N/A","Unknown",
IF(K4930="","Unknown",
IF(K4930&lt;18.5,"Underweight",
IF(K4930&lt;25,"Normal",
IF(K4930&lt;30,"Overweight","Obese")))))</f>
        <v>Normal</v>
      </c>
    </row>
    <row r="4931" spans="1:15" x14ac:dyDescent="0.3">
      <c r="A4931">
        <v>29487</v>
      </c>
      <c r="B4931" t="s">
        <v>2</v>
      </c>
      <c r="C4931">
        <v>0.72</v>
      </c>
      <c r="D4931">
        <v>0</v>
      </c>
      <c r="E4931">
        <v>0</v>
      </c>
      <c r="F4931" t="str">
        <f t="shared" ref="F4931:F4994" si="233">IF(C4931&gt;=60,
IF(OR(D4931=1,E4931=1),"High Risk","Moderate Risk"),
"Lower Risk")</f>
        <v>Lower Risk</v>
      </c>
      <c r="G4931" t="s">
        <v>13</v>
      </c>
      <c r="H4931" t="s">
        <v>16</v>
      </c>
      <c r="I4931" t="s">
        <v>5</v>
      </c>
      <c r="J4931">
        <v>80.08</v>
      </c>
      <c r="K4931">
        <v>16.399999999999999</v>
      </c>
      <c r="L4931" t="s">
        <v>14</v>
      </c>
      <c r="M4931">
        <v>0</v>
      </c>
      <c r="N4931" t="str">
        <f t="shared" si="231"/>
        <v>Under 40</v>
      </c>
      <c r="O4931" t="str">
        <f t="shared" si="232"/>
        <v>Underweight</v>
      </c>
    </row>
    <row r="4932" spans="1:15" x14ac:dyDescent="0.3">
      <c r="A4932">
        <v>63575</v>
      </c>
      <c r="B4932" t="s">
        <v>2</v>
      </c>
      <c r="C4932">
        <v>9</v>
      </c>
      <c r="D4932">
        <v>0</v>
      </c>
      <c r="E4932">
        <v>0</v>
      </c>
      <c r="F4932" t="str">
        <f t="shared" si="233"/>
        <v>Lower Risk</v>
      </c>
      <c r="G4932" t="s">
        <v>13</v>
      </c>
      <c r="H4932" t="s">
        <v>16</v>
      </c>
      <c r="I4932" t="s">
        <v>5</v>
      </c>
      <c r="J4932">
        <v>84.4</v>
      </c>
      <c r="K4932">
        <v>14.9</v>
      </c>
      <c r="L4932" t="s">
        <v>14</v>
      </c>
      <c r="M4932">
        <v>0</v>
      </c>
      <c r="N4932" t="str">
        <f t="shared" si="231"/>
        <v>Under 40</v>
      </c>
      <c r="O4932" t="str">
        <f t="shared" si="232"/>
        <v>Underweight</v>
      </c>
    </row>
    <row r="4933" spans="1:15" x14ac:dyDescent="0.3">
      <c r="A4933">
        <v>30457</v>
      </c>
      <c r="B4933" t="s">
        <v>7</v>
      </c>
      <c r="C4933">
        <v>53</v>
      </c>
      <c r="D4933">
        <v>1</v>
      </c>
      <c r="E4933">
        <v>0</v>
      </c>
      <c r="F4933" t="str">
        <f t="shared" si="233"/>
        <v>Lower Risk</v>
      </c>
      <c r="G4933" t="s">
        <v>3</v>
      </c>
      <c r="H4933" t="s">
        <v>15</v>
      </c>
      <c r="I4933" t="s">
        <v>9</v>
      </c>
      <c r="J4933">
        <v>98.61</v>
      </c>
      <c r="K4933">
        <v>38.799999999999997</v>
      </c>
      <c r="L4933" t="s">
        <v>12</v>
      </c>
      <c r="M4933">
        <v>0</v>
      </c>
      <c r="N4933" t="str">
        <f t="shared" si="231"/>
        <v>40–59</v>
      </c>
      <c r="O4933" t="str">
        <f t="shared" si="232"/>
        <v>Obese</v>
      </c>
    </row>
    <row r="4934" spans="1:15" x14ac:dyDescent="0.3">
      <c r="A4934">
        <v>5951</v>
      </c>
      <c r="B4934" t="s">
        <v>2</v>
      </c>
      <c r="C4934">
        <v>28</v>
      </c>
      <c r="D4934">
        <v>1</v>
      </c>
      <c r="E4934">
        <v>0</v>
      </c>
      <c r="F4934" t="str">
        <f t="shared" si="233"/>
        <v>Lower Risk</v>
      </c>
      <c r="G4934" t="s">
        <v>13</v>
      </c>
      <c r="H4934" t="s">
        <v>4</v>
      </c>
      <c r="I4934" t="s">
        <v>5</v>
      </c>
      <c r="J4934">
        <v>86.61</v>
      </c>
      <c r="K4934">
        <v>38.6</v>
      </c>
      <c r="L4934" t="s">
        <v>12</v>
      </c>
      <c r="M4934">
        <v>0</v>
      </c>
      <c r="N4934" t="str">
        <f t="shared" si="231"/>
        <v>Under 40</v>
      </c>
      <c r="O4934" t="str">
        <f t="shared" si="232"/>
        <v>Obese</v>
      </c>
    </row>
    <row r="4935" spans="1:15" x14ac:dyDescent="0.3">
      <c r="A4935">
        <v>8690</v>
      </c>
      <c r="B4935" t="s">
        <v>7</v>
      </c>
      <c r="C4935">
        <v>81</v>
      </c>
      <c r="D4935">
        <v>0</v>
      </c>
      <c r="E4935">
        <v>0</v>
      </c>
      <c r="F4935" t="str">
        <f t="shared" si="233"/>
        <v>Moderate Risk</v>
      </c>
      <c r="G4935" t="s">
        <v>3</v>
      </c>
      <c r="H4935" t="s">
        <v>4</v>
      </c>
      <c r="I4935" t="s">
        <v>5</v>
      </c>
      <c r="J4935">
        <v>80.44</v>
      </c>
      <c r="K4935">
        <v>32.200000000000003</v>
      </c>
      <c r="L4935" t="s">
        <v>11</v>
      </c>
      <c r="M4935">
        <v>0</v>
      </c>
      <c r="N4935" t="str">
        <f t="shared" si="231"/>
        <v>60+</v>
      </c>
      <c r="O4935" t="str">
        <f t="shared" si="232"/>
        <v>Obese</v>
      </c>
    </row>
    <row r="4936" spans="1:15" x14ac:dyDescent="0.3">
      <c r="A4936">
        <v>32147</v>
      </c>
      <c r="B4936" t="s">
        <v>2</v>
      </c>
      <c r="C4936">
        <v>1.32</v>
      </c>
      <c r="D4936">
        <v>0</v>
      </c>
      <c r="E4936">
        <v>0</v>
      </c>
      <c r="F4936" t="str">
        <f t="shared" si="233"/>
        <v>Lower Risk</v>
      </c>
      <c r="G4936" t="s">
        <v>13</v>
      </c>
      <c r="H4936" t="s">
        <v>16</v>
      </c>
      <c r="I4936" t="s">
        <v>9</v>
      </c>
      <c r="J4936">
        <v>107.02</v>
      </c>
      <c r="K4936" t="s">
        <v>10</v>
      </c>
      <c r="L4936" t="s">
        <v>14</v>
      </c>
      <c r="M4936">
        <v>0</v>
      </c>
      <c r="N4936" t="str">
        <f t="shared" si="231"/>
        <v>Under 40</v>
      </c>
      <c r="O4936" t="str">
        <f t="shared" si="232"/>
        <v>Unknown</v>
      </c>
    </row>
    <row r="4937" spans="1:15" x14ac:dyDescent="0.3">
      <c r="A4937">
        <v>47691</v>
      </c>
      <c r="B4937" t="s">
        <v>2</v>
      </c>
      <c r="C4937">
        <v>16</v>
      </c>
      <c r="D4937">
        <v>0</v>
      </c>
      <c r="E4937">
        <v>0</v>
      </c>
      <c r="F4937" t="str">
        <f t="shared" si="233"/>
        <v>Lower Risk</v>
      </c>
      <c r="G4937" t="s">
        <v>13</v>
      </c>
      <c r="H4937" t="s">
        <v>4</v>
      </c>
      <c r="I4937" t="s">
        <v>9</v>
      </c>
      <c r="J4937">
        <v>97.23</v>
      </c>
      <c r="K4937">
        <v>30.6</v>
      </c>
      <c r="L4937" t="s">
        <v>11</v>
      </c>
      <c r="M4937">
        <v>0</v>
      </c>
      <c r="N4937" t="str">
        <f t="shared" si="231"/>
        <v>Under 40</v>
      </c>
      <c r="O4937" t="str">
        <f t="shared" si="232"/>
        <v>Obese</v>
      </c>
    </row>
    <row r="4938" spans="1:15" x14ac:dyDescent="0.3">
      <c r="A4938">
        <v>25982</v>
      </c>
      <c r="B4938" t="s">
        <v>2</v>
      </c>
      <c r="C4938">
        <v>24</v>
      </c>
      <c r="D4938">
        <v>0</v>
      </c>
      <c r="E4938">
        <v>0</v>
      </c>
      <c r="F4938" t="str">
        <f t="shared" si="233"/>
        <v>Lower Risk</v>
      </c>
      <c r="G4938" t="s">
        <v>13</v>
      </c>
      <c r="H4938" t="s">
        <v>4</v>
      </c>
      <c r="I4938" t="s">
        <v>9</v>
      </c>
      <c r="J4938">
        <v>91.21</v>
      </c>
      <c r="K4938">
        <v>28.1</v>
      </c>
      <c r="L4938" t="s">
        <v>6</v>
      </c>
      <c r="M4938">
        <v>0</v>
      </c>
      <c r="N4938" t="str">
        <f t="shared" si="231"/>
        <v>Under 40</v>
      </c>
      <c r="O4938" t="str">
        <f t="shared" si="232"/>
        <v>Overweight</v>
      </c>
    </row>
    <row r="4939" spans="1:15" x14ac:dyDescent="0.3">
      <c r="A4939">
        <v>70058</v>
      </c>
      <c r="B4939" t="s">
        <v>7</v>
      </c>
      <c r="C4939">
        <v>62</v>
      </c>
      <c r="D4939">
        <v>1</v>
      </c>
      <c r="E4939">
        <v>0</v>
      </c>
      <c r="F4939" t="str">
        <f t="shared" si="233"/>
        <v>High Risk</v>
      </c>
      <c r="G4939" t="s">
        <v>3</v>
      </c>
      <c r="H4939" t="s">
        <v>8</v>
      </c>
      <c r="I4939" t="s">
        <v>5</v>
      </c>
      <c r="J4939">
        <v>103.69</v>
      </c>
      <c r="K4939">
        <v>35.200000000000003</v>
      </c>
      <c r="L4939" t="s">
        <v>12</v>
      </c>
      <c r="M4939">
        <v>0</v>
      </c>
      <c r="N4939" t="str">
        <f t="shared" si="231"/>
        <v>60+</v>
      </c>
      <c r="O4939" t="str">
        <f t="shared" si="232"/>
        <v>Obese</v>
      </c>
    </row>
    <row r="4940" spans="1:15" x14ac:dyDescent="0.3">
      <c r="A4940">
        <v>61868</v>
      </c>
      <c r="B4940" t="s">
        <v>7</v>
      </c>
      <c r="C4940">
        <v>62</v>
      </c>
      <c r="D4940">
        <v>0</v>
      </c>
      <c r="E4940">
        <v>0</v>
      </c>
      <c r="F4940" t="str">
        <f t="shared" si="233"/>
        <v>Moderate Risk</v>
      </c>
      <c r="G4940" t="s">
        <v>3</v>
      </c>
      <c r="H4940" t="s">
        <v>4</v>
      </c>
      <c r="I4940" t="s">
        <v>5</v>
      </c>
      <c r="J4940">
        <v>74.12</v>
      </c>
      <c r="K4940">
        <v>21.8</v>
      </c>
      <c r="L4940" t="s">
        <v>6</v>
      </c>
      <c r="M4940">
        <v>0</v>
      </c>
      <c r="N4940" t="str">
        <f t="shared" si="231"/>
        <v>60+</v>
      </c>
      <c r="O4940" t="str">
        <f t="shared" si="232"/>
        <v>Normal</v>
      </c>
    </row>
    <row r="4941" spans="1:15" x14ac:dyDescent="0.3">
      <c r="A4941">
        <v>46086</v>
      </c>
      <c r="B4941" t="s">
        <v>7</v>
      </c>
      <c r="C4941">
        <v>59</v>
      </c>
      <c r="D4941">
        <v>0</v>
      </c>
      <c r="E4941">
        <v>0</v>
      </c>
      <c r="F4941" t="str">
        <f t="shared" si="233"/>
        <v>Lower Risk</v>
      </c>
      <c r="G4941" t="s">
        <v>3</v>
      </c>
      <c r="H4941" t="s">
        <v>4</v>
      </c>
      <c r="I4941" t="s">
        <v>5</v>
      </c>
      <c r="J4941">
        <v>71.08</v>
      </c>
      <c r="K4941">
        <v>28.1</v>
      </c>
      <c r="L4941" t="s">
        <v>11</v>
      </c>
      <c r="M4941">
        <v>0</v>
      </c>
      <c r="N4941" t="str">
        <f t="shared" si="231"/>
        <v>40–59</v>
      </c>
      <c r="O4941" t="str">
        <f t="shared" si="232"/>
        <v>Overweight</v>
      </c>
    </row>
    <row r="4942" spans="1:15" x14ac:dyDescent="0.3">
      <c r="A4942">
        <v>68596</v>
      </c>
      <c r="B4942" t="s">
        <v>7</v>
      </c>
      <c r="C4942">
        <v>19</v>
      </c>
      <c r="D4942">
        <v>0</v>
      </c>
      <c r="E4942">
        <v>0</v>
      </c>
      <c r="F4942" t="str">
        <f t="shared" si="233"/>
        <v>Lower Risk</v>
      </c>
      <c r="G4942" t="s">
        <v>13</v>
      </c>
      <c r="H4942" t="s">
        <v>4</v>
      </c>
      <c r="I4942" t="s">
        <v>5</v>
      </c>
      <c r="J4942">
        <v>58.39</v>
      </c>
      <c r="K4942">
        <v>28.2</v>
      </c>
      <c r="L4942" t="s">
        <v>11</v>
      </c>
      <c r="M4942">
        <v>0</v>
      </c>
      <c r="N4942" t="str">
        <f t="shared" si="231"/>
        <v>Under 40</v>
      </c>
      <c r="O4942" t="str">
        <f t="shared" si="232"/>
        <v>Overweight</v>
      </c>
    </row>
    <row r="4943" spans="1:15" x14ac:dyDescent="0.3">
      <c r="A4943">
        <v>10281</v>
      </c>
      <c r="B4943" t="s">
        <v>7</v>
      </c>
      <c r="C4943">
        <v>51</v>
      </c>
      <c r="D4943">
        <v>1</v>
      </c>
      <c r="E4943">
        <v>0</v>
      </c>
      <c r="F4943" t="str">
        <f t="shared" si="233"/>
        <v>Lower Risk</v>
      </c>
      <c r="G4943" t="s">
        <v>3</v>
      </c>
      <c r="H4943" t="s">
        <v>8</v>
      </c>
      <c r="I4943" t="s">
        <v>9</v>
      </c>
      <c r="J4943">
        <v>176.34</v>
      </c>
      <c r="K4943">
        <v>28.4</v>
      </c>
      <c r="L4943" t="s">
        <v>11</v>
      </c>
      <c r="M4943">
        <v>0</v>
      </c>
      <c r="N4943" t="str">
        <f t="shared" si="231"/>
        <v>40–59</v>
      </c>
      <c r="O4943" t="str">
        <f t="shared" si="232"/>
        <v>Overweight</v>
      </c>
    </row>
    <row r="4944" spans="1:15" x14ac:dyDescent="0.3">
      <c r="A4944">
        <v>31409</v>
      </c>
      <c r="B4944" t="s">
        <v>2</v>
      </c>
      <c r="C4944">
        <v>38</v>
      </c>
      <c r="D4944">
        <v>0</v>
      </c>
      <c r="E4944">
        <v>0</v>
      </c>
      <c r="F4944" t="str">
        <f t="shared" si="233"/>
        <v>Lower Risk</v>
      </c>
      <c r="G4944" t="s">
        <v>3</v>
      </c>
      <c r="H4944" t="s">
        <v>4</v>
      </c>
      <c r="I4944" t="s">
        <v>9</v>
      </c>
      <c r="J4944">
        <v>73.760000000000005</v>
      </c>
      <c r="K4944">
        <v>37.4</v>
      </c>
      <c r="L4944" t="s">
        <v>11</v>
      </c>
      <c r="M4944">
        <v>0</v>
      </c>
      <c r="N4944" t="str">
        <f t="shared" si="231"/>
        <v>Under 40</v>
      </c>
      <c r="O4944" t="str">
        <f t="shared" si="232"/>
        <v>Obese</v>
      </c>
    </row>
    <row r="4945" spans="1:15" x14ac:dyDescent="0.3">
      <c r="A4945">
        <v>54067</v>
      </c>
      <c r="B4945" t="s">
        <v>7</v>
      </c>
      <c r="C4945">
        <v>26</v>
      </c>
      <c r="D4945">
        <v>0</v>
      </c>
      <c r="E4945">
        <v>0</v>
      </c>
      <c r="F4945" t="str">
        <f t="shared" si="233"/>
        <v>Lower Risk</v>
      </c>
      <c r="G4945" t="s">
        <v>13</v>
      </c>
      <c r="H4945" t="s">
        <v>4</v>
      </c>
      <c r="I4945" t="s">
        <v>9</v>
      </c>
      <c r="J4945">
        <v>67.209999999999994</v>
      </c>
      <c r="K4945">
        <v>21.8</v>
      </c>
      <c r="L4945" t="s">
        <v>6</v>
      </c>
      <c r="M4945">
        <v>0</v>
      </c>
      <c r="N4945" t="str">
        <f t="shared" si="231"/>
        <v>Under 40</v>
      </c>
      <c r="O4945" t="str">
        <f t="shared" si="232"/>
        <v>Normal</v>
      </c>
    </row>
    <row r="4946" spans="1:15" x14ac:dyDescent="0.3">
      <c r="A4946">
        <v>9731</v>
      </c>
      <c r="B4946" t="s">
        <v>2</v>
      </c>
      <c r="C4946">
        <v>13</v>
      </c>
      <c r="D4946">
        <v>0</v>
      </c>
      <c r="E4946">
        <v>0</v>
      </c>
      <c r="F4946" t="str">
        <f t="shared" si="233"/>
        <v>Lower Risk</v>
      </c>
      <c r="G4946" t="s">
        <v>13</v>
      </c>
      <c r="H4946" t="s">
        <v>16</v>
      </c>
      <c r="I4946" t="s">
        <v>5</v>
      </c>
      <c r="J4946">
        <v>87.98</v>
      </c>
      <c r="K4946">
        <v>19.8</v>
      </c>
      <c r="L4946" t="s">
        <v>14</v>
      </c>
      <c r="M4946">
        <v>0</v>
      </c>
      <c r="N4946" t="str">
        <f t="shared" si="231"/>
        <v>Under 40</v>
      </c>
      <c r="O4946" t="str">
        <f t="shared" si="232"/>
        <v>Normal</v>
      </c>
    </row>
    <row r="4947" spans="1:15" x14ac:dyDescent="0.3">
      <c r="A4947">
        <v>24009</v>
      </c>
      <c r="B4947" t="s">
        <v>2</v>
      </c>
      <c r="C4947">
        <v>4</v>
      </c>
      <c r="D4947">
        <v>0</v>
      </c>
      <c r="E4947">
        <v>0</v>
      </c>
      <c r="F4947" t="str">
        <f t="shared" si="233"/>
        <v>Lower Risk</v>
      </c>
      <c r="G4947" t="s">
        <v>13</v>
      </c>
      <c r="H4947" t="s">
        <v>16</v>
      </c>
      <c r="I4947" t="s">
        <v>5</v>
      </c>
      <c r="J4947">
        <v>94.23</v>
      </c>
      <c r="K4947">
        <v>16.2</v>
      </c>
      <c r="L4947" t="s">
        <v>14</v>
      </c>
      <c r="M4947">
        <v>0</v>
      </c>
      <c r="N4947" t="str">
        <f t="shared" si="231"/>
        <v>Under 40</v>
      </c>
      <c r="O4947" t="str">
        <f t="shared" si="232"/>
        <v>Underweight</v>
      </c>
    </row>
    <row r="4948" spans="1:15" x14ac:dyDescent="0.3">
      <c r="A4948">
        <v>61694</v>
      </c>
      <c r="B4948" t="s">
        <v>2</v>
      </c>
      <c r="C4948">
        <v>55</v>
      </c>
      <c r="D4948">
        <v>0</v>
      </c>
      <c r="E4948">
        <v>0</v>
      </c>
      <c r="F4948" t="str">
        <f t="shared" si="233"/>
        <v>Lower Risk</v>
      </c>
      <c r="G4948" t="s">
        <v>3</v>
      </c>
      <c r="H4948" t="s">
        <v>8</v>
      </c>
      <c r="I4948" t="s">
        <v>9</v>
      </c>
      <c r="J4948">
        <v>111.36</v>
      </c>
      <c r="K4948">
        <v>33.6</v>
      </c>
      <c r="L4948" t="s">
        <v>11</v>
      </c>
      <c r="M4948">
        <v>0</v>
      </c>
      <c r="N4948" t="str">
        <f t="shared" si="231"/>
        <v>40–59</v>
      </c>
      <c r="O4948" t="str">
        <f t="shared" si="232"/>
        <v>Obese</v>
      </c>
    </row>
    <row r="4949" spans="1:15" x14ac:dyDescent="0.3">
      <c r="A4949">
        <v>7453</v>
      </c>
      <c r="B4949" t="s">
        <v>7</v>
      </c>
      <c r="C4949">
        <v>44</v>
      </c>
      <c r="D4949">
        <v>0</v>
      </c>
      <c r="E4949">
        <v>0</v>
      </c>
      <c r="F4949" t="str">
        <f t="shared" si="233"/>
        <v>Lower Risk</v>
      </c>
      <c r="G4949" t="s">
        <v>3</v>
      </c>
      <c r="H4949" t="s">
        <v>4</v>
      </c>
      <c r="I4949" t="s">
        <v>5</v>
      </c>
      <c r="J4949">
        <v>84.07</v>
      </c>
      <c r="K4949">
        <v>21.2</v>
      </c>
      <c r="L4949" t="s">
        <v>12</v>
      </c>
      <c r="M4949">
        <v>0</v>
      </c>
      <c r="N4949" t="str">
        <f t="shared" si="231"/>
        <v>40–59</v>
      </c>
      <c r="O4949" t="str">
        <f t="shared" si="232"/>
        <v>Normal</v>
      </c>
    </row>
    <row r="4950" spans="1:15" x14ac:dyDescent="0.3">
      <c r="A4950">
        <v>66405</v>
      </c>
      <c r="B4950" t="s">
        <v>7</v>
      </c>
      <c r="C4950">
        <v>31</v>
      </c>
      <c r="D4950">
        <v>0</v>
      </c>
      <c r="E4950">
        <v>0</v>
      </c>
      <c r="F4950" t="str">
        <f t="shared" si="233"/>
        <v>Lower Risk</v>
      </c>
      <c r="G4950" t="s">
        <v>3</v>
      </c>
      <c r="H4950" t="s">
        <v>4</v>
      </c>
      <c r="I4950" t="s">
        <v>5</v>
      </c>
      <c r="J4950">
        <v>117.31</v>
      </c>
      <c r="K4950">
        <v>28.4</v>
      </c>
      <c r="L4950" t="s">
        <v>11</v>
      </c>
      <c r="M4950">
        <v>0</v>
      </c>
      <c r="N4950" t="str">
        <f t="shared" si="231"/>
        <v>Under 40</v>
      </c>
      <c r="O4950" t="str">
        <f t="shared" si="232"/>
        <v>Overweight</v>
      </c>
    </row>
    <row r="4951" spans="1:15" x14ac:dyDescent="0.3">
      <c r="A4951">
        <v>2138</v>
      </c>
      <c r="B4951" t="s">
        <v>2</v>
      </c>
      <c r="C4951">
        <v>58</v>
      </c>
      <c r="D4951">
        <v>0</v>
      </c>
      <c r="E4951">
        <v>0</v>
      </c>
      <c r="F4951" t="str">
        <f t="shared" si="233"/>
        <v>Lower Risk</v>
      </c>
      <c r="G4951" t="s">
        <v>3</v>
      </c>
      <c r="H4951" t="s">
        <v>15</v>
      </c>
      <c r="I4951" t="s">
        <v>5</v>
      </c>
      <c r="J4951">
        <v>84.94</v>
      </c>
      <c r="K4951" t="s">
        <v>10</v>
      </c>
      <c r="L4951" t="s">
        <v>11</v>
      </c>
      <c r="M4951">
        <v>0</v>
      </c>
      <c r="N4951" t="str">
        <f t="shared" si="231"/>
        <v>40–59</v>
      </c>
      <c r="O4951" t="str">
        <f t="shared" si="232"/>
        <v>Unknown</v>
      </c>
    </row>
    <row r="4952" spans="1:15" x14ac:dyDescent="0.3">
      <c r="A4952">
        <v>66650</v>
      </c>
      <c r="B4952" t="s">
        <v>7</v>
      </c>
      <c r="C4952">
        <v>17</v>
      </c>
      <c r="D4952">
        <v>0</v>
      </c>
      <c r="E4952">
        <v>0</v>
      </c>
      <c r="F4952" t="str">
        <f t="shared" si="233"/>
        <v>Lower Risk</v>
      </c>
      <c r="G4952" t="s">
        <v>13</v>
      </c>
      <c r="H4952" t="s">
        <v>4</v>
      </c>
      <c r="I4952" t="s">
        <v>5</v>
      </c>
      <c r="J4952">
        <v>68.86</v>
      </c>
      <c r="K4952">
        <v>41.1</v>
      </c>
      <c r="L4952" t="s">
        <v>11</v>
      </c>
      <c r="M4952">
        <v>0</v>
      </c>
      <c r="N4952" t="str">
        <f t="shared" si="231"/>
        <v>Under 40</v>
      </c>
      <c r="O4952" t="str">
        <f t="shared" si="232"/>
        <v>Obese</v>
      </c>
    </row>
    <row r="4953" spans="1:15" x14ac:dyDescent="0.3">
      <c r="A4953">
        <v>59945</v>
      </c>
      <c r="B4953" t="s">
        <v>7</v>
      </c>
      <c r="C4953">
        <v>23</v>
      </c>
      <c r="D4953">
        <v>0</v>
      </c>
      <c r="E4953">
        <v>0</v>
      </c>
      <c r="F4953" t="str">
        <f t="shared" si="233"/>
        <v>Lower Risk</v>
      </c>
      <c r="G4953" t="s">
        <v>13</v>
      </c>
      <c r="H4953" t="s">
        <v>4</v>
      </c>
      <c r="I4953" t="s">
        <v>5</v>
      </c>
      <c r="J4953">
        <v>132.88</v>
      </c>
      <c r="K4953">
        <v>24.9</v>
      </c>
      <c r="L4953" t="s">
        <v>11</v>
      </c>
      <c r="M4953">
        <v>0</v>
      </c>
      <c r="N4953" t="str">
        <f t="shared" si="231"/>
        <v>Under 40</v>
      </c>
      <c r="O4953" t="str">
        <f t="shared" si="232"/>
        <v>Normal</v>
      </c>
    </row>
    <row r="4954" spans="1:15" x14ac:dyDescent="0.3">
      <c r="A4954">
        <v>16245</v>
      </c>
      <c r="B4954" t="s">
        <v>2</v>
      </c>
      <c r="C4954">
        <v>51</v>
      </c>
      <c r="D4954">
        <v>1</v>
      </c>
      <c r="E4954">
        <v>0</v>
      </c>
      <c r="F4954" t="str">
        <f t="shared" si="233"/>
        <v>Lower Risk</v>
      </c>
      <c r="G4954" t="s">
        <v>3</v>
      </c>
      <c r="H4954" t="s">
        <v>8</v>
      </c>
      <c r="I4954" t="s">
        <v>9</v>
      </c>
      <c r="J4954">
        <v>211.83</v>
      </c>
      <c r="K4954">
        <v>56.6</v>
      </c>
      <c r="L4954" t="s">
        <v>11</v>
      </c>
      <c r="M4954">
        <v>0</v>
      </c>
      <c r="N4954" t="str">
        <f t="shared" si="231"/>
        <v>40–59</v>
      </c>
      <c r="O4954" t="str">
        <f t="shared" si="232"/>
        <v>Obese</v>
      </c>
    </row>
    <row r="4955" spans="1:15" x14ac:dyDescent="0.3">
      <c r="A4955">
        <v>68094</v>
      </c>
      <c r="B4955" t="s">
        <v>7</v>
      </c>
      <c r="C4955">
        <v>46</v>
      </c>
      <c r="D4955">
        <v>0</v>
      </c>
      <c r="E4955">
        <v>0</v>
      </c>
      <c r="F4955" t="str">
        <f t="shared" si="233"/>
        <v>Lower Risk</v>
      </c>
      <c r="G4955" t="s">
        <v>3</v>
      </c>
      <c r="H4955" t="s">
        <v>4</v>
      </c>
      <c r="I4955" t="s">
        <v>9</v>
      </c>
      <c r="J4955">
        <v>124.92</v>
      </c>
      <c r="K4955">
        <v>28.8</v>
      </c>
      <c r="L4955" t="s">
        <v>14</v>
      </c>
      <c r="M4955">
        <v>0</v>
      </c>
      <c r="N4955" t="str">
        <f t="shared" si="231"/>
        <v>40–59</v>
      </c>
      <c r="O4955" t="str">
        <f t="shared" si="232"/>
        <v>Overweight</v>
      </c>
    </row>
    <row r="4956" spans="1:15" x14ac:dyDescent="0.3">
      <c r="A4956">
        <v>64661</v>
      </c>
      <c r="B4956" t="s">
        <v>7</v>
      </c>
      <c r="C4956">
        <v>81</v>
      </c>
      <c r="D4956">
        <v>0</v>
      </c>
      <c r="E4956">
        <v>0</v>
      </c>
      <c r="F4956" t="str">
        <f t="shared" si="233"/>
        <v>Moderate Risk</v>
      </c>
      <c r="G4956" t="s">
        <v>13</v>
      </c>
      <c r="H4956" t="s">
        <v>8</v>
      </c>
      <c r="I4956" t="s">
        <v>5</v>
      </c>
      <c r="J4956">
        <v>57.42</v>
      </c>
      <c r="K4956">
        <v>33.700000000000003</v>
      </c>
      <c r="L4956" t="s">
        <v>11</v>
      </c>
      <c r="M4956">
        <v>0</v>
      </c>
      <c r="N4956" t="str">
        <f t="shared" si="231"/>
        <v>60+</v>
      </c>
      <c r="O4956" t="str">
        <f t="shared" si="232"/>
        <v>Obese</v>
      </c>
    </row>
    <row r="4957" spans="1:15" x14ac:dyDescent="0.3">
      <c r="A4957">
        <v>61376</v>
      </c>
      <c r="B4957" t="s">
        <v>2</v>
      </c>
      <c r="C4957">
        <v>38</v>
      </c>
      <c r="D4957">
        <v>0</v>
      </c>
      <c r="E4957">
        <v>0</v>
      </c>
      <c r="F4957" t="str">
        <f t="shared" si="233"/>
        <v>Lower Risk</v>
      </c>
      <c r="G4957" t="s">
        <v>3</v>
      </c>
      <c r="H4957" t="s">
        <v>4</v>
      </c>
      <c r="I4957" t="s">
        <v>5</v>
      </c>
      <c r="J4957">
        <v>215.69</v>
      </c>
      <c r="K4957">
        <v>38.6</v>
      </c>
      <c r="L4957" t="s">
        <v>6</v>
      </c>
      <c r="M4957">
        <v>0</v>
      </c>
      <c r="N4957" t="str">
        <f t="shared" si="231"/>
        <v>Under 40</v>
      </c>
      <c r="O4957" t="str">
        <f t="shared" si="232"/>
        <v>Obese</v>
      </c>
    </row>
    <row r="4958" spans="1:15" x14ac:dyDescent="0.3">
      <c r="A4958">
        <v>47236</v>
      </c>
      <c r="B4958" t="s">
        <v>7</v>
      </c>
      <c r="C4958">
        <v>50</v>
      </c>
      <c r="D4958">
        <v>0</v>
      </c>
      <c r="E4958">
        <v>0</v>
      </c>
      <c r="F4958" t="str">
        <f t="shared" si="233"/>
        <v>Lower Risk</v>
      </c>
      <c r="G4958" t="s">
        <v>3</v>
      </c>
      <c r="H4958" t="s">
        <v>4</v>
      </c>
      <c r="I4958" t="s">
        <v>5</v>
      </c>
      <c r="J4958">
        <v>154.66999999999999</v>
      </c>
      <c r="K4958">
        <v>33.799999999999997</v>
      </c>
      <c r="L4958" t="s">
        <v>11</v>
      </c>
      <c r="M4958">
        <v>0</v>
      </c>
      <c r="N4958" t="str">
        <f t="shared" si="231"/>
        <v>40–59</v>
      </c>
      <c r="O4958" t="str">
        <f t="shared" si="232"/>
        <v>Obese</v>
      </c>
    </row>
    <row r="4959" spans="1:15" x14ac:dyDescent="0.3">
      <c r="A4959">
        <v>875</v>
      </c>
      <c r="B4959" t="s">
        <v>7</v>
      </c>
      <c r="C4959">
        <v>34</v>
      </c>
      <c r="D4959">
        <v>0</v>
      </c>
      <c r="E4959">
        <v>0</v>
      </c>
      <c r="F4959" t="str">
        <f t="shared" si="233"/>
        <v>Lower Risk</v>
      </c>
      <c r="G4959" t="s">
        <v>13</v>
      </c>
      <c r="H4959" t="s">
        <v>4</v>
      </c>
      <c r="I4959" t="s">
        <v>5</v>
      </c>
      <c r="J4959">
        <v>67.66</v>
      </c>
      <c r="K4959">
        <v>22.4</v>
      </c>
      <c r="L4959" t="s">
        <v>11</v>
      </c>
      <c r="M4959">
        <v>0</v>
      </c>
      <c r="N4959" t="str">
        <f t="shared" si="231"/>
        <v>Under 40</v>
      </c>
      <c r="O4959" t="str">
        <f t="shared" si="232"/>
        <v>Normal</v>
      </c>
    </row>
    <row r="4960" spans="1:15" x14ac:dyDescent="0.3">
      <c r="A4960">
        <v>63986</v>
      </c>
      <c r="B4960" t="s">
        <v>2</v>
      </c>
      <c r="C4960">
        <v>60</v>
      </c>
      <c r="D4960">
        <v>0</v>
      </c>
      <c r="E4960">
        <v>0</v>
      </c>
      <c r="F4960" t="str">
        <f t="shared" si="233"/>
        <v>Moderate Risk</v>
      </c>
      <c r="G4960" t="s">
        <v>3</v>
      </c>
      <c r="H4960" t="s">
        <v>4</v>
      </c>
      <c r="I4960" t="s">
        <v>9</v>
      </c>
      <c r="J4960">
        <v>153.47999999999999</v>
      </c>
      <c r="K4960">
        <v>37.299999999999997</v>
      </c>
      <c r="L4960" t="s">
        <v>11</v>
      </c>
      <c r="M4960">
        <v>0</v>
      </c>
      <c r="N4960" t="str">
        <f t="shared" si="231"/>
        <v>60+</v>
      </c>
      <c r="O4960" t="str">
        <f t="shared" si="232"/>
        <v>Obese</v>
      </c>
    </row>
    <row r="4961" spans="1:15" x14ac:dyDescent="0.3">
      <c r="A4961">
        <v>55410</v>
      </c>
      <c r="B4961" t="s">
        <v>7</v>
      </c>
      <c r="C4961">
        <v>50</v>
      </c>
      <c r="D4961">
        <v>0</v>
      </c>
      <c r="E4961">
        <v>0</v>
      </c>
      <c r="F4961" t="str">
        <f t="shared" si="233"/>
        <v>Lower Risk</v>
      </c>
      <c r="G4961" t="s">
        <v>3</v>
      </c>
      <c r="H4961" t="s">
        <v>8</v>
      </c>
      <c r="I4961" t="s">
        <v>5</v>
      </c>
      <c r="J4961">
        <v>62.63</v>
      </c>
      <c r="K4961">
        <v>23.4</v>
      </c>
      <c r="L4961" t="s">
        <v>11</v>
      </c>
      <c r="M4961">
        <v>0</v>
      </c>
      <c r="N4961" t="str">
        <f t="shared" si="231"/>
        <v>40–59</v>
      </c>
      <c r="O4961" t="str">
        <f t="shared" si="232"/>
        <v>Normal</v>
      </c>
    </row>
    <row r="4962" spans="1:15" x14ac:dyDescent="0.3">
      <c r="A4962">
        <v>63287</v>
      </c>
      <c r="B4962" t="s">
        <v>7</v>
      </c>
      <c r="C4962">
        <v>49</v>
      </c>
      <c r="D4962">
        <v>0</v>
      </c>
      <c r="E4962">
        <v>0</v>
      </c>
      <c r="F4962" t="str">
        <f t="shared" si="233"/>
        <v>Lower Risk</v>
      </c>
      <c r="G4962" t="s">
        <v>3</v>
      </c>
      <c r="H4962" t="s">
        <v>4</v>
      </c>
      <c r="I4962" t="s">
        <v>5</v>
      </c>
      <c r="J4962">
        <v>77.930000000000007</v>
      </c>
      <c r="K4962">
        <v>39.1</v>
      </c>
      <c r="L4962" t="s">
        <v>12</v>
      </c>
      <c r="M4962">
        <v>0</v>
      </c>
      <c r="N4962" t="str">
        <f t="shared" si="231"/>
        <v>40–59</v>
      </c>
      <c r="O4962" t="str">
        <f t="shared" si="232"/>
        <v>Obese</v>
      </c>
    </row>
    <row r="4963" spans="1:15" x14ac:dyDescent="0.3">
      <c r="A4963">
        <v>3720</v>
      </c>
      <c r="B4963" t="s">
        <v>7</v>
      </c>
      <c r="C4963">
        <v>2</v>
      </c>
      <c r="D4963">
        <v>0</v>
      </c>
      <c r="E4963">
        <v>0</v>
      </c>
      <c r="F4963" t="str">
        <f t="shared" si="233"/>
        <v>Lower Risk</v>
      </c>
      <c r="G4963" t="s">
        <v>13</v>
      </c>
      <c r="H4963" t="s">
        <v>16</v>
      </c>
      <c r="I4963" t="s">
        <v>9</v>
      </c>
      <c r="J4963">
        <v>80.3</v>
      </c>
      <c r="K4963">
        <v>21.2</v>
      </c>
      <c r="L4963" t="s">
        <v>14</v>
      </c>
      <c r="M4963">
        <v>0</v>
      </c>
      <c r="N4963" t="str">
        <f t="shared" si="231"/>
        <v>Under 40</v>
      </c>
      <c r="O4963" t="str">
        <f t="shared" si="232"/>
        <v>Normal</v>
      </c>
    </row>
    <row r="4964" spans="1:15" x14ac:dyDescent="0.3">
      <c r="A4964">
        <v>20274</v>
      </c>
      <c r="B4964" t="s">
        <v>2</v>
      </c>
      <c r="C4964">
        <v>47</v>
      </c>
      <c r="D4964">
        <v>0</v>
      </c>
      <c r="E4964">
        <v>0</v>
      </c>
      <c r="F4964" t="str">
        <f t="shared" si="233"/>
        <v>Lower Risk</v>
      </c>
      <c r="G4964" t="s">
        <v>3</v>
      </c>
      <c r="H4964" t="s">
        <v>4</v>
      </c>
      <c r="I4964" t="s">
        <v>5</v>
      </c>
      <c r="J4964">
        <v>106.69</v>
      </c>
      <c r="K4964">
        <v>31.2</v>
      </c>
      <c r="L4964" t="s">
        <v>14</v>
      </c>
      <c r="M4964">
        <v>0</v>
      </c>
      <c r="N4964" t="str">
        <f t="shared" si="231"/>
        <v>40–59</v>
      </c>
      <c r="O4964" t="str">
        <f t="shared" si="232"/>
        <v>Obese</v>
      </c>
    </row>
    <row r="4965" spans="1:15" x14ac:dyDescent="0.3">
      <c r="A4965">
        <v>50338</v>
      </c>
      <c r="B4965" t="s">
        <v>7</v>
      </c>
      <c r="C4965">
        <v>34</v>
      </c>
      <c r="D4965">
        <v>0</v>
      </c>
      <c r="E4965">
        <v>0</v>
      </c>
      <c r="F4965" t="str">
        <f t="shared" si="233"/>
        <v>Lower Risk</v>
      </c>
      <c r="G4965" t="s">
        <v>3</v>
      </c>
      <c r="H4965" t="s">
        <v>4</v>
      </c>
      <c r="I4965" t="s">
        <v>5</v>
      </c>
      <c r="J4965">
        <v>83.07</v>
      </c>
      <c r="K4965">
        <v>28</v>
      </c>
      <c r="L4965" t="s">
        <v>6</v>
      </c>
      <c r="M4965">
        <v>0</v>
      </c>
      <c r="N4965" t="str">
        <f t="shared" si="231"/>
        <v>Under 40</v>
      </c>
      <c r="O4965" t="str">
        <f t="shared" si="232"/>
        <v>Overweight</v>
      </c>
    </row>
    <row r="4966" spans="1:15" x14ac:dyDescent="0.3">
      <c r="A4966">
        <v>58209</v>
      </c>
      <c r="B4966" t="s">
        <v>7</v>
      </c>
      <c r="C4966">
        <v>22</v>
      </c>
      <c r="D4966">
        <v>0</v>
      </c>
      <c r="E4966">
        <v>0</v>
      </c>
      <c r="F4966" t="str">
        <f t="shared" si="233"/>
        <v>Lower Risk</v>
      </c>
      <c r="G4966" t="s">
        <v>13</v>
      </c>
      <c r="H4966" t="s">
        <v>4</v>
      </c>
      <c r="I4966" t="s">
        <v>5</v>
      </c>
      <c r="J4966">
        <v>140.13999999999999</v>
      </c>
      <c r="K4966">
        <v>21.1</v>
      </c>
      <c r="L4966" t="s">
        <v>11</v>
      </c>
      <c r="M4966">
        <v>0</v>
      </c>
      <c r="N4966" t="str">
        <f t="shared" si="231"/>
        <v>Under 40</v>
      </c>
      <c r="O4966" t="str">
        <f t="shared" si="232"/>
        <v>Normal</v>
      </c>
    </row>
    <row r="4967" spans="1:15" x14ac:dyDescent="0.3">
      <c r="A4967">
        <v>20634</v>
      </c>
      <c r="B4967" t="s">
        <v>7</v>
      </c>
      <c r="C4967">
        <v>11</v>
      </c>
      <c r="D4967">
        <v>0</v>
      </c>
      <c r="E4967">
        <v>0</v>
      </c>
      <c r="F4967" t="str">
        <f t="shared" si="233"/>
        <v>Lower Risk</v>
      </c>
      <c r="G4967" t="s">
        <v>13</v>
      </c>
      <c r="H4967" t="s">
        <v>16</v>
      </c>
      <c r="I4967" t="s">
        <v>5</v>
      </c>
      <c r="J4967">
        <v>92.65</v>
      </c>
      <c r="K4967">
        <v>15.7</v>
      </c>
      <c r="L4967" t="s">
        <v>11</v>
      </c>
      <c r="M4967">
        <v>0</v>
      </c>
      <c r="N4967" t="str">
        <f t="shared" si="231"/>
        <v>Under 40</v>
      </c>
      <c r="O4967" t="str">
        <f t="shared" si="232"/>
        <v>Underweight</v>
      </c>
    </row>
    <row r="4968" spans="1:15" x14ac:dyDescent="0.3">
      <c r="A4968">
        <v>3251</v>
      </c>
      <c r="B4968" t="s">
        <v>2</v>
      </c>
      <c r="C4968">
        <v>54</v>
      </c>
      <c r="D4968">
        <v>0</v>
      </c>
      <c r="E4968">
        <v>0</v>
      </c>
      <c r="F4968" t="str">
        <f t="shared" si="233"/>
        <v>Lower Risk</v>
      </c>
      <c r="G4968" t="s">
        <v>3</v>
      </c>
      <c r="H4968" t="s">
        <v>4</v>
      </c>
      <c r="I4968" t="s">
        <v>5</v>
      </c>
      <c r="J4968">
        <v>111.37</v>
      </c>
      <c r="K4968">
        <v>29.1</v>
      </c>
      <c r="L4968" t="s">
        <v>6</v>
      </c>
      <c r="M4968">
        <v>0</v>
      </c>
      <c r="N4968" t="str">
        <f t="shared" si="231"/>
        <v>40–59</v>
      </c>
      <c r="O4968" t="str">
        <f t="shared" si="232"/>
        <v>Overweight</v>
      </c>
    </row>
    <row r="4969" spans="1:15" x14ac:dyDescent="0.3">
      <c r="A4969">
        <v>12677</v>
      </c>
      <c r="B4969" t="s">
        <v>7</v>
      </c>
      <c r="C4969">
        <v>60</v>
      </c>
      <c r="D4969">
        <v>0</v>
      </c>
      <c r="E4969">
        <v>0</v>
      </c>
      <c r="F4969" t="str">
        <f t="shared" si="233"/>
        <v>Moderate Risk</v>
      </c>
      <c r="G4969" t="s">
        <v>3</v>
      </c>
      <c r="H4969" t="s">
        <v>4</v>
      </c>
      <c r="I4969" t="s">
        <v>9</v>
      </c>
      <c r="J4969">
        <v>99</v>
      </c>
      <c r="K4969">
        <v>26.1</v>
      </c>
      <c r="L4969" t="s">
        <v>11</v>
      </c>
      <c r="M4969">
        <v>0</v>
      </c>
      <c r="N4969" t="str">
        <f t="shared" si="231"/>
        <v>60+</v>
      </c>
      <c r="O4969" t="str">
        <f t="shared" si="232"/>
        <v>Overweight</v>
      </c>
    </row>
    <row r="4970" spans="1:15" x14ac:dyDescent="0.3">
      <c r="A4970">
        <v>45160</v>
      </c>
      <c r="B4970" t="s">
        <v>2</v>
      </c>
      <c r="C4970">
        <v>3</v>
      </c>
      <c r="D4970">
        <v>0</v>
      </c>
      <c r="E4970">
        <v>0</v>
      </c>
      <c r="F4970" t="str">
        <f t="shared" si="233"/>
        <v>Lower Risk</v>
      </c>
      <c r="G4970" t="s">
        <v>13</v>
      </c>
      <c r="H4970" t="s">
        <v>16</v>
      </c>
      <c r="I4970" t="s">
        <v>9</v>
      </c>
      <c r="J4970">
        <v>78.239999999999995</v>
      </c>
      <c r="K4970">
        <v>16.2</v>
      </c>
      <c r="L4970" t="s">
        <v>14</v>
      </c>
      <c r="M4970">
        <v>0</v>
      </c>
      <c r="N4970" t="str">
        <f t="shared" si="231"/>
        <v>Under 40</v>
      </c>
      <c r="O4970" t="str">
        <f t="shared" si="232"/>
        <v>Underweight</v>
      </c>
    </row>
    <row r="4971" spans="1:15" x14ac:dyDescent="0.3">
      <c r="A4971">
        <v>67940</v>
      </c>
      <c r="B4971" t="s">
        <v>7</v>
      </c>
      <c r="C4971">
        <v>46</v>
      </c>
      <c r="D4971">
        <v>0</v>
      </c>
      <c r="E4971">
        <v>0</v>
      </c>
      <c r="F4971" t="str">
        <f t="shared" si="233"/>
        <v>Lower Risk</v>
      </c>
      <c r="G4971" t="s">
        <v>3</v>
      </c>
      <c r="H4971" t="s">
        <v>15</v>
      </c>
      <c r="I4971" t="s">
        <v>9</v>
      </c>
      <c r="J4971">
        <v>83.88</v>
      </c>
      <c r="K4971">
        <v>27.1</v>
      </c>
      <c r="L4971" t="s">
        <v>11</v>
      </c>
      <c r="M4971">
        <v>0</v>
      </c>
      <c r="N4971" t="str">
        <f t="shared" si="231"/>
        <v>40–59</v>
      </c>
      <c r="O4971" t="str">
        <f t="shared" si="232"/>
        <v>Overweight</v>
      </c>
    </row>
    <row r="4972" spans="1:15" x14ac:dyDescent="0.3">
      <c r="A4972">
        <v>8145</v>
      </c>
      <c r="B4972" t="s">
        <v>2</v>
      </c>
      <c r="C4972">
        <v>30</v>
      </c>
      <c r="D4972">
        <v>0</v>
      </c>
      <c r="E4972">
        <v>0</v>
      </c>
      <c r="F4972" t="str">
        <f t="shared" si="233"/>
        <v>Lower Risk</v>
      </c>
      <c r="G4972" t="s">
        <v>13</v>
      </c>
      <c r="H4972" t="s">
        <v>4</v>
      </c>
      <c r="I4972" t="s">
        <v>5</v>
      </c>
      <c r="J4972">
        <v>86.21</v>
      </c>
      <c r="K4972">
        <v>28.8</v>
      </c>
      <c r="L4972" t="s">
        <v>12</v>
      </c>
      <c r="M4972">
        <v>0</v>
      </c>
      <c r="N4972" t="str">
        <f t="shared" si="231"/>
        <v>Under 40</v>
      </c>
      <c r="O4972" t="str">
        <f t="shared" si="232"/>
        <v>Overweight</v>
      </c>
    </row>
    <row r="4973" spans="1:15" x14ac:dyDescent="0.3">
      <c r="A4973">
        <v>39393</v>
      </c>
      <c r="B4973" t="s">
        <v>7</v>
      </c>
      <c r="C4973">
        <v>63</v>
      </c>
      <c r="D4973">
        <v>0</v>
      </c>
      <c r="E4973">
        <v>0</v>
      </c>
      <c r="F4973" t="str">
        <f t="shared" si="233"/>
        <v>Moderate Risk</v>
      </c>
      <c r="G4973" t="s">
        <v>3</v>
      </c>
      <c r="H4973" t="s">
        <v>4</v>
      </c>
      <c r="I4973" t="s">
        <v>5</v>
      </c>
      <c r="J4973">
        <v>57.06</v>
      </c>
      <c r="K4973">
        <v>37.9</v>
      </c>
      <c r="L4973" t="s">
        <v>11</v>
      </c>
      <c r="M4973">
        <v>0</v>
      </c>
      <c r="N4973" t="str">
        <f t="shared" si="231"/>
        <v>60+</v>
      </c>
      <c r="O4973" t="str">
        <f t="shared" si="232"/>
        <v>Obese</v>
      </c>
    </row>
    <row r="4974" spans="1:15" x14ac:dyDescent="0.3">
      <c r="A4974">
        <v>57710</v>
      </c>
      <c r="B4974" t="s">
        <v>7</v>
      </c>
      <c r="C4974">
        <v>50</v>
      </c>
      <c r="D4974">
        <v>0</v>
      </c>
      <c r="E4974">
        <v>0</v>
      </c>
      <c r="F4974" t="str">
        <f t="shared" si="233"/>
        <v>Lower Risk</v>
      </c>
      <c r="G4974" t="s">
        <v>3</v>
      </c>
      <c r="H4974" t="s">
        <v>4</v>
      </c>
      <c r="I4974" t="s">
        <v>9</v>
      </c>
      <c r="J4974">
        <v>112.25</v>
      </c>
      <c r="K4974">
        <v>21.6</v>
      </c>
      <c r="L4974" t="s">
        <v>14</v>
      </c>
      <c r="M4974">
        <v>0</v>
      </c>
      <c r="N4974" t="str">
        <f t="shared" si="231"/>
        <v>40–59</v>
      </c>
      <c r="O4974" t="str">
        <f t="shared" si="232"/>
        <v>Normal</v>
      </c>
    </row>
    <row r="4975" spans="1:15" x14ac:dyDescent="0.3">
      <c r="A4975">
        <v>12487</v>
      </c>
      <c r="B4975" t="s">
        <v>2</v>
      </c>
      <c r="C4975">
        <v>65</v>
      </c>
      <c r="D4975">
        <v>0</v>
      </c>
      <c r="E4975">
        <v>0</v>
      </c>
      <c r="F4975" t="str">
        <f t="shared" si="233"/>
        <v>Moderate Risk</v>
      </c>
      <c r="G4975" t="s">
        <v>3</v>
      </c>
      <c r="H4975" t="s">
        <v>4</v>
      </c>
      <c r="I4975" t="s">
        <v>5</v>
      </c>
      <c r="J4975">
        <v>81.06</v>
      </c>
      <c r="K4975">
        <v>30.1</v>
      </c>
      <c r="L4975" t="s">
        <v>12</v>
      </c>
      <c r="M4975">
        <v>0</v>
      </c>
      <c r="N4975" t="str">
        <f t="shared" si="231"/>
        <v>60+</v>
      </c>
      <c r="O4975" t="str">
        <f t="shared" si="232"/>
        <v>Obese</v>
      </c>
    </row>
    <row r="4976" spans="1:15" x14ac:dyDescent="0.3">
      <c r="A4976">
        <v>16513</v>
      </c>
      <c r="B4976" t="s">
        <v>2</v>
      </c>
      <c r="C4976">
        <v>78</v>
      </c>
      <c r="D4976">
        <v>0</v>
      </c>
      <c r="E4976">
        <v>0</v>
      </c>
      <c r="F4976" t="str">
        <f t="shared" si="233"/>
        <v>Moderate Risk</v>
      </c>
      <c r="G4976" t="s">
        <v>3</v>
      </c>
      <c r="H4976" t="s">
        <v>4</v>
      </c>
      <c r="I4976" t="s">
        <v>5</v>
      </c>
      <c r="J4976">
        <v>104.37</v>
      </c>
      <c r="K4976">
        <v>29.7</v>
      </c>
      <c r="L4976" t="s">
        <v>11</v>
      </c>
      <c r="M4976">
        <v>0</v>
      </c>
      <c r="N4976" t="str">
        <f t="shared" si="231"/>
        <v>60+</v>
      </c>
      <c r="O4976" t="str">
        <f t="shared" si="232"/>
        <v>Overweight</v>
      </c>
    </row>
    <row r="4977" spans="1:15" x14ac:dyDescent="0.3">
      <c r="A4977">
        <v>42297</v>
      </c>
      <c r="B4977" t="s">
        <v>7</v>
      </c>
      <c r="C4977">
        <v>36</v>
      </c>
      <c r="D4977">
        <v>0</v>
      </c>
      <c r="E4977">
        <v>0</v>
      </c>
      <c r="F4977" t="str">
        <f t="shared" si="233"/>
        <v>Lower Risk</v>
      </c>
      <c r="G4977" t="s">
        <v>3</v>
      </c>
      <c r="H4977" t="s">
        <v>4</v>
      </c>
      <c r="I4977" t="s">
        <v>5</v>
      </c>
      <c r="J4977">
        <v>124.31</v>
      </c>
      <c r="K4977">
        <v>26.4</v>
      </c>
      <c r="L4977" t="s">
        <v>14</v>
      </c>
      <c r="M4977">
        <v>0</v>
      </c>
      <c r="N4977" t="str">
        <f t="shared" si="231"/>
        <v>Under 40</v>
      </c>
      <c r="O4977" t="str">
        <f t="shared" si="232"/>
        <v>Overweight</v>
      </c>
    </row>
    <row r="4978" spans="1:15" x14ac:dyDescent="0.3">
      <c r="A4978">
        <v>63656</v>
      </c>
      <c r="B4978" t="s">
        <v>7</v>
      </c>
      <c r="C4978">
        <v>18</v>
      </c>
      <c r="D4978">
        <v>0</v>
      </c>
      <c r="E4978">
        <v>0</v>
      </c>
      <c r="F4978" t="str">
        <f t="shared" si="233"/>
        <v>Lower Risk</v>
      </c>
      <c r="G4978" t="s">
        <v>13</v>
      </c>
      <c r="H4978" t="s">
        <v>4</v>
      </c>
      <c r="I4978" t="s">
        <v>5</v>
      </c>
      <c r="J4978">
        <v>101.95</v>
      </c>
      <c r="K4978">
        <v>46</v>
      </c>
      <c r="L4978" t="s">
        <v>6</v>
      </c>
      <c r="M4978">
        <v>0</v>
      </c>
      <c r="N4978" t="str">
        <f t="shared" si="231"/>
        <v>Under 40</v>
      </c>
      <c r="O4978" t="str">
        <f t="shared" si="232"/>
        <v>Obese</v>
      </c>
    </row>
    <row r="4979" spans="1:15" x14ac:dyDescent="0.3">
      <c r="A4979">
        <v>56233</v>
      </c>
      <c r="B4979" t="s">
        <v>7</v>
      </c>
      <c r="C4979">
        <v>44</v>
      </c>
      <c r="D4979">
        <v>0</v>
      </c>
      <c r="E4979">
        <v>0</v>
      </c>
      <c r="F4979" t="str">
        <f t="shared" si="233"/>
        <v>Lower Risk</v>
      </c>
      <c r="G4979" t="s">
        <v>13</v>
      </c>
      <c r="H4979" t="s">
        <v>4</v>
      </c>
      <c r="I4979" t="s">
        <v>9</v>
      </c>
      <c r="J4979">
        <v>116.95</v>
      </c>
      <c r="K4979">
        <v>26.1</v>
      </c>
      <c r="L4979" t="s">
        <v>11</v>
      </c>
      <c r="M4979">
        <v>0</v>
      </c>
      <c r="N4979" t="str">
        <f t="shared" si="231"/>
        <v>40–59</v>
      </c>
      <c r="O4979" t="str">
        <f t="shared" si="232"/>
        <v>Overweight</v>
      </c>
    </row>
    <row r="4980" spans="1:15" x14ac:dyDescent="0.3">
      <c r="A4980">
        <v>22591</v>
      </c>
      <c r="B4980" t="s">
        <v>7</v>
      </c>
      <c r="C4980">
        <v>4</v>
      </c>
      <c r="D4980">
        <v>0</v>
      </c>
      <c r="E4980">
        <v>0</v>
      </c>
      <c r="F4980" t="str">
        <f t="shared" si="233"/>
        <v>Lower Risk</v>
      </c>
      <c r="G4980" t="s">
        <v>13</v>
      </c>
      <c r="H4980" t="s">
        <v>16</v>
      </c>
      <c r="I4980" t="s">
        <v>5</v>
      </c>
      <c r="J4980">
        <v>99.76</v>
      </c>
      <c r="K4980">
        <v>23.2</v>
      </c>
      <c r="L4980" t="s">
        <v>14</v>
      </c>
      <c r="M4980">
        <v>0</v>
      </c>
      <c r="N4980" t="str">
        <f t="shared" si="231"/>
        <v>Under 40</v>
      </c>
      <c r="O4980" t="str">
        <f t="shared" si="232"/>
        <v>Normal</v>
      </c>
    </row>
    <row r="4981" spans="1:15" x14ac:dyDescent="0.3">
      <c r="A4981">
        <v>23757</v>
      </c>
      <c r="B4981" t="s">
        <v>7</v>
      </c>
      <c r="C4981">
        <v>60</v>
      </c>
      <c r="D4981">
        <v>0</v>
      </c>
      <c r="E4981">
        <v>0</v>
      </c>
      <c r="F4981" t="str">
        <f t="shared" si="233"/>
        <v>Moderate Risk</v>
      </c>
      <c r="G4981" t="s">
        <v>13</v>
      </c>
      <c r="H4981" t="s">
        <v>4</v>
      </c>
      <c r="I4981" t="s">
        <v>5</v>
      </c>
      <c r="J4981">
        <v>105.48</v>
      </c>
      <c r="K4981">
        <v>28.4</v>
      </c>
      <c r="L4981" t="s">
        <v>14</v>
      </c>
      <c r="M4981">
        <v>0</v>
      </c>
      <c r="N4981" t="str">
        <f t="shared" si="231"/>
        <v>60+</v>
      </c>
      <c r="O4981" t="str">
        <f t="shared" si="232"/>
        <v>Overweight</v>
      </c>
    </row>
    <row r="4982" spans="1:15" x14ac:dyDescent="0.3">
      <c r="A4982">
        <v>19601</v>
      </c>
      <c r="B4982" t="s">
        <v>7</v>
      </c>
      <c r="C4982">
        <v>19</v>
      </c>
      <c r="D4982">
        <v>0</v>
      </c>
      <c r="E4982">
        <v>0</v>
      </c>
      <c r="F4982" t="str">
        <f t="shared" si="233"/>
        <v>Lower Risk</v>
      </c>
      <c r="G4982" t="s">
        <v>13</v>
      </c>
      <c r="H4982" t="s">
        <v>4</v>
      </c>
      <c r="I4982" t="s">
        <v>5</v>
      </c>
      <c r="J4982">
        <v>100.6</v>
      </c>
      <c r="K4982">
        <v>20.5</v>
      </c>
      <c r="L4982" t="s">
        <v>11</v>
      </c>
      <c r="M4982">
        <v>0</v>
      </c>
      <c r="N4982" t="str">
        <f t="shared" si="231"/>
        <v>Under 40</v>
      </c>
      <c r="O4982" t="str">
        <f t="shared" si="232"/>
        <v>Normal</v>
      </c>
    </row>
    <row r="4983" spans="1:15" x14ac:dyDescent="0.3">
      <c r="A4983">
        <v>61801</v>
      </c>
      <c r="B4983" t="s">
        <v>2</v>
      </c>
      <c r="C4983">
        <v>15</v>
      </c>
      <c r="D4983">
        <v>0</v>
      </c>
      <c r="E4983">
        <v>0</v>
      </c>
      <c r="F4983" t="str">
        <f t="shared" si="233"/>
        <v>Lower Risk</v>
      </c>
      <c r="G4983" t="s">
        <v>13</v>
      </c>
      <c r="H4983" t="s">
        <v>4</v>
      </c>
      <c r="I4983" t="s">
        <v>5</v>
      </c>
      <c r="J4983">
        <v>65.05</v>
      </c>
      <c r="K4983">
        <v>24.6</v>
      </c>
      <c r="L4983" t="s">
        <v>14</v>
      </c>
      <c r="M4983">
        <v>0</v>
      </c>
      <c r="N4983" t="str">
        <f t="shared" si="231"/>
        <v>Under 40</v>
      </c>
      <c r="O4983" t="str">
        <f t="shared" si="232"/>
        <v>Normal</v>
      </c>
    </row>
    <row r="4984" spans="1:15" x14ac:dyDescent="0.3">
      <c r="A4984">
        <v>949</v>
      </c>
      <c r="B4984" t="s">
        <v>2</v>
      </c>
      <c r="C4984">
        <v>20</v>
      </c>
      <c r="D4984">
        <v>0</v>
      </c>
      <c r="E4984">
        <v>0</v>
      </c>
      <c r="F4984" t="str">
        <f t="shared" si="233"/>
        <v>Lower Risk</v>
      </c>
      <c r="G4984" t="s">
        <v>13</v>
      </c>
      <c r="H4984" t="s">
        <v>4</v>
      </c>
      <c r="I4984" t="s">
        <v>9</v>
      </c>
      <c r="J4984">
        <v>75.900000000000006</v>
      </c>
      <c r="K4984">
        <v>32.200000000000003</v>
      </c>
      <c r="L4984" t="s">
        <v>11</v>
      </c>
      <c r="M4984">
        <v>0</v>
      </c>
      <c r="N4984" t="str">
        <f t="shared" si="231"/>
        <v>Under 40</v>
      </c>
      <c r="O4984" t="str">
        <f t="shared" si="232"/>
        <v>Obese</v>
      </c>
    </row>
    <row r="4985" spans="1:15" x14ac:dyDescent="0.3">
      <c r="A4985">
        <v>10995</v>
      </c>
      <c r="B4985" t="s">
        <v>2</v>
      </c>
      <c r="C4985">
        <v>76</v>
      </c>
      <c r="D4985">
        <v>1</v>
      </c>
      <c r="E4985">
        <v>0</v>
      </c>
      <c r="F4985" t="str">
        <f t="shared" si="233"/>
        <v>High Risk</v>
      </c>
      <c r="G4985" t="s">
        <v>3</v>
      </c>
      <c r="H4985" t="s">
        <v>4</v>
      </c>
      <c r="I4985" t="s">
        <v>9</v>
      </c>
      <c r="J4985">
        <v>267.60000000000002</v>
      </c>
      <c r="K4985">
        <v>30.5</v>
      </c>
      <c r="L4985" t="s">
        <v>11</v>
      </c>
      <c r="M4985">
        <v>0</v>
      </c>
      <c r="N4985" t="str">
        <f t="shared" si="231"/>
        <v>60+</v>
      </c>
      <c r="O4985" t="str">
        <f t="shared" si="232"/>
        <v>Obese</v>
      </c>
    </row>
    <row r="4986" spans="1:15" x14ac:dyDescent="0.3">
      <c r="A4986">
        <v>1503</v>
      </c>
      <c r="B4986" t="s">
        <v>2</v>
      </c>
      <c r="C4986">
        <v>31</v>
      </c>
      <c r="D4986">
        <v>0</v>
      </c>
      <c r="E4986">
        <v>0</v>
      </c>
      <c r="F4986" t="str">
        <f t="shared" si="233"/>
        <v>Lower Risk</v>
      </c>
      <c r="G4986" t="s">
        <v>13</v>
      </c>
      <c r="H4986" t="s">
        <v>4</v>
      </c>
      <c r="I4986" t="s">
        <v>5</v>
      </c>
      <c r="J4986">
        <v>215.07</v>
      </c>
      <c r="K4986" t="s">
        <v>10</v>
      </c>
      <c r="L4986" t="s">
        <v>12</v>
      </c>
      <c r="M4986">
        <v>0</v>
      </c>
      <c r="N4986" t="str">
        <f t="shared" si="231"/>
        <v>Under 40</v>
      </c>
      <c r="O4986" t="str">
        <f t="shared" si="232"/>
        <v>Unknown</v>
      </c>
    </row>
    <row r="4987" spans="1:15" x14ac:dyDescent="0.3">
      <c r="A4987">
        <v>37431</v>
      </c>
      <c r="B4987" t="s">
        <v>7</v>
      </c>
      <c r="C4987">
        <v>39</v>
      </c>
      <c r="D4987">
        <v>0</v>
      </c>
      <c r="E4987">
        <v>0</v>
      </c>
      <c r="F4987" t="str">
        <f t="shared" si="233"/>
        <v>Lower Risk</v>
      </c>
      <c r="G4987" t="s">
        <v>3</v>
      </c>
      <c r="H4987" t="s">
        <v>15</v>
      </c>
      <c r="I4987" t="s">
        <v>5</v>
      </c>
      <c r="J4987">
        <v>109.03</v>
      </c>
      <c r="K4987">
        <v>24.9</v>
      </c>
      <c r="L4987" t="s">
        <v>14</v>
      </c>
      <c r="M4987">
        <v>0</v>
      </c>
      <c r="N4987" t="str">
        <f t="shared" si="231"/>
        <v>Under 40</v>
      </c>
      <c r="O4987" t="str">
        <f t="shared" si="232"/>
        <v>Normal</v>
      </c>
    </row>
    <row r="4988" spans="1:15" x14ac:dyDescent="0.3">
      <c r="A4988">
        <v>53697</v>
      </c>
      <c r="B4988" t="s">
        <v>2</v>
      </c>
      <c r="C4988">
        <v>58</v>
      </c>
      <c r="D4988">
        <v>0</v>
      </c>
      <c r="E4988">
        <v>1</v>
      </c>
      <c r="F4988" t="str">
        <f t="shared" si="233"/>
        <v>Lower Risk</v>
      </c>
      <c r="G4988" t="s">
        <v>3</v>
      </c>
      <c r="H4988" t="s">
        <v>4</v>
      </c>
      <c r="I4988" t="s">
        <v>9</v>
      </c>
      <c r="J4988">
        <v>225.35</v>
      </c>
      <c r="K4988">
        <v>26.5</v>
      </c>
      <c r="L4988" t="s">
        <v>12</v>
      </c>
      <c r="M4988">
        <v>0</v>
      </c>
      <c r="N4988" t="str">
        <f t="shared" si="231"/>
        <v>40–59</v>
      </c>
      <c r="O4988" t="str">
        <f t="shared" si="232"/>
        <v>Overweight</v>
      </c>
    </row>
    <row r="4989" spans="1:15" x14ac:dyDescent="0.3">
      <c r="A4989">
        <v>67012</v>
      </c>
      <c r="B4989" t="s">
        <v>2</v>
      </c>
      <c r="C4989">
        <v>64</v>
      </c>
      <c r="D4989">
        <v>1</v>
      </c>
      <c r="E4989">
        <v>0</v>
      </c>
      <c r="F4989" t="str">
        <f t="shared" si="233"/>
        <v>High Risk</v>
      </c>
      <c r="G4989" t="s">
        <v>3</v>
      </c>
      <c r="H4989" t="s">
        <v>4</v>
      </c>
      <c r="I4989" t="s">
        <v>9</v>
      </c>
      <c r="J4989">
        <v>196.26</v>
      </c>
      <c r="K4989">
        <v>34.5</v>
      </c>
      <c r="L4989" t="s">
        <v>14</v>
      </c>
      <c r="M4989">
        <v>0</v>
      </c>
      <c r="N4989" t="str">
        <f t="shared" si="231"/>
        <v>60+</v>
      </c>
      <c r="O4989" t="str">
        <f t="shared" si="232"/>
        <v>Obese</v>
      </c>
    </row>
    <row r="4990" spans="1:15" x14ac:dyDescent="0.3">
      <c r="A4990">
        <v>30525</v>
      </c>
      <c r="B4990" t="s">
        <v>7</v>
      </c>
      <c r="C4990">
        <v>79</v>
      </c>
      <c r="D4990">
        <v>0</v>
      </c>
      <c r="E4990">
        <v>0</v>
      </c>
      <c r="F4990" t="str">
        <f t="shared" si="233"/>
        <v>Moderate Risk</v>
      </c>
      <c r="G4990" t="s">
        <v>3</v>
      </c>
      <c r="H4990" t="s">
        <v>15</v>
      </c>
      <c r="I4990" t="s">
        <v>5</v>
      </c>
      <c r="J4990">
        <v>95.42</v>
      </c>
      <c r="K4990">
        <v>21.5</v>
      </c>
      <c r="L4990" t="s">
        <v>6</v>
      </c>
      <c r="M4990">
        <v>0</v>
      </c>
      <c r="N4990" t="str">
        <f t="shared" si="231"/>
        <v>60+</v>
      </c>
      <c r="O4990" t="str">
        <f t="shared" si="232"/>
        <v>Normal</v>
      </c>
    </row>
    <row r="4991" spans="1:15" x14ac:dyDescent="0.3">
      <c r="A4991">
        <v>25860</v>
      </c>
      <c r="B4991" t="s">
        <v>7</v>
      </c>
      <c r="C4991">
        <v>11</v>
      </c>
      <c r="D4991">
        <v>0</v>
      </c>
      <c r="E4991">
        <v>0</v>
      </c>
      <c r="F4991" t="str">
        <f t="shared" si="233"/>
        <v>Lower Risk</v>
      </c>
      <c r="G4991" t="s">
        <v>13</v>
      </c>
      <c r="H4991" t="s">
        <v>16</v>
      </c>
      <c r="I4991" t="s">
        <v>9</v>
      </c>
      <c r="J4991">
        <v>123.04</v>
      </c>
      <c r="K4991">
        <v>15.9</v>
      </c>
      <c r="L4991" t="s">
        <v>14</v>
      </c>
      <c r="M4991">
        <v>0</v>
      </c>
      <c r="N4991" t="str">
        <f t="shared" si="231"/>
        <v>Under 40</v>
      </c>
      <c r="O4991" t="str">
        <f t="shared" si="232"/>
        <v>Underweight</v>
      </c>
    </row>
    <row r="4992" spans="1:15" x14ac:dyDescent="0.3">
      <c r="A4992">
        <v>21743</v>
      </c>
      <c r="B4992" t="s">
        <v>2</v>
      </c>
      <c r="C4992">
        <v>4</v>
      </c>
      <c r="D4992">
        <v>0</v>
      </c>
      <c r="E4992">
        <v>0</v>
      </c>
      <c r="F4992" t="str">
        <f t="shared" si="233"/>
        <v>Lower Risk</v>
      </c>
      <c r="G4992" t="s">
        <v>13</v>
      </c>
      <c r="H4992" t="s">
        <v>16</v>
      </c>
      <c r="I4992" t="s">
        <v>5</v>
      </c>
      <c r="J4992">
        <v>85.88</v>
      </c>
      <c r="K4992">
        <v>17.7</v>
      </c>
      <c r="L4992" t="s">
        <v>14</v>
      </c>
      <c r="M4992">
        <v>0</v>
      </c>
      <c r="N4992" t="str">
        <f t="shared" si="231"/>
        <v>Under 40</v>
      </c>
      <c r="O4992" t="str">
        <f t="shared" si="232"/>
        <v>Underweight</v>
      </c>
    </row>
    <row r="4993" spans="1:15" x14ac:dyDescent="0.3">
      <c r="A4993">
        <v>25833</v>
      </c>
      <c r="B4993" t="s">
        <v>7</v>
      </c>
      <c r="C4993">
        <v>43</v>
      </c>
      <c r="D4993">
        <v>0</v>
      </c>
      <c r="E4993">
        <v>0</v>
      </c>
      <c r="F4993" t="str">
        <f t="shared" si="233"/>
        <v>Lower Risk</v>
      </c>
      <c r="G4993" t="s">
        <v>3</v>
      </c>
      <c r="H4993" t="s">
        <v>4</v>
      </c>
      <c r="I4993" t="s">
        <v>9</v>
      </c>
      <c r="J4993">
        <v>107.43</v>
      </c>
      <c r="K4993">
        <v>26.5</v>
      </c>
      <c r="L4993" t="s">
        <v>11</v>
      </c>
      <c r="M4993">
        <v>0</v>
      </c>
      <c r="N4993" t="str">
        <f t="shared" si="231"/>
        <v>40–59</v>
      </c>
      <c r="O4993" t="str">
        <f t="shared" si="232"/>
        <v>Overweight</v>
      </c>
    </row>
    <row r="4994" spans="1:15" x14ac:dyDescent="0.3">
      <c r="A4994">
        <v>64652</v>
      </c>
      <c r="B4994" t="s">
        <v>7</v>
      </c>
      <c r="C4994">
        <v>44</v>
      </c>
      <c r="D4994">
        <v>0</v>
      </c>
      <c r="E4994">
        <v>0</v>
      </c>
      <c r="F4994" t="str">
        <f t="shared" si="233"/>
        <v>Lower Risk</v>
      </c>
      <c r="G4994" t="s">
        <v>3</v>
      </c>
      <c r="H4994" t="s">
        <v>4</v>
      </c>
      <c r="I4994" t="s">
        <v>9</v>
      </c>
      <c r="J4994">
        <v>56.85</v>
      </c>
      <c r="K4994">
        <v>24.4</v>
      </c>
      <c r="L4994" t="s">
        <v>11</v>
      </c>
      <c r="M4994">
        <v>0</v>
      </c>
      <c r="N4994" t="str">
        <f t="shared" ref="N4994:N5057" si="234">IF(C4994&lt;40,"Under 40",IF(C4994&lt;60,"40–59","60+"))</f>
        <v>40–59</v>
      </c>
      <c r="O4994" t="str">
        <f t="shared" ref="O4994:O5057" si="235">IF(K4994="N/A","Unknown",
IF(K4994="","Unknown",
IF(K4994&lt;18.5,"Underweight",
IF(K4994&lt;25,"Normal",
IF(K4994&lt;30,"Overweight","Obese")))))</f>
        <v>Normal</v>
      </c>
    </row>
    <row r="4995" spans="1:15" x14ac:dyDescent="0.3">
      <c r="A4995">
        <v>45710</v>
      </c>
      <c r="B4995" t="s">
        <v>7</v>
      </c>
      <c r="C4995">
        <v>37</v>
      </c>
      <c r="D4995">
        <v>0</v>
      </c>
      <c r="E4995">
        <v>0</v>
      </c>
      <c r="F4995" t="str">
        <f t="shared" ref="F4995:F5058" si="236">IF(C4995&gt;=60,
IF(OR(D4995=1,E4995=1),"High Risk","Moderate Risk"),
"Lower Risk")</f>
        <v>Lower Risk</v>
      </c>
      <c r="G4995" t="s">
        <v>3</v>
      </c>
      <c r="H4995" t="s">
        <v>15</v>
      </c>
      <c r="I4995" t="s">
        <v>9</v>
      </c>
      <c r="J4995">
        <v>102.15</v>
      </c>
      <c r="K4995">
        <v>26.6</v>
      </c>
      <c r="L4995" t="s">
        <v>14</v>
      </c>
      <c r="M4995">
        <v>0</v>
      </c>
      <c r="N4995" t="str">
        <f t="shared" si="234"/>
        <v>Under 40</v>
      </c>
      <c r="O4995" t="str">
        <f t="shared" si="235"/>
        <v>Overweight</v>
      </c>
    </row>
    <row r="4996" spans="1:15" x14ac:dyDescent="0.3">
      <c r="A4996">
        <v>27853</v>
      </c>
      <c r="B4996" t="s">
        <v>7</v>
      </c>
      <c r="C4996">
        <v>34</v>
      </c>
      <c r="D4996">
        <v>0</v>
      </c>
      <c r="E4996">
        <v>0</v>
      </c>
      <c r="F4996" t="str">
        <f t="shared" si="236"/>
        <v>Lower Risk</v>
      </c>
      <c r="G4996" t="s">
        <v>3</v>
      </c>
      <c r="H4996" t="s">
        <v>8</v>
      </c>
      <c r="I4996" t="s">
        <v>9</v>
      </c>
      <c r="J4996">
        <v>88.68</v>
      </c>
      <c r="K4996">
        <v>23.9</v>
      </c>
      <c r="L4996" t="s">
        <v>11</v>
      </c>
      <c r="M4996">
        <v>0</v>
      </c>
      <c r="N4996" t="str">
        <f t="shared" si="234"/>
        <v>Under 40</v>
      </c>
      <c r="O4996" t="str">
        <f t="shared" si="235"/>
        <v>Normal</v>
      </c>
    </row>
    <row r="4997" spans="1:15" x14ac:dyDescent="0.3">
      <c r="A4997">
        <v>5964</v>
      </c>
      <c r="B4997" t="s">
        <v>7</v>
      </c>
      <c r="C4997">
        <v>59</v>
      </c>
      <c r="D4997">
        <v>0</v>
      </c>
      <c r="E4997">
        <v>0</v>
      </c>
      <c r="F4997" t="str">
        <f t="shared" si="236"/>
        <v>Lower Risk</v>
      </c>
      <c r="G4997" t="s">
        <v>3</v>
      </c>
      <c r="H4997" t="s">
        <v>4</v>
      </c>
      <c r="I4997" t="s">
        <v>5</v>
      </c>
      <c r="J4997">
        <v>182.52</v>
      </c>
      <c r="K4997">
        <v>30.1</v>
      </c>
      <c r="L4997" t="s">
        <v>14</v>
      </c>
      <c r="M4997">
        <v>0</v>
      </c>
      <c r="N4997" t="str">
        <f t="shared" si="234"/>
        <v>40–59</v>
      </c>
      <c r="O4997" t="str">
        <f t="shared" si="235"/>
        <v>Obese</v>
      </c>
    </row>
    <row r="4998" spans="1:15" x14ac:dyDescent="0.3">
      <c r="A4998">
        <v>6976</v>
      </c>
      <c r="B4998" t="s">
        <v>7</v>
      </c>
      <c r="C4998">
        <v>40</v>
      </c>
      <c r="D4998">
        <v>0</v>
      </c>
      <c r="E4998">
        <v>0</v>
      </c>
      <c r="F4998" t="str">
        <f t="shared" si="236"/>
        <v>Lower Risk</v>
      </c>
      <c r="G4998" t="s">
        <v>3</v>
      </c>
      <c r="H4998" t="s">
        <v>4</v>
      </c>
      <c r="I4998" t="s">
        <v>5</v>
      </c>
      <c r="J4998">
        <v>93.97</v>
      </c>
      <c r="K4998">
        <v>23.6</v>
      </c>
      <c r="L4998" t="s">
        <v>11</v>
      </c>
      <c r="M4998">
        <v>0</v>
      </c>
      <c r="N4998" t="str">
        <f t="shared" si="234"/>
        <v>40–59</v>
      </c>
      <c r="O4998" t="str">
        <f t="shared" si="235"/>
        <v>Normal</v>
      </c>
    </row>
    <row r="4999" spans="1:15" x14ac:dyDescent="0.3">
      <c r="A4999">
        <v>11145</v>
      </c>
      <c r="B4999" t="s">
        <v>7</v>
      </c>
      <c r="C4999">
        <v>8</v>
      </c>
      <c r="D4999">
        <v>0</v>
      </c>
      <c r="E4999">
        <v>0</v>
      </c>
      <c r="F4999" t="str">
        <f t="shared" si="236"/>
        <v>Lower Risk</v>
      </c>
      <c r="G4999" t="s">
        <v>13</v>
      </c>
      <c r="H4999" t="s">
        <v>16</v>
      </c>
      <c r="I4999" t="s">
        <v>5</v>
      </c>
      <c r="J4999">
        <v>104.03</v>
      </c>
      <c r="K4999">
        <v>18.399999999999999</v>
      </c>
      <c r="L4999" t="s">
        <v>14</v>
      </c>
      <c r="M4999">
        <v>0</v>
      </c>
      <c r="N4999" t="str">
        <f t="shared" si="234"/>
        <v>Under 40</v>
      </c>
      <c r="O4999" t="str">
        <f t="shared" si="235"/>
        <v>Underweight</v>
      </c>
    </row>
    <row r="5000" spans="1:15" x14ac:dyDescent="0.3">
      <c r="A5000">
        <v>39229</v>
      </c>
      <c r="B5000" t="s">
        <v>7</v>
      </c>
      <c r="C5000">
        <v>24</v>
      </c>
      <c r="D5000">
        <v>0</v>
      </c>
      <c r="E5000">
        <v>0</v>
      </c>
      <c r="F5000" t="str">
        <f t="shared" si="236"/>
        <v>Lower Risk</v>
      </c>
      <c r="G5000" t="s">
        <v>3</v>
      </c>
      <c r="H5000" t="s">
        <v>4</v>
      </c>
      <c r="I5000" t="s">
        <v>9</v>
      </c>
      <c r="J5000">
        <v>67.989999999999995</v>
      </c>
      <c r="K5000">
        <v>32.1</v>
      </c>
      <c r="L5000" t="s">
        <v>11</v>
      </c>
      <c r="M5000">
        <v>0</v>
      </c>
      <c r="N5000" t="str">
        <f t="shared" si="234"/>
        <v>Under 40</v>
      </c>
      <c r="O5000" t="str">
        <f t="shared" si="235"/>
        <v>Obese</v>
      </c>
    </row>
    <row r="5001" spans="1:15" x14ac:dyDescent="0.3">
      <c r="A5001">
        <v>14189</v>
      </c>
      <c r="B5001" t="s">
        <v>2</v>
      </c>
      <c r="C5001">
        <v>18</v>
      </c>
      <c r="D5001">
        <v>0</v>
      </c>
      <c r="E5001">
        <v>0</v>
      </c>
      <c r="F5001" t="str">
        <f t="shared" si="236"/>
        <v>Lower Risk</v>
      </c>
      <c r="G5001" t="s">
        <v>13</v>
      </c>
      <c r="H5001" t="s">
        <v>4</v>
      </c>
      <c r="I5001" t="s">
        <v>9</v>
      </c>
      <c r="J5001">
        <v>83.37</v>
      </c>
      <c r="K5001">
        <v>24.4</v>
      </c>
      <c r="L5001" t="s">
        <v>14</v>
      </c>
      <c r="M5001">
        <v>0</v>
      </c>
      <c r="N5001" t="str">
        <f t="shared" si="234"/>
        <v>Under 40</v>
      </c>
      <c r="O5001" t="str">
        <f t="shared" si="235"/>
        <v>Normal</v>
      </c>
    </row>
    <row r="5002" spans="1:15" x14ac:dyDescent="0.3">
      <c r="A5002">
        <v>49929</v>
      </c>
      <c r="B5002" t="s">
        <v>2</v>
      </c>
      <c r="C5002">
        <v>20</v>
      </c>
      <c r="D5002">
        <v>0</v>
      </c>
      <c r="E5002">
        <v>0</v>
      </c>
      <c r="F5002" t="str">
        <f t="shared" si="236"/>
        <v>Lower Risk</v>
      </c>
      <c r="G5002" t="s">
        <v>13</v>
      </c>
      <c r="H5002" t="s">
        <v>4</v>
      </c>
      <c r="I5002" t="s">
        <v>9</v>
      </c>
      <c r="J5002">
        <v>124.66</v>
      </c>
      <c r="K5002">
        <v>27.3</v>
      </c>
      <c r="L5002" t="s">
        <v>11</v>
      </c>
      <c r="M5002">
        <v>0</v>
      </c>
      <c r="N5002" t="str">
        <f t="shared" si="234"/>
        <v>Under 40</v>
      </c>
      <c r="O5002" t="str">
        <f t="shared" si="235"/>
        <v>Overweight</v>
      </c>
    </row>
    <row r="5003" spans="1:15" x14ac:dyDescent="0.3">
      <c r="A5003">
        <v>56328</v>
      </c>
      <c r="B5003" t="s">
        <v>7</v>
      </c>
      <c r="C5003">
        <v>70</v>
      </c>
      <c r="D5003">
        <v>0</v>
      </c>
      <c r="E5003">
        <v>0</v>
      </c>
      <c r="F5003" t="str">
        <f t="shared" si="236"/>
        <v>Moderate Risk</v>
      </c>
      <c r="G5003" t="s">
        <v>3</v>
      </c>
      <c r="H5003" t="s">
        <v>4</v>
      </c>
      <c r="I5003" t="s">
        <v>9</v>
      </c>
      <c r="J5003">
        <v>212.87</v>
      </c>
      <c r="K5003">
        <v>34.799999999999997</v>
      </c>
      <c r="L5003" t="s">
        <v>11</v>
      </c>
      <c r="M5003">
        <v>0</v>
      </c>
      <c r="N5003" t="str">
        <f t="shared" si="234"/>
        <v>60+</v>
      </c>
      <c r="O5003" t="str">
        <f t="shared" si="235"/>
        <v>Obese</v>
      </c>
    </row>
    <row r="5004" spans="1:15" x14ac:dyDescent="0.3">
      <c r="A5004">
        <v>26742</v>
      </c>
      <c r="B5004" t="s">
        <v>7</v>
      </c>
      <c r="C5004">
        <v>68</v>
      </c>
      <c r="D5004">
        <v>0</v>
      </c>
      <c r="E5004">
        <v>0</v>
      </c>
      <c r="F5004" t="str">
        <f t="shared" si="236"/>
        <v>Moderate Risk</v>
      </c>
      <c r="G5004" t="s">
        <v>3</v>
      </c>
      <c r="H5004" t="s">
        <v>15</v>
      </c>
      <c r="I5004" t="s">
        <v>5</v>
      </c>
      <c r="J5004">
        <v>96.75</v>
      </c>
      <c r="K5004">
        <v>28.4</v>
      </c>
      <c r="L5004" t="s">
        <v>6</v>
      </c>
      <c r="M5004">
        <v>0</v>
      </c>
      <c r="N5004" t="str">
        <f t="shared" si="234"/>
        <v>60+</v>
      </c>
      <c r="O5004" t="str">
        <f t="shared" si="235"/>
        <v>Overweight</v>
      </c>
    </row>
    <row r="5005" spans="1:15" x14ac:dyDescent="0.3">
      <c r="A5005">
        <v>63158</v>
      </c>
      <c r="B5005" t="s">
        <v>2</v>
      </c>
      <c r="C5005">
        <v>17</v>
      </c>
      <c r="D5005">
        <v>0</v>
      </c>
      <c r="E5005">
        <v>0</v>
      </c>
      <c r="F5005" t="str">
        <f t="shared" si="236"/>
        <v>Lower Risk</v>
      </c>
      <c r="G5005" t="s">
        <v>13</v>
      </c>
      <c r="H5005" t="s">
        <v>4</v>
      </c>
      <c r="I5005" t="s">
        <v>5</v>
      </c>
      <c r="J5005">
        <v>63.28</v>
      </c>
      <c r="K5005">
        <v>40.200000000000003</v>
      </c>
      <c r="L5005" t="s">
        <v>14</v>
      </c>
      <c r="M5005">
        <v>0</v>
      </c>
      <c r="N5005" t="str">
        <f t="shared" si="234"/>
        <v>Under 40</v>
      </c>
      <c r="O5005" t="str">
        <f t="shared" si="235"/>
        <v>Obese</v>
      </c>
    </row>
    <row r="5006" spans="1:15" x14ac:dyDescent="0.3">
      <c r="A5006">
        <v>27435</v>
      </c>
      <c r="B5006" t="s">
        <v>7</v>
      </c>
      <c r="C5006">
        <v>17</v>
      </c>
      <c r="D5006">
        <v>0</v>
      </c>
      <c r="E5006">
        <v>0</v>
      </c>
      <c r="F5006" t="str">
        <f t="shared" si="236"/>
        <v>Lower Risk</v>
      </c>
      <c r="G5006" t="s">
        <v>13</v>
      </c>
      <c r="H5006" t="s">
        <v>4</v>
      </c>
      <c r="I5006" t="s">
        <v>5</v>
      </c>
      <c r="J5006">
        <v>82.64</v>
      </c>
      <c r="K5006">
        <v>31.1</v>
      </c>
      <c r="L5006" t="s">
        <v>14</v>
      </c>
      <c r="M5006">
        <v>0</v>
      </c>
      <c r="N5006" t="str">
        <f t="shared" si="234"/>
        <v>Under 40</v>
      </c>
      <c r="O5006" t="str">
        <f t="shared" si="235"/>
        <v>Obese</v>
      </c>
    </row>
    <row r="5007" spans="1:15" x14ac:dyDescent="0.3">
      <c r="A5007">
        <v>10829</v>
      </c>
      <c r="B5007" t="s">
        <v>7</v>
      </c>
      <c r="C5007">
        <v>21</v>
      </c>
      <c r="D5007">
        <v>0</v>
      </c>
      <c r="E5007">
        <v>0</v>
      </c>
      <c r="F5007" t="str">
        <f t="shared" si="236"/>
        <v>Lower Risk</v>
      </c>
      <c r="G5007" t="s">
        <v>13</v>
      </c>
      <c r="H5007" t="s">
        <v>4</v>
      </c>
      <c r="I5007" t="s">
        <v>9</v>
      </c>
      <c r="J5007">
        <v>71.34</v>
      </c>
      <c r="K5007">
        <v>24</v>
      </c>
      <c r="L5007" t="s">
        <v>11</v>
      </c>
      <c r="M5007">
        <v>0</v>
      </c>
      <c r="N5007" t="str">
        <f t="shared" si="234"/>
        <v>Under 40</v>
      </c>
      <c r="O5007" t="str">
        <f t="shared" si="235"/>
        <v>Normal</v>
      </c>
    </row>
    <row r="5008" spans="1:15" x14ac:dyDescent="0.3">
      <c r="A5008">
        <v>70593</v>
      </c>
      <c r="B5008" t="s">
        <v>7</v>
      </c>
      <c r="C5008">
        <v>38</v>
      </c>
      <c r="D5008">
        <v>0</v>
      </c>
      <c r="E5008">
        <v>0</v>
      </c>
      <c r="F5008" t="str">
        <f t="shared" si="236"/>
        <v>Lower Risk</v>
      </c>
      <c r="G5008" t="s">
        <v>3</v>
      </c>
      <c r="H5008" t="s">
        <v>4</v>
      </c>
      <c r="I5008" t="s">
        <v>9</v>
      </c>
      <c r="J5008">
        <v>183.43</v>
      </c>
      <c r="K5008">
        <v>38.1</v>
      </c>
      <c r="L5008" t="s">
        <v>6</v>
      </c>
      <c r="M5008">
        <v>0</v>
      </c>
      <c r="N5008" t="str">
        <f t="shared" si="234"/>
        <v>Under 40</v>
      </c>
      <c r="O5008" t="str">
        <f t="shared" si="235"/>
        <v>Obese</v>
      </c>
    </row>
    <row r="5009" spans="1:15" x14ac:dyDescent="0.3">
      <c r="A5009">
        <v>42647</v>
      </c>
      <c r="B5009" t="s">
        <v>7</v>
      </c>
      <c r="C5009">
        <v>59</v>
      </c>
      <c r="D5009">
        <v>0</v>
      </c>
      <c r="E5009">
        <v>0</v>
      </c>
      <c r="F5009" t="str">
        <f t="shared" si="236"/>
        <v>Lower Risk</v>
      </c>
      <c r="G5009" t="s">
        <v>3</v>
      </c>
      <c r="H5009" t="s">
        <v>15</v>
      </c>
      <c r="I5009" t="s">
        <v>5</v>
      </c>
      <c r="J5009">
        <v>101.19</v>
      </c>
      <c r="K5009">
        <v>29.9</v>
      </c>
      <c r="L5009" t="s">
        <v>6</v>
      </c>
      <c r="M5009">
        <v>0</v>
      </c>
      <c r="N5009" t="str">
        <f t="shared" si="234"/>
        <v>40–59</v>
      </c>
      <c r="O5009" t="str">
        <f t="shared" si="235"/>
        <v>Overweight</v>
      </c>
    </row>
    <row r="5010" spans="1:15" x14ac:dyDescent="0.3">
      <c r="A5010">
        <v>48109</v>
      </c>
      <c r="B5010" t="s">
        <v>7</v>
      </c>
      <c r="C5010">
        <v>79</v>
      </c>
      <c r="D5010">
        <v>0</v>
      </c>
      <c r="E5010">
        <v>1</v>
      </c>
      <c r="F5010" t="str">
        <f t="shared" si="236"/>
        <v>High Risk</v>
      </c>
      <c r="G5010" t="s">
        <v>3</v>
      </c>
      <c r="H5010" t="s">
        <v>4</v>
      </c>
      <c r="I5010" t="s">
        <v>9</v>
      </c>
      <c r="J5010">
        <v>88.51</v>
      </c>
      <c r="K5010">
        <v>24.5</v>
      </c>
      <c r="L5010" t="s">
        <v>11</v>
      </c>
      <c r="M5010">
        <v>0</v>
      </c>
      <c r="N5010" t="str">
        <f t="shared" si="234"/>
        <v>60+</v>
      </c>
      <c r="O5010" t="str">
        <f t="shared" si="235"/>
        <v>Normal</v>
      </c>
    </row>
    <row r="5011" spans="1:15" x14ac:dyDescent="0.3">
      <c r="A5011">
        <v>40732</v>
      </c>
      <c r="B5011" t="s">
        <v>7</v>
      </c>
      <c r="C5011">
        <v>50</v>
      </c>
      <c r="D5011">
        <v>0</v>
      </c>
      <c r="E5011">
        <v>0</v>
      </c>
      <c r="F5011" t="str">
        <f t="shared" si="236"/>
        <v>Lower Risk</v>
      </c>
      <c r="G5011" t="s">
        <v>3</v>
      </c>
      <c r="H5011" t="s">
        <v>8</v>
      </c>
      <c r="I5011" t="s">
        <v>9</v>
      </c>
      <c r="J5011">
        <v>126.85</v>
      </c>
      <c r="K5011">
        <v>49.5</v>
      </c>
      <c r="L5011" t="s">
        <v>6</v>
      </c>
      <c r="M5011">
        <v>0</v>
      </c>
      <c r="N5011" t="str">
        <f t="shared" si="234"/>
        <v>40–59</v>
      </c>
      <c r="O5011" t="str">
        <f t="shared" si="235"/>
        <v>Obese</v>
      </c>
    </row>
    <row r="5012" spans="1:15" x14ac:dyDescent="0.3">
      <c r="A5012">
        <v>58635</v>
      </c>
      <c r="B5012" t="s">
        <v>7</v>
      </c>
      <c r="C5012">
        <v>72</v>
      </c>
      <c r="D5012">
        <v>0</v>
      </c>
      <c r="E5012">
        <v>0</v>
      </c>
      <c r="F5012" t="str">
        <f t="shared" si="236"/>
        <v>Moderate Risk</v>
      </c>
      <c r="G5012" t="s">
        <v>3</v>
      </c>
      <c r="H5012" t="s">
        <v>8</v>
      </c>
      <c r="I5012" t="s">
        <v>5</v>
      </c>
      <c r="J5012">
        <v>74.17</v>
      </c>
      <c r="K5012">
        <v>35.5</v>
      </c>
      <c r="L5012" t="s">
        <v>6</v>
      </c>
      <c r="M5012">
        <v>0</v>
      </c>
      <c r="N5012" t="str">
        <f t="shared" si="234"/>
        <v>60+</v>
      </c>
      <c r="O5012" t="str">
        <f t="shared" si="235"/>
        <v>Obese</v>
      </c>
    </row>
    <row r="5013" spans="1:15" x14ac:dyDescent="0.3">
      <c r="A5013">
        <v>844</v>
      </c>
      <c r="B5013" t="s">
        <v>7</v>
      </c>
      <c r="C5013">
        <v>54</v>
      </c>
      <c r="D5013">
        <v>0</v>
      </c>
      <c r="E5013">
        <v>0</v>
      </c>
      <c r="F5013" t="str">
        <f t="shared" si="236"/>
        <v>Lower Risk</v>
      </c>
      <c r="G5013" t="s">
        <v>3</v>
      </c>
      <c r="H5013" t="s">
        <v>4</v>
      </c>
      <c r="I5013" t="s">
        <v>5</v>
      </c>
      <c r="J5013">
        <v>76.040000000000006</v>
      </c>
      <c r="K5013">
        <v>29.5</v>
      </c>
      <c r="L5013" t="s">
        <v>12</v>
      </c>
      <c r="M5013">
        <v>0</v>
      </c>
      <c r="N5013" t="str">
        <f t="shared" si="234"/>
        <v>40–59</v>
      </c>
      <c r="O5013" t="str">
        <f t="shared" si="235"/>
        <v>Overweight</v>
      </c>
    </row>
    <row r="5014" spans="1:15" x14ac:dyDescent="0.3">
      <c r="A5014">
        <v>14688</v>
      </c>
      <c r="B5014" t="s">
        <v>7</v>
      </c>
      <c r="C5014">
        <v>44</v>
      </c>
      <c r="D5014">
        <v>0</v>
      </c>
      <c r="E5014">
        <v>0</v>
      </c>
      <c r="F5014" t="str">
        <f t="shared" si="236"/>
        <v>Lower Risk</v>
      </c>
      <c r="G5014" t="s">
        <v>3</v>
      </c>
      <c r="H5014" t="s">
        <v>4</v>
      </c>
      <c r="I5014" t="s">
        <v>5</v>
      </c>
      <c r="J5014">
        <v>73.87</v>
      </c>
      <c r="K5014">
        <v>28.8</v>
      </c>
      <c r="L5014" t="s">
        <v>12</v>
      </c>
      <c r="M5014">
        <v>0</v>
      </c>
      <c r="N5014" t="str">
        <f t="shared" si="234"/>
        <v>40–59</v>
      </c>
      <c r="O5014" t="str">
        <f t="shared" si="235"/>
        <v>Overweight</v>
      </c>
    </row>
    <row r="5015" spans="1:15" x14ac:dyDescent="0.3">
      <c r="A5015">
        <v>23026</v>
      </c>
      <c r="B5015" t="s">
        <v>7</v>
      </c>
      <c r="C5015">
        <v>48</v>
      </c>
      <c r="D5015">
        <v>0</v>
      </c>
      <c r="E5015">
        <v>0</v>
      </c>
      <c r="F5015" t="str">
        <f t="shared" si="236"/>
        <v>Lower Risk</v>
      </c>
      <c r="G5015" t="s">
        <v>3</v>
      </c>
      <c r="H5015" t="s">
        <v>4</v>
      </c>
      <c r="I5015" t="s">
        <v>9</v>
      </c>
      <c r="J5015">
        <v>99.07</v>
      </c>
      <c r="K5015">
        <v>22.1</v>
      </c>
      <c r="L5015" t="s">
        <v>11</v>
      </c>
      <c r="M5015">
        <v>0</v>
      </c>
      <c r="N5015" t="str">
        <f t="shared" si="234"/>
        <v>40–59</v>
      </c>
      <c r="O5015" t="str">
        <f t="shared" si="235"/>
        <v>Normal</v>
      </c>
    </row>
    <row r="5016" spans="1:15" x14ac:dyDescent="0.3">
      <c r="A5016">
        <v>30463</v>
      </c>
      <c r="B5016" t="s">
        <v>2</v>
      </c>
      <c r="C5016">
        <v>29</v>
      </c>
      <c r="D5016">
        <v>0</v>
      </c>
      <c r="E5016">
        <v>0</v>
      </c>
      <c r="F5016" t="str">
        <f t="shared" si="236"/>
        <v>Lower Risk</v>
      </c>
      <c r="G5016" t="s">
        <v>13</v>
      </c>
      <c r="H5016" t="s">
        <v>4</v>
      </c>
      <c r="I5016" t="s">
        <v>5</v>
      </c>
      <c r="J5016">
        <v>82.93</v>
      </c>
      <c r="K5016">
        <v>29.4</v>
      </c>
      <c r="L5016" t="s">
        <v>6</v>
      </c>
      <c r="M5016">
        <v>0</v>
      </c>
      <c r="N5016" t="str">
        <f t="shared" si="234"/>
        <v>Under 40</v>
      </c>
      <c r="O5016" t="str">
        <f t="shared" si="235"/>
        <v>Overweight</v>
      </c>
    </row>
    <row r="5017" spans="1:15" x14ac:dyDescent="0.3">
      <c r="A5017">
        <v>50140</v>
      </c>
      <c r="B5017" t="s">
        <v>7</v>
      </c>
      <c r="C5017">
        <v>44</v>
      </c>
      <c r="D5017">
        <v>0</v>
      </c>
      <c r="E5017">
        <v>0</v>
      </c>
      <c r="F5017" t="str">
        <f t="shared" si="236"/>
        <v>Lower Risk</v>
      </c>
      <c r="G5017" t="s">
        <v>3</v>
      </c>
      <c r="H5017" t="s">
        <v>15</v>
      </c>
      <c r="I5017" t="s">
        <v>9</v>
      </c>
      <c r="J5017">
        <v>133.24</v>
      </c>
      <c r="K5017">
        <v>45</v>
      </c>
      <c r="L5017" t="s">
        <v>12</v>
      </c>
      <c r="M5017">
        <v>0</v>
      </c>
      <c r="N5017" t="str">
        <f t="shared" si="234"/>
        <v>40–59</v>
      </c>
      <c r="O5017" t="str">
        <f t="shared" si="235"/>
        <v>Obese</v>
      </c>
    </row>
    <row r="5018" spans="1:15" x14ac:dyDescent="0.3">
      <c r="A5018">
        <v>36837</v>
      </c>
      <c r="B5018" t="s">
        <v>7</v>
      </c>
      <c r="C5018">
        <v>61</v>
      </c>
      <c r="D5018">
        <v>0</v>
      </c>
      <c r="E5018">
        <v>0</v>
      </c>
      <c r="F5018" t="str">
        <f t="shared" si="236"/>
        <v>Moderate Risk</v>
      </c>
      <c r="G5018" t="s">
        <v>3</v>
      </c>
      <c r="H5018" t="s">
        <v>8</v>
      </c>
      <c r="I5018" t="s">
        <v>5</v>
      </c>
      <c r="J5018">
        <v>69.88</v>
      </c>
      <c r="K5018">
        <v>27.1</v>
      </c>
      <c r="L5018" t="s">
        <v>11</v>
      </c>
      <c r="M5018">
        <v>0</v>
      </c>
      <c r="N5018" t="str">
        <f t="shared" si="234"/>
        <v>60+</v>
      </c>
      <c r="O5018" t="str">
        <f t="shared" si="235"/>
        <v>Overweight</v>
      </c>
    </row>
    <row r="5019" spans="1:15" x14ac:dyDescent="0.3">
      <c r="A5019">
        <v>57333</v>
      </c>
      <c r="B5019" t="s">
        <v>7</v>
      </c>
      <c r="C5019">
        <v>58</v>
      </c>
      <c r="D5019">
        <v>0</v>
      </c>
      <c r="E5019">
        <v>0</v>
      </c>
      <c r="F5019" t="str">
        <f t="shared" si="236"/>
        <v>Lower Risk</v>
      </c>
      <c r="G5019" t="s">
        <v>3</v>
      </c>
      <c r="H5019" t="s">
        <v>15</v>
      </c>
      <c r="I5019" t="s">
        <v>9</v>
      </c>
      <c r="J5019">
        <v>69.12</v>
      </c>
      <c r="K5019">
        <v>28.3</v>
      </c>
      <c r="L5019" t="s">
        <v>14</v>
      </c>
      <c r="M5019">
        <v>0</v>
      </c>
      <c r="N5019" t="str">
        <f t="shared" si="234"/>
        <v>40–59</v>
      </c>
      <c r="O5019" t="str">
        <f t="shared" si="235"/>
        <v>Overweight</v>
      </c>
    </row>
    <row r="5020" spans="1:15" x14ac:dyDescent="0.3">
      <c r="A5020">
        <v>19826</v>
      </c>
      <c r="B5020" t="s">
        <v>7</v>
      </c>
      <c r="C5020">
        <v>81</v>
      </c>
      <c r="D5020">
        <v>0</v>
      </c>
      <c r="E5020">
        <v>0</v>
      </c>
      <c r="F5020" t="str">
        <f t="shared" si="236"/>
        <v>Moderate Risk</v>
      </c>
      <c r="G5020" t="s">
        <v>3</v>
      </c>
      <c r="H5020" t="s">
        <v>8</v>
      </c>
      <c r="I5020" t="s">
        <v>9</v>
      </c>
      <c r="J5020">
        <v>86.05</v>
      </c>
      <c r="K5020">
        <v>20.100000000000001</v>
      </c>
      <c r="L5020" t="s">
        <v>6</v>
      </c>
      <c r="M5020">
        <v>0</v>
      </c>
      <c r="N5020" t="str">
        <f t="shared" si="234"/>
        <v>60+</v>
      </c>
      <c r="O5020" t="str">
        <f t="shared" si="235"/>
        <v>Normal</v>
      </c>
    </row>
    <row r="5021" spans="1:15" x14ac:dyDescent="0.3">
      <c r="A5021">
        <v>37713</v>
      </c>
      <c r="B5021" t="s">
        <v>2</v>
      </c>
      <c r="C5021">
        <v>29</v>
      </c>
      <c r="D5021">
        <v>0</v>
      </c>
      <c r="E5021">
        <v>0</v>
      </c>
      <c r="F5021" t="str">
        <f t="shared" si="236"/>
        <v>Lower Risk</v>
      </c>
      <c r="G5021" t="s">
        <v>3</v>
      </c>
      <c r="H5021" t="s">
        <v>4</v>
      </c>
      <c r="I5021" t="s">
        <v>5</v>
      </c>
      <c r="J5021">
        <v>185.27</v>
      </c>
      <c r="K5021">
        <v>31.3</v>
      </c>
      <c r="L5021" t="s">
        <v>11</v>
      </c>
      <c r="M5021">
        <v>0</v>
      </c>
      <c r="N5021" t="str">
        <f t="shared" si="234"/>
        <v>Under 40</v>
      </c>
      <c r="O5021" t="str">
        <f t="shared" si="235"/>
        <v>Obese</v>
      </c>
    </row>
    <row r="5022" spans="1:15" x14ac:dyDescent="0.3">
      <c r="A5022">
        <v>6278</v>
      </c>
      <c r="B5022" t="s">
        <v>2</v>
      </c>
      <c r="C5022">
        <v>5</v>
      </c>
      <c r="D5022">
        <v>0</v>
      </c>
      <c r="E5022">
        <v>0</v>
      </c>
      <c r="F5022" t="str">
        <f t="shared" si="236"/>
        <v>Lower Risk</v>
      </c>
      <c r="G5022" t="s">
        <v>13</v>
      </c>
      <c r="H5022" t="s">
        <v>16</v>
      </c>
      <c r="I5022" t="s">
        <v>5</v>
      </c>
      <c r="J5022">
        <v>97.46</v>
      </c>
      <c r="K5022">
        <v>17.600000000000001</v>
      </c>
      <c r="L5022" t="s">
        <v>14</v>
      </c>
      <c r="M5022">
        <v>0</v>
      </c>
      <c r="N5022" t="str">
        <f t="shared" si="234"/>
        <v>Under 40</v>
      </c>
      <c r="O5022" t="str">
        <f t="shared" si="235"/>
        <v>Underweight</v>
      </c>
    </row>
    <row r="5023" spans="1:15" x14ac:dyDescent="0.3">
      <c r="A5023">
        <v>15517</v>
      </c>
      <c r="B5023" t="s">
        <v>7</v>
      </c>
      <c r="C5023">
        <v>35</v>
      </c>
      <c r="D5023">
        <v>0</v>
      </c>
      <c r="E5023">
        <v>0</v>
      </c>
      <c r="F5023" t="str">
        <f t="shared" si="236"/>
        <v>Lower Risk</v>
      </c>
      <c r="G5023" t="s">
        <v>3</v>
      </c>
      <c r="H5023" t="s">
        <v>4</v>
      </c>
      <c r="I5023" t="s">
        <v>5</v>
      </c>
      <c r="J5023">
        <v>81.900000000000006</v>
      </c>
      <c r="K5023">
        <v>24.5</v>
      </c>
      <c r="L5023" t="s">
        <v>11</v>
      </c>
      <c r="M5023">
        <v>0</v>
      </c>
      <c r="N5023" t="str">
        <f t="shared" si="234"/>
        <v>Under 40</v>
      </c>
      <c r="O5023" t="str">
        <f t="shared" si="235"/>
        <v>Normal</v>
      </c>
    </row>
    <row r="5024" spans="1:15" x14ac:dyDescent="0.3">
      <c r="A5024">
        <v>25326</v>
      </c>
      <c r="B5024" t="s">
        <v>7</v>
      </c>
      <c r="C5024">
        <v>40</v>
      </c>
      <c r="D5024">
        <v>0</v>
      </c>
      <c r="E5024">
        <v>0</v>
      </c>
      <c r="F5024" t="str">
        <f t="shared" si="236"/>
        <v>Lower Risk</v>
      </c>
      <c r="G5024" t="s">
        <v>13</v>
      </c>
      <c r="H5024" t="s">
        <v>4</v>
      </c>
      <c r="I5024" t="s">
        <v>9</v>
      </c>
      <c r="J5024">
        <v>99.58</v>
      </c>
      <c r="K5024">
        <v>24.1</v>
      </c>
      <c r="L5024" t="s">
        <v>14</v>
      </c>
      <c r="M5024">
        <v>0</v>
      </c>
      <c r="N5024" t="str">
        <f t="shared" si="234"/>
        <v>40–59</v>
      </c>
      <c r="O5024" t="str">
        <f t="shared" si="235"/>
        <v>Normal</v>
      </c>
    </row>
    <row r="5025" spans="1:15" x14ac:dyDescent="0.3">
      <c r="A5025">
        <v>57034</v>
      </c>
      <c r="B5025" t="s">
        <v>7</v>
      </c>
      <c r="C5025">
        <v>37</v>
      </c>
      <c r="D5025">
        <v>0</v>
      </c>
      <c r="E5025">
        <v>0</v>
      </c>
      <c r="F5025" t="str">
        <f t="shared" si="236"/>
        <v>Lower Risk</v>
      </c>
      <c r="G5025" t="s">
        <v>13</v>
      </c>
      <c r="H5025" t="s">
        <v>4</v>
      </c>
      <c r="I5025" t="s">
        <v>9</v>
      </c>
      <c r="J5025">
        <v>124.54</v>
      </c>
      <c r="K5025">
        <v>31.3</v>
      </c>
      <c r="L5025" t="s">
        <v>11</v>
      </c>
      <c r="M5025">
        <v>0</v>
      </c>
      <c r="N5025" t="str">
        <f t="shared" si="234"/>
        <v>Under 40</v>
      </c>
      <c r="O5025" t="str">
        <f t="shared" si="235"/>
        <v>Obese</v>
      </c>
    </row>
    <row r="5026" spans="1:15" x14ac:dyDescent="0.3">
      <c r="A5026">
        <v>70718</v>
      </c>
      <c r="B5026" t="s">
        <v>2</v>
      </c>
      <c r="C5026">
        <v>33</v>
      </c>
      <c r="D5026">
        <v>0</v>
      </c>
      <c r="E5026">
        <v>0</v>
      </c>
      <c r="F5026" t="str">
        <f t="shared" si="236"/>
        <v>Lower Risk</v>
      </c>
      <c r="G5026" t="s">
        <v>3</v>
      </c>
      <c r="H5026" t="s">
        <v>4</v>
      </c>
      <c r="I5026" t="s">
        <v>9</v>
      </c>
      <c r="J5026">
        <v>153.34</v>
      </c>
      <c r="K5026">
        <v>31.5</v>
      </c>
      <c r="L5026" t="s">
        <v>11</v>
      </c>
      <c r="M5026">
        <v>0</v>
      </c>
      <c r="N5026" t="str">
        <f t="shared" si="234"/>
        <v>Under 40</v>
      </c>
      <c r="O5026" t="str">
        <f t="shared" si="235"/>
        <v>Obese</v>
      </c>
    </row>
    <row r="5027" spans="1:15" x14ac:dyDescent="0.3">
      <c r="A5027">
        <v>47461</v>
      </c>
      <c r="B5027" t="s">
        <v>7</v>
      </c>
      <c r="C5027">
        <v>35</v>
      </c>
      <c r="D5027">
        <v>0</v>
      </c>
      <c r="E5027">
        <v>0</v>
      </c>
      <c r="F5027" t="str">
        <f t="shared" si="236"/>
        <v>Lower Risk</v>
      </c>
      <c r="G5027" t="s">
        <v>3</v>
      </c>
      <c r="H5027" t="s">
        <v>4</v>
      </c>
      <c r="I5027" t="s">
        <v>5</v>
      </c>
      <c r="J5027">
        <v>112.35</v>
      </c>
      <c r="K5027">
        <v>29.9</v>
      </c>
      <c r="L5027" t="s">
        <v>14</v>
      </c>
      <c r="M5027">
        <v>0</v>
      </c>
      <c r="N5027" t="str">
        <f t="shared" si="234"/>
        <v>Under 40</v>
      </c>
      <c r="O5027" t="str">
        <f t="shared" si="235"/>
        <v>Overweight</v>
      </c>
    </row>
    <row r="5028" spans="1:15" x14ac:dyDescent="0.3">
      <c r="A5028">
        <v>50091</v>
      </c>
      <c r="B5028" t="s">
        <v>7</v>
      </c>
      <c r="C5028">
        <v>38</v>
      </c>
      <c r="D5028">
        <v>0</v>
      </c>
      <c r="E5028">
        <v>0</v>
      </c>
      <c r="F5028" t="str">
        <f t="shared" si="236"/>
        <v>Lower Risk</v>
      </c>
      <c r="G5028" t="s">
        <v>13</v>
      </c>
      <c r="H5028" t="s">
        <v>15</v>
      </c>
      <c r="I5028" t="s">
        <v>5</v>
      </c>
      <c r="J5028">
        <v>160.76</v>
      </c>
      <c r="K5028">
        <v>30.2</v>
      </c>
      <c r="L5028" t="s">
        <v>12</v>
      </c>
      <c r="M5028">
        <v>0</v>
      </c>
      <c r="N5028" t="str">
        <f t="shared" si="234"/>
        <v>Under 40</v>
      </c>
      <c r="O5028" t="str">
        <f t="shared" si="235"/>
        <v>Obese</v>
      </c>
    </row>
    <row r="5029" spans="1:15" x14ac:dyDescent="0.3">
      <c r="A5029">
        <v>62416</v>
      </c>
      <c r="B5029" t="s">
        <v>7</v>
      </c>
      <c r="C5029">
        <v>26</v>
      </c>
      <c r="D5029">
        <v>0</v>
      </c>
      <c r="E5029">
        <v>0</v>
      </c>
      <c r="F5029" t="str">
        <f t="shared" si="236"/>
        <v>Lower Risk</v>
      </c>
      <c r="G5029" t="s">
        <v>3</v>
      </c>
      <c r="H5029" t="s">
        <v>4</v>
      </c>
      <c r="I5029" t="s">
        <v>9</v>
      </c>
      <c r="J5029">
        <v>73.290000000000006</v>
      </c>
      <c r="K5029">
        <v>27.8</v>
      </c>
      <c r="L5029" t="s">
        <v>11</v>
      </c>
      <c r="M5029">
        <v>0</v>
      </c>
      <c r="N5029" t="str">
        <f t="shared" si="234"/>
        <v>Under 40</v>
      </c>
      <c r="O5029" t="str">
        <f t="shared" si="235"/>
        <v>Overweight</v>
      </c>
    </row>
    <row r="5030" spans="1:15" x14ac:dyDescent="0.3">
      <c r="A5030">
        <v>5288</v>
      </c>
      <c r="B5030" t="s">
        <v>2</v>
      </c>
      <c r="C5030">
        <v>10</v>
      </c>
      <c r="D5030">
        <v>0</v>
      </c>
      <c r="E5030">
        <v>0</v>
      </c>
      <c r="F5030" t="str">
        <f t="shared" si="236"/>
        <v>Lower Risk</v>
      </c>
      <c r="G5030" t="s">
        <v>13</v>
      </c>
      <c r="H5030" t="s">
        <v>16</v>
      </c>
      <c r="I5030" t="s">
        <v>5</v>
      </c>
      <c r="J5030">
        <v>108.08</v>
      </c>
      <c r="K5030">
        <v>15.6</v>
      </c>
      <c r="L5030" t="s">
        <v>14</v>
      </c>
      <c r="M5030">
        <v>0</v>
      </c>
      <c r="N5030" t="str">
        <f t="shared" si="234"/>
        <v>Under 40</v>
      </c>
      <c r="O5030" t="str">
        <f t="shared" si="235"/>
        <v>Underweight</v>
      </c>
    </row>
    <row r="5031" spans="1:15" x14ac:dyDescent="0.3">
      <c r="A5031">
        <v>66951</v>
      </c>
      <c r="B5031" t="s">
        <v>7</v>
      </c>
      <c r="C5031">
        <v>72</v>
      </c>
      <c r="D5031">
        <v>0</v>
      </c>
      <c r="E5031">
        <v>0</v>
      </c>
      <c r="F5031" t="str">
        <f t="shared" si="236"/>
        <v>Moderate Risk</v>
      </c>
      <c r="G5031" t="s">
        <v>3</v>
      </c>
      <c r="H5031" t="s">
        <v>4</v>
      </c>
      <c r="I5031" t="s">
        <v>5</v>
      </c>
      <c r="J5031">
        <v>206.49</v>
      </c>
      <c r="K5031">
        <v>26.3</v>
      </c>
      <c r="L5031" t="s">
        <v>11</v>
      </c>
      <c r="M5031">
        <v>0</v>
      </c>
      <c r="N5031" t="str">
        <f t="shared" si="234"/>
        <v>60+</v>
      </c>
      <c r="O5031" t="str">
        <f t="shared" si="235"/>
        <v>Overweight</v>
      </c>
    </row>
    <row r="5032" spans="1:15" x14ac:dyDescent="0.3">
      <c r="A5032">
        <v>28335</v>
      </c>
      <c r="B5032" t="s">
        <v>2</v>
      </c>
      <c r="C5032">
        <v>21</v>
      </c>
      <c r="D5032">
        <v>0</v>
      </c>
      <c r="E5032">
        <v>0</v>
      </c>
      <c r="F5032" t="str">
        <f t="shared" si="236"/>
        <v>Lower Risk</v>
      </c>
      <c r="G5032" t="s">
        <v>3</v>
      </c>
      <c r="H5032" t="s">
        <v>4</v>
      </c>
      <c r="I5032" t="s">
        <v>9</v>
      </c>
      <c r="J5032">
        <v>77.42</v>
      </c>
      <c r="K5032">
        <v>24.8</v>
      </c>
      <c r="L5032" t="s">
        <v>11</v>
      </c>
      <c r="M5032">
        <v>0</v>
      </c>
      <c r="N5032" t="str">
        <f t="shared" si="234"/>
        <v>Under 40</v>
      </c>
      <c r="O5032" t="str">
        <f t="shared" si="235"/>
        <v>Normal</v>
      </c>
    </row>
    <row r="5033" spans="1:15" x14ac:dyDescent="0.3">
      <c r="A5033">
        <v>67465</v>
      </c>
      <c r="B5033" t="s">
        <v>7</v>
      </c>
      <c r="C5033">
        <v>20</v>
      </c>
      <c r="D5033">
        <v>0</v>
      </c>
      <c r="E5033">
        <v>0</v>
      </c>
      <c r="F5033" t="str">
        <f t="shared" si="236"/>
        <v>Lower Risk</v>
      </c>
      <c r="G5033" t="s">
        <v>13</v>
      </c>
      <c r="H5033" t="s">
        <v>4</v>
      </c>
      <c r="I5033" t="s">
        <v>9</v>
      </c>
      <c r="J5033">
        <v>117.59</v>
      </c>
      <c r="K5033">
        <v>17.100000000000001</v>
      </c>
      <c r="L5033" t="s">
        <v>11</v>
      </c>
      <c r="M5033">
        <v>0</v>
      </c>
      <c r="N5033" t="str">
        <f t="shared" si="234"/>
        <v>Under 40</v>
      </c>
      <c r="O5033" t="str">
        <f t="shared" si="235"/>
        <v>Underweight</v>
      </c>
    </row>
    <row r="5034" spans="1:15" x14ac:dyDescent="0.3">
      <c r="A5034">
        <v>67426</v>
      </c>
      <c r="B5034" t="s">
        <v>7</v>
      </c>
      <c r="C5034">
        <v>1.24</v>
      </c>
      <c r="D5034">
        <v>0</v>
      </c>
      <c r="E5034">
        <v>0</v>
      </c>
      <c r="F5034" t="str">
        <f t="shared" si="236"/>
        <v>Lower Risk</v>
      </c>
      <c r="G5034" t="s">
        <v>13</v>
      </c>
      <c r="H5034" t="s">
        <v>16</v>
      </c>
      <c r="I5034" t="s">
        <v>9</v>
      </c>
      <c r="J5034">
        <v>61.94</v>
      </c>
      <c r="K5034">
        <v>20.3</v>
      </c>
      <c r="L5034" t="s">
        <v>14</v>
      </c>
      <c r="M5034">
        <v>0</v>
      </c>
      <c r="N5034" t="str">
        <f t="shared" si="234"/>
        <v>Under 40</v>
      </c>
      <c r="O5034" t="str">
        <f t="shared" si="235"/>
        <v>Normal</v>
      </c>
    </row>
    <row r="5035" spans="1:15" x14ac:dyDescent="0.3">
      <c r="A5035">
        <v>19508</v>
      </c>
      <c r="B5035" t="s">
        <v>7</v>
      </c>
      <c r="C5035">
        <v>26</v>
      </c>
      <c r="D5035">
        <v>0</v>
      </c>
      <c r="E5035">
        <v>0</v>
      </c>
      <c r="F5035" t="str">
        <f t="shared" si="236"/>
        <v>Lower Risk</v>
      </c>
      <c r="G5035" t="s">
        <v>13</v>
      </c>
      <c r="H5035" t="s">
        <v>4</v>
      </c>
      <c r="I5035" t="s">
        <v>5</v>
      </c>
      <c r="J5035">
        <v>116.68</v>
      </c>
      <c r="K5035">
        <v>18.7</v>
      </c>
      <c r="L5035" t="s">
        <v>6</v>
      </c>
      <c r="M5035">
        <v>0</v>
      </c>
      <c r="N5035" t="str">
        <f t="shared" si="234"/>
        <v>Under 40</v>
      </c>
      <c r="O5035" t="str">
        <f t="shared" si="235"/>
        <v>Normal</v>
      </c>
    </row>
    <row r="5036" spans="1:15" x14ac:dyDescent="0.3">
      <c r="A5036">
        <v>65405</v>
      </c>
      <c r="B5036" t="s">
        <v>7</v>
      </c>
      <c r="C5036">
        <v>79</v>
      </c>
      <c r="D5036">
        <v>0</v>
      </c>
      <c r="E5036">
        <v>0</v>
      </c>
      <c r="F5036" t="str">
        <f t="shared" si="236"/>
        <v>Moderate Risk</v>
      </c>
      <c r="G5036" t="s">
        <v>13</v>
      </c>
      <c r="H5036" t="s">
        <v>4</v>
      </c>
      <c r="I5036" t="s">
        <v>5</v>
      </c>
      <c r="J5036">
        <v>253.86</v>
      </c>
      <c r="K5036">
        <v>28.8</v>
      </c>
      <c r="L5036" t="s">
        <v>6</v>
      </c>
      <c r="M5036">
        <v>0</v>
      </c>
      <c r="N5036" t="str">
        <f t="shared" si="234"/>
        <v>60+</v>
      </c>
      <c r="O5036" t="str">
        <f t="shared" si="235"/>
        <v>Overweight</v>
      </c>
    </row>
    <row r="5037" spans="1:15" x14ac:dyDescent="0.3">
      <c r="A5037">
        <v>49773</v>
      </c>
      <c r="B5037" t="s">
        <v>7</v>
      </c>
      <c r="C5037">
        <v>78</v>
      </c>
      <c r="D5037">
        <v>0</v>
      </c>
      <c r="E5037">
        <v>0</v>
      </c>
      <c r="F5037" t="str">
        <f t="shared" si="236"/>
        <v>Moderate Risk</v>
      </c>
      <c r="G5037" t="s">
        <v>3</v>
      </c>
      <c r="H5037" t="s">
        <v>4</v>
      </c>
      <c r="I5037" t="s">
        <v>5</v>
      </c>
      <c r="J5037">
        <v>203.36</v>
      </c>
      <c r="K5037">
        <v>28.7</v>
      </c>
      <c r="L5037" t="s">
        <v>6</v>
      </c>
      <c r="M5037">
        <v>0</v>
      </c>
      <c r="N5037" t="str">
        <f t="shared" si="234"/>
        <v>60+</v>
      </c>
      <c r="O5037" t="str">
        <f t="shared" si="235"/>
        <v>Overweight</v>
      </c>
    </row>
    <row r="5038" spans="1:15" x14ac:dyDescent="0.3">
      <c r="A5038">
        <v>57159</v>
      </c>
      <c r="B5038" t="s">
        <v>2</v>
      </c>
      <c r="C5038">
        <v>56</v>
      </c>
      <c r="D5038">
        <v>0</v>
      </c>
      <c r="E5038">
        <v>0</v>
      </c>
      <c r="F5038" t="str">
        <f t="shared" si="236"/>
        <v>Lower Risk</v>
      </c>
      <c r="G5038" t="s">
        <v>3</v>
      </c>
      <c r="H5038" t="s">
        <v>8</v>
      </c>
      <c r="I5038" t="s">
        <v>9</v>
      </c>
      <c r="J5038">
        <v>125.87</v>
      </c>
      <c r="K5038">
        <v>24.6</v>
      </c>
      <c r="L5038" t="s">
        <v>11</v>
      </c>
      <c r="M5038">
        <v>0</v>
      </c>
      <c r="N5038" t="str">
        <f t="shared" si="234"/>
        <v>40–59</v>
      </c>
      <c r="O5038" t="str">
        <f t="shared" si="235"/>
        <v>Normal</v>
      </c>
    </row>
    <row r="5039" spans="1:15" x14ac:dyDescent="0.3">
      <c r="A5039">
        <v>69710</v>
      </c>
      <c r="B5039" t="s">
        <v>7</v>
      </c>
      <c r="C5039">
        <v>46</v>
      </c>
      <c r="D5039">
        <v>0</v>
      </c>
      <c r="E5039">
        <v>0</v>
      </c>
      <c r="F5039" t="str">
        <f t="shared" si="236"/>
        <v>Lower Risk</v>
      </c>
      <c r="G5039" t="s">
        <v>13</v>
      </c>
      <c r="H5039" t="s">
        <v>8</v>
      </c>
      <c r="I5039" t="s">
        <v>9</v>
      </c>
      <c r="J5039">
        <v>64.09</v>
      </c>
      <c r="K5039">
        <v>25.3</v>
      </c>
      <c r="L5039" t="s">
        <v>11</v>
      </c>
      <c r="M5039">
        <v>0</v>
      </c>
      <c r="N5039" t="str">
        <f t="shared" si="234"/>
        <v>40–59</v>
      </c>
      <c r="O5039" t="str">
        <f t="shared" si="235"/>
        <v>Overweight</v>
      </c>
    </row>
    <row r="5040" spans="1:15" x14ac:dyDescent="0.3">
      <c r="A5040">
        <v>58834</v>
      </c>
      <c r="B5040" t="s">
        <v>2</v>
      </c>
      <c r="C5040">
        <v>55</v>
      </c>
      <c r="D5040">
        <v>0</v>
      </c>
      <c r="E5040">
        <v>0</v>
      </c>
      <c r="F5040" t="str">
        <f t="shared" si="236"/>
        <v>Lower Risk</v>
      </c>
      <c r="G5040" t="s">
        <v>3</v>
      </c>
      <c r="H5040" t="s">
        <v>15</v>
      </c>
      <c r="I5040" t="s">
        <v>5</v>
      </c>
      <c r="J5040">
        <v>65.33</v>
      </c>
      <c r="K5040">
        <v>29.7</v>
      </c>
      <c r="L5040" t="s">
        <v>14</v>
      </c>
      <c r="M5040">
        <v>0</v>
      </c>
      <c r="N5040" t="str">
        <f t="shared" si="234"/>
        <v>40–59</v>
      </c>
      <c r="O5040" t="str">
        <f t="shared" si="235"/>
        <v>Overweight</v>
      </c>
    </row>
    <row r="5041" spans="1:15" x14ac:dyDescent="0.3">
      <c r="A5041">
        <v>42007</v>
      </c>
      <c r="B5041" t="s">
        <v>2</v>
      </c>
      <c r="C5041">
        <v>41</v>
      </c>
      <c r="D5041">
        <v>0</v>
      </c>
      <c r="E5041">
        <v>0</v>
      </c>
      <c r="F5041" t="str">
        <f t="shared" si="236"/>
        <v>Lower Risk</v>
      </c>
      <c r="G5041" t="s">
        <v>13</v>
      </c>
      <c r="H5041" t="s">
        <v>4</v>
      </c>
      <c r="I5041" t="s">
        <v>9</v>
      </c>
      <c r="J5041">
        <v>70.150000000000006</v>
      </c>
      <c r="K5041" t="s">
        <v>10</v>
      </c>
      <c r="L5041" t="s">
        <v>6</v>
      </c>
      <c r="M5041">
        <v>0</v>
      </c>
      <c r="N5041" t="str">
        <f t="shared" si="234"/>
        <v>40–59</v>
      </c>
      <c r="O5041" t="str">
        <f t="shared" si="235"/>
        <v>Unknown</v>
      </c>
    </row>
    <row r="5042" spans="1:15" x14ac:dyDescent="0.3">
      <c r="A5042">
        <v>5121</v>
      </c>
      <c r="B5042" t="s">
        <v>2</v>
      </c>
      <c r="C5042">
        <v>30</v>
      </c>
      <c r="D5042">
        <v>0</v>
      </c>
      <c r="E5042">
        <v>0</v>
      </c>
      <c r="F5042" t="str">
        <f t="shared" si="236"/>
        <v>Lower Risk</v>
      </c>
      <c r="G5042" t="s">
        <v>3</v>
      </c>
      <c r="H5042" t="s">
        <v>4</v>
      </c>
      <c r="I5042" t="s">
        <v>5</v>
      </c>
      <c r="J5042">
        <v>96.84</v>
      </c>
      <c r="K5042">
        <v>21.1</v>
      </c>
      <c r="L5042" t="s">
        <v>14</v>
      </c>
      <c r="M5042">
        <v>0</v>
      </c>
      <c r="N5042" t="str">
        <f t="shared" si="234"/>
        <v>Under 40</v>
      </c>
      <c r="O5042" t="str">
        <f t="shared" si="235"/>
        <v>Normal</v>
      </c>
    </row>
    <row r="5043" spans="1:15" x14ac:dyDescent="0.3">
      <c r="A5043">
        <v>44878</v>
      </c>
      <c r="B5043" t="s">
        <v>2</v>
      </c>
      <c r="C5043">
        <v>53</v>
      </c>
      <c r="D5043">
        <v>0</v>
      </c>
      <c r="E5043">
        <v>0</v>
      </c>
      <c r="F5043" t="str">
        <f t="shared" si="236"/>
        <v>Lower Risk</v>
      </c>
      <c r="G5043" t="s">
        <v>3</v>
      </c>
      <c r="H5043" t="s">
        <v>4</v>
      </c>
      <c r="I5043" t="s">
        <v>9</v>
      </c>
      <c r="J5043">
        <v>175.92</v>
      </c>
      <c r="K5043">
        <v>26.9</v>
      </c>
      <c r="L5043" t="s">
        <v>12</v>
      </c>
      <c r="M5043">
        <v>0</v>
      </c>
      <c r="N5043" t="str">
        <f t="shared" si="234"/>
        <v>40–59</v>
      </c>
      <c r="O5043" t="str">
        <f t="shared" si="235"/>
        <v>Overweight</v>
      </c>
    </row>
    <row r="5044" spans="1:15" x14ac:dyDescent="0.3">
      <c r="A5044">
        <v>40220</v>
      </c>
      <c r="B5044" t="s">
        <v>2</v>
      </c>
      <c r="C5044">
        <v>32</v>
      </c>
      <c r="D5044">
        <v>0</v>
      </c>
      <c r="E5044">
        <v>0</v>
      </c>
      <c r="F5044" t="str">
        <f t="shared" si="236"/>
        <v>Lower Risk</v>
      </c>
      <c r="G5044" t="s">
        <v>13</v>
      </c>
      <c r="H5044" t="s">
        <v>4</v>
      </c>
      <c r="I5044" t="s">
        <v>9</v>
      </c>
      <c r="J5044">
        <v>100.65</v>
      </c>
      <c r="K5044">
        <v>26.2</v>
      </c>
      <c r="L5044" t="s">
        <v>6</v>
      </c>
      <c r="M5044">
        <v>0</v>
      </c>
      <c r="N5044" t="str">
        <f t="shared" si="234"/>
        <v>Under 40</v>
      </c>
      <c r="O5044" t="str">
        <f t="shared" si="235"/>
        <v>Overweight</v>
      </c>
    </row>
    <row r="5045" spans="1:15" x14ac:dyDescent="0.3">
      <c r="A5045">
        <v>19692</v>
      </c>
      <c r="B5045" t="s">
        <v>2</v>
      </c>
      <c r="C5045">
        <v>38</v>
      </c>
      <c r="D5045">
        <v>0</v>
      </c>
      <c r="E5045">
        <v>0</v>
      </c>
      <c r="F5045" t="str">
        <f t="shared" si="236"/>
        <v>Lower Risk</v>
      </c>
      <c r="G5045" t="s">
        <v>13</v>
      </c>
      <c r="H5045" t="s">
        <v>4</v>
      </c>
      <c r="I5045" t="s">
        <v>9</v>
      </c>
      <c r="J5045">
        <v>112.39</v>
      </c>
      <c r="K5045">
        <v>26.3</v>
      </c>
      <c r="L5045" t="s">
        <v>14</v>
      </c>
      <c r="M5045">
        <v>0</v>
      </c>
      <c r="N5045" t="str">
        <f t="shared" si="234"/>
        <v>Under 40</v>
      </c>
      <c r="O5045" t="str">
        <f t="shared" si="235"/>
        <v>Overweight</v>
      </c>
    </row>
    <row r="5046" spans="1:15" x14ac:dyDescent="0.3">
      <c r="A5046">
        <v>27616</v>
      </c>
      <c r="B5046" t="s">
        <v>2</v>
      </c>
      <c r="C5046">
        <v>33</v>
      </c>
      <c r="D5046">
        <v>0</v>
      </c>
      <c r="E5046">
        <v>0</v>
      </c>
      <c r="F5046" t="str">
        <f t="shared" si="236"/>
        <v>Lower Risk</v>
      </c>
      <c r="G5046" t="s">
        <v>3</v>
      </c>
      <c r="H5046" t="s">
        <v>15</v>
      </c>
      <c r="I5046" t="s">
        <v>9</v>
      </c>
      <c r="J5046">
        <v>81.099999999999994</v>
      </c>
      <c r="K5046">
        <v>24.8</v>
      </c>
      <c r="L5046" t="s">
        <v>11</v>
      </c>
      <c r="M5046">
        <v>0</v>
      </c>
      <c r="N5046" t="str">
        <f t="shared" si="234"/>
        <v>Under 40</v>
      </c>
      <c r="O5046" t="str">
        <f t="shared" si="235"/>
        <v>Normal</v>
      </c>
    </row>
    <row r="5047" spans="1:15" x14ac:dyDescent="0.3">
      <c r="A5047">
        <v>19801</v>
      </c>
      <c r="B5047" t="s">
        <v>7</v>
      </c>
      <c r="C5047">
        <v>44</v>
      </c>
      <c r="D5047">
        <v>0</v>
      </c>
      <c r="E5047">
        <v>0</v>
      </c>
      <c r="F5047" t="str">
        <f t="shared" si="236"/>
        <v>Lower Risk</v>
      </c>
      <c r="G5047" t="s">
        <v>3</v>
      </c>
      <c r="H5047" t="s">
        <v>4</v>
      </c>
      <c r="I5047" t="s">
        <v>9</v>
      </c>
      <c r="J5047">
        <v>98.3</v>
      </c>
      <c r="K5047">
        <v>25</v>
      </c>
      <c r="L5047" t="s">
        <v>11</v>
      </c>
      <c r="M5047">
        <v>0</v>
      </c>
      <c r="N5047" t="str">
        <f t="shared" si="234"/>
        <v>40–59</v>
      </c>
      <c r="O5047" t="str">
        <f t="shared" si="235"/>
        <v>Overweight</v>
      </c>
    </row>
    <row r="5048" spans="1:15" x14ac:dyDescent="0.3">
      <c r="A5048">
        <v>21467</v>
      </c>
      <c r="B5048" t="s">
        <v>2</v>
      </c>
      <c r="C5048">
        <v>44</v>
      </c>
      <c r="D5048">
        <v>0</v>
      </c>
      <c r="E5048">
        <v>0</v>
      </c>
      <c r="F5048" t="str">
        <f t="shared" si="236"/>
        <v>Lower Risk</v>
      </c>
      <c r="G5048" t="s">
        <v>3</v>
      </c>
      <c r="H5048" t="s">
        <v>4</v>
      </c>
      <c r="I5048" t="s">
        <v>5</v>
      </c>
      <c r="J5048">
        <v>89.68</v>
      </c>
      <c r="K5048">
        <v>34.6</v>
      </c>
      <c r="L5048" t="s">
        <v>14</v>
      </c>
      <c r="M5048">
        <v>0</v>
      </c>
      <c r="N5048" t="str">
        <f t="shared" si="234"/>
        <v>40–59</v>
      </c>
      <c r="O5048" t="str">
        <f t="shared" si="235"/>
        <v>Obese</v>
      </c>
    </row>
    <row r="5049" spans="1:15" x14ac:dyDescent="0.3">
      <c r="A5049">
        <v>25102</v>
      </c>
      <c r="B5049" t="s">
        <v>7</v>
      </c>
      <c r="C5049">
        <v>51</v>
      </c>
      <c r="D5049">
        <v>0</v>
      </c>
      <c r="E5049">
        <v>0</v>
      </c>
      <c r="F5049" t="str">
        <f t="shared" si="236"/>
        <v>Lower Risk</v>
      </c>
      <c r="G5049" t="s">
        <v>3</v>
      </c>
      <c r="H5049" t="s">
        <v>15</v>
      </c>
      <c r="I5049" t="s">
        <v>5</v>
      </c>
      <c r="J5049">
        <v>95.16</v>
      </c>
      <c r="K5049">
        <v>42.7</v>
      </c>
      <c r="L5049" t="s">
        <v>6</v>
      </c>
      <c r="M5049">
        <v>0</v>
      </c>
      <c r="N5049" t="str">
        <f t="shared" si="234"/>
        <v>40–59</v>
      </c>
      <c r="O5049" t="str">
        <f t="shared" si="235"/>
        <v>Obese</v>
      </c>
    </row>
    <row r="5050" spans="1:15" x14ac:dyDescent="0.3">
      <c r="A5050">
        <v>28788</v>
      </c>
      <c r="B5050" t="s">
        <v>2</v>
      </c>
      <c r="C5050">
        <v>40</v>
      </c>
      <c r="D5050">
        <v>0</v>
      </c>
      <c r="E5050">
        <v>0</v>
      </c>
      <c r="F5050" t="str">
        <f t="shared" si="236"/>
        <v>Lower Risk</v>
      </c>
      <c r="G5050" t="s">
        <v>3</v>
      </c>
      <c r="H5050" t="s">
        <v>4</v>
      </c>
      <c r="I5050" t="s">
        <v>5</v>
      </c>
      <c r="J5050">
        <v>191.15</v>
      </c>
      <c r="K5050" t="s">
        <v>10</v>
      </c>
      <c r="L5050" t="s">
        <v>12</v>
      </c>
      <c r="M5050">
        <v>0</v>
      </c>
      <c r="N5050" t="str">
        <f t="shared" si="234"/>
        <v>40–59</v>
      </c>
      <c r="O5050" t="str">
        <f t="shared" si="235"/>
        <v>Unknown</v>
      </c>
    </row>
    <row r="5051" spans="1:15" x14ac:dyDescent="0.3">
      <c r="A5051">
        <v>29028</v>
      </c>
      <c r="B5051" t="s">
        <v>7</v>
      </c>
      <c r="C5051">
        <v>41</v>
      </c>
      <c r="D5051">
        <v>0</v>
      </c>
      <c r="E5051">
        <v>0</v>
      </c>
      <c r="F5051" t="str">
        <f t="shared" si="236"/>
        <v>Lower Risk</v>
      </c>
      <c r="G5051" t="s">
        <v>3</v>
      </c>
      <c r="H5051" t="s">
        <v>4</v>
      </c>
      <c r="I5051" t="s">
        <v>9</v>
      </c>
      <c r="J5051">
        <v>91.04</v>
      </c>
      <c r="K5051">
        <v>24.5</v>
      </c>
      <c r="L5051" t="s">
        <v>11</v>
      </c>
      <c r="M5051">
        <v>0</v>
      </c>
      <c r="N5051" t="str">
        <f t="shared" si="234"/>
        <v>40–59</v>
      </c>
      <c r="O5051" t="str">
        <f t="shared" si="235"/>
        <v>Normal</v>
      </c>
    </row>
    <row r="5052" spans="1:15" x14ac:dyDescent="0.3">
      <c r="A5052">
        <v>15581</v>
      </c>
      <c r="B5052" t="s">
        <v>2</v>
      </c>
      <c r="C5052">
        <v>5</v>
      </c>
      <c r="D5052">
        <v>0</v>
      </c>
      <c r="E5052">
        <v>0</v>
      </c>
      <c r="F5052" t="str">
        <f t="shared" si="236"/>
        <v>Lower Risk</v>
      </c>
      <c r="G5052" t="s">
        <v>13</v>
      </c>
      <c r="H5052" t="s">
        <v>16</v>
      </c>
      <c r="I5052" t="s">
        <v>5</v>
      </c>
      <c r="J5052">
        <v>101.87</v>
      </c>
      <c r="K5052">
        <v>19.3</v>
      </c>
      <c r="L5052" t="s">
        <v>14</v>
      </c>
      <c r="M5052">
        <v>0</v>
      </c>
      <c r="N5052" t="str">
        <f t="shared" si="234"/>
        <v>Under 40</v>
      </c>
      <c r="O5052" t="str">
        <f t="shared" si="235"/>
        <v>Normal</v>
      </c>
    </row>
    <row r="5053" spans="1:15" x14ac:dyDescent="0.3">
      <c r="A5053">
        <v>16738</v>
      </c>
      <c r="B5053" t="s">
        <v>7</v>
      </c>
      <c r="C5053">
        <v>42</v>
      </c>
      <c r="D5053">
        <v>0</v>
      </c>
      <c r="E5053">
        <v>0</v>
      </c>
      <c r="F5053" t="str">
        <f t="shared" si="236"/>
        <v>Lower Risk</v>
      </c>
      <c r="G5053" t="s">
        <v>3</v>
      </c>
      <c r="H5053" t="s">
        <v>4</v>
      </c>
      <c r="I5053" t="s">
        <v>9</v>
      </c>
      <c r="J5053">
        <v>96.86</v>
      </c>
      <c r="K5053">
        <v>29.3</v>
      </c>
      <c r="L5053" t="s">
        <v>11</v>
      </c>
      <c r="M5053">
        <v>0</v>
      </c>
      <c r="N5053" t="str">
        <f t="shared" si="234"/>
        <v>40–59</v>
      </c>
      <c r="O5053" t="str">
        <f t="shared" si="235"/>
        <v>Overweight</v>
      </c>
    </row>
    <row r="5054" spans="1:15" x14ac:dyDescent="0.3">
      <c r="A5054">
        <v>31836</v>
      </c>
      <c r="B5054" t="s">
        <v>7</v>
      </c>
      <c r="C5054">
        <v>6</v>
      </c>
      <c r="D5054">
        <v>0</v>
      </c>
      <c r="E5054">
        <v>0</v>
      </c>
      <c r="F5054" t="str">
        <f t="shared" si="236"/>
        <v>Lower Risk</v>
      </c>
      <c r="G5054" t="s">
        <v>13</v>
      </c>
      <c r="H5054" t="s">
        <v>16</v>
      </c>
      <c r="I5054" t="s">
        <v>5</v>
      </c>
      <c r="J5054">
        <v>91.05</v>
      </c>
      <c r="K5054">
        <v>22.1</v>
      </c>
      <c r="L5054" t="s">
        <v>14</v>
      </c>
      <c r="M5054">
        <v>0</v>
      </c>
      <c r="N5054" t="str">
        <f t="shared" si="234"/>
        <v>Under 40</v>
      </c>
      <c r="O5054" t="str">
        <f t="shared" si="235"/>
        <v>Normal</v>
      </c>
    </row>
    <row r="5055" spans="1:15" x14ac:dyDescent="0.3">
      <c r="A5055">
        <v>43496</v>
      </c>
      <c r="B5055" t="s">
        <v>7</v>
      </c>
      <c r="C5055">
        <v>46</v>
      </c>
      <c r="D5055">
        <v>0</v>
      </c>
      <c r="E5055">
        <v>0</v>
      </c>
      <c r="F5055" t="str">
        <f t="shared" si="236"/>
        <v>Lower Risk</v>
      </c>
      <c r="G5055" t="s">
        <v>3</v>
      </c>
      <c r="H5055" t="s">
        <v>15</v>
      </c>
      <c r="I5055" t="s">
        <v>5</v>
      </c>
      <c r="J5055">
        <v>55.84</v>
      </c>
      <c r="K5055">
        <v>27.8</v>
      </c>
      <c r="L5055" t="s">
        <v>11</v>
      </c>
      <c r="M5055">
        <v>0</v>
      </c>
      <c r="N5055" t="str">
        <f t="shared" si="234"/>
        <v>40–59</v>
      </c>
      <c r="O5055" t="str">
        <f t="shared" si="235"/>
        <v>Overweight</v>
      </c>
    </row>
    <row r="5056" spans="1:15" x14ac:dyDescent="0.3">
      <c r="A5056">
        <v>52677</v>
      </c>
      <c r="B5056" t="s">
        <v>7</v>
      </c>
      <c r="C5056">
        <v>47</v>
      </c>
      <c r="D5056">
        <v>0</v>
      </c>
      <c r="E5056">
        <v>0</v>
      </c>
      <c r="F5056" t="str">
        <f t="shared" si="236"/>
        <v>Lower Risk</v>
      </c>
      <c r="G5056" t="s">
        <v>3</v>
      </c>
      <c r="H5056" t="s">
        <v>4</v>
      </c>
      <c r="I5056" t="s">
        <v>5</v>
      </c>
      <c r="J5056">
        <v>84.04</v>
      </c>
      <c r="K5056">
        <v>24.7</v>
      </c>
      <c r="L5056" t="s">
        <v>11</v>
      </c>
      <c r="M5056">
        <v>0</v>
      </c>
      <c r="N5056" t="str">
        <f t="shared" si="234"/>
        <v>40–59</v>
      </c>
      <c r="O5056" t="str">
        <f t="shared" si="235"/>
        <v>Normal</v>
      </c>
    </row>
    <row r="5057" spans="1:15" x14ac:dyDescent="0.3">
      <c r="A5057">
        <v>11630</v>
      </c>
      <c r="B5057" t="s">
        <v>7</v>
      </c>
      <c r="C5057">
        <v>25</v>
      </c>
      <c r="D5057">
        <v>0</v>
      </c>
      <c r="E5057">
        <v>0</v>
      </c>
      <c r="F5057" t="str">
        <f t="shared" si="236"/>
        <v>Lower Risk</v>
      </c>
      <c r="G5057" t="s">
        <v>13</v>
      </c>
      <c r="H5057" t="s">
        <v>4</v>
      </c>
      <c r="I5057" t="s">
        <v>5</v>
      </c>
      <c r="J5057">
        <v>92.06</v>
      </c>
      <c r="K5057">
        <v>25.3</v>
      </c>
      <c r="L5057" t="s">
        <v>12</v>
      </c>
      <c r="M5057">
        <v>0</v>
      </c>
      <c r="N5057" t="str">
        <f t="shared" si="234"/>
        <v>Under 40</v>
      </c>
      <c r="O5057" t="str">
        <f t="shared" si="235"/>
        <v>Overweight</v>
      </c>
    </row>
    <row r="5058" spans="1:15" x14ac:dyDescent="0.3">
      <c r="A5058">
        <v>53478</v>
      </c>
      <c r="B5058" t="s">
        <v>7</v>
      </c>
      <c r="C5058">
        <v>40</v>
      </c>
      <c r="D5058">
        <v>0</v>
      </c>
      <c r="E5058">
        <v>0</v>
      </c>
      <c r="F5058" t="str">
        <f t="shared" si="236"/>
        <v>Lower Risk</v>
      </c>
      <c r="G5058" t="s">
        <v>3</v>
      </c>
      <c r="H5058" t="s">
        <v>4</v>
      </c>
      <c r="I5058" t="s">
        <v>5</v>
      </c>
      <c r="J5058">
        <v>89.61</v>
      </c>
      <c r="K5058">
        <v>41.2</v>
      </c>
      <c r="L5058" t="s">
        <v>6</v>
      </c>
      <c r="M5058">
        <v>0</v>
      </c>
      <c r="N5058" t="str">
        <f t="shared" ref="N5058:N5111" si="237">IF(C5058&lt;40,"Under 40",IF(C5058&lt;60,"40–59","60+"))</f>
        <v>40–59</v>
      </c>
      <c r="O5058" t="str">
        <f t="shared" ref="O5058:O5111" si="238">IF(K5058="N/A","Unknown",
IF(K5058="","Unknown",
IF(K5058&lt;18.5,"Underweight",
IF(K5058&lt;25,"Normal",
IF(K5058&lt;30,"Overweight","Obese")))))</f>
        <v>Obese</v>
      </c>
    </row>
    <row r="5059" spans="1:15" x14ac:dyDescent="0.3">
      <c r="A5059">
        <v>38349</v>
      </c>
      <c r="B5059" t="s">
        <v>7</v>
      </c>
      <c r="C5059">
        <v>49</v>
      </c>
      <c r="D5059">
        <v>0</v>
      </c>
      <c r="E5059">
        <v>0</v>
      </c>
      <c r="F5059" t="str">
        <f t="shared" ref="F5059:F5111" si="239">IF(C5059&gt;=60,
IF(OR(D5059=1,E5059=1),"High Risk","Moderate Risk"),
"Lower Risk")</f>
        <v>Lower Risk</v>
      </c>
      <c r="G5059" t="s">
        <v>3</v>
      </c>
      <c r="H5059" t="s">
        <v>15</v>
      </c>
      <c r="I5059" t="s">
        <v>5</v>
      </c>
      <c r="J5059">
        <v>69.92</v>
      </c>
      <c r="K5059">
        <v>47.6</v>
      </c>
      <c r="L5059" t="s">
        <v>11</v>
      </c>
      <c r="M5059">
        <v>0</v>
      </c>
      <c r="N5059" t="str">
        <f t="shared" si="237"/>
        <v>40–59</v>
      </c>
      <c r="O5059" t="str">
        <f t="shared" si="238"/>
        <v>Obese</v>
      </c>
    </row>
    <row r="5060" spans="1:15" x14ac:dyDescent="0.3">
      <c r="A5060">
        <v>48425</v>
      </c>
      <c r="B5060" t="s">
        <v>2</v>
      </c>
      <c r="C5060">
        <v>21</v>
      </c>
      <c r="D5060">
        <v>0</v>
      </c>
      <c r="E5060">
        <v>0</v>
      </c>
      <c r="F5060" t="str">
        <f t="shared" si="239"/>
        <v>Lower Risk</v>
      </c>
      <c r="G5060" t="s">
        <v>13</v>
      </c>
      <c r="H5060" t="s">
        <v>4</v>
      </c>
      <c r="I5060" t="s">
        <v>9</v>
      </c>
      <c r="J5060">
        <v>89.29</v>
      </c>
      <c r="K5060">
        <v>23.4</v>
      </c>
      <c r="L5060" t="s">
        <v>11</v>
      </c>
      <c r="M5060">
        <v>0</v>
      </c>
      <c r="N5060" t="str">
        <f t="shared" si="237"/>
        <v>Under 40</v>
      </c>
      <c r="O5060" t="str">
        <f t="shared" si="238"/>
        <v>Normal</v>
      </c>
    </row>
    <row r="5061" spans="1:15" x14ac:dyDescent="0.3">
      <c r="A5061">
        <v>64420</v>
      </c>
      <c r="B5061" t="s">
        <v>7</v>
      </c>
      <c r="C5061">
        <v>61</v>
      </c>
      <c r="D5061">
        <v>0</v>
      </c>
      <c r="E5061">
        <v>0</v>
      </c>
      <c r="F5061" t="str">
        <f t="shared" si="239"/>
        <v>Moderate Risk</v>
      </c>
      <c r="G5061" t="s">
        <v>3</v>
      </c>
      <c r="H5061" t="s">
        <v>15</v>
      </c>
      <c r="I5061" t="s">
        <v>9</v>
      </c>
      <c r="J5061">
        <v>120.23</v>
      </c>
      <c r="K5061">
        <v>22.7</v>
      </c>
      <c r="L5061" t="s">
        <v>14</v>
      </c>
      <c r="M5061">
        <v>0</v>
      </c>
      <c r="N5061" t="str">
        <f t="shared" si="237"/>
        <v>60+</v>
      </c>
      <c r="O5061" t="str">
        <f t="shared" si="238"/>
        <v>Normal</v>
      </c>
    </row>
    <row r="5062" spans="1:15" x14ac:dyDescent="0.3">
      <c r="A5062">
        <v>60271</v>
      </c>
      <c r="B5062" t="s">
        <v>2</v>
      </c>
      <c r="C5062">
        <v>78</v>
      </c>
      <c r="D5062">
        <v>0</v>
      </c>
      <c r="E5062">
        <v>0</v>
      </c>
      <c r="F5062" t="str">
        <f t="shared" si="239"/>
        <v>Moderate Risk</v>
      </c>
      <c r="G5062" t="s">
        <v>3</v>
      </c>
      <c r="H5062" t="s">
        <v>4</v>
      </c>
      <c r="I5062" t="s">
        <v>5</v>
      </c>
      <c r="J5062">
        <v>60.22</v>
      </c>
      <c r="K5062">
        <v>29.7</v>
      </c>
      <c r="L5062" t="s">
        <v>6</v>
      </c>
      <c r="M5062">
        <v>0</v>
      </c>
      <c r="N5062" t="str">
        <f t="shared" si="237"/>
        <v>60+</v>
      </c>
      <c r="O5062" t="str">
        <f t="shared" si="238"/>
        <v>Overweight</v>
      </c>
    </row>
    <row r="5063" spans="1:15" x14ac:dyDescent="0.3">
      <c r="A5063">
        <v>38009</v>
      </c>
      <c r="B5063" t="s">
        <v>2</v>
      </c>
      <c r="C5063">
        <v>41</v>
      </c>
      <c r="D5063">
        <v>0</v>
      </c>
      <c r="E5063">
        <v>0</v>
      </c>
      <c r="F5063" t="str">
        <f t="shared" si="239"/>
        <v>Lower Risk</v>
      </c>
      <c r="G5063" t="s">
        <v>3</v>
      </c>
      <c r="H5063" t="s">
        <v>4</v>
      </c>
      <c r="I5063" t="s">
        <v>5</v>
      </c>
      <c r="J5063">
        <v>223.78</v>
      </c>
      <c r="K5063">
        <v>32.299999999999997</v>
      </c>
      <c r="L5063" t="s">
        <v>11</v>
      </c>
      <c r="M5063">
        <v>0</v>
      </c>
      <c r="N5063" t="str">
        <f t="shared" si="237"/>
        <v>40–59</v>
      </c>
      <c r="O5063" t="str">
        <f t="shared" si="238"/>
        <v>Obese</v>
      </c>
    </row>
    <row r="5064" spans="1:15" x14ac:dyDescent="0.3">
      <c r="A5064">
        <v>11184</v>
      </c>
      <c r="B5064" t="s">
        <v>7</v>
      </c>
      <c r="C5064">
        <v>82</v>
      </c>
      <c r="D5064">
        <v>0</v>
      </c>
      <c r="E5064">
        <v>0</v>
      </c>
      <c r="F5064" t="str">
        <f t="shared" si="239"/>
        <v>Moderate Risk</v>
      </c>
      <c r="G5064" t="s">
        <v>3</v>
      </c>
      <c r="H5064" t="s">
        <v>8</v>
      </c>
      <c r="I5064" t="s">
        <v>9</v>
      </c>
      <c r="J5064">
        <v>211.58</v>
      </c>
      <c r="K5064">
        <v>36.9</v>
      </c>
      <c r="L5064" t="s">
        <v>11</v>
      </c>
      <c r="M5064">
        <v>0</v>
      </c>
      <c r="N5064" t="str">
        <f t="shared" si="237"/>
        <v>60+</v>
      </c>
      <c r="O5064" t="str">
        <f t="shared" si="238"/>
        <v>Obese</v>
      </c>
    </row>
    <row r="5065" spans="1:15" x14ac:dyDescent="0.3">
      <c r="A5065">
        <v>68967</v>
      </c>
      <c r="B5065" t="s">
        <v>2</v>
      </c>
      <c r="C5065">
        <v>39</v>
      </c>
      <c r="D5065">
        <v>0</v>
      </c>
      <c r="E5065">
        <v>0</v>
      </c>
      <c r="F5065" t="str">
        <f t="shared" si="239"/>
        <v>Lower Risk</v>
      </c>
      <c r="G5065" t="s">
        <v>3</v>
      </c>
      <c r="H5065" t="s">
        <v>4</v>
      </c>
      <c r="I5065" t="s">
        <v>5</v>
      </c>
      <c r="J5065">
        <v>179.38</v>
      </c>
      <c r="K5065">
        <v>27.7</v>
      </c>
      <c r="L5065" t="s">
        <v>14</v>
      </c>
      <c r="M5065">
        <v>0</v>
      </c>
      <c r="N5065" t="str">
        <f t="shared" si="237"/>
        <v>Under 40</v>
      </c>
      <c r="O5065" t="str">
        <f t="shared" si="238"/>
        <v>Overweight</v>
      </c>
    </row>
    <row r="5066" spans="1:15" x14ac:dyDescent="0.3">
      <c r="A5066">
        <v>66684</v>
      </c>
      <c r="B5066" t="s">
        <v>2</v>
      </c>
      <c r="C5066">
        <v>70</v>
      </c>
      <c r="D5066">
        <v>0</v>
      </c>
      <c r="E5066">
        <v>0</v>
      </c>
      <c r="F5066" t="str">
        <f t="shared" si="239"/>
        <v>Moderate Risk</v>
      </c>
      <c r="G5066" t="s">
        <v>3</v>
      </c>
      <c r="H5066" t="s">
        <v>8</v>
      </c>
      <c r="I5066" t="s">
        <v>9</v>
      </c>
      <c r="J5066">
        <v>193.88</v>
      </c>
      <c r="K5066">
        <v>24.3</v>
      </c>
      <c r="L5066" t="s">
        <v>14</v>
      </c>
      <c r="M5066">
        <v>0</v>
      </c>
      <c r="N5066" t="str">
        <f t="shared" si="237"/>
        <v>60+</v>
      </c>
      <c r="O5066" t="str">
        <f t="shared" si="238"/>
        <v>Normal</v>
      </c>
    </row>
    <row r="5067" spans="1:15" x14ac:dyDescent="0.3">
      <c r="A5067">
        <v>7789</v>
      </c>
      <c r="B5067" t="s">
        <v>7</v>
      </c>
      <c r="C5067">
        <v>31</v>
      </c>
      <c r="D5067">
        <v>0</v>
      </c>
      <c r="E5067">
        <v>0</v>
      </c>
      <c r="F5067" t="str">
        <f t="shared" si="239"/>
        <v>Lower Risk</v>
      </c>
      <c r="G5067" t="s">
        <v>3</v>
      </c>
      <c r="H5067" t="s">
        <v>4</v>
      </c>
      <c r="I5067" t="s">
        <v>5</v>
      </c>
      <c r="J5067">
        <v>89.01</v>
      </c>
      <c r="K5067">
        <v>37.4</v>
      </c>
      <c r="L5067" t="s">
        <v>11</v>
      </c>
      <c r="M5067">
        <v>0</v>
      </c>
      <c r="N5067" t="str">
        <f t="shared" si="237"/>
        <v>Under 40</v>
      </c>
      <c r="O5067" t="str">
        <f t="shared" si="238"/>
        <v>Obese</v>
      </c>
    </row>
    <row r="5068" spans="1:15" x14ac:dyDescent="0.3">
      <c r="A5068">
        <v>40112</v>
      </c>
      <c r="B5068" t="s">
        <v>7</v>
      </c>
      <c r="C5068">
        <v>37</v>
      </c>
      <c r="D5068">
        <v>0</v>
      </c>
      <c r="E5068">
        <v>0</v>
      </c>
      <c r="F5068" t="str">
        <f t="shared" si="239"/>
        <v>Lower Risk</v>
      </c>
      <c r="G5068" t="s">
        <v>13</v>
      </c>
      <c r="H5068" t="s">
        <v>4</v>
      </c>
      <c r="I5068" t="s">
        <v>5</v>
      </c>
      <c r="J5068">
        <v>118.41</v>
      </c>
      <c r="K5068">
        <v>25.1</v>
      </c>
      <c r="L5068" t="s">
        <v>11</v>
      </c>
      <c r="M5068">
        <v>0</v>
      </c>
      <c r="N5068" t="str">
        <f t="shared" si="237"/>
        <v>Under 40</v>
      </c>
      <c r="O5068" t="str">
        <f t="shared" si="238"/>
        <v>Overweight</v>
      </c>
    </row>
    <row r="5069" spans="1:15" x14ac:dyDescent="0.3">
      <c r="A5069">
        <v>65814</v>
      </c>
      <c r="B5069" t="s">
        <v>2</v>
      </c>
      <c r="C5069">
        <v>21</v>
      </c>
      <c r="D5069">
        <v>0</v>
      </c>
      <c r="E5069">
        <v>0</v>
      </c>
      <c r="F5069" t="str">
        <f t="shared" si="239"/>
        <v>Lower Risk</v>
      </c>
      <c r="G5069" t="s">
        <v>13</v>
      </c>
      <c r="H5069" t="s">
        <v>4</v>
      </c>
      <c r="I5069" t="s">
        <v>5</v>
      </c>
      <c r="J5069">
        <v>138.51</v>
      </c>
      <c r="K5069">
        <v>24.3</v>
      </c>
      <c r="L5069" t="s">
        <v>11</v>
      </c>
      <c r="M5069">
        <v>0</v>
      </c>
      <c r="N5069" t="str">
        <f t="shared" si="237"/>
        <v>Under 40</v>
      </c>
      <c r="O5069" t="str">
        <f t="shared" si="238"/>
        <v>Normal</v>
      </c>
    </row>
    <row r="5070" spans="1:15" x14ac:dyDescent="0.3">
      <c r="A5070">
        <v>49598</v>
      </c>
      <c r="B5070" t="s">
        <v>2</v>
      </c>
      <c r="C5070">
        <v>80</v>
      </c>
      <c r="D5070">
        <v>0</v>
      </c>
      <c r="E5070">
        <v>0</v>
      </c>
      <c r="F5070" t="str">
        <f t="shared" si="239"/>
        <v>Moderate Risk</v>
      </c>
      <c r="G5070" t="s">
        <v>3</v>
      </c>
      <c r="H5070" t="s">
        <v>8</v>
      </c>
      <c r="I5070" t="s">
        <v>5</v>
      </c>
      <c r="J5070">
        <v>120.03</v>
      </c>
      <c r="K5070">
        <v>24.3</v>
      </c>
      <c r="L5070" t="s">
        <v>6</v>
      </c>
      <c r="M5070">
        <v>0</v>
      </c>
      <c r="N5070" t="str">
        <f t="shared" si="237"/>
        <v>60+</v>
      </c>
      <c r="O5070" t="str">
        <f t="shared" si="238"/>
        <v>Normal</v>
      </c>
    </row>
    <row r="5071" spans="1:15" x14ac:dyDescent="0.3">
      <c r="A5071">
        <v>15599</v>
      </c>
      <c r="B5071" t="s">
        <v>7</v>
      </c>
      <c r="C5071">
        <v>21</v>
      </c>
      <c r="D5071">
        <v>0</v>
      </c>
      <c r="E5071">
        <v>0</v>
      </c>
      <c r="F5071" t="str">
        <f t="shared" si="239"/>
        <v>Lower Risk</v>
      </c>
      <c r="G5071" t="s">
        <v>13</v>
      </c>
      <c r="H5071" t="s">
        <v>4</v>
      </c>
      <c r="I5071" t="s">
        <v>5</v>
      </c>
      <c r="J5071">
        <v>91.01</v>
      </c>
      <c r="K5071">
        <v>28.7</v>
      </c>
      <c r="L5071" t="s">
        <v>11</v>
      </c>
      <c r="M5071">
        <v>0</v>
      </c>
      <c r="N5071" t="str">
        <f t="shared" si="237"/>
        <v>Under 40</v>
      </c>
      <c r="O5071" t="str">
        <f t="shared" si="238"/>
        <v>Overweight</v>
      </c>
    </row>
    <row r="5072" spans="1:15" x14ac:dyDescent="0.3">
      <c r="A5072">
        <v>62425</v>
      </c>
      <c r="B5072" t="s">
        <v>7</v>
      </c>
      <c r="C5072">
        <v>5</v>
      </c>
      <c r="D5072">
        <v>0</v>
      </c>
      <c r="E5072">
        <v>0</v>
      </c>
      <c r="F5072" t="str">
        <f t="shared" si="239"/>
        <v>Lower Risk</v>
      </c>
      <c r="G5072" t="s">
        <v>13</v>
      </c>
      <c r="H5072" t="s">
        <v>16</v>
      </c>
      <c r="I5072" t="s">
        <v>5</v>
      </c>
      <c r="J5072">
        <v>61.98</v>
      </c>
      <c r="K5072">
        <v>16.8</v>
      </c>
      <c r="L5072" t="s">
        <v>14</v>
      </c>
      <c r="M5072">
        <v>0</v>
      </c>
      <c r="N5072" t="str">
        <f t="shared" si="237"/>
        <v>Under 40</v>
      </c>
      <c r="O5072" t="str">
        <f t="shared" si="238"/>
        <v>Underweight</v>
      </c>
    </row>
    <row r="5073" spans="1:15" x14ac:dyDescent="0.3">
      <c r="A5073">
        <v>52652</v>
      </c>
      <c r="B5073" t="s">
        <v>2</v>
      </c>
      <c r="C5073">
        <v>81</v>
      </c>
      <c r="D5073">
        <v>0</v>
      </c>
      <c r="E5073">
        <v>0</v>
      </c>
      <c r="F5073" t="str">
        <f t="shared" si="239"/>
        <v>Moderate Risk</v>
      </c>
      <c r="G5073" t="s">
        <v>3</v>
      </c>
      <c r="H5073" t="s">
        <v>4</v>
      </c>
      <c r="I5073" t="s">
        <v>9</v>
      </c>
      <c r="J5073">
        <v>135.32</v>
      </c>
      <c r="K5073">
        <v>35.799999999999997</v>
      </c>
      <c r="L5073" t="s">
        <v>14</v>
      </c>
      <c r="M5073">
        <v>0</v>
      </c>
      <c r="N5073" t="str">
        <f t="shared" si="237"/>
        <v>60+</v>
      </c>
      <c r="O5073" t="str">
        <f t="shared" si="238"/>
        <v>Obese</v>
      </c>
    </row>
    <row r="5074" spans="1:15" x14ac:dyDescent="0.3">
      <c r="A5074">
        <v>71957</v>
      </c>
      <c r="B5074" t="s">
        <v>7</v>
      </c>
      <c r="C5074">
        <v>35</v>
      </c>
      <c r="D5074">
        <v>0</v>
      </c>
      <c r="E5074">
        <v>0</v>
      </c>
      <c r="F5074" t="str">
        <f t="shared" si="239"/>
        <v>Lower Risk</v>
      </c>
      <c r="G5074" t="s">
        <v>3</v>
      </c>
      <c r="H5074" t="s">
        <v>4</v>
      </c>
      <c r="I5074" t="s">
        <v>9</v>
      </c>
      <c r="J5074">
        <v>58.72</v>
      </c>
      <c r="K5074">
        <v>40</v>
      </c>
      <c r="L5074" t="s">
        <v>12</v>
      </c>
      <c r="M5074">
        <v>0</v>
      </c>
      <c r="N5074" t="str">
        <f t="shared" si="237"/>
        <v>Under 40</v>
      </c>
      <c r="O5074" t="str">
        <f t="shared" si="238"/>
        <v>Obese</v>
      </c>
    </row>
    <row r="5075" spans="1:15" x14ac:dyDescent="0.3">
      <c r="A5075">
        <v>17231</v>
      </c>
      <c r="B5075" t="s">
        <v>7</v>
      </c>
      <c r="C5075">
        <v>24</v>
      </c>
      <c r="D5075">
        <v>0</v>
      </c>
      <c r="E5075">
        <v>0</v>
      </c>
      <c r="F5075" t="str">
        <f t="shared" si="239"/>
        <v>Lower Risk</v>
      </c>
      <c r="G5075" t="s">
        <v>13</v>
      </c>
      <c r="H5075" t="s">
        <v>4</v>
      </c>
      <c r="I5075" t="s">
        <v>5</v>
      </c>
      <c r="J5075">
        <v>90.42</v>
      </c>
      <c r="K5075">
        <v>24.3</v>
      </c>
      <c r="L5075" t="s">
        <v>11</v>
      </c>
      <c r="M5075">
        <v>0</v>
      </c>
      <c r="N5075" t="str">
        <f t="shared" si="237"/>
        <v>Under 40</v>
      </c>
      <c r="O5075" t="str">
        <f t="shared" si="238"/>
        <v>Normal</v>
      </c>
    </row>
    <row r="5076" spans="1:15" x14ac:dyDescent="0.3">
      <c r="A5076">
        <v>30379</v>
      </c>
      <c r="B5076" t="s">
        <v>7</v>
      </c>
      <c r="C5076">
        <v>52</v>
      </c>
      <c r="D5076">
        <v>0</v>
      </c>
      <c r="E5076">
        <v>0</v>
      </c>
      <c r="F5076" t="str">
        <f t="shared" si="239"/>
        <v>Lower Risk</v>
      </c>
      <c r="G5076" t="s">
        <v>3</v>
      </c>
      <c r="H5076" t="s">
        <v>15</v>
      </c>
      <c r="I5076" t="s">
        <v>5</v>
      </c>
      <c r="J5076">
        <v>104</v>
      </c>
      <c r="K5076">
        <v>25.6</v>
      </c>
      <c r="L5076" t="s">
        <v>12</v>
      </c>
      <c r="M5076">
        <v>0</v>
      </c>
      <c r="N5076" t="str">
        <f t="shared" si="237"/>
        <v>40–59</v>
      </c>
      <c r="O5076" t="str">
        <f t="shared" si="238"/>
        <v>Overweight</v>
      </c>
    </row>
    <row r="5077" spans="1:15" x14ac:dyDescent="0.3">
      <c r="A5077">
        <v>63997</v>
      </c>
      <c r="B5077" t="s">
        <v>2</v>
      </c>
      <c r="C5077">
        <v>70</v>
      </c>
      <c r="D5077">
        <v>0</v>
      </c>
      <c r="E5077">
        <v>0</v>
      </c>
      <c r="F5077" t="str">
        <f t="shared" si="239"/>
        <v>Moderate Risk</v>
      </c>
      <c r="G5077" t="s">
        <v>3</v>
      </c>
      <c r="H5077" t="s">
        <v>4</v>
      </c>
      <c r="I5077" t="s">
        <v>5</v>
      </c>
      <c r="J5077">
        <v>102.5</v>
      </c>
      <c r="K5077">
        <v>37.799999999999997</v>
      </c>
      <c r="L5077" t="s">
        <v>14</v>
      </c>
      <c r="M5077">
        <v>0</v>
      </c>
      <c r="N5077" t="str">
        <f t="shared" si="237"/>
        <v>60+</v>
      </c>
      <c r="O5077" t="str">
        <f t="shared" si="238"/>
        <v>Obese</v>
      </c>
    </row>
    <row r="5078" spans="1:15" x14ac:dyDescent="0.3">
      <c r="A5078">
        <v>39935</v>
      </c>
      <c r="B5078" t="s">
        <v>7</v>
      </c>
      <c r="C5078">
        <v>34</v>
      </c>
      <c r="D5078">
        <v>0</v>
      </c>
      <c r="E5078">
        <v>0</v>
      </c>
      <c r="F5078" t="str">
        <f t="shared" si="239"/>
        <v>Lower Risk</v>
      </c>
      <c r="G5078" t="s">
        <v>3</v>
      </c>
      <c r="H5078" t="s">
        <v>4</v>
      </c>
      <c r="I5078" t="s">
        <v>9</v>
      </c>
      <c r="J5078">
        <v>174.37</v>
      </c>
      <c r="K5078">
        <v>23</v>
      </c>
      <c r="L5078" t="s">
        <v>11</v>
      </c>
      <c r="M5078">
        <v>0</v>
      </c>
      <c r="N5078" t="str">
        <f t="shared" si="237"/>
        <v>Under 40</v>
      </c>
      <c r="O5078" t="str">
        <f t="shared" si="238"/>
        <v>Normal</v>
      </c>
    </row>
    <row r="5079" spans="1:15" x14ac:dyDescent="0.3">
      <c r="A5079">
        <v>8203</v>
      </c>
      <c r="B5079" t="s">
        <v>2</v>
      </c>
      <c r="C5079">
        <v>17</v>
      </c>
      <c r="D5079">
        <v>0</v>
      </c>
      <c r="E5079">
        <v>0</v>
      </c>
      <c r="F5079" t="str">
        <f t="shared" si="239"/>
        <v>Lower Risk</v>
      </c>
      <c r="G5079" t="s">
        <v>13</v>
      </c>
      <c r="H5079" t="s">
        <v>4</v>
      </c>
      <c r="I5079" t="s">
        <v>9</v>
      </c>
      <c r="J5079">
        <v>106.56</v>
      </c>
      <c r="K5079">
        <v>21</v>
      </c>
      <c r="L5079" t="s">
        <v>14</v>
      </c>
      <c r="M5079">
        <v>0</v>
      </c>
      <c r="N5079" t="str">
        <f t="shared" si="237"/>
        <v>Under 40</v>
      </c>
      <c r="O5079" t="str">
        <f t="shared" si="238"/>
        <v>Normal</v>
      </c>
    </row>
    <row r="5080" spans="1:15" x14ac:dyDescent="0.3">
      <c r="A5080">
        <v>27446</v>
      </c>
      <c r="B5080" t="s">
        <v>7</v>
      </c>
      <c r="C5080">
        <v>8</v>
      </c>
      <c r="D5080">
        <v>0</v>
      </c>
      <c r="E5080">
        <v>0</v>
      </c>
      <c r="F5080" t="str">
        <f t="shared" si="239"/>
        <v>Lower Risk</v>
      </c>
      <c r="G5080" t="s">
        <v>13</v>
      </c>
      <c r="H5080" t="s">
        <v>16</v>
      </c>
      <c r="I5080" t="s">
        <v>5</v>
      </c>
      <c r="J5080">
        <v>76.31</v>
      </c>
      <c r="K5080">
        <v>15.5</v>
      </c>
      <c r="L5080" t="s">
        <v>14</v>
      </c>
      <c r="M5080">
        <v>0</v>
      </c>
      <c r="N5080" t="str">
        <f t="shared" si="237"/>
        <v>Under 40</v>
      </c>
      <c r="O5080" t="str">
        <f t="shared" si="238"/>
        <v>Underweight</v>
      </c>
    </row>
    <row r="5081" spans="1:15" x14ac:dyDescent="0.3">
      <c r="A5081">
        <v>42709</v>
      </c>
      <c r="B5081" t="s">
        <v>2</v>
      </c>
      <c r="C5081">
        <v>1.72</v>
      </c>
      <c r="D5081">
        <v>0</v>
      </c>
      <c r="E5081">
        <v>0</v>
      </c>
      <c r="F5081" t="str">
        <f t="shared" si="239"/>
        <v>Lower Risk</v>
      </c>
      <c r="G5081" t="s">
        <v>13</v>
      </c>
      <c r="H5081" t="s">
        <v>16</v>
      </c>
      <c r="I5081" t="s">
        <v>5</v>
      </c>
      <c r="J5081">
        <v>77.28</v>
      </c>
      <c r="K5081">
        <v>17.100000000000001</v>
      </c>
      <c r="L5081" t="s">
        <v>14</v>
      </c>
      <c r="M5081">
        <v>0</v>
      </c>
      <c r="N5081" t="str">
        <f t="shared" si="237"/>
        <v>Under 40</v>
      </c>
      <c r="O5081" t="str">
        <f t="shared" si="238"/>
        <v>Underweight</v>
      </c>
    </row>
    <row r="5082" spans="1:15" x14ac:dyDescent="0.3">
      <c r="A5082">
        <v>22691</v>
      </c>
      <c r="B5082" t="s">
        <v>7</v>
      </c>
      <c r="C5082">
        <v>29</v>
      </c>
      <c r="D5082">
        <v>0</v>
      </c>
      <c r="E5082">
        <v>0</v>
      </c>
      <c r="F5082" t="str">
        <f t="shared" si="239"/>
        <v>Lower Risk</v>
      </c>
      <c r="G5082" t="s">
        <v>3</v>
      </c>
      <c r="H5082" t="s">
        <v>8</v>
      </c>
      <c r="I5082" t="s">
        <v>5</v>
      </c>
      <c r="J5082">
        <v>90.52</v>
      </c>
      <c r="K5082">
        <v>28</v>
      </c>
      <c r="L5082" t="s">
        <v>11</v>
      </c>
      <c r="M5082">
        <v>0</v>
      </c>
      <c r="N5082" t="str">
        <f t="shared" si="237"/>
        <v>Under 40</v>
      </c>
      <c r="O5082" t="str">
        <f t="shared" si="238"/>
        <v>Overweight</v>
      </c>
    </row>
    <row r="5083" spans="1:15" x14ac:dyDescent="0.3">
      <c r="A5083">
        <v>37680</v>
      </c>
      <c r="B5083" t="s">
        <v>2</v>
      </c>
      <c r="C5083">
        <v>55</v>
      </c>
      <c r="D5083">
        <v>0</v>
      </c>
      <c r="E5083">
        <v>0</v>
      </c>
      <c r="F5083" t="str">
        <f t="shared" si="239"/>
        <v>Lower Risk</v>
      </c>
      <c r="G5083" t="s">
        <v>3</v>
      </c>
      <c r="H5083" t="s">
        <v>15</v>
      </c>
      <c r="I5083" t="s">
        <v>9</v>
      </c>
      <c r="J5083">
        <v>108.35</v>
      </c>
      <c r="K5083">
        <v>40.799999999999997</v>
      </c>
      <c r="L5083" t="s">
        <v>6</v>
      </c>
      <c r="M5083">
        <v>0</v>
      </c>
      <c r="N5083" t="str">
        <f t="shared" si="237"/>
        <v>40–59</v>
      </c>
      <c r="O5083" t="str">
        <f t="shared" si="238"/>
        <v>Obese</v>
      </c>
    </row>
    <row r="5084" spans="1:15" x14ac:dyDescent="0.3">
      <c r="A5084">
        <v>24552</v>
      </c>
      <c r="B5084" t="s">
        <v>7</v>
      </c>
      <c r="C5084">
        <v>44</v>
      </c>
      <c r="D5084">
        <v>0</v>
      </c>
      <c r="E5084">
        <v>0</v>
      </c>
      <c r="F5084" t="str">
        <f t="shared" si="239"/>
        <v>Lower Risk</v>
      </c>
      <c r="G5084" t="s">
        <v>3</v>
      </c>
      <c r="H5084" t="s">
        <v>4</v>
      </c>
      <c r="I5084" t="s">
        <v>9</v>
      </c>
      <c r="J5084">
        <v>72.03</v>
      </c>
      <c r="K5084">
        <v>37.5</v>
      </c>
      <c r="L5084" t="s">
        <v>12</v>
      </c>
      <c r="M5084">
        <v>0</v>
      </c>
      <c r="N5084" t="str">
        <f t="shared" si="237"/>
        <v>40–59</v>
      </c>
      <c r="O5084" t="str">
        <f t="shared" si="238"/>
        <v>Obese</v>
      </c>
    </row>
    <row r="5085" spans="1:15" x14ac:dyDescent="0.3">
      <c r="A5085">
        <v>72914</v>
      </c>
      <c r="B5085" t="s">
        <v>7</v>
      </c>
      <c r="C5085">
        <v>19</v>
      </c>
      <c r="D5085">
        <v>0</v>
      </c>
      <c r="E5085">
        <v>0</v>
      </c>
      <c r="F5085" t="str">
        <f t="shared" si="239"/>
        <v>Lower Risk</v>
      </c>
      <c r="G5085" t="s">
        <v>13</v>
      </c>
      <c r="H5085" t="s">
        <v>4</v>
      </c>
      <c r="I5085" t="s">
        <v>5</v>
      </c>
      <c r="J5085">
        <v>90.57</v>
      </c>
      <c r="K5085">
        <v>24.2</v>
      </c>
      <c r="L5085" t="s">
        <v>14</v>
      </c>
      <c r="M5085">
        <v>0</v>
      </c>
      <c r="N5085" t="str">
        <f t="shared" si="237"/>
        <v>Under 40</v>
      </c>
      <c r="O5085" t="str">
        <f t="shared" si="238"/>
        <v>Normal</v>
      </c>
    </row>
    <row r="5086" spans="1:15" x14ac:dyDescent="0.3">
      <c r="A5086">
        <v>29540</v>
      </c>
      <c r="B5086" t="s">
        <v>2</v>
      </c>
      <c r="C5086">
        <v>67</v>
      </c>
      <c r="D5086">
        <v>0</v>
      </c>
      <c r="E5086">
        <v>0</v>
      </c>
      <c r="F5086" t="str">
        <f t="shared" si="239"/>
        <v>Moderate Risk</v>
      </c>
      <c r="G5086" t="s">
        <v>3</v>
      </c>
      <c r="H5086" t="s">
        <v>4</v>
      </c>
      <c r="I5086" t="s">
        <v>9</v>
      </c>
      <c r="J5086">
        <v>97.04</v>
      </c>
      <c r="K5086">
        <v>26.9</v>
      </c>
      <c r="L5086" t="s">
        <v>12</v>
      </c>
      <c r="M5086">
        <v>0</v>
      </c>
      <c r="N5086" t="str">
        <f t="shared" si="237"/>
        <v>60+</v>
      </c>
      <c r="O5086" t="str">
        <f t="shared" si="238"/>
        <v>Overweight</v>
      </c>
    </row>
    <row r="5087" spans="1:15" x14ac:dyDescent="0.3">
      <c r="A5087">
        <v>53525</v>
      </c>
      <c r="B5087" t="s">
        <v>7</v>
      </c>
      <c r="C5087">
        <v>72</v>
      </c>
      <c r="D5087">
        <v>0</v>
      </c>
      <c r="E5087">
        <v>0</v>
      </c>
      <c r="F5087" t="str">
        <f t="shared" si="239"/>
        <v>Moderate Risk</v>
      </c>
      <c r="G5087" t="s">
        <v>3</v>
      </c>
      <c r="H5087" t="s">
        <v>4</v>
      </c>
      <c r="I5087" t="s">
        <v>5</v>
      </c>
      <c r="J5087">
        <v>83.89</v>
      </c>
      <c r="K5087">
        <v>33.1</v>
      </c>
      <c r="L5087" t="s">
        <v>6</v>
      </c>
      <c r="M5087">
        <v>0</v>
      </c>
      <c r="N5087" t="str">
        <f t="shared" si="237"/>
        <v>60+</v>
      </c>
      <c r="O5087" t="str">
        <f t="shared" si="238"/>
        <v>Obese</v>
      </c>
    </row>
    <row r="5088" spans="1:15" x14ac:dyDescent="0.3">
      <c r="A5088">
        <v>65411</v>
      </c>
      <c r="B5088" t="s">
        <v>7</v>
      </c>
      <c r="C5088">
        <v>51</v>
      </c>
      <c r="D5088">
        <v>0</v>
      </c>
      <c r="E5088">
        <v>0</v>
      </c>
      <c r="F5088" t="str">
        <f t="shared" si="239"/>
        <v>Lower Risk</v>
      </c>
      <c r="G5088" t="s">
        <v>3</v>
      </c>
      <c r="H5088" t="s">
        <v>4</v>
      </c>
      <c r="I5088" t="s">
        <v>5</v>
      </c>
      <c r="J5088">
        <v>152.56</v>
      </c>
      <c r="K5088">
        <v>21.8</v>
      </c>
      <c r="L5088" t="s">
        <v>14</v>
      </c>
      <c r="M5088">
        <v>0</v>
      </c>
      <c r="N5088" t="str">
        <f t="shared" si="237"/>
        <v>40–59</v>
      </c>
      <c r="O5088" t="str">
        <f t="shared" si="238"/>
        <v>Normal</v>
      </c>
    </row>
    <row r="5089" spans="1:15" x14ac:dyDescent="0.3">
      <c r="A5089">
        <v>26214</v>
      </c>
      <c r="B5089" t="s">
        <v>7</v>
      </c>
      <c r="C5089">
        <v>63</v>
      </c>
      <c r="D5089">
        <v>0</v>
      </c>
      <c r="E5089">
        <v>0</v>
      </c>
      <c r="F5089" t="str">
        <f t="shared" si="239"/>
        <v>Moderate Risk</v>
      </c>
      <c r="G5089" t="s">
        <v>3</v>
      </c>
      <c r="H5089" t="s">
        <v>8</v>
      </c>
      <c r="I5089" t="s">
        <v>9</v>
      </c>
      <c r="J5089">
        <v>75.930000000000007</v>
      </c>
      <c r="K5089">
        <v>34.700000000000003</v>
      </c>
      <c r="L5089" t="s">
        <v>6</v>
      </c>
      <c r="M5089">
        <v>0</v>
      </c>
      <c r="N5089" t="str">
        <f t="shared" si="237"/>
        <v>60+</v>
      </c>
      <c r="O5089" t="str">
        <f t="shared" si="238"/>
        <v>Obese</v>
      </c>
    </row>
    <row r="5090" spans="1:15" x14ac:dyDescent="0.3">
      <c r="A5090">
        <v>22190</v>
      </c>
      <c r="B5090" t="s">
        <v>7</v>
      </c>
      <c r="C5090">
        <v>64</v>
      </c>
      <c r="D5090">
        <v>1</v>
      </c>
      <c r="E5090">
        <v>0</v>
      </c>
      <c r="F5090" t="str">
        <f t="shared" si="239"/>
        <v>High Risk</v>
      </c>
      <c r="G5090" t="s">
        <v>3</v>
      </c>
      <c r="H5090" t="s">
        <v>8</v>
      </c>
      <c r="I5090" t="s">
        <v>5</v>
      </c>
      <c r="J5090">
        <v>76.89</v>
      </c>
      <c r="K5090">
        <v>30.2</v>
      </c>
      <c r="L5090" t="s">
        <v>14</v>
      </c>
      <c r="M5090">
        <v>0</v>
      </c>
      <c r="N5090" t="str">
        <f t="shared" si="237"/>
        <v>60+</v>
      </c>
      <c r="O5090" t="str">
        <f t="shared" si="238"/>
        <v>Obese</v>
      </c>
    </row>
    <row r="5091" spans="1:15" x14ac:dyDescent="0.3">
      <c r="A5091">
        <v>56714</v>
      </c>
      <c r="B5091" t="s">
        <v>7</v>
      </c>
      <c r="C5091">
        <v>0.72</v>
      </c>
      <c r="D5091">
        <v>0</v>
      </c>
      <c r="E5091">
        <v>0</v>
      </c>
      <c r="F5091" t="str">
        <f t="shared" si="239"/>
        <v>Lower Risk</v>
      </c>
      <c r="G5091" t="s">
        <v>13</v>
      </c>
      <c r="H5091" t="s">
        <v>16</v>
      </c>
      <c r="I5091" t="s">
        <v>9</v>
      </c>
      <c r="J5091">
        <v>62.13</v>
      </c>
      <c r="K5091">
        <v>16.8</v>
      </c>
      <c r="L5091" t="s">
        <v>14</v>
      </c>
      <c r="M5091">
        <v>0</v>
      </c>
      <c r="N5091" t="str">
        <f t="shared" si="237"/>
        <v>Under 40</v>
      </c>
      <c r="O5091" t="str">
        <f t="shared" si="238"/>
        <v>Underweight</v>
      </c>
    </row>
    <row r="5092" spans="1:15" x14ac:dyDescent="0.3">
      <c r="A5092">
        <v>4211</v>
      </c>
      <c r="B5092" t="s">
        <v>2</v>
      </c>
      <c r="C5092">
        <v>26</v>
      </c>
      <c r="D5092">
        <v>0</v>
      </c>
      <c r="E5092">
        <v>0</v>
      </c>
      <c r="F5092" t="str">
        <f t="shared" si="239"/>
        <v>Lower Risk</v>
      </c>
      <c r="G5092" t="s">
        <v>13</v>
      </c>
      <c r="H5092" t="s">
        <v>15</v>
      </c>
      <c r="I5092" t="s">
        <v>9</v>
      </c>
      <c r="J5092">
        <v>100.85</v>
      </c>
      <c r="K5092">
        <v>21</v>
      </c>
      <c r="L5092" t="s">
        <v>12</v>
      </c>
      <c r="M5092">
        <v>0</v>
      </c>
      <c r="N5092" t="str">
        <f t="shared" si="237"/>
        <v>Under 40</v>
      </c>
      <c r="O5092" t="str">
        <f t="shared" si="238"/>
        <v>Normal</v>
      </c>
    </row>
    <row r="5093" spans="1:15" x14ac:dyDescent="0.3">
      <c r="A5093">
        <v>6369</v>
      </c>
      <c r="B5093" t="s">
        <v>2</v>
      </c>
      <c r="C5093">
        <v>59</v>
      </c>
      <c r="D5093">
        <v>1</v>
      </c>
      <c r="E5093">
        <v>0</v>
      </c>
      <c r="F5093" t="str">
        <f t="shared" si="239"/>
        <v>Lower Risk</v>
      </c>
      <c r="G5093" t="s">
        <v>3</v>
      </c>
      <c r="H5093" t="s">
        <v>4</v>
      </c>
      <c r="I5093" t="s">
        <v>9</v>
      </c>
      <c r="J5093">
        <v>95.05</v>
      </c>
      <c r="K5093">
        <v>30.9</v>
      </c>
      <c r="L5093" t="s">
        <v>11</v>
      </c>
      <c r="M5093">
        <v>0</v>
      </c>
      <c r="N5093" t="str">
        <f t="shared" si="237"/>
        <v>40–59</v>
      </c>
      <c r="O5093" t="str">
        <f t="shared" si="238"/>
        <v>Obese</v>
      </c>
    </row>
    <row r="5094" spans="1:15" x14ac:dyDescent="0.3">
      <c r="A5094">
        <v>56799</v>
      </c>
      <c r="B5094" t="s">
        <v>2</v>
      </c>
      <c r="C5094">
        <v>76</v>
      </c>
      <c r="D5094">
        <v>0</v>
      </c>
      <c r="E5094">
        <v>0</v>
      </c>
      <c r="F5094" t="str">
        <f t="shared" si="239"/>
        <v>Moderate Risk</v>
      </c>
      <c r="G5094" t="s">
        <v>3</v>
      </c>
      <c r="H5094" t="s">
        <v>15</v>
      </c>
      <c r="I5094" t="s">
        <v>5</v>
      </c>
      <c r="J5094">
        <v>82.35</v>
      </c>
      <c r="K5094">
        <v>38.9</v>
      </c>
      <c r="L5094" t="s">
        <v>11</v>
      </c>
      <c r="M5094">
        <v>0</v>
      </c>
      <c r="N5094" t="str">
        <f t="shared" si="237"/>
        <v>60+</v>
      </c>
      <c r="O5094" t="str">
        <f t="shared" si="238"/>
        <v>Obese</v>
      </c>
    </row>
    <row r="5095" spans="1:15" x14ac:dyDescent="0.3">
      <c r="A5095">
        <v>32235</v>
      </c>
      <c r="B5095" t="s">
        <v>7</v>
      </c>
      <c r="C5095">
        <v>45</v>
      </c>
      <c r="D5095">
        <v>1</v>
      </c>
      <c r="E5095">
        <v>0</v>
      </c>
      <c r="F5095" t="str">
        <f t="shared" si="239"/>
        <v>Lower Risk</v>
      </c>
      <c r="G5095" t="s">
        <v>3</v>
      </c>
      <c r="H5095" t="s">
        <v>15</v>
      </c>
      <c r="I5095" t="s">
        <v>9</v>
      </c>
      <c r="J5095">
        <v>95.02</v>
      </c>
      <c r="K5095" t="s">
        <v>10</v>
      </c>
      <c r="L5095" t="s">
        <v>12</v>
      </c>
      <c r="M5095">
        <v>0</v>
      </c>
      <c r="N5095" t="str">
        <f t="shared" si="237"/>
        <v>40–59</v>
      </c>
      <c r="O5095" t="str">
        <f t="shared" si="238"/>
        <v>Unknown</v>
      </c>
    </row>
    <row r="5096" spans="1:15" x14ac:dyDescent="0.3">
      <c r="A5096">
        <v>28048</v>
      </c>
      <c r="B5096" t="s">
        <v>2</v>
      </c>
      <c r="C5096">
        <v>13</v>
      </c>
      <c r="D5096">
        <v>0</v>
      </c>
      <c r="E5096">
        <v>0</v>
      </c>
      <c r="F5096" t="str">
        <f t="shared" si="239"/>
        <v>Lower Risk</v>
      </c>
      <c r="G5096" t="s">
        <v>13</v>
      </c>
      <c r="H5096" t="s">
        <v>16</v>
      </c>
      <c r="I5096" t="s">
        <v>5</v>
      </c>
      <c r="J5096">
        <v>82.38</v>
      </c>
      <c r="K5096">
        <v>24.3</v>
      </c>
      <c r="L5096" t="s">
        <v>14</v>
      </c>
      <c r="M5096">
        <v>0</v>
      </c>
      <c r="N5096" t="str">
        <f t="shared" si="237"/>
        <v>Under 40</v>
      </c>
      <c r="O5096" t="str">
        <f t="shared" si="238"/>
        <v>Normal</v>
      </c>
    </row>
    <row r="5097" spans="1:15" x14ac:dyDescent="0.3">
      <c r="A5097">
        <v>68598</v>
      </c>
      <c r="B5097" t="s">
        <v>2</v>
      </c>
      <c r="C5097">
        <v>1.08</v>
      </c>
      <c r="D5097">
        <v>0</v>
      </c>
      <c r="E5097">
        <v>0</v>
      </c>
      <c r="F5097" t="str">
        <f t="shared" si="239"/>
        <v>Lower Risk</v>
      </c>
      <c r="G5097" t="s">
        <v>13</v>
      </c>
      <c r="H5097" t="s">
        <v>16</v>
      </c>
      <c r="I5097" t="s">
        <v>9</v>
      </c>
      <c r="J5097">
        <v>79.150000000000006</v>
      </c>
      <c r="K5097">
        <v>17.399999999999999</v>
      </c>
      <c r="L5097" t="s">
        <v>14</v>
      </c>
      <c r="M5097">
        <v>0</v>
      </c>
      <c r="N5097" t="str">
        <f t="shared" si="237"/>
        <v>Under 40</v>
      </c>
      <c r="O5097" t="str">
        <f t="shared" si="238"/>
        <v>Underweight</v>
      </c>
    </row>
    <row r="5098" spans="1:15" x14ac:dyDescent="0.3">
      <c r="A5098">
        <v>41512</v>
      </c>
      <c r="B5098" t="s">
        <v>2</v>
      </c>
      <c r="C5098">
        <v>57</v>
      </c>
      <c r="D5098">
        <v>0</v>
      </c>
      <c r="E5098">
        <v>0</v>
      </c>
      <c r="F5098" t="str">
        <f t="shared" si="239"/>
        <v>Lower Risk</v>
      </c>
      <c r="G5098" t="s">
        <v>3</v>
      </c>
      <c r="H5098" t="s">
        <v>15</v>
      </c>
      <c r="I5098" t="s">
        <v>9</v>
      </c>
      <c r="J5098">
        <v>76.62</v>
      </c>
      <c r="K5098">
        <v>28.2</v>
      </c>
      <c r="L5098" t="s">
        <v>11</v>
      </c>
      <c r="M5098">
        <v>0</v>
      </c>
      <c r="N5098" t="str">
        <f t="shared" si="237"/>
        <v>40–59</v>
      </c>
      <c r="O5098" t="str">
        <f t="shared" si="238"/>
        <v>Overweight</v>
      </c>
    </row>
    <row r="5099" spans="1:15" x14ac:dyDescent="0.3">
      <c r="A5099">
        <v>64520</v>
      </c>
      <c r="B5099" t="s">
        <v>2</v>
      </c>
      <c r="C5099">
        <v>68</v>
      </c>
      <c r="D5099">
        <v>0</v>
      </c>
      <c r="E5099">
        <v>0</v>
      </c>
      <c r="F5099" t="str">
        <f t="shared" si="239"/>
        <v>Moderate Risk</v>
      </c>
      <c r="G5099" t="s">
        <v>3</v>
      </c>
      <c r="H5099" t="s">
        <v>8</v>
      </c>
      <c r="I5099" t="s">
        <v>5</v>
      </c>
      <c r="J5099">
        <v>91.68</v>
      </c>
      <c r="K5099">
        <v>40.799999999999997</v>
      </c>
      <c r="L5099" t="s">
        <v>14</v>
      </c>
      <c r="M5099">
        <v>0</v>
      </c>
      <c r="N5099" t="str">
        <f t="shared" si="237"/>
        <v>60+</v>
      </c>
      <c r="O5099" t="str">
        <f t="shared" si="238"/>
        <v>Obese</v>
      </c>
    </row>
    <row r="5100" spans="1:15" x14ac:dyDescent="0.3">
      <c r="A5100">
        <v>579</v>
      </c>
      <c r="B5100" t="s">
        <v>2</v>
      </c>
      <c r="C5100">
        <v>9</v>
      </c>
      <c r="D5100">
        <v>0</v>
      </c>
      <c r="E5100">
        <v>0</v>
      </c>
      <c r="F5100" t="str">
        <f t="shared" si="239"/>
        <v>Lower Risk</v>
      </c>
      <c r="G5100" t="s">
        <v>13</v>
      </c>
      <c r="H5100" t="s">
        <v>16</v>
      </c>
      <c r="I5100" t="s">
        <v>5</v>
      </c>
      <c r="J5100">
        <v>71.88</v>
      </c>
      <c r="K5100">
        <v>17.5</v>
      </c>
      <c r="L5100" t="s">
        <v>14</v>
      </c>
      <c r="M5100">
        <v>0</v>
      </c>
      <c r="N5100" t="str">
        <f t="shared" si="237"/>
        <v>Under 40</v>
      </c>
      <c r="O5100" t="str">
        <f t="shared" si="238"/>
        <v>Underweight</v>
      </c>
    </row>
    <row r="5101" spans="1:15" x14ac:dyDescent="0.3">
      <c r="A5101">
        <v>7293</v>
      </c>
      <c r="B5101" t="s">
        <v>2</v>
      </c>
      <c r="C5101">
        <v>40</v>
      </c>
      <c r="D5101">
        <v>0</v>
      </c>
      <c r="E5101">
        <v>0</v>
      </c>
      <c r="F5101" t="str">
        <f t="shared" si="239"/>
        <v>Lower Risk</v>
      </c>
      <c r="G5101" t="s">
        <v>3</v>
      </c>
      <c r="H5101" t="s">
        <v>4</v>
      </c>
      <c r="I5101" t="s">
        <v>9</v>
      </c>
      <c r="J5101">
        <v>83.94</v>
      </c>
      <c r="K5101" t="s">
        <v>10</v>
      </c>
      <c r="L5101" t="s">
        <v>12</v>
      </c>
      <c r="M5101">
        <v>0</v>
      </c>
      <c r="N5101" t="str">
        <f t="shared" si="237"/>
        <v>40–59</v>
      </c>
      <c r="O5101" t="str">
        <f t="shared" si="238"/>
        <v>Unknown</v>
      </c>
    </row>
    <row r="5102" spans="1:15" x14ac:dyDescent="0.3">
      <c r="A5102">
        <v>68398</v>
      </c>
      <c r="B5102" t="s">
        <v>2</v>
      </c>
      <c r="C5102">
        <v>82</v>
      </c>
      <c r="D5102">
        <v>1</v>
      </c>
      <c r="E5102">
        <v>0</v>
      </c>
      <c r="F5102" t="str">
        <f t="shared" si="239"/>
        <v>High Risk</v>
      </c>
      <c r="G5102" t="s">
        <v>3</v>
      </c>
      <c r="H5102" t="s">
        <v>8</v>
      </c>
      <c r="I5102" t="s">
        <v>9</v>
      </c>
      <c r="J5102">
        <v>71.97</v>
      </c>
      <c r="K5102">
        <v>28.3</v>
      </c>
      <c r="L5102" t="s">
        <v>11</v>
      </c>
      <c r="M5102">
        <v>0</v>
      </c>
      <c r="N5102" t="str">
        <f t="shared" si="237"/>
        <v>60+</v>
      </c>
      <c r="O5102" t="str">
        <f t="shared" si="238"/>
        <v>Overweight</v>
      </c>
    </row>
    <row r="5103" spans="1:15" x14ac:dyDescent="0.3">
      <c r="A5103">
        <v>36901</v>
      </c>
      <c r="B5103" t="s">
        <v>7</v>
      </c>
      <c r="C5103">
        <v>45</v>
      </c>
      <c r="D5103">
        <v>0</v>
      </c>
      <c r="E5103">
        <v>0</v>
      </c>
      <c r="F5103" t="str">
        <f t="shared" si="239"/>
        <v>Lower Risk</v>
      </c>
      <c r="G5103" t="s">
        <v>3</v>
      </c>
      <c r="H5103" t="s">
        <v>4</v>
      </c>
      <c r="I5103" t="s">
        <v>5</v>
      </c>
      <c r="J5103">
        <v>97.95</v>
      </c>
      <c r="K5103">
        <v>24.5</v>
      </c>
      <c r="L5103" t="s">
        <v>14</v>
      </c>
      <c r="M5103">
        <v>0</v>
      </c>
      <c r="N5103" t="str">
        <f t="shared" si="237"/>
        <v>40–59</v>
      </c>
      <c r="O5103" t="str">
        <f t="shared" si="238"/>
        <v>Normal</v>
      </c>
    </row>
    <row r="5104" spans="1:15" x14ac:dyDescent="0.3">
      <c r="A5104">
        <v>45010</v>
      </c>
      <c r="B5104" t="s">
        <v>7</v>
      </c>
      <c r="C5104">
        <v>57</v>
      </c>
      <c r="D5104">
        <v>0</v>
      </c>
      <c r="E5104">
        <v>0</v>
      </c>
      <c r="F5104" t="str">
        <f t="shared" si="239"/>
        <v>Lower Risk</v>
      </c>
      <c r="G5104" t="s">
        <v>3</v>
      </c>
      <c r="H5104" t="s">
        <v>4</v>
      </c>
      <c r="I5104" t="s">
        <v>9</v>
      </c>
      <c r="J5104">
        <v>77.930000000000007</v>
      </c>
      <c r="K5104">
        <v>21.7</v>
      </c>
      <c r="L5104" t="s">
        <v>11</v>
      </c>
      <c r="M5104">
        <v>0</v>
      </c>
      <c r="N5104" t="str">
        <f t="shared" si="237"/>
        <v>40–59</v>
      </c>
      <c r="O5104" t="str">
        <f t="shared" si="238"/>
        <v>Normal</v>
      </c>
    </row>
    <row r="5105" spans="1:15" x14ac:dyDescent="0.3">
      <c r="A5105">
        <v>22127</v>
      </c>
      <c r="B5105" t="s">
        <v>7</v>
      </c>
      <c r="C5105">
        <v>18</v>
      </c>
      <c r="D5105">
        <v>0</v>
      </c>
      <c r="E5105">
        <v>0</v>
      </c>
      <c r="F5105" t="str">
        <f t="shared" si="239"/>
        <v>Lower Risk</v>
      </c>
      <c r="G5105" t="s">
        <v>13</v>
      </c>
      <c r="H5105" t="s">
        <v>4</v>
      </c>
      <c r="I5105" t="s">
        <v>5</v>
      </c>
      <c r="J5105">
        <v>82.85</v>
      </c>
      <c r="K5105">
        <v>46.9</v>
      </c>
      <c r="L5105" t="s">
        <v>14</v>
      </c>
      <c r="M5105">
        <v>0</v>
      </c>
      <c r="N5105" t="str">
        <f t="shared" si="237"/>
        <v>Under 40</v>
      </c>
      <c r="O5105" t="str">
        <f t="shared" si="238"/>
        <v>Obese</v>
      </c>
    </row>
    <row r="5106" spans="1:15" x14ac:dyDescent="0.3">
      <c r="A5106">
        <v>14180</v>
      </c>
      <c r="B5106" t="s">
        <v>7</v>
      </c>
      <c r="C5106">
        <v>13</v>
      </c>
      <c r="D5106">
        <v>0</v>
      </c>
      <c r="E5106">
        <v>0</v>
      </c>
      <c r="F5106" t="str">
        <f t="shared" si="239"/>
        <v>Lower Risk</v>
      </c>
      <c r="G5106" t="s">
        <v>13</v>
      </c>
      <c r="H5106" t="s">
        <v>16</v>
      </c>
      <c r="I5106" t="s">
        <v>9</v>
      </c>
      <c r="J5106">
        <v>103.08</v>
      </c>
      <c r="K5106">
        <v>18.600000000000001</v>
      </c>
      <c r="L5106" t="s">
        <v>14</v>
      </c>
      <c r="M5106">
        <v>0</v>
      </c>
      <c r="N5106" t="str">
        <f t="shared" si="237"/>
        <v>Under 40</v>
      </c>
      <c r="O5106" t="str">
        <f t="shared" si="238"/>
        <v>Normal</v>
      </c>
    </row>
    <row r="5107" spans="1:15" x14ac:dyDescent="0.3">
      <c r="A5107">
        <v>18234</v>
      </c>
      <c r="B5107" t="s">
        <v>7</v>
      </c>
      <c r="C5107">
        <v>80</v>
      </c>
      <c r="D5107">
        <v>1</v>
      </c>
      <c r="E5107">
        <v>0</v>
      </c>
      <c r="F5107" t="str">
        <f t="shared" si="239"/>
        <v>High Risk</v>
      </c>
      <c r="G5107" t="s">
        <v>3</v>
      </c>
      <c r="H5107" t="s">
        <v>4</v>
      </c>
      <c r="I5107" t="s">
        <v>5</v>
      </c>
      <c r="J5107">
        <v>83.75</v>
      </c>
      <c r="K5107" t="s">
        <v>10</v>
      </c>
      <c r="L5107" t="s">
        <v>11</v>
      </c>
      <c r="M5107">
        <v>0</v>
      </c>
      <c r="N5107" t="str">
        <f t="shared" si="237"/>
        <v>60+</v>
      </c>
      <c r="O5107" t="str">
        <f t="shared" si="238"/>
        <v>Unknown</v>
      </c>
    </row>
    <row r="5108" spans="1:15" x14ac:dyDescent="0.3">
      <c r="A5108">
        <v>44873</v>
      </c>
      <c r="B5108" t="s">
        <v>7</v>
      </c>
      <c r="C5108">
        <v>81</v>
      </c>
      <c r="D5108">
        <v>0</v>
      </c>
      <c r="E5108">
        <v>0</v>
      </c>
      <c r="F5108" t="str">
        <f t="shared" si="239"/>
        <v>Moderate Risk</v>
      </c>
      <c r="G5108" t="s">
        <v>3</v>
      </c>
      <c r="H5108" t="s">
        <v>8</v>
      </c>
      <c r="I5108" t="s">
        <v>5</v>
      </c>
      <c r="J5108">
        <v>125.2</v>
      </c>
      <c r="K5108">
        <v>40</v>
      </c>
      <c r="L5108" t="s">
        <v>11</v>
      </c>
      <c r="M5108">
        <v>0</v>
      </c>
      <c r="N5108" t="str">
        <f t="shared" si="237"/>
        <v>60+</v>
      </c>
      <c r="O5108" t="str">
        <f t="shared" si="238"/>
        <v>Obese</v>
      </c>
    </row>
    <row r="5109" spans="1:15" x14ac:dyDescent="0.3">
      <c r="A5109">
        <v>19723</v>
      </c>
      <c r="B5109" t="s">
        <v>7</v>
      </c>
      <c r="C5109">
        <v>35</v>
      </c>
      <c r="D5109">
        <v>0</v>
      </c>
      <c r="E5109">
        <v>0</v>
      </c>
      <c r="F5109" t="str">
        <f t="shared" si="239"/>
        <v>Lower Risk</v>
      </c>
      <c r="G5109" t="s">
        <v>3</v>
      </c>
      <c r="H5109" t="s">
        <v>8</v>
      </c>
      <c r="I5109" t="s">
        <v>9</v>
      </c>
      <c r="J5109">
        <v>82.99</v>
      </c>
      <c r="K5109">
        <v>30.6</v>
      </c>
      <c r="L5109" t="s">
        <v>11</v>
      </c>
      <c r="M5109">
        <v>0</v>
      </c>
      <c r="N5109" t="str">
        <f t="shared" si="237"/>
        <v>Under 40</v>
      </c>
      <c r="O5109" t="str">
        <f t="shared" si="238"/>
        <v>Obese</v>
      </c>
    </row>
    <row r="5110" spans="1:15" x14ac:dyDescent="0.3">
      <c r="A5110">
        <v>37544</v>
      </c>
      <c r="B5110" t="s">
        <v>2</v>
      </c>
      <c r="C5110">
        <v>51</v>
      </c>
      <c r="D5110">
        <v>0</v>
      </c>
      <c r="E5110">
        <v>0</v>
      </c>
      <c r="F5110" t="str">
        <f t="shared" si="239"/>
        <v>Lower Risk</v>
      </c>
      <c r="G5110" t="s">
        <v>3</v>
      </c>
      <c r="H5110" t="s">
        <v>4</v>
      </c>
      <c r="I5110" t="s">
        <v>9</v>
      </c>
      <c r="J5110">
        <v>166.29</v>
      </c>
      <c r="K5110">
        <v>25.6</v>
      </c>
      <c r="L5110" t="s">
        <v>6</v>
      </c>
      <c r="M5110">
        <v>0</v>
      </c>
      <c r="N5110" t="str">
        <f t="shared" si="237"/>
        <v>40–59</v>
      </c>
      <c r="O5110" t="str">
        <f t="shared" si="238"/>
        <v>Overweight</v>
      </c>
    </row>
    <row r="5111" spans="1:15" x14ac:dyDescent="0.3">
      <c r="A5111">
        <v>44679</v>
      </c>
      <c r="B5111" t="s">
        <v>7</v>
      </c>
      <c r="C5111">
        <v>44</v>
      </c>
      <c r="D5111">
        <v>0</v>
      </c>
      <c r="E5111">
        <v>0</v>
      </c>
      <c r="F5111" t="str">
        <f t="shared" si="239"/>
        <v>Lower Risk</v>
      </c>
      <c r="G5111" t="s">
        <v>3</v>
      </c>
      <c r="H5111" t="s">
        <v>15</v>
      </c>
      <c r="I5111" t="s">
        <v>5</v>
      </c>
      <c r="J5111">
        <v>85.28</v>
      </c>
      <c r="K5111">
        <v>26.2</v>
      </c>
      <c r="L5111" t="s">
        <v>14</v>
      </c>
      <c r="M5111">
        <v>0</v>
      </c>
      <c r="N5111" t="str">
        <f t="shared" si="237"/>
        <v>40–59</v>
      </c>
      <c r="O5111" t="str">
        <f t="shared" si="238"/>
        <v>Overweight</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vt:lpstr>
      <vt:lpstr>healthcare-dataset-stroke-data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Varsha .</dc:creator>
  <cp:lastModifiedBy>Varsha .</cp:lastModifiedBy>
  <dcterms:created xsi:type="dcterms:W3CDTF">2026-01-06T07:11:38Z</dcterms:created>
  <dcterms:modified xsi:type="dcterms:W3CDTF">2026-03-11T06:56:46Z</dcterms:modified>
</cp:coreProperties>
</file>